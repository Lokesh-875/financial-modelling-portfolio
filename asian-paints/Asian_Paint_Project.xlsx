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_rels/sheet2.xml.rels" ContentType="application/vnd.openxmlformats-package.relationships+xml"/>
  <Override PartName="/xl/worksheets/_rels/sheet24.xml.rels" ContentType="application/vnd.openxmlformats-package.relationships+xml"/>
  <Override PartName="/xl/worksheets/_rels/sheet6.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15.xml.rels" ContentType="application/vnd.openxmlformats-package.relationships+xml"/>
  <Override PartName="/xl/worksheets/_rels/sheet28.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drawings/drawing9.xml" ContentType="application/vnd.openxmlformats-officedocument.drawing+xml"/>
  <Override PartName="/xl/drawings/drawing8.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_rels/drawing10.xml.rels" ContentType="application/vnd.openxmlformats-package.relationships+xml"/>
  <Override PartName="/xl/drawings/_rels/drawing6.xml.rels" ContentType="application/vnd.openxmlformats-package.relationships+xml"/>
  <Override PartName="/xl/drawings/_rels/drawing11.xml.rels" ContentType="application/vnd.openxmlformats-package.relationships+xml"/>
  <Override PartName="/xl/drawings/_rels/drawing1.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9.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8"/>
  </bookViews>
  <sheets>
    <sheet name="Front Page" sheetId="1" state="visible" r:id="rId3"/>
    <sheet name="Content" sheetId="2" state="visible" r:id="rId4"/>
    <sheet name="Teaser" sheetId="3" state="visible" r:id="rId5"/>
    <sheet name="HistoricalFS" sheetId="4" state="visible" r:id="rId6"/>
    <sheet name="Ratio Analysis" sheetId="5" state="visible" r:id="rId7"/>
    <sheet name="Common Size Statement" sheetId="6" state="visible" r:id="rId8"/>
    <sheet name="Assumption Sheet" sheetId="7" state="visible" r:id="rId9"/>
    <sheet name="ForecastFS" sheetId="8" state="visible" r:id="rId10"/>
    <sheet name="Beta-Regression" sheetId="9" state="visible" r:id="rId11"/>
    <sheet name="Rm" sheetId="10" state="visible" r:id="rId12"/>
    <sheet name="WACC" sheetId="11" state="visible" r:id="rId13"/>
    <sheet name="IntrinsiGrowth" sheetId="12" state="visible" r:id="rId14"/>
    <sheet name="DCF" sheetId="13" state="visible" r:id="rId15"/>
    <sheet name="Comp_Valuation" sheetId="14" state="visible" r:id="rId16"/>
    <sheet name="Football_Field" sheetId="15" state="visible" r:id="rId17"/>
    <sheet name="VAR Historical Approach" sheetId="16" state="visible" r:id="rId18"/>
    <sheet name="Monte Carlo Simulation" sheetId="17" state="visible" r:id="rId19"/>
    <sheet name="DUPONT Analysis" sheetId="18" state="visible" r:id="rId20"/>
    <sheet name="ALTMAN'S Z SCORE" sheetId="19" state="visible" r:id="rId21"/>
    <sheet name="One Page Profile&gt;" sheetId="20" state="visible" r:id="rId22"/>
    <sheet name="InputSheet" sheetId="21" state="visible" r:id="rId23"/>
    <sheet name="Financials&gt;" sheetId="22" state="visible" r:id="rId24"/>
    <sheet name="Data&gt;" sheetId="23" state="visible" r:id="rId25"/>
    <sheet name="Data Sheet" sheetId="24" state="visible" r:id="rId26"/>
    <sheet name="CashFlow Statement" sheetId="25" state="visible" r:id="rId27"/>
    <sheet name="DCF&gt;" sheetId="26" state="visible" r:id="rId28"/>
    <sheet name="RawFS" sheetId="27" state="visible" r:id="rId29"/>
    <sheet name="RawData" sheetId="28" state="visible" r:id="rId30"/>
    <sheet name="Data" sheetId="29" state="visible" r:id="rId31"/>
    <sheet name="VAR&gt;" sheetId="30" state="visible" r:id="rId32"/>
  </sheets>
  <definedNames>
    <definedName function="false" hidden="false" localSheetId="18" name="_xlnm.Print_Area" vbProcedure="false">'ALTMAN''S Z SCORE'!$A$1:$I$90</definedName>
    <definedName function="false" hidden="false" localSheetId="6" name="_xlnm.Print_Area" vbProcedure="false">'Assumption Sheet'!$A$1:$M$69</definedName>
    <definedName function="false" hidden="false" localSheetId="13" name="_xlnm.Print_Area" vbProcedure="false">Comp_Valuation!$A$1:$Q$39</definedName>
    <definedName function="false" hidden="false" localSheetId="1" name="_xlnm.Print_Area" vbProcedure="false">Content!$A$1:$M$41</definedName>
    <definedName function="false" hidden="false" localSheetId="12" name="_xlnm.Print_Area" vbProcedure="false">DCF!$A$1:$M$52</definedName>
    <definedName function="false" hidden="false" localSheetId="17" name="_xlnm.Print_Area" vbProcedure="false">'DUPONT Analysis'!$A$1:$I$103</definedName>
    <definedName function="false" hidden="false" localSheetId="14" name="_xlnm.Print_Area" vbProcedure="false">Football_Field!$A$1:$L$41</definedName>
    <definedName function="false" hidden="false" localSheetId="7" name="_xlnm.Print_Area" vbProcedure="false">ForecastFS!$A$1:$L$89</definedName>
    <definedName function="false" hidden="false" localSheetId="0" name="_xlnm.Print_Area" vbProcedure="false">'Front Page'!$A$1:$M$53</definedName>
    <definedName function="false" hidden="false" localSheetId="11" name="_xlnm.Print_Area" vbProcedure="false">IntrinsiGrowth!$A$1:$I$60</definedName>
    <definedName function="false" hidden="false" localSheetId="4" name="_xlnm.Print_Area" vbProcedure="false">'Ratio Analysis'!$A$1:$O$48</definedName>
    <definedName function="false" hidden="false" localSheetId="2" name="_xlnm.Print_Area" vbProcedure="false">Teaser!$A$1:$K$61</definedName>
    <definedName function="false" hidden="false" localSheetId="15" name="_xlnm.Print_Area" vbProcedure="false">'VAR Historical Approach'!$A$1:$N$62</definedName>
    <definedName function="false" hidden="true" name="_xlchart.v1.0" vbProcedure="false">'VAR Historical Approach'!$E$3:$E$62</definedName>
    <definedName function="false" hidden="true" name="_xlchart.v1.1" vbProcedure="false">'Monte Carlo Simulation'!$G$3:$G$62</definedName>
  </definedName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C55" authorId="0">
      <text>
        <r>
          <rPr>
            <sz val="10"/>
            <rFont val="Arial"/>
            <family val="2"/>
          </rPr>
          <t xml:space="preserve">Switch between Base Case (conservative, reflects Birla Opus competitive pressure per current sell-side commentary) and Bull Case (management's more optimistic guidance). Type exactly 'Base Case' or 'Bull Case'. This single cell drives Sales Growth, COGS%, S&amp;G%, and Capex for the entire forecast.</t>
        </r>
      </text>
    </comment>
    <comment ref="H48" authorId="0">
      <text>
        <r>
          <rPr>
            <sz val="10"/>
            <rFont val="Arial"/>
            <family val="2"/>
          </rPr>
          <t xml:space="preserve">Source: Screener.in, FY26 Annual Report, Other Liabilities/Sales = 5,355.23/35,583.54. Held flat across FY27-31; revise if non-sales-linked liabilities expected.</t>
        </r>
      </text>
    </comment>
    <comment ref="H52" authorId="0">
      <text>
        <r>
          <rPr>
            <sz val="10"/>
            <rFont val="Arial"/>
            <family val="2"/>
          </rPr>
          <t xml:space="preserve">Assumption: no net new borrowing/repayment planned FY27-31; Borrowings held flat at FY26 level (Rs 3,928.93 Cr). Revise if debt-funded capex or refinancing expected.</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B58" authorId="0">
      <text>
        <r>
          <rPr>
            <sz val="10"/>
            <rFont val="Arial"/>
            <family val="2"/>
          </rPr>
          <t xml:space="preserve">Balance Sheet integrity check: Total Assets = Total Liabilities. Should always read TRUE - if FALSE after changing an assumption, a corresponding Cash Flow Statement line is likely missing for that item.</t>
        </r>
      </text>
    </comment>
    <comment ref="B70" authorId="0">
      <text>
        <r>
          <rPr>
            <sz val="10"/>
            <rFont val="Arial"/>
            <family val="2"/>
          </rPr>
          <t xml:space="preserve">Captures cash impact of Other Liabilities and Other Assets movements (both driven off Sales in Assumption Sheet), so the Balance Sheet stays fully tied even if these drivers are changed.</t>
        </r>
      </text>
    </comment>
    <comment ref="B76" authorId="0">
      <text>
        <r>
          <rPr>
            <sz val="10"/>
            <rFont val="Arial"/>
            <family val="2"/>
          </rPr>
          <t xml:space="preserve">NEW: captures cash impact of any change in Investments (Assumption Sheet row 47). If Investments assumption is changed from flat, this line automatically reflects the cash outflow/inflow so the Balance Sheet remains balanced.</t>
        </r>
      </text>
    </comment>
    <comment ref="B77" authorId="0">
      <text>
        <r>
          <rPr>
            <sz val="10"/>
            <rFont val="Arial"/>
            <family val="2"/>
          </rPr>
          <t xml:space="preserve">NEW: captures cash impact of any change in CWIP (Assumption Sheet row 46). Same purpose as the Investments line above - keeps CFI complete for any assumption change.</t>
        </r>
      </text>
    </comment>
    <comment ref="H39" authorId="0">
      <text>
        <r>
          <rPr>
            <sz val="10"/>
            <rFont val="Arial"/>
            <family val="2"/>
          </rPr>
          <t xml:space="preserve">Reserves rollforward: Prior Reserves + Net Profit x (1 - Dividend Payout Ratio). Standard retained-earnings linkage.</t>
        </r>
      </text>
    </comment>
    <comment ref="H45" authorId="0">
      <text>
        <r>
          <rPr>
            <sz val="10"/>
            <rFont val="Arial"/>
            <family val="2"/>
          </rPr>
          <t xml:space="preserve">Net Block rollforward: Prior Net Block + Capex (Assumption Sheet) - Depreciation (Income Statement). Ties directly to CF Statement Capex line.</t>
        </r>
      </text>
    </comment>
    <comment ref="H53" authorId="0">
      <text>
        <r>
          <rPr>
            <sz val="10"/>
            <rFont val="Arial"/>
            <family val="2"/>
          </rPr>
          <t xml:space="preserve">Cash &amp; Bank = Closing Cash from Cash Flow Statement (row 87). This is the core 3-statement link that makes the Balance Sheet self-balancing.</t>
        </r>
      </text>
    </comment>
  </commentList>
</comments>
</file>

<file path=xl/sharedStrings.xml><?xml version="1.0" encoding="utf-8"?>
<sst xmlns="http://schemas.openxmlformats.org/spreadsheetml/2006/main" count="1691" uniqueCount="681">
  <si>
    <t xml:space="preserve">Financial Modeling &amp; Valuation Report</t>
  </si>
  <si>
    <t xml:space="preserve">ASIAN PAINTS LTD</t>
  </si>
  <si>
    <t xml:space="preserve">NSE / BSE: ASIANPAINT | BSE CODE: 500820 | SECTOR: PAINTS &amp; HOME DECOR</t>
  </si>
  <si>
    <t xml:space="preserve">Table of Content</t>
  </si>
  <si>
    <t xml:space="preserve">Asian Paints Ltd | BSE code: 500820</t>
  </si>
  <si>
    <t xml:space="preserve">One Page Profile (Teaser)</t>
  </si>
  <si>
    <t xml:space="preserve">Historical Financial Statements</t>
  </si>
  <si>
    <t xml:space="preserve">Cash Flow Statement</t>
  </si>
  <si>
    <t xml:space="preserve">Ratio Analysis</t>
  </si>
  <si>
    <t xml:space="preserve">Common Size Staement</t>
  </si>
  <si>
    <t xml:space="preserve">Assumptions Sheet</t>
  </si>
  <si>
    <t xml:space="preserve">Forcasted Financial Statements</t>
  </si>
  <si>
    <t xml:space="preserve">Beta Regression - Asian Paints Ltd</t>
  </si>
  <si>
    <t xml:space="preserve">Comps Beta</t>
  </si>
  <si>
    <t xml:space="preserve">Return on Market</t>
  </si>
  <si>
    <t xml:space="preserve">Weighted Average Cost of Capital (WACC)</t>
  </si>
  <si>
    <t xml:space="preserve">Intrinsic Growth</t>
  </si>
  <si>
    <t xml:space="preserve">DCF Valuation (FCFF)</t>
  </si>
  <si>
    <t xml:space="preserve">Comparable Company Valuation</t>
  </si>
  <si>
    <t xml:space="preserve">Football Field Analysis</t>
  </si>
  <si>
    <t xml:space="preserve">Value at Risk - Historical </t>
  </si>
  <si>
    <t xml:space="preserve">Value at Risk - Monte Carlo Method</t>
  </si>
  <si>
    <t xml:space="preserve">DUPONT Analysis (ROE &amp; ROA)</t>
  </si>
  <si>
    <t xml:space="preserve">Altman's Z Score Analysis</t>
  </si>
  <si>
    <t xml:space="preserve">Key Financial Metrics</t>
  </si>
  <si>
    <t xml:space="preserve">Share Price - 5Y</t>
  </si>
  <si>
    <t xml:space="preserve">Total Sales</t>
  </si>
  <si>
    <t xml:space="preserve">Sales Growth (Y-O-Y)</t>
  </si>
  <si>
    <t xml:space="preserve">Gross Profit</t>
  </si>
  <si>
    <t xml:space="preserve">Gross Profit Margins (%)</t>
  </si>
  <si>
    <t xml:space="preserve">EBITDA Margins (%)</t>
  </si>
  <si>
    <t xml:space="preserve">EBIT Margins (%)</t>
  </si>
  <si>
    <t xml:space="preserve">Net Profit Margins  (In Rs)</t>
  </si>
  <si>
    <t xml:space="preserve">Earning Per Share (In Rs)</t>
  </si>
  <si>
    <t xml:space="preserve">EPS Growth (Y-O-Y)</t>
  </si>
  <si>
    <t xml:space="preserve">Dividend Per Share</t>
  </si>
  <si>
    <t xml:space="preserve">Dividend Growth</t>
  </si>
  <si>
    <t xml:space="preserve">Key Financial Ratio</t>
  </si>
  <si>
    <t xml:space="preserve">Volumes - 5Y</t>
  </si>
  <si>
    <t xml:space="preserve">Price to Earning</t>
  </si>
  <si>
    <t xml:space="preserve">EV/EBITDA</t>
  </si>
  <si>
    <t xml:space="preserve">EV/Sales</t>
  </si>
  <si>
    <t xml:space="preserve">Price to Book Value</t>
  </si>
  <si>
    <t xml:space="preserve">Return on Equity (%)</t>
  </si>
  <si>
    <t xml:space="preserve">Return on Capital Employed (%)</t>
  </si>
  <si>
    <t xml:space="preserve">Top 10 Share Holders</t>
  </si>
  <si>
    <t xml:space="preserve">Market Value (In Cr)</t>
  </si>
  <si>
    <t xml:space="preserve">Share Holding Pattern</t>
  </si>
  <si>
    <t xml:space="preserve">Managerial Remuneration</t>
  </si>
  <si>
    <t xml:space="preserve">Designation</t>
  </si>
  <si>
    <t xml:space="preserve">Remuneration</t>
  </si>
  <si>
    <t xml:space="preserve">Ratio to Median</t>
  </si>
  <si>
    <t xml:space="preserve">Capital Structure</t>
  </si>
  <si>
    <t xml:space="preserve">Mr. Amit Syngle</t>
  </si>
  <si>
    <t xml:space="preserve">MD &amp; CEO</t>
  </si>
  <si>
    <t xml:space="preserve">Share Price</t>
  </si>
  <si>
    <t xml:space="preserve">R J Jeyamurugan</t>
  </si>
  <si>
    <t xml:space="preserve">CFO</t>
  </si>
  <si>
    <t xml:space="preserve">No of Share</t>
  </si>
  <si>
    <t xml:space="preserve">R Seshasayee</t>
  </si>
  <si>
    <t xml:space="preserve">Chairman</t>
  </si>
  <si>
    <t xml:space="preserve">Market Capitalization</t>
  </si>
  <si>
    <t xml:space="preserve">Manish Choksi</t>
  </si>
  <si>
    <t xml:space="preserve"> V. Chairman</t>
  </si>
  <si>
    <t xml:space="preserve">Less: Cash &amp; Equivalent</t>
  </si>
  <si>
    <t xml:space="preserve">Add: Total Debt</t>
  </si>
  <si>
    <t xml:space="preserve">Add: Minority Interest</t>
  </si>
  <si>
    <t xml:space="preserve">Enterprise Value</t>
  </si>
  <si>
    <t xml:space="preserve">Recent Updates</t>
  </si>
  <si>
    <t xml:space="preserve">Asian Paints' market share continued slipping to ~52% by September 2025, with Birla Opus at ~6.6%, and Q3 FY26 operating margins were at 20%</t>
  </si>
  <si>
    <t xml:space="preserve">80th AGM held today, 9th July 2026 — shareholders to approve FY26 final dividend via VC</t>
  </si>
  <si>
    <t xml:space="preserve">Renewable energy hits 56.5% of total electricity use in FY26</t>
  </si>
  <si>
    <t xml:space="preserve">Currently trading around ₹2,739–2,757, P/E in the ~57-60x range vs industry ~52-53x</t>
  </si>
  <si>
    <t xml:space="preserve">Years</t>
  </si>
  <si>
    <t xml:space="preserve">#</t>
  </si>
  <si>
    <t xml:space="preserve">Sales</t>
  </si>
  <si>
    <t xml:space="preserve">Sales Growth</t>
  </si>
  <si>
    <t xml:space="preserve">COGS</t>
  </si>
  <si>
    <t xml:space="preserve">COGS % of Sales</t>
  </si>
  <si>
    <t xml:space="preserve">Gross Margin</t>
  </si>
  <si>
    <t xml:space="preserve">Selling &amp; General Expenses</t>
  </si>
  <si>
    <t xml:space="preserve">S&amp;G Exp % of Sales</t>
  </si>
  <si>
    <t xml:space="preserve">EBITDA</t>
  </si>
  <si>
    <t xml:space="preserve">EBITDA Margin</t>
  </si>
  <si>
    <t xml:space="preserve">Other Income</t>
  </si>
  <si>
    <t xml:space="preserve">Other Income % of Sales</t>
  </si>
  <si>
    <t xml:space="preserve">Depreciation</t>
  </si>
  <si>
    <t xml:space="preserve">Depreciation % of Sales</t>
  </si>
  <si>
    <t xml:space="preserve">EBIT </t>
  </si>
  <si>
    <t xml:space="preserve">EBIT Margin</t>
  </si>
  <si>
    <t xml:space="preserve">Interest</t>
  </si>
  <si>
    <t xml:space="preserve">Interest % of Sales</t>
  </si>
  <si>
    <t xml:space="preserve">Earning Before Tax</t>
  </si>
  <si>
    <t xml:space="preserve">EBT % of Sales</t>
  </si>
  <si>
    <t xml:space="preserve">Tax</t>
  </si>
  <si>
    <t xml:space="preserve">Effective Tax Rate</t>
  </si>
  <si>
    <t xml:space="preserve">Net Profit</t>
  </si>
  <si>
    <t xml:space="preserve">Net Profit Margin</t>
  </si>
  <si>
    <t xml:space="preserve">No of Equity Shares</t>
  </si>
  <si>
    <t xml:space="preserve">Earning Per Shares</t>
  </si>
  <si>
    <t xml:space="preserve">EPS Growth Rate</t>
  </si>
  <si>
    <t xml:space="preserve">Dividend Per Shares</t>
  </si>
  <si>
    <t xml:space="preserve">Dividend Payout Ratio</t>
  </si>
  <si>
    <t xml:space="preserve">Retained Earnings</t>
  </si>
  <si>
    <t xml:space="preserve">Equity Share Capital</t>
  </si>
  <si>
    <t xml:space="preserve">Reserves</t>
  </si>
  <si>
    <t xml:space="preserve">Borrowings</t>
  </si>
  <si>
    <t xml:space="preserve">Trade Payables</t>
  </si>
  <si>
    <t xml:space="preserve">Other Liabilities</t>
  </si>
  <si>
    <t xml:space="preserve">Total Liabilities</t>
  </si>
  <si>
    <t xml:space="preserve">Fixed Assets Net Block</t>
  </si>
  <si>
    <t xml:space="preserve">Capital Work in Progress</t>
  </si>
  <si>
    <t xml:space="preserve">Investments</t>
  </si>
  <si>
    <t xml:space="preserve">Other Assets</t>
  </si>
  <si>
    <t xml:space="preserve">Total Current Assets</t>
  </si>
  <si>
    <t xml:space="preserve">Receivables</t>
  </si>
  <si>
    <t xml:space="preserve">Inventory</t>
  </si>
  <si>
    <t xml:space="preserve">Cash &amp; Bank</t>
  </si>
  <si>
    <t xml:space="preserve">Total Non Current Assets</t>
  </si>
  <si>
    <t xml:space="preserve">Total Assets</t>
  </si>
  <si>
    <t xml:space="preserve">Check</t>
  </si>
  <si>
    <t xml:space="preserve">Operating Activities</t>
  </si>
  <si>
    <t xml:space="preserve">Profit from operations</t>
  </si>
  <si>
    <t xml:space="preserve">Payables</t>
  </si>
  <si>
    <t xml:space="preserve">Other WC items</t>
  </si>
  <si>
    <t xml:space="preserve">Working capital changes</t>
  </si>
  <si>
    <t xml:space="preserve">Direct taxes</t>
  </si>
  <si>
    <t xml:space="preserve">Cash from Operating Activity</t>
  </si>
  <si>
    <t xml:space="preserve">Investing Activities</t>
  </si>
  <si>
    <t xml:space="preserve">Fixed assets purchased</t>
  </si>
  <si>
    <t xml:space="preserve">Fixed assets sold</t>
  </si>
  <si>
    <t xml:space="preserve">Investments purchased</t>
  </si>
  <si>
    <t xml:space="preserve">Investments sold</t>
  </si>
  <si>
    <t xml:space="preserve">Interest received</t>
  </si>
  <si>
    <t xml:space="preserve">Dividends received</t>
  </si>
  <si>
    <t xml:space="preserve">Investment in group cos</t>
  </si>
  <si>
    <t xml:space="preserve">Redemp n Canc of Shares</t>
  </si>
  <si>
    <t xml:space="preserve">Acquisition of companies</t>
  </si>
  <si>
    <t xml:space="preserve">Other investing items</t>
  </si>
  <si>
    <t xml:space="preserve">Cash from Investing Activities</t>
  </si>
  <si>
    <t xml:space="preserve">Financial Activities</t>
  </si>
  <si>
    <t xml:space="preserve">Proceeds from shares</t>
  </si>
  <si>
    <t xml:space="preserve">Proceeds from borrowings</t>
  </si>
  <si>
    <t xml:space="preserve">Repayment of borrowings</t>
  </si>
  <si>
    <t xml:space="preserve">Interest paid fin</t>
  </si>
  <si>
    <t xml:space="preserve">Dividends paid</t>
  </si>
  <si>
    <t xml:space="preserve">Financial liabilities</t>
  </si>
  <si>
    <t xml:space="preserve">Other financing items</t>
  </si>
  <si>
    <t xml:space="preserve">Cash from Financial Activities</t>
  </si>
  <si>
    <t xml:space="preserve">Net Cash Flow</t>
  </si>
  <si>
    <t xml:space="preserve"> (ASIANPAINT | BSE Code: 500820)</t>
  </si>
  <si>
    <t xml:space="preserve">52 Week (High - INR 2,985.7 &amp; Low - 2115.0)</t>
  </si>
  <si>
    <t xml:space="preserve">Trend Line </t>
  </si>
  <si>
    <t xml:space="preserve">Mean</t>
  </si>
  <si>
    <t xml:space="preserve">Median</t>
  </si>
  <si>
    <t xml:space="preserve">EBITDA Growth</t>
  </si>
  <si>
    <t xml:space="preserve">EBIT Growth</t>
  </si>
  <si>
    <t xml:space="preserve">Net Profit Growth</t>
  </si>
  <si>
    <t xml:space="preserve">EBT Margin</t>
  </si>
  <si>
    <t xml:space="preserve">Sales Exp % Sales</t>
  </si>
  <si>
    <t xml:space="preserve">Depreciation % Sales</t>
  </si>
  <si>
    <t xml:space="preserve">Operating Income % Sales</t>
  </si>
  <si>
    <t xml:space="preserve">Return on Capital Employed</t>
  </si>
  <si>
    <t xml:space="preserve">Retained Earning %</t>
  </si>
  <si>
    <t xml:space="preserve">Return on Equity %</t>
  </si>
  <si>
    <t xml:space="preserve">Self Sustained Growth Rate</t>
  </si>
  <si>
    <t xml:space="preserve">Interest Coverage Ratio</t>
  </si>
  <si>
    <t xml:space="preserve">Debtor Turnover Ratio</t>
  </si>
  <si>
    <t xml:space="preserve">Creditor Turnover Ratio</t>
  </si>
  <si>
    <t xml:space="preserve">Inventory Turnover Ratio</t>
  </si>
  <si>
    <t xml:space="preserve">Fixed Asset Turnover</t>
  </si>
  <si>
    <t xml:space="preserve">Capital Turnover Ratio</t>
  </si>
  <si>
    <t xml:space="preserve">Debtor Days</t>
  </si>
  <si>
    <t xml:space="preserve">Payable Days</t>
  </si>
  <si>
    <t xml:space="preserve">Inventory Days</t>
  </si>
  <si>
    <t xml:space="preserve">Cash Conversion Cycle</t>
  </si>
  <si>
    <t xml:space="preserve">CFO/Sales</t>
  </si>
  <si>
    <t xml:space="preserve">CFO/Total Assets</t>
  </si>
  <si>
    <t xml:space="preserve">CFO/Total Debt</t>
  </si>
  <si>
    <t xml:space="preserve">Particulars</t>
  </si>
  <si>
    <t xml:space="preserve">Raw Material Cost</t>
  </si>
  <si>
    <t xml:space="preserve">Change in Inventory</t>
  </si>
  <si>
    <t xml:space="preserve">Power and Fuel</t>
  </si>
  <si>
    <t xml:space="preserve">Other Mfr. Exp</t>
  </si>
  <si>
    <t xml:space="preserve">Employee Cost</t>
  </si>
  <si>
    <t xml:space="preserve">Selling and admin</t>
  </si>
  <si>
    <t xml:space="preserve">Other Expenses</t>
  </si>
  <si>
    <t xml:space="preserve">Profit before tax</t>
  </si>
  <si>
    <t xml:space="preserve">Net profit</t>
  </si>
  <si>
    <t xml:space="preserve">Dividend Amount</t>
  </si>
  <si>
    <t xml:space="preserve">Net Block</t>
  </si>
  <si>
    <t xml:space="preserve">1. P &amp; L Drivers</t>
  </si>
  <si>
    <t xml:space="preserve">Drivers</t>
  </si>
  <si>
    <t xml:space="preserve">Sales Growth Rate (%)</t>
  </si>
  <si>
    <t xml:space="preserve">Gross Margin (%)</t>
  </si>
  <si>
    <t xml:space="preserve">S&amp;G Exp % Of Sales</t>
  </si>
  <si>
    <t xml:space="preserve">EBITDA Margin (%)</t>
  </si>
  <si>
    <t xml:space="preserve">Depreciation (Cr)</t>
  </si>
  <si>
    <t xml:space="preserve">Interest Expense (Cr)</t>
  </si>
  <si>
    <t xml:space="preserve">Effective Tax Rate(%)</t>
  </si>
  <si>
    <t xml:space="preserve">Other Income(Cr)</t>
  </si>
  <si>
    <t xml:space="preserve">2. Working Capital Drivers</t>
  </si>
  <si>
    <t xml:space="preserve"> </t>
  </si>
  <si>
    <t xml:space="preserve">Creditor Days</t>
  </si>
  <si>
    <t xml:space="preserve">3. Capex &amp; Fixed Assets</t>
  </si>
  <si>
    <t xml:space="preserve">Capex (Cr)</t>
  </si>
  <si>
    <t xml:space="preserve">Capex % of Sales</t>
  </si>
  <si>
    <t xml:space="preserve">Parameter</t>
  </si>
  <si>
    <t xml:space="preserve">Value</t>
  </si>
  <si>
    <t xml:space="preserve">Risk-Free Rate</t>
  </si>
  <si>
    <t xml:space="preserve">Beta</t>
  </si>
  <si>
    <t xml:space="preserve">Equity Risk Premium</t>
  </si>
  <si>
    <t xml:space="preserve">Cost of Equity</t>
  </si>
  <si>
    <t xml:space="preserve">Pre-Tax Cost of Debt</t>
  </si>
  <si>
    <t xml:space="preserve">Tax Rate</t>
  </si>
  <si>
    <t xml:space="preserve">After-Tax Cost of Debt</t>
  </si>
  <si>
    <t xml:space="preserve">Debt</t>
  </si>
  <si>
    <t xml:space="preserve">Equity</t>
  </si>
  <si>
    <t xml:space="preserve">WACC</t>
  </si>
  <si>
    <t xml:space="preserve">Terminal Growth Rate</t>
  </si>
  <si>
    <t xml:space="preserve">5. Balance Sheet Drivers</t>
  </si>
  <si>
    <t xml:space="preserve">Other Liabilities % of Sales</t>
  </si>
  <si>
    <t xml:space="preserve">Other Assets % of Sales</t>
  </si>
  <si>
    <t xml:space="preserve">Capital Work in Progress (Cr)</t>
  </si>
  <si>
    <t xml:space="preserve">Investments (Cr)</t>
  </si>
  <si>
    <t xml:space="preserve">Borrowings (Cr)</t>
  </si>
  <si>
    <t xml:space="preserve">6. Scenario Analysis (Base Case vs Bull Case)</t>
  </si>
  <si>
    <t xml:space="preserve">Active Scenario (type: Base Case / Bull Case)</t>
  </si>
  <si>
    <t xml:space="preserve">Base Case</t>
  </si>
  <si>
    <t xml:space="preserve">Sales Growth Rate - Base Case (%)</t>
  </si>
  <si>
    <t xml:space="preserve">Sales Growth Rate - Bull Case (%)</t>
  </si>
  <si>
    <t xml:space="preserve">COGS % of Sales - Base Case</t>
  </si>
  <si>
    <t xml:space="preserve">COGS % of Sales - Bull Case</t>
  </si>
  <si>
    <t xml:space="preserve">S&amp;G Exp % of Sales - Base Case</t>
  </si>
  <si>
    <t xml:space="preserve">S&amp;G Exp % of Sales - Bull Case</t>
  </si>
  <si>
    <t xml:space="preserve">Capex % of Sales - Base Case</t>
  </si>
  <si>
    <t xml:space="preserve">Capex (Cr) - Bull Case</t>
  </si>
  <si>
    <t xml:space="preserve">Implied EBITDA Margin - Base Case (%) [memo]</t>
  </si>
  <si>
    <t xml:space="preserve">Implied EBITDA Margin - Bull Case (%) [memo]</t>
  </si>
  <si>
    <t xml:space="preserve">Sales Growth (%)</t>
  </si>
  <si>
    <t xml:space="preserve">      </t>
  </si>
  <si>
    <t xml:space="preserve">S&amp;G Expenses</t>
  </si>
  <si>
    <t xml:space="preserve">S&amp;G % of Sales</t>
  </si>
  <si>
    <t xml:space="preserve">EBIT</t>
  </si>
  <si>
    <t xml:space="preserve">EBIT Margin (%)</t>
  </si>
  <si>
    <t xml:space="preserve">Interest Expense</t>
  </si>
  <si>
    <t xml:space="preserve">A. Cash Flow From Operations (CFO)</t>
  </si>
  <si>
    <t xml:space="preserve">Net Profit (PAT) [post-tax]</t>
  </si>
  <si>
    <t xml:space="preserve">Add: Depreciation</t>
  </si>
  <si>
    <t xml:space="preserve">Working Capital Change:</t>
  </si>
  <si>
    <t xml:space="preserve">( - ) Increase in Receivables</t>
  </si>
  <si>
    <t xml:space="preserve">( - ) Increase in Inventory</t>
  </si>
  <si>
    <t xml:space="preserve">( + ) Increase in Creditors</t>
  </si>
  <si>
    <t xml:space="preserve">( +/- ) Other Working Capital Items</t>
  </si>
  <si>
    <t xml:space="preserve">(Memo) Tax already reflected in PAT above</t>
  </si>
  <si>
    <t xml:space="preserve">B. Cash Flow From Investing (CFI)</t>
  </si>
  <si>
    <t xml:space="preserve">( - ) Capex</t>
  </si>
  <si>
    <t xml:space="preserve">( - ) Increase in Investments</t>
  </si>
  <si>
    <t xml:space="preserve">( - ) Increase in CWIP</t>
  </si>
  <si>
    <t xml:space="preserve">CFI </t>
  </si>
  <si>
    <t xml:space="preserve">C. Cash Flow From Financing (CFF)</t>
  </si>
  <si>
    <t xml:space="preserve">( - ) Dividend Paid</t>
  </si>
  <si>
    <t xml:space="preserve">(+/-) Net Borrowing Change</t>
  </si>
  <si>
    <t xml:space="preserve">CFF</t>
  </si>
  <si>
    <t xml:space="preserve">Net Change in Cash</t>
  </si>
  <si>
    <t xml:space="preserve">Opening Cash</t>
  </si>
  <si>
    <t xml:space="preserve">Closing Cash</t>
  </si>
  <si>
    <t xml:space="preserve">Regression Beta</t>
  </si>
  <si>
    <t xml:space="preserve">NIFTY 50</t>
  </si>
  <si>
    <t xml:space="preserve">Date</t>
  </si>
  <si>
    <t xml:space="preserve">Close</t>
  </si>
  <si>
    <t xml:space="preserve">5Y Monthly Return</t>
  </si>
  <si>
    <t xml:space="preserve">Beta Drifting</t>
  </si>
  <si>
    <t xml:space="preserve">Jul 3, 2026</t>
  </si>
  <si>
    <t xml:space="preserve">Jul 1, 2026</t>
  </si>
  <si>
    <t xml:space="preserve">Levered Raw Beta </t>
  </si>
  <si>
    <t xml:space="preserve">Jun 1, 2026</t>
  </si>
  <si>
    <t xml:space="preserve">Raw Beta Weight</t>
  </si>
  <si>
    <t xml:space="preserve">May 1, 2026</t>
  </si>
  <si>
    <t xml:space="preserve">Apr 1, 2026</t>
  </si>
  <si>
    <t xml:space="preserve">Market Beta</t>
  </si>
  <si>
    <t xml:space="preserve">Mar 1, 2026</t>
  </si>
  <si>
    <t xml:space="preserve">Market Beta weight</t>
  </si>
  <si>
    <t xml:space="preserve">Feb 1, 2026</t>
  </si>
  <si>
    <t xml:space="preserve">Jan 1, 2026</t>
  </si>
  <si>
    <t xml:space="preserve">Adjusted Beta</t>
  </si>
  <si>
    <t xml:space="preserve">Dec 1, 2025</t>
  </si>
  <si>
    <t xml:space="preserve">Nov 1, 2025</t>
  </si>
  <si>
    <t xml:space="preserve">SUMMARY OUTPUT</t>
  </si>
  <si>
    <t xml:space="preserve">Oct 1, 2025</t>
  </si>
  <si>
    <t xml:space="preserve">Sep 1, 2025</t>
  </si>
  <si>
    <t xml:space="preserve">Regression Statistics</t>
  </si>
  <si>
    <t xml:space="preserve">Aug 1, 2025</t>
  </si>
  <si>
    <t xml:space="preserve">Multiple R</t>
  </si>
  <si>
    <t xml:space="preserve">Jul 1, 2025</t>
  </si>
  <si>
    <t xml:space="preserve">R Square</t>
  </si>
  <si>
    <t xml:space="preserve">Jun 1, 2025</t>
  </si>
  <si>
    <t xml:space="preserve">Adjusted R Square</t>
  </si>
  <si>
    <t xml:space="preserve">May 1, 2025</t>
  </si>
  <si>
    <t xml:space="preserve">Standard Error</t>
  </si>
  <si>
    <t xml:space="preserve">Apr 1, 2025</t>
  </si>
  <si>
    <t xml:space="preserve">Observations</t>
  </si>
  <si>
    <t xml:space="preserve">Mar 1, 2025</t>
  </si>
  <si>
    <t xml:space="preserve">Feb 1, 2025</t>
  </si>
  <si>
    <t xml:space="preserve">ANOVA</t>
  </si>
  <si>
    <t xml:space="preserve">Jan 1, 2025</t>
  </si>
  <si>
    <t xml:space="preserve">df</t>
  </si>
  <si>
    <t xml:space="preserve">SS</t>
  </si>
  <si>
    <t xml:space="preserve">MS</t>
  </si>
  <si>
    <t xml:space="preserve">F</t>
  </si>
  <si>
    <t xml:space="preserve">Significance F</t>
  </si>
  <si>
    <t xml:space="preserve">Dec 1, 2024</t>
  </si>
  <si>
    <t xml:space="preserve">Regression</t>
  </si>
  <si>
    <t xml:space="preserve">Nov 1, 2024</t>
  </si>
  <si>
    <t xml:space="preserve">Residual</t>
  </si>
  <si>
    <t xml:space="preserve">Oct 1, 2024</t>
  </si>
  <si>
    <t xml:space="preserve">Total</t>
  </si>
  <si>
    <t xml:space="preserve">Sep 1, 2024</t>
  </si>
  <si>
    <t xml:space="preserve">Aug 1, 2024</t>
  </si>
  <si>
    <t xml:space="preserve">Coefficients</t>
  </si>
  <si>
    <t xml:space="preserve">t Stat</t>
  </si>
  <si>
    <t xml:space="preserve">P-value</t>
  </si>
  <si>
    <t xml:space="preserve">Lower 95%</t>
  </si>
  <si>
    <t xml:space="preserve">Upper 95%</t>
  </si>
  <si>
    <t xml:space="preserve">Lower 95.0%</t>
  </si>
  <si>
    <t xml:space="preserve">Upper 95.0%</t>
  </si>
  <si>
    <t xml:space="preserve">Jul 1, 2024</t>
  </si>
  <si>
    <t xml:space="preserve">Intercept</t>
  </si>
  <si>
    <t xml:space="preserve">Jun 1, 2024</t>
  </si>
  <si>
    <t xml:space="preserve">X Variable 1</t>
  </si>
  <si>
    <t xml:space="preserve">May 1, 2024</t>
  </si>
  <si>
    <t xml:space="preserve">Apr 1, 2024</t>
  </si>
  <si>
    <t xml:space="preserve">Mar 1, 2024</t>
  </si>
  <si>
    <t xml:space="preserve">Feb 1, 2024</t>
  </si>
  <si>
    <t xml:space="preserve">Jan 1, 2024</t>
  </si>
  <si>
    <t xml:space="preserve">Dec 1, 2023</t>
  </si>
  <si>
    <t xml:space="preserve">Nov 1, 2023</t>
  </si>
  <si>
    <t xml:space="preserve">Oct 1, 2023</t>
  </si>
  <si>
    <t xml:space="preserve">Sep 1, 2023</t>
  </si>
  <si>
    <t xml:space="preserve">Aug 1, 2023</t>
  </si>
  <si>
    <t xml:space="preserve">Jul 1, 2023</t>
  </si>
  <si>
    <t xml:space="preserve">Jun 1, 2023</t>
  </si>
  <si>
    <t xml:space="preserve">May 1, 2023</t>
  </si>
  <si>
    <t xml:space="preserve">Apr 1, 2023</t>
  </si>
  <si>
    <t xml:space="preserve">Mar 1, 2023</t>
  </si>
  <si>
    <t xml:space="preserve">Feb 1, 2023</t>
  </si>
  <si>
    <t xml:space="preserve">Jan 1, 2023</t>
  </si>
  <si>
    <t xml:space="preserve">Dec 1, 2022</t>
  </si>
  <si>
    <t xml:space="preserve">Nov 1, 2022</t>
  </si>
  <si>
    <t xml:space="preserve">Oct 1, 2022</t>
  </si>
  <si>
    <t xml:space="preserve">Sep 1, 2022</t>
  </si>
  <si>
    <t xml:space="preserve">Aug 1, 2022</t>
  </si>
  <si>
    <t xml:space="preserve">Jul 1, 2022</t>
  </si>
  <si>
    <t xml:space="preserve">Jun 1, 2022</t>
  </si>
  <si>
    <t xml:space="preserve">May 1, 2022</t>
  </si>
  <si>
    <t xml:space="preserve">Apr 1, 2022</t>
  </si>
  <si>
    <t xml:space="preserve">Mar 1, 2022</t>
  </si>
  <si>
    <t xml:space="preserve">Feb 1, 2022</t>
  </si>
  <si>
    <t xml:space="preserve">Jan 1, 2022</t>
  </si>
  <si>
    <t xml:space="preserve">Dec 1, 2021</t>
  </si>
  <si>
    <t xml:space="preserve">Nov 1, 2021</t>
  </si>
  <si>
    <t xml:space="preserve">Oct 1, 2021</t>
  </si>
  <si>
    <t xml:space="preserve">Sep 1, 2021</t>
  </si>
  <si>
    <t xml:space="preserve">Aug 1, 2021</t>
  </si>
  <si>
    <t xml:space="preserve">Year</t>
  </si>
  <si>
    <t xml:space="preserve">Annual</t>
  </si>
  <si>
    <t xml:space="preserve">Average Return</t>
  </si>
  <si>
    <t xml:space="preserve">Dividend Yield</t>
  </si>
  <si>
    <t xml:space="preserve">1.30%1</t>
  </si>
  <si>
    <t xml:space="preserve">Total Market Return</t>
  </si>
  <si>
    <t xml:space="preserve">Geometric Mean</t>
  </si>
  <si>
    <t xml:space="preserve">Calculation of Weighted Average Cost of Capital</t>
  </si>
  <si>
    <t xml:space="preserve">All figures are in INR unless Stated otherwise</t>
  </si>
  <si>
    <t xml:space="preserve">Peer Comps</t>
  </si>
  <si>
    <t xml:space="preserve">Debt/</t>
  </si>
  <si>
    <t xml:space="preserve">Levered</t>
  </si>
  <si>
    <t xml:space="preserve">Unlevered</t>
  </si>
  <si>
    <t xml:space="preserve">Company Name</t>
  </si>
  <si>
    <t xml:space="preserve">Country</t>
  </si>
  <si>
    <t xml:space="preserve">Total Debt</t>
  </si>
  <si>
    <t xml:space="preserve">Total Equity</t>
  </si>
  <si>
    <t xml:space="preserve">Tax Rate1</t>
  </si>
  <si>
    <t xml:space="preserve">Capital</t>
  </si>
  <si>
    <t xml:space="preserve">Beta2</t>
  </si>
  <si>
    <t xml:space="preserve">Beta3</t>
  </si>
  <si>
    <t xml:space="preserve">Asian Paints</t>
  </si>
  <si>
    <t xml:space="preserve">India</t>
  </si>
  <si>
    <t xml:space="preserve">Berger Paints</t>
  </si>
  <si>
    <t xml:space="preserve">Kansai Nerolac</t>
  </si>
  <si>
    <t xml:space="preserve">Indigo Paints</t>
  </si>
  <si>
    <t xml:space="preserve">Average</t>
  </si>
  <si>
    <t xml:space="preserve">Cost of Debt</t>
  </si>
  <si>
    <t xml:space="preserve">Risk Free Rate</t>
  </si>
  <si>
    <t xml:space="preserve">Post-Tax Cost of Debt</t>
  </si>
  <si>
    <t xml:space="preserve">Levered Beta4</t>
  </si>
  <si>
    <t xml:space="preserve">Cost Structure</t>
  </si>
  <si>
    <t xml:space="preserve">Levered Beta</t>
  </si>
  <si>
    <t xml:space="preserve">Current</t>
  </si>
  <si>
    <t xml:space="preserve">Target</t>
  </si>
  <si>
    <t xml:space="preserve">Comps Median Unlevered Beta</t>
  </si>
  <si>
    <t xml:space="preserve">Target Debt/Equity</t>
  </si>
  <si>
    <t xml:space="preserve">Total Capital</t>
  </si>
  <si>
    <t xml:space="preserve">Debt/Equity</t>
  </si>
  <si>
    <t xml:space="preserve">Weighted Average Cost of Capital</t>
  </si>
  <si>
    <t xml:space="preserve">1. Tax Rate considered as Marginal Tax Rate for the Country</t>
  </si>
  <si>
    <t xml:space="preserve">Equity Weight</t>
  </si>
  <si>
    <t xml:space="preserve">2. Levered Beta is based on 5 year monthly Data</t>
  </si>
  <si>
    <t xml:space="preserve">3. Unlevered Beta = Levered Beta/(1+(1-Tax Rate)*Debt/Equity</t>
  </si>
  <si>
    <t xml:space="preserve">4. Levered Beta = Unlevered Beta*(1+(1-Tax Rate)*Debt/Equity</t>
  </si>
  <si>
    <t xml:space="preserve">Debt Weight</t>
  </si>
  <si>
    <t xml:space="preserve">Calculation of ROIC</t>
  </si>
  <si>
    <t xml:space="preserve">Current Assets</t>
  </si>
  <si>
    <t xml:space="preserve">Current Liabilities</t>
  </si>
  <si>
    <t xml:space="preserve">Total Current Liabilties</t>
  </si>
  <si>
    <t xml:space="preserve">Net Working Capital</t>
  </si>
  <si>
    <t xml:space="preserve">Non Current Assets</t>
  </si>
  <si>
    <t xml:space="preserve">Invested Capital</t>
  </si>
  <si>
    <t xml:space="preserve">NOPAT EBIT(1-T)</t>
  </si>
  <si>
    <t xml:space="preserve">ROIC</t>
  </si>
  <si>
    <t xml:space="preserve">Calculation of Reinvested Capital</t>
  </si>
  <si>
    <t xml:space="preserve">Net Capex</t>
  </si>
  <si>
    <t xml:space="preserve">Change in Working Capital</t>
  </si>
  <si>
    <t xml:space="preserve">Marginal Tax Rate</t>
  </si>
  <si>
    <t xml:space="preserve">EBIT(1-T)</t>
  </si>
  <si>
    <t xml:space="preserve">Reinvestment</t>
  </si>
  <si>
    <t xml:space="preserve">Reinvestment Rate</t>
  </si>
  <si>
    <t xml:space="preserve">4 Years Average</t>
  </si>
  <si>
    <t xml:space="preserve">4Years Median</t>
  </si>
  <si>
    <t xml:space="preserve">Calculation of Growth Rate</t>
  </si>
  <si>
    <t xml:space="preserve">Intrinsic Growth Rate</t>
  </si>
  <si>
    <t xml:space="preserve">Calculation of PV of FCFF</t>
  </si>
  <si>
    <t xml:space="preserve">Less: Reinvestment Rate</t>
  </si>
  <si>
    <t xml:space="preserve">Free Cash Flow to Firm</t>
  </si>
  <si>
    <t xml:space="preserve">Mid Year Covention</t>
  </si>
  <si>
    <t xml:space="preserve">Discounting Factor</t>
  </si>
  <si>
    <t xml:space="preserve">PV of FCFF</t>
  </si>
  <si>
    <t xml:space="preserve">Expected Growth</t>
  </si>
  <si>
    <t xml:space="preserve">Terminal Growth</t>
  </si>
  <si>
    <t xml:space="preserve">Calculation of Terminal Value</t>
  </si>
  <si>
    <t xml:space="preserve">Scenerio Analysis</t>
  </si>
  <si>
    <t xml:space="preserve">FCFF(n+1)</t>
  </si>
  <si>
    <t xml:space="preserve">Terminal Value</t>
  </si>
  <si>
    <t xml:space="preserve">Growth Rate</t>
  </si>
  <si>
    <t xml:space="preserve">Calculation of Equity Value</t>
  </si>
  <si>
    <t xml:space="preserve">PV of Terminal Value</t>
  </si>
  <si>
    <t xml:space="preserve">Value of Operating Assets</t>
  </si>
  <si>
    <t xml:space="preserve">Add: Cash</t>
  </si>
  <si>
    <t xml:space="preserve">Less: Debt</t>
  </si>
  <si>
    <t xml:space="preserve">Value of Equity</t>
  </si>
  <si>
    <t xml:space="preserve">No of Shares</t>
  </si>
  <si>
    <t xml:space="preserve">Equity Value per Shares</t>
  </si>
  <si>
    <t xml:space="preserve">Discount/Premium</t>
  </si>
  <si>
    <t xml:space="preserve">Market Data</t>
  </si>
  <si>
    <t xml:space="preserve">Financials</t>
  </si>
  <si>
    <t xml:space="preserve">Valuation</t>
  </si>
  <si>
    <t xml:space="preserve">Share</t>
  </si>
  <si>
    <t xml:space="preserve">Shares</t>
  </si>
  <si>
    <t xml:space="preserve">Enterprise</t>
  </si>
  <si>
    <t xml:space="preserve">Company</t>
  </si>
  <si>
    <t xml:space="preserve">Ticker</t>
  </si>
  <si>
    <t xml:space="preserve">Price</t>
  </si>
  <si>
    <t xml:space="preserve">Outstanding</t>
  </si>
  <si>
    <t xml:space="preserve">Net Debt</t>
  </si>
  <si>
    <t xml:space="preserve">Revenue</t>
  </si>
  <si>
    <t xml:space="preserve">Net Income</t>
  </si>
  <si>
    <t xml:space="preserve">EV/Revenue</t>
  </si>
  <si>
    <t xml:space="preserve">P/E</t>
  </si>
  <si>
    <t xml:space="preserve">JSW Dulux</t>
  </si>
  <si>
    <t xml:space="preserve">Sirca Paints</t>
  </si>
  <si>
    <t xml:space="preserve">Shalimar Paints</t>
  </si>
  <si>
    <t xml:space="preserve">High</t>
  </si>
  <si>
    <t xml:space="preserve">75th Percentile</t>
  </si>
  <si>
    <t xml:space="preserve">25th Percentile</t>
  </si>
  <si>
    <t xml:space="preserve">Low</t>
  </si>
  <si>
    <t xml:space="preserve">Asian Paints Valuation</t>
  </si>
  <si>
    <t xml:space="preserve">Implied Enterprise Value</t>
  </si>
  <si>
    <t xml:space="preserve">New Debt</t>
  </si>
  <si>
    <t xml:space="preserve">Implied Market Value</t>
  </si>
  <si>
    <t xml:space="preserve">Shares Outstanding</t>
  </si>
  <si>
    <t xml:space="preserve">Implied Value Per Share</t>
  </si>
  <si>
    <t xml:space="preserve">OpenLow</t>
  </si>
  <si>
    <t xml:space="preserve">OpenHigh</t>
  </si>
  <si>
    <t xml:space="preserve">Comps</t>
  </si>
  <si>
    <t xml:space="preserve">DCF Bear</t>
  </si>
  <si>
    <t xml:space="preserve">DCF Base</t>
  </si>
  <si>
    <t xml:space="preserve">DCF Bull</t>
  </si>
  <si>
    <t xml:space="preserve">52W H/L</t>
  </si>
  <si>
    <t xml:space="preserve">Adj Close</t>
  </si>
  <si>
    <t xml:space="preserve">Return</t>
  </si>
  <si>
    <t xml:space="preserve">Sorted Return</t>
  </si>
  <si>
    <t xml:space="preserve">Standard Deviation</t>
  </si>
  <si>
    <t xml:space="preserve">Max</t>
  </si>
  <si>
    <t xml:space="preserve">Min</t>
  </si>
  <si>
    <t xml:space="preserve">CMP</t>
  </si>
  <si>
    <t xml:space="preserve">Percentile</t>
  </si>
  <si>
    <t xml:space="preserve">Confidence</t>
  </si>
  <si>
    <t xml:space="preserve">VAR%</t>
  </si>
  <si>
    <t xml:space="preserve">Stock Price</t>
  </si>
  <si>
    <t xml:space="preserve">VAR(INR)</t>
  </si>
  <si>
    <t xml:space="preserve">Replication</t>
  </si>
  <si>
    <t xml:space="preserve">Simulated Return</t>
  </si>
  <si>
    <t xml:space="preserve">About The Company</t>
  </si>
  <si>
    <t xml:space="preserve">Asian Paints Ltd is an Indian multinational paint company, headquartered in Mumbai.  The company is engaged in the business of manufacturing, selling and distribution of paints, coatings, products related to home décor, bath fittings and providing related services. Asian Paints is India's largest paints company by market share. The company has 27 paint manufacturing facilities in 15 countries, servicing consumers in over 60 countries. Asian Paints is also present in the home improvement and décor space in India.</t>
  </si>
  <si>
    <t xml:space="preserve">Financial Summary</t>
  </si>
  <si>
    <t xml:space="preserve">DUPONT Analysis - Return on Equity &amp; Return on Assets</t>
  </si>
  <si>
    <t xml:space="preserve">Return on Equity (ROE)</t>
  </si>
  <si>
    <t xml:space="preserve">Average Shareholders Equity</t>
  </si>
  <si>
    <t xml:space="preserve">ROE - DUPONT Equation</t>
  </si>
  <si>
    <t xml:space="preserve">Net Profit Margin (A)</t>
  </si>
  <si>
    <t xml:space="preserve">Average Total Assets</t>
  </si>
  <si>
    <t xml:space="preserve">Asset Turnover Ratio (B)</t>
  </si>
  <si>
    <t xml:space="preserve">Equity Multiplier (C) </t>
  </si>
  <si>
    <t xml:space="preserve">Return on Equity (A*B*C)</t>
  </si>
  <si>
    <t xml:space="preserve">Return on Assets (ROA)</t>
  </si>
  <si>
    <t xml:space="preserve">ROA - DUPONT Equation</t>
  </si>
  <si>
    <t xml:space="preserve">Return on Assets (A*B)</t>
  </si>
  <si>
    <t xml:space="preserve">Altman's Z Score Analysis Calculation</t>
  </si>
  <si>
    <t xml:space="preserve">Working Capital/Total Assets</t>
  </si>
  <si>
    <t xml:space="preserve">Working Capital</t>
  </si>
  <si>
    <t xml:space="preserve">Working Capital/Total Assets (A)</t>
  </si>
  <si>
    <t xml:space="preserve">Retained Earnings/Total Assets</t>
  </si>
  <si>
    <t xml:space="preserve">Retained Earnings/Total Assets (B)</t>
  </si>
  <si>
    <t xml:space="preserve">EBIT/Total Assets</t>
  </si>
  <si>
    <t xml:space="preserve">EBIT/Total Assets (C)</t>
  </si>
  <si>
    <t xml:space="preserve">Market Cap./Long Term Liabilities</t>
  </si>
  <si>
    <t xml:space="preserve">Market Capitalization (In Crs)</t>
  </si>
  <si>
    <t xml:space="preserve">Market Cap./Total Liab. (D)</t>
  </si>
  <si>
    <t xml:space="preserve">Sales/Total Assets</t>
  </si>
  <si>
    <t xml:space="preserve">Sales/Total Assets (E)</t>
  </si>
  <si>
    <t xml:space="preserve">Altman's Z Score</t>
  </si>
  <si>
    <t xml:space="preserve">Final Score</t>
  </si>
  <si>
    <t xml:space="preserve">Financial Stability</t>
  </si>
  <si>
    <t xml:space="preserve">Company Description</t>
  </si>
  <si>
    <t xml:space="preserve">Asian Paints Ltd is an Indian multinational paint company, headquartered in Mumbai. The company is engaged in the business of manufacturing, selling and distribution of paints, coatings, products related to home décor, bath fittings and providing related services.</t>
  </si>
  <si>
    <t xml:space="preserve">COMPANY NAME</t>
  </si>
  <si>
    <t xml:space="preserve">LATEST VERSION</t>
  </si>
  <si>
    <t xml:space="preserve">PLEASE DO NOT MAKE ANY CHANGES TO THIS SHEET</t>
  </si>
  <si>
    <t xml:space="preserve">CURRENT VERSION</t>
  </si>
  <si>
    <t xml:space="preserve">META</t>
  </si>
  <si>
    <t xml:space="preserve">Number of shares</t>
  </si>
  <si>
    <t xml:space="preserve">Face Value</t>
  </si>
  <si>
    <t xml:space="preserve">Current Price</t>
  </si>
  <si>
    <t xml:space="preserve">PROFIT &amp; LOSS</t>
  </si>
  <si>
    <t xml:space="preserve">Report Date</t>
  </si>
  <si>
    <t xml:space="preserve">Quarters</t>
  </si>
  <si>
    <t xml:space="preserve">Expenses</t>
  </si>
  <si>
    <t xml:space="preserve">Operating Profit</t>
  </si>
  <si>
    <t xml:space="preserve">BALANCE SHEET</t>
  </si>
  <si>
    <t xml:space="preserve">No. of Equity Shares</t>
  </si>
  <si>
    <t xml:space="preserve">New Bonus Shares</t>
  </si>
  <si>
    <t xml:space="preserve">Face value</t>
  </si>
  <si>
    <t xml:space="preserve">CASH FLOW:</t>
  </si>
  <si>
    <t xml:space="preserve">Cash from Investing Activity</t>
  </si>
  <si>
    <t xml:space="preserve">Cash from Financing Activity</t>
  </si>
  <si>
    <t xml:space="preserve">PRICE:</t>
  </si>
  <si>
    <t xml:space="preserve">DERIVED:</t>
  </si>
  <si>
    <t xml:space="preserve">Adjusted Equity Shares in Cr</t>
  </si>
  <si>
    <t xml:space="preserve">Market Price per Share</t>
  </si>
  <si>
    <t xml:space="preserve">Enterprise Value(EV)</t>
  </si>
  <si>
    <t xml:space="preserve">Book Value</t>
  </si>
  <si>
    <t xml:space="preserve">Price to book (P/B)</t>
  </si>
  <si>
    <t xml:space="preserve">Cash from Operating Activity -</t>
  </si>
  <si>
    <t xml:space="preserve">Cash from Investing Activity -</t>
  </si>
  <si>
    <t xml:space="preserve">Cash from Financing Activity -</t>
  </si>
  <si>
    <t xml:space="preserve">Equity Capital</t>
  </si>
  <si>
    <t xml:space="preserve">Borrowings -</t>
  </si>
  <si>
    <t xml:space="preserve">Long term Borrowings</t>
  </si>
  <si>
    <t xml:space="preserve">Short term Borrowings</t>
  </si>
  <si>
    <t xml:space="preserve">Lease Liabilities</t>
  </si>
  <si>
    <t xml:space="preserve">Other Borrowings</t>
  </si>
  <si>
    <t xml:space="preserve">Other Liabilities -</t>
  </si>
  <si>
    <t xml:space="preserve">Non controlling int</t>
  </si>
  <si>
    <t xml:space="preserve">Advance from Customers</t>
  </si>
  <si>
    <t xml:space="preserve">Other liability items</t>
  </si>
  <si>
    <t xml:space="preserve">Fixed Assets -</t>
  </si>
  <si>
    <t xml:space="preserve">Land</t>
  </si>
  <si>
    <t xml:space="preserve">Building</t>
  </si>
  <si>
    <t xml:space="preserve">Plant Machinery</t>
  </si>
  <si>
    <t xml:space="preserve">Equipments</t>
  </si>
  <si>
    <t xml:space="preserve">Furniture n fittings</t>
  </si>
  <si>
    <t xml:space="preserve">Vehicles</t>
  </si>
  <si>
    <t xml:space="preserve">Intangible Assets</t>
  </si>
  <si>
    <t xml:space="preserve">Other fixed assets</t>
  </si>
  <si>
    <t xml:space="preserve">Gross Block</t>
  </si>
  <si>
    <t xml:space="preserve">Accumulated Depreciation</t>
  </si>
  <si>
    <t xml:space="preserve">CWIP</t>
  </si>
  <si>
    <t xml:space="preserve">Other Assets -</t>
  </si>
  <si>
    <t xml:space="preserve">Inventories</t>
  </si>
  <si>
    <t xml:space="preserve">Trade receivables</t>
  </si>
  <si>
    <t xml:space="preserve">Cash Equivalents</t>
  </si>
  <si>
    <t xml:space="preserve">Loans n Advances</t>
  </si>
  <si>
    <t xml:space="preserve">Other asset items</t>
  </si>
  <si>
    <t xml:space="preserve">Free Cash Flow</t>
  </si>
  <si>
    <t xml:space="preserve">CFO/OP</t>
  </si>
  <si>
    <t xml:space="preserve">S.No.</t>
  </si>
  <si>
    <t xml:space="preserve">Name</t>
  </si>
  <si>
    <t xml:space="preserve">Mar Cap Rs.Cr.</t>
  </si>
  <si>
    <t xml:space="preserve">Debt Rs.Cr.</t>
  </si>
  <si>
    <t xml:space="preserve">asian paints</t>
  </si>
  <si>
    <t xml:space="preserve">nifty 50</t>
  </si>
  <si>
    <t xml:space="preserve">berger paints</t>
  </si>
  <si>
    <t xml:space="preserve">narolac</t>
  </si>
  <si>
    <t xml:space="preserve">indigo</t>
  </si>
  <si>
    <t xml:space="preserve">Nifty 50 returns</t>
  </si>
  <si>
    <t xml:space="preserve">Shareholder's name</t>
  </si>
  <si>
    <t xml:space="preserve">N. Shares (In Cr)</t>
  </si>
  <si>
    <t xml:space="preserve">(%) Holding</t>
  </si>
  <si>
    <t xml:space="preserve">Quarter Ending</t>
  </si>
  <si>
    <t xml:space="preserve">Volume</t>
  </si>
  <si>
    <t xml:space="preserve">Life Insurance Corporation of India</t>
  </si>
  <si>
    <t xml:space="preserve">Sattva Holding and Trading Private Limited</t>
  </si>
  <si>
    <t xml:space="preserve">Smiti Holding and Trading Company Private Limited</t>
  </si>
  <si>
    <t xml:space="preserve">SBI Mutual Fund</t>
  </si>
  <si>
    <t xml:space="preserve">Geetanjali Trading and Investments Private Limited</t>
  </si>
  <si>
    <t xml:space="preserve">Elcid Investments Limited</t>
  </si>
  <si>
    <t xml:space="preserve">Shubhit Holdings Private Limited</t>
  </si>
  <si>
    <t xml:space="preserve">ICICI Prudential Mutual Fund</t>
  </si>
  <si>
    <t xml:space="preserve">Sudhanva Investments and Trading Company Private Limited</t>
  </si>
  <si>
    <t xml:space="preserve">Rupen Investment &amp; Industries Private Limited</t>
  </si>
  <si>
    <t xml:space="preserve">Promoters </t>
  </si>
  <si>
    <t xml:space="preserve">FIIs </t>
  </si>
  <si>
    <t xml:space="preserve">DIIs </t>
  </si>
  <si>
    <t xml:space="preserve">Public &amp; Govt.</t>
  </si>
  <si>
    <t xml:space="preserve">CMP Rs.</t>
  </si>
  <si>
    <t xml:space="preserve">No. Eq. Shares Cr.</t>
  </si>
  <si>
    <t xml:space="preserve">Cash End Rs.Cr.</t>
  </si>
  <si>
    <t xml:space="preserve">EV Rs.Cr.</t>
  </si>
  <si>
    <t xml:space="preserve">Sales Rs.Cr.</t>
  </si>
  <si>
    <t xml:space="preserve">EV / EBITDA</t>
  </si>
  <si>
    <t xml:space="preserve">NP 12M Rs.Cr.</t>
  </si>
  <si>
    <t xml:space="preserve">EBIDT Ann Rs.Cr.</t>
  </si>
  <si>
    <t xml:space="preserve">Month</t>
  </si>
  <si>
    <t xml:space="preserve">Open</t>
  </si>
  <si>
    <t xml:space="preserve">Change</t>
  </si>
  <si>
    <t xml:space="preserve">?2648.00</t>
  </si>
  <si>
    <t xml:space="preserve">?2759.90</t>
  </si>
  <si>
    <t xml:space="preserve">?2624.00</t>
  </si>
  <si>
    <t xml:space="preserve">?2744.50</t>
  </si>
  <si>
    <t xml:space="preserve">?2732.60</t>
  </si>
  <si>
    <t xml:space="preserve">?2808.33</t>
  </si>
  <si>
    <t xml:space="preserve">?2602.12</t>
  </si>
  <si>
    <t xml:space="preserve">?2635.70</t>
  </si>
  <si>
    <t xml:space="preserve">?2460.00</t>
  </si>
  <si>
    <t xml:space="preserve">?2748.20</t>
  </si>
  <si>
    <t xml:space="preserve">?2415.00</t>
  </si>
  <si>
    <t xml:space="preserve">?2671.60</t>
  </si>
  <si>
    <t xml:space="preserve">?2224.80</t>
  </si>
  <si>
    <t xml:space="preserve">?2582.00</t>
  </si>
  <si>
    <t xml:space="preserve">?2142.40</t>
  </si>
  <si>
    <t xml:space="preserve">?2444.50</t>
  </si>
  <si>
    <t xml:space="preserve">?2300.00</t>
  </si>
  <si>
    <t xml:space="preserve">?2337.90</t>
  </si>
  <si>
    <t xml:space="preserve">?2115.00</t>
  </si>
  <si>
    <t xml:space="preserve">?2165.20</t>
  </si>
  <si>
    <t xml:space="preserve">?2374.90</t>
  </si>
  <si>
    <t xml:space="preserve">?2525.00</t>
  </si>
  <si>
    <t xml:space="preserve">?2356.80</t>
  </si>
  <si>
    <t xml:space="preserve">?2376.20</t>
  </si>
  <si>
    <t xml:space="preserve">?2775.90</t>
  </si>
  <si>
    <t xml:space="preserve">?2914.50</t>
  </si>
  <si>
    <t xml:space="preserve">?2400.50</t>
  </si>
  <si>
    <t xml:space="preserve">?2428.30</t>
  </si>
  <si>
    <t xml:space="preserve">?2877.70</t>
  </si>
  <si>
    <t xml:space="preserve">?2985.70</t>
  </si>
  <si>
    <t xml:space="preserve">?2735.00</t>
  </si>
  <si>
    <t xml:space="preserve">?2769.50</t>
  </si>
  <si>
    <t xml:space="preserve">?2496.20</t>
  </si>
  <si>
    <t xml:space="preserve">?2926.90</t>
  </si>
  <si>
    <t xml:space="preserve">?2479.70</t>
  </si>
  <si>
    <t xml:space="preserve">?2874.40</t>
  </si>
  <si>
    <t xml:space="preserve">?2353.40</t>
  </si>
  <si>
    <t xml:space="preserve">?2550.80</t>
  </si>
  <si>
    <t xml:space="preserve">?2308.00</t>
  </si>
  <si>
    <t xml:space="preserve">?2510.80</t>
  </si>
  <si>
    <t xml:space="preserve">?2518.00</t>
  </si>
  <si>
    <t xml:space="preserve">?2602.00</t>
  </si>
  <si>
    <t xml:space="preserve">?2329.20</t>
  </si>
  <si>
    <t xml:space="preserve">?2350.00</t>
  </si>
  <si>
    <t xml:space="preserve">?2378.00</t>
  </si>
  <si>
    <t xml:space="preserve">?2595.00</t>
  </si>
  <si>
    <t xml:space="preserve">?2518.60</t>
  </si>
</sst>
</file>

<file path=xl/styles.xml><?xml version="1.0" encoding="utf-8"?>
<styleSheet xmlns="http://schemas.openxmlformats.org/spreadsheetml/2006/main">
  <numFmts count="33">
    <numFmt numFmtId="164" formatCode="General"/>
    <numFmt numFmtId="165" formatCode="mmm\-yy"/>
    <numFmt numFmtId="166" formatCode="0.0"/>
    <numFmt numFmtId="167" formatCode="0.00%"/>
    <numFmt numFmtId="168" formatCode="&quot;₹ &quot;#,##0.0;&quot;₹ (&quot;#,##0.0\);\-"/>
    <numFmt numFmtId="169" formatCode="0.00\x"/>
    <numFmt numFmtId="170" formatCode="#,##0"/>
    <numFmt numFmtId="171" formatCode="0%"/>
    <numFmt numFmtId="172" formatCode="0\x"/>
    <numFmt numFmtId="173" formatCode="_ * #,##0.00_ ;_ * \-#,##0.00_ ;_ * \-??_ ;_ @_ "/>
    <numFmt numFmtId="174" formatCode="#,##0.0;\(#,##0.0\)"/>
    <numFmt numFmtId="175" formatCode="0\M"/>
    <numFmt numFmtId="176" formatCode="_(* #,##0.00_);_(* \(#,##0.00\);_(* \-??_);_(@_)"/>
    <numFmt numFmtId="177" formatCode="0&quot; days &quot;"/>
    <numFmt numFmtId="178" formatCode="_ * #,##0.00_ ;_ * \-#,##0.00_ ;_ * \-??_ ;_ @_ "/>
    <numFmt numFmtId="179" formatCode="mmm/yy\A"/>
    <numFmt numFmtId="180" formatCode="yyyy\A"/>
    <numFmt numFmtId="181" formatCode="yyyy\F"/>
    <numFmt numFmtId="182" formatCode="m/d/yyyy"/>
    <numFmt numFmtId="183" formatCode="0"/>
    <numFmt numFmtId="184" formatCode="General"/>
    <numFmt numFmtId="185" formatCode="&quot;₹ &quot;#,##0.00"/>
    <numFmt numFmtId="186" formatCode="0.00"/>
    <numFmt numFmtId="187" formatCode="0.000"/>
    <numFmt numFmtId="188" formatCode="&quot;₹ &quot;#,##0.00"/>
    <numFmt numFmtId="189" formatCode="&quot;₹ &quot;#,##0.0"/>
    <numFmt numFmtId="190" formatCode="0.00\x"/>
    <numFmt numFmtId="191" formatCode="#,##0.00"/>
    <numFmt numFmtId="192" formatCode="#,##0.0"/>
    <numFmt numFmtId="193" formatCode="0.00000"/>
    <numFmt numFmtId="194" formatCode="mmm/yyyy"/>
    <numFmt numFmtId="195" formatCode="[$-409]mmm\-yy;@"/>
    <numFmt numFmtId="196" formatCode="[$-4009]dd/mm/yyyy;@"/>
  </numFmts>
  <fonts count="45">
    <font>
      <sz val="11"/>
      <color theme="1"/>
      <name val="Calibri"/>
      <family val="2"/>
      <charset val="1"/>
    </font>
    <font>
      <sz val="10"/>
      <name val="Arial"/>
      <family val="0"/>
    </font>
    <font>
      <sz val="10"/>
      <name val="Arial"/>
      <family val="0"/>
    </font>
    <font>
      <sz val="10"/>
      <name val="Arial"/>
      <family val="0"/>
    </font>
    <font>
      <b val="true"/>
      <sz val="16"/>
      <color theme="1"/>
      <name val="Calibri"/>
      <family val="2"/>
      <charset val="1"/>
    </font>
    <font>
      <b val="true"/>
      <sz val="36"/>
      <color theme="1"/>
      <name val="Calibri"/>
      <family val="2"/>
      <charset val="1"/>
    </font>
    <font>
      <b val="true"/>
      <sz val="36"/>
      <color theme="0"/>
      <name val="Calibri"/>
      <family val="2"/>
      <charset val="1"/>
    </font>
    <font>
      <b val="true"/>
      <sz val="14"/>
      <color theme="0"/>
      <name val="Calibri"/>
      <family val="2"/>
      <charset val="1"/>
    </font>
    <font>
      <sz val="22"/>
      <color theme="1"/>
      <name val="Calibri"/>
      <family val="2"/>
      <charset val="1"/>
    </font>
    <font>
      <sz val="18"/>
      <color theme="1"/>
      <name val="Calibri"/>
      <family val="2"/>
      <charset val="1"/>
    </font>
    <font>
      <b val="true"/>
      <sz val="22"/>
      <color rgb="FFEC6A14"/>
      <name val="Calibri"/>
      <family val="2"/>
      <charset val="1"/>
    </font>
    <font>
      <sz val="11"/>
      <color theme="0" tint="-0.35"/>
      <name val="Calibri"/>
      <family val="2"/>
      <charset val="1"/>
    </font>
    <font>
      <sz val="14"/>
      <color theme="1"/>
      <name val="Calibri"/>
      <family val="2"/>
      <charset val="1"/>
    </font>
    <font>
      <b val="true"/>
      <sz val="12"/>
      <color theme="0"/>
      <name val="Calibri"/>
      <family val="2"/>
      <charset val="1"/>
    </font>
    <font>
      <b val="true"/>
      <sz val="11"/>
      <color theme="0"/>
      <name val="Calibri"/>
      <family val="2"/>
      <charset val="1"/>
    </font>
    <font>
      <b val="true"/>
      <sz val="11"/>
      <color theme="1"/>
      <name val="Calibri"/>
      <family val="2"/>
      <charset val="1"/>
    </font>
    <font>
      <sz val="9"/>
      <color rgb="FF595959"/>
      <name val="Calibri"/>
      <family val="2"/>
    </font>
    <font>
      <b val="true"/>
      <sz val="9"/>
      <color rgb="FFFFFFFF"/>
      <name val="Calibri"/>
      <family val="2"/>
    </font>
    <font>
      <sz val="10"/>
      <color rgb="FF000000"/>
      <name val="Calibri"/>
      <family val="2"/>
    </font>
    <font>
      <i val="true"/>
      <sz val="11"/>
      <color theme="2" tint="-0.5"/>
      <name val="Calibri"/>
      <family val="2"/>
      <charset val="1"/>
    </font>
    <font>
      <sz val="11"/>
      <color rgb="FFEC6A14"/>
      <name val="Calibri"/>
      <family val="2"/>
      <charset val="1"/>
    </font>
    <font>
      <b val="true"/>
      <sz val="36"/>
      <color rgb="FFEC6A14"/>
      <name val="Calibri"/>
      <family val="2"/>
      <charset val="1"/>
    </font>
    <font>
      <b val="true"/>
      <sz val="16"/>
      <color rgb="FFEC6A14"/>
      <name val="Calibri"/>
      <family val="2"/>
      <charset val="1"/>
    </font>
    <font>
      <b val="true"/>
      <sz val="11"/>
      <color theme="0" tint="-0.05"/>
      <name val="Calibri"/>
      <family val="2"/>
      <charset val="1"/>
    </font>
    <font>
      <sz val="11"/>
      <color rgb="FF3333FF"/>
      <name val="Calibri"/>
      <family val="2"/>
      <charset val="1"/>
    </font>
    <font>
      <b val="true"/>
      <sz val="11"/>
      <color rgb="FF3333FF"/>
      <name val="Calibri"/>
      <family val="0"/>
      <charset val="1"/>
    </font>
    <font>
      <sz val="10"/>
      <name val="Arial"/>
      <family val="2"/>
    </font>
    <font>
      <b val="true"/>
      <sz val="12"/>
      <color theme="0" tint="-0.05"/>
      <name val="Calibri"/>
      <family val="2"/>
      <charset val="1"/>
    </font>
    <font>
      <b val="true"/>
      <i val="true"/>
      <sz val="11"/>
      <color theme="1"/>
      <name val="Calibri"/>
      <family val="2"/>
      <charset val="1"/>
    </font>
    <font>
      <i val="true"/>
      <sz val="11"/>
      <color theme="1"/>
      <name val="Calibri"/>
      <family val="2"/>
      <charset val="1"/>
    </font>
    <font>
      <sz val="11"/>
      <color theme="0"/>
      <name val="Calibri"/>
      <family val="2"/>
      <charset val="1"/>
    </font>
    <font>
      <sz val="11"/>
      <name val="Calibri"/>
      <family val="2"/>
      <charset val="1"/>
    </font>
    <font>
      <sz val="7"/>
      <color rgb="FF181C21"/>
      <name val="Segoe UI"/>
      <family val="2"/>
      <charset val="1"/>
    </font>
    <font>
      <i val="true"/>
      <sz val="9"/>
      <color theme="1"/>
      <name val="Calibri"/>
      <family val="2"/>
      <charset val="1"/>
    </font>
    <font>
      <i val="true"/>
      <sz val="11"/>
      <color theme="2" tint="-0.1"/>
      <name val="Calibri"/>
      <family val="2"/>
      <charset val="1"/>
    </font>
    <font>
      <sz val="11"/>
      <color theme="0" tint="-0.05"/>
      <name val="Calibri"/>
      <family val="2"/>
      <charset val="1"/>
    </font>
    <font>
      <b val="true"/>
      <sz val="14"/>
      <color theme="0" tint="-0.05"/>
      <name val="Calibri"/>
      <family val="2"/>
      <charset val="1"/>
    </font>
    <font>
      <sz val="9"/>
      <color rgb="FF212529"/>
      <name val="Arial"/>
      <family val="2"/>
      <charset val="1"/>
    </font>
    <font>
      <sz val="14"/>
      <color rgb="FFEC6A14"/>
      <name val="Calibri"/>
      <family val="2"/>
    </font>
    <font>
      <b val="true"/>
      <sz val="13"/>
      <color rgb="FFEC6A14"/>
      <name val="Calibri"/>
      <family val="2"/>
      <charset val="1"/>
    </font>
    <font>
      <sz val="11"/>
      <color rgb="FF202122"/>
      <name val="Calibri"/>
      <family val="2"/>
      <charset val="1"/>
    </font>
    <font>
      <b val="true"/>
      <sz val="23"/>
      <color rgb="FFEC6A14"/>
      <name val="Calibri"/>
      <family val="2"/>
      <charset val="1"/>
    </font>
    <font>
      <b val="true"/>
      <sz val="20"/>
      <color rgb="FFEC6A14"/>
      <name val="Calibri"/>
      <family val="2"/>
      <charset val="1"/>
    </font>
    <font>
      <b val="true"/>
      <sz val="11"/>
      <name val="Calibri"/>
      <family val="2"/>
      <charset val="1"/>
    </font>
    <font>
      <u val="single"/>
      <sz val="11"/>
      <color theme="10"/>
      <name val="Calibri"/>
      <family val="2"/>
      <charset val="1"/>
    </font>
  </fonts>
  <fills count="13">
    <fill>
      <patternFill patternType="none"/>
    </fill>
    <fill>
      <patternFill patternType="gray125"/>
    </fill>
    <fill>
      <patternFill patternType="solid">
        <fgColor rgb="FFEC6A14"/>
        <bgColor rgb="FFED7D31"/>
      </patternFill>
    </fill>
    <fill>
      <patternFill patternType="solid">
        <fgColor theme="5" tint="0.3999"/>
        <bgColor rgb="FFF8CBAD"/>
      </patternFill>
    </fill>
    <fill>
      <patternFill patternType="solid">
        <fgColor theme="0" tint="-0.35"/>
        <bgColor rgb="FFB3B3B3"/>
      </patternFill>
    </fill>
    <fill>
      <patternFill patternType="solid">
        <fgColor theme="5" tint="0.5999"/>
        <bgColor rgb="FFFFC7CE"/>
      </patternFill>
    </fill>
    <fill>
      <patternFill patternType="solid">
        <fgColor theme="8" tint="0.5997"/>
        <bgColor rgb="FFB4C7E7"/>
      </patternFill>
    </fill>
    <fill>
      <patternFill patternType="solid">
        <fgColor rgb="FFFFF2CC"/>
        <bgColor rgb="FFFBE5D6"/>
      </patternFill>
    </fill>
    <fill>
      <patternFill patternType="solid">
        <fgColor theme="5" tint="0.7999"/>
        <bgColor rgb="FFFFF2CC"/>
      </patternFill>
    </fill>
    <fill>
      <patternFill patternType="solid">
        <fgColor theme="2"/>
        <bgColor rgb="FFDAE3F3"/>
      </patternFill>
    </fill>
    <fill>
      <patternFill patternType="solid">
        <fgColor rgb="FFFFFF00"/>
        <bgColor rgb="FFFFF2CC"/>
      </patternFill>
    </fill>
    <fill>
      <patternFill patternType="solid">
        <fgColor theme="9"/>
        <bgColor rgb="FF808000"/>
      </patternFill>
    </fill>
    <fill>
      <patternFill patternType="solid">
        <fgColor rgb="FF0275D8"/>
        <bgColor rgb="FF0563C1"/>
      </patternFill>
    </fill>
  </fills>
  <borders count="47">
    <border diagonalUp="false" diagonalDown="false">
      <left/>
      <right/>
      <top/>
      <bottom/>
      <diagonal/>
    </border>
    <border diagonalUp="false" diagonalDown="false">
      <left/>
      <right/>
      <top/>
      <bottom style="thin">
        <color rgb="FFEC6A14"/>
      </bottom>
      <diagonal/>
    </border>
    <border diagonalUp="false" diagonalDown="false">
      <left/>
      <right/>
      <top style="thin">
        <color rgb="FFEC6A14"/>
      </top>
      <bottom/>
      <diagonal/>
    </border>
    <border diagonalUp="false" diagonalDown="false">
      <left/>
      <right/>
      <top/>
      <bottom style="thick">
        <color rgb="FFEC6A14"/>
      </bottom>
      <diagonal/>
    </border>
    <border diagonalUp="false" diagonalDown="false">
      <left/>
      <right/>
      <top/>
      <bottom style="dotted">
        <color theme="0" tint="-0.35"/>
      </bottom>
      <diagonal/>
    </border>
    <border diagonalUp="false" diagonalDown="false">
      <left/>
      <right/>
      <top style="thin"/>
      <bottom style="thin"/>
      <diagonal/>
    </border>
    <border diagonalUp="false" diagonalDown="false">
      <left/>
      <right/>
      <top style="medium"/>
      <bottom style="thick"/>
      <diagonal/>
    </border>
    <border diagonalUp="false" diagonalDown="false">
      <left/>
      <right/>
      <top style="dotted">
        <color theme="1"/>
      </top>
      <bottom style="dotted">
        <color theme="1"/>
      </bottom>
      <diagonal/>
    </border>
    <border diagonalUp="false" diagonalDown="false">
      <left/>
      <right/>
      <top/>
      <bottom style="medium">
        <color rgb="FFEC6A14"/>
      </bottom>
      <diagonal/>
    </border>
    <border diagonalUp="false" diagonalDown="false">
      <left/>
      <right/>
      <top style="dotted">
        <color theme="1"/>
      </top>
      <bottom/>
      <diagonal/>
    </border>
    <border diagonalUp="false" diagonalDown="false">
      <left/>
      <right/>
      <top/>
      <bottom style="dotted">
        <color theme="1"/>
      </bottom>
      <diagonal/>
    </border>
    <border diagonalUp="false" diagonalDown="false">
      <left/>
      <right/>
      <top style="medium">
        <color rgb="FFEC6A14"/>
      </top>
      <bottom/>
      <diagonal/>
    </border>
    <border diagonalUp="false" diagonalDown="false">
      <left/>
      <right/>
      <top/>
      <bottom style="thin">
        <color theme="1"/>
      </bottom>
      <diagonal/>
    </border>
    <border diagonalUp="false" diagonalDown="false">
      <left style="thin"/>
      <right style="thin"/>
      <top style="thin"/>
      <bottom style="thin"/>
      <diagonal/>
    </border>
    <border diagonalUp="false" diagonalDown="false">
      <left/>
      <right/>
      <top style="double">
        <color rgb="FFEC6A14"/>
      </top>
      <bottom style="thick">
        <color rgb="FFEC6A14"/>
      </bottom>
      <diagonal/>
    </border>
    <border diagonalUp="false" diagonalDown="false">
      <left/>
      <right/>
      <top style="medium">
        <color rgb="FFEC6A14"/>
      </top>
      <bottom style="medium">
        <color rgb="FFEC6A14"/>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style="dotted"/>
      <bottom style="thin"/>
      <diagonal/>
    </border>
    <border diagonalUp="false" diagonalDown="false">
      <left/>
      <right/>
      <top style="dotted"/>
      <bottom style="thin"/>
      <diagonal/>
    </border>
    <border diagonalUp="false" diagonalDown="false">
      <left/>
      <right style="thin"/>
      <top style="dotted"/>
      <bottom style="thin"/>
      <diagonal/>
    </border>
    <border diagonalUp="false" diagonalDown="false">
      <left/>
      <right/>
      <top style="medium"/>
      <bottom style="thin"/>
      <diagonal/>
    </border>
    <border diagonalUp="false" diagonalDown="false">
      <left/>
      <right/>
      <top/>
      <bottom style="medium"/>
      <diagonal/>
    </border>
    <border diagonalUp="false" diagonalDown="false">
      <left style="thin"/>
      <right/>
      <top/>
      <bottom style="thin"/>
      <diagonal/>
    </border>
    <border diagonalUp="false" diagonalDown="false">
      <left/>
      <right style="thin"/>
      <top/>
      <bottom style="thin"/>
      <diagonal/>
    </border>
    <border diagonalUp="false" diagonalDown="false">
      <left/>
      <right/>
      <top style="thin">
        <color rgb="FFEC6A14"/>
      </top>
      <bottom style="thin">
        <color rgb="FFEC6A14"/>
      </bottom>
      <diagonal/>
    </border>
    <border diagonalUp="false" diagonalDown="false">
      <left/>
      <right/>
      <top style="medium">
        <color rgb="FFEC6A14"/>
      </top>
      <bottom style="thick">
        <color rgb="FFEC6A14"/>
      </bottom>
      <diagonal/>
    </border>
    <border diagonalUp="false" diagonalDown="false">
      <left/>
      <right/>
      <top style="thin">
        <color rgb="FFEC6A14"/>
      </top>
      <bottom style="thick">
        <color rgb="FFEC6A14"/>
      </bottom>
      <diagonal/>
    </border>
    <border diagonalUp="false" diagonalDown="false">
      <left/>
      <right/>
      <top style="medium">
        <color rgb="FFEC6A14"/>
      </top>
      <bottom style="thin"/>
      <diagonal/>
    </border>
    <border diagonalUp="false" diagonalDown="false">
      <left/>
      <right/>
      <top style="thin">
        <color rgb="FFEC6A14"/>
      </top>
      <bottom style="medium">
        <color rgb="FFEC6A14"/>
      </bottom>
      <diagonal/>
    </border>
    <border diagonalUp="false" diagonalDown="false">
      <left style="thin">
        <color rgb="FFEC6A14"/>
      </left>
      <right/>
      <top style="thin">
        <color rgb="FFEC6A14"/>
      </top>
      <bottom/>
      <diagonal/>
    </border>
    <border diagonalUp="false" diagonalDown="false">
      <left/>
      <right style="thin">
        <color theme="1"/>
      </right>
      <top style="thin">
        <color rgb="FFEC6A14"/>
      </top>
      <bottom/>
      <diagonal/>
    </border>
    <border diagonalUp="false" diagonalDown="false">
      <left style="thin">
        <color rgb="FFEC6A14"/>
      </left>
      <right/>
      <top/>
      <bottom/>
      <diagonal/>
    </border>
    <border diagonalUp="false" diagonalDown="false">
      <left style="thin">
        <color rgb="FFEC6A14"/>
      </left>
      <right/>
      <top/>
      <bottom style="thin">
        <color theme="1"/>
      </bottom>
      <diagonal/>
    </border>
    <border diagonalUp="false" diagonalDown="false">
      <left/>
      <right/>
      <top/>
      <bottom style="medium">
        <color theme="0"/>
      </bottom>
      <diagonal/>
    </border>
    <border diagonalUp="false" diagonalDown="false">
      <left/>
      <right/>
      <top style="thick">
        <color rgb="FFEC6A14"/>
      </top>
      <bottom style="thick">
        <color rgb="FFEC6A14"/>
      </bottom>
      <diagonal/>
    </border>
    <border diagonalUp="false" diagonalDown="false">
      <left style="medium"/>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 diagonalUp="false" diagonalDown="false">
      <left/>
      <right/>
      <top style="thick">
        <color rgb="FFEC6A14"/>
      </top>
      <bottom/>
      <diagonal/>
    </border>
    <border diagonalUp="false" diagonalDown="false">
      <left/>
      <right/>
      <top style="thick">
        <color rgb="FFEC6A14"/>
      </top>
      <bottom style="thin">
        <color rgb="FFEC6A1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1" fontId="0" fillId="0" borderId="0" applyFont="true" applyBorder="true" applyAlignment="true" applyProtection="true">
      <alignment horizontal="general" vertical="bottom" textRotation="0" wrapText="false" indent="0" shrinkToFit="false"/>
      <protection locked="true" hidden="false"/>
    </xf>
  </cellStyleXfs>
  <cellXfs count="3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center"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general" vertical="top" textRotation="0" wrapText="fals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12" fillId="0" borderId="4" xfId="0" applyFont="true" applyBorder="true" applyAlignment="true" applyProtection="false">
      <alignment horizontal="left" vertical="center"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5" fontId="14" fillId="2"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6" fontId="0" fillId="0" borderId="5" xfId="0" applyFont="true" applyBorder="true" applyAlignment="false" applyProtection="false">
      <alignment horizontal="general" vertical="bottom" textRotation="0" wrapText="false" indent="0" shrinkToFit="false"/>
      <protection locked="true" hidden="false"/>
    </xf>
    <xf numFmtId="167" fontId="0" fillId="0" borderId="5" xfId="0" applyFont="true" applyBorder="true" applyAlignment="false" applyProtection="false">
      <alignment horizontal="general" vertical="bottom" textRotation="0" wrapText="false" indent="0" shrinkToFit="false"/>
      <protection locked="true" hidden="false"/>
    </xf>
    <xf numFmtId="168" fontId="0" fillId="0" borderId="5" xfId="0" applyFont="true" applyBorder="true" applyAlignment="false" applyProtection="false">
      <alignment horizontal="general" vertical="bottom" textRotation="0" wrapText="false" indent="0" shrinkToFit="false"/>
      <protection locked="true" hidden="false"/>
    </xf>
    <xf numFmtId="169" fontId="0" fillId="0" borderId="5" xfId="0" applyFont="true" applyBorder="true" applyAlignment="false" applyProtection="false">
      <alignment horizontal="general"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5" fontId="14" fillId="2" borderId="0" xfId="0" applyFont="true" applyBorder="true" applyAlignment="true" applyProtection="false">
      <alignment horizontal="right" vertical="bottom" textRotation="0" wrapText="false" indent="0" shrinkToFit="false"/>
      <protection locked="true" hidden="false"/>
    </xf>
    <xf numFmtId="165" fontId="14" fillId="2" borderId="0" xfId="0" applyFont="true" applyBorder="false" applyAlignment="true" applyProtection="false">
      <alignment horizontal="right" vertical="bottom" textRotation="0" wrapText="false" indent="0" shrinkToFit="false"/>
      <protection locked="true" hidden="false"/>
    </xf>
    <xf numFmtId="170" fontId="0" fillId="0" borderId="5" xfId="0" applyFont="true" applyBorder="true" applyAlignment="true" applyProtection="false">
      <alignment horizontal="right" vertical="bottom" textRotation="0" wrapText="false" indent="0" shrinkToFit="false"/>
      <protection locked="true" hidden="false"/>
    </xf>
    <xf numFmtId="167" fontId="0" fillId="0" borderId="5" xfId="19" applyFont="true" applyBorder="true" applyAlignment="false" applyProtection="false">
      <alignment horizontal="general" vertical="bottom" textRotation="0" wrapText="false" indent="0" shrinkToFit="false"/>
      <protection locked="true" hidden="false"/>
    </xf>
    <xf numFmtId="165" fontId="14" fillId="2" borderId="0" xfId="0" applyFont="true" applyBorder="false" applyAlignment="true" applyProtection="false">
      <alignment horizontal="center" vertical="bottom" textRotation="0" wrapText="false" indent="0" shrinkToFit="false"/>
      <protection locked="true" hidden="false"/>
    </xf>
    <xf numFmtId="165" fontId="14" fillId="2" borderId="0" xfId="0" applyFont="true" applyBorder="true" applyAlignment="true" applyProtection="false">
      <alignment horizontal="center" vertical="bottom" textRotation="0" wrapText="false" indent="0" shrinkToFit="false"/>
      <protection locked="true" hidden="false"/>
    </xf>
    <xf numFmtId="164" fontId="0" fillId="0" borderId="5" xfId="0" applyFont="true" applyBorder="true" applyAlignment="true" applyProtection="false">
      <alignment horizontal="left" vertical="bottom" textRotation="0" wrapText="false" indent="0" shrinkToFit="false"/>
      <protection locked="true" hidden="false"/>
    </xf>
    <xf numFmtId="172" fontId="0" fillId="0" borderId="5" xfId="0" applyFont="true" applyBorder="true" applyAlignment="true" applyProtection="false">
      <alignment horizontal="right" vertical="bottom" textRotation="0" wrapText="false" indent="0" shrinkToFit="false"/>
      <protection locked="true" hidden="false"/>
    </xf>
    <xf numFmtId="173" fontId="0" fillId="0" borderId="5"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15" fillId="0" borderId="6"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1" shrinkToFit="false"/>
      <protection locked="true" hidden="false"/>
    </xf>
    <xf numFmtId="17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5" xfId="0" applyFont="true" applyBorder="true" applyAlignment="true" applyProtection="false">
      <alignment horizontal="left" vertical="bottom" textRotation="0" wrapText="false" indent="1" shrinkToFit="false"/>
      <protection locked="true" hidden="false"/>
    </xf>
    <xf numFmtId="164" fontId="15" fillId="0" borderId="6" xfId="0" applyFont="true" applyBorder="true" applyAlignment="true" applyProtection="false">
      <alignment horizontal="left" vertical="bottom" textRotation="0" wrapText="false" indent="0" shrinkToFit="false"/>
      <protection locked="true" hidden="false"/>
    </xf>
    <xf numFmtId="166" fontId="0" fillId="0" borderId="6" xfId="0" applyFont="tru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bottom" textRotation="0" wrapText="false" indent="0" shrinkToFit="false"/>
      <protection locked="true" hidden="false"/>
    </xf>
    <xf numFmtId="164" fontId="14" fillId="2" borderId="0" xfId="0" applyFont="true" applyBorder="false" applyAlignment="true" applyProtection="false">
      <alignment horizontal="left" vertical="bottom" textRotation="0" wrapText="false" indent="0" shrinkToFit="false"/>
      <protection locked="true" hidden="false"/>
    </xf>
    <xf numFmtId="165" fontId="14" fillId="2" borderId="0" xfId="0" applyFont="true" applyBorder="false" applyAlignment="true" applyProtection="false">
      <alignment horizontal="right" vertical="bottom" textRotation="0" wrapText="tru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xf numFmtId="164" fontId="15"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8" fontId="0" fillId="0" borderId="7" xfId="0" applyFont="true" applyBorder="true" applyAlignment="false" applyProtection="false">
      <alignment horizontal="general" vertical="bottom" textRotation="0" wrapText="false" indent="0" shrinkToFit="false"/>
      <protection locked="true" hidden="false"/>
    </xf>
    <xf numFmtId="176" fontId="0"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true" applyBorder="false" applyAlignment="false" applyProtection="false">
      <alignment horizontal="general" vertical="bottom" textRotation="0" wrapText="false" indent="0" shrinkToFit="false"/>
      <protection locked="true" hidden="false"/>
    </xf>
    <xf numFmtId="173" fontId="15" fillId="0" borderId="7" xfId="0" applyFont="true" applyBorder="true" applyAlignment="false" applyProtection="false">
      <alignment horizontal="general" vertical="bottom" textRotation="0" wrapText="false" indent="0" shrinkToFit="false"/>
      <protection locked="true" hidden="false"/>
    </xf>
    <xf numFmtId="173" fontId="15" fillId="0" borderId="0" xfId="0" applyFont="true" applyBorder="false" applyAlignment="false" applyProtection="false">
      <alignment horizontal="general" vertical="bottom" textRotation="0" wrapText="false" indent="0" shrinkToFit="false"/>
      <protection locked="true" hidden="false"/>
    </xf>
    <xf numFmtId="164" fontId="15" fillId="0" borderId="7"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19" fillId="0" borderId="7" xfId="0" applyFont="true" applyBorder="true" applyAlignment="false" applyProtection="false">
      <alignment horizontal="general" vertical="bottom" textRotation="0" wrapText="false" indent="0" shrinkToFit="false"/>
      <protection locked="true" hidden="false"/>
    </xf>
    <xf numFmtId="167" fontId="19" fillId="0" borderId="7" xfId="0" applyFont="true" applyBorder="true" applyAlignment="true" applyProtection="false">
      <alignment horizontal="right"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23" fillId="2" borderId="0" xfId="0" applyFont="true" applyBorder="true" applyAlignment="true" applyProtection="false">
      <alignment horizontal="center" vertical="bottom" textRotation="0" wrapText="false" indent="0" shrinkToFit="false"/>
      <protection locked="true" hidden="false"/>
    </xf>
    <xf numFmtId="164" fontId="14" fillId="2" borderId="0" xfId="0" applyFont="true" applyBorder="false" applyAlignment="true" applyProtection="false">
      <alignment horizontal="right"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7" fontId="0" fillId="0" borderId="9" xfId="19" applyFont="true" applyBorder="true" applyAlignment="false" applyProtection="false">
      <alignment horizontal="general" vertical="bottom" textRotation="0" wrapText="false" indent="0" shrinkToFit="false"/>
      <protection locked="true" hidden="false"/>
    </xf>
    <xf numFmtId="167" fontId="0" fillId="0" borderId="0" xfId="19" applyFont="true" applyBorder="false" applyAlignment="false" applyProtection="false">
      <alignment horizontal="general" vertical="bottom"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7" fontId="0" fillId="0" borderId="10" xfId="19" applyFont="true" applyBorder="true" applyAlignment="false" applyProtection="false">
      <alignment horizontal="general" vertical="bottom" textRotation="0" wrapText="false" indent="0" shrinkToFit="false"/>
      <protection locked="true" hidden="false"/>
    </xf>
    <xf numFmtId="169" fontId="0" fillId="0" borderId="10" xfId="0" applyFont="true" applyBorder="true" applyAlignment="false" applyProtection="false">
      <alignment horizontal="general" vertical="bottom" textRotation="0" wrapText="false" indent="0" shrinkToFit="false"/>
      <protection locked="true" hidden="false"/>
    </xf>
    <xf numFmtId="169" fontId="0" fillId="0" borderId="9" xfId="0" applyFont="true" applyBorder="tru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77" fontId="0" fillId="0" borderId="9" xfId="0" applyFont="true" applyBorder="true" applyAlignment="false" applyProtection="false">
      <alignment horizontal="general" vertical="bottom" textRotation="0" wrapText="false" indent="0" shrinkToFit="false"/>
      <protection locked="true" hidden="false"/>
    </xf>
    <xf numFmtId="177" fontId="0" fillId="0" borderId="0" xfId="0" applyFont="true" applyBorder="false" applyAlignment="false" applyProtection="false">
      <alignment horizontal="general" vertical="bottom" textRotation="0" wrapText="false" indent="0" shrinkToFit="false"/>
      <protection locked="true" hidden="false"/>
    </xf>
    <xf numFmtId="177" fontId="0" fillId="0" borderId="10" xfId="0" applyFont="true" applyBorder="true" applyAlignment="false" applyProtection="false">
      <alignment horizontal="general" vertical="bottom" textRotation="0" wrapText="fals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64" fontId="15" fillId="0" borderId="12" xfId="0" applyFont="true" applyBorder="true" applyAlignment="false" applyProtection="false">
      <alignment horizontal="general" vertical="bottom" textRotation="0" wrapText="false" indent="0" shrinkToFit="false"/>
      <protection locked="true" hidden="false"/>
    </xf>
    <xf numFmtId="165" fontId="15" fillId="0" borderId="12" xfId="0" applyFont="true" applyBorder="true" applyAlignment="false" applyProtection="false">
      <alignment horizontal="general" vertical="bottom" textRotation="0" wrapText="false" indent="0" shrinkToFit="false"/>
      <protection locked="true" hidden="false"/>
    </xf>
    <xf numFmtId="178" fontId="15" fillId="0" borderId="0" xfId="0" applyFont="true" applyBorder="false" applyAlignment="false" applyProtection="false">
      <alignment horizontal="general" vertical="bottom" textRotation="0" wrapText="false" indent="0" shrinkToFit="false"/>
      <protection locked="true" hidden="false"/>
    </xf>
    <xf numFmtId="167" fontId="15" fillId="0" borderId="0" xfId="19" applyFont="true" applyBorder="false" applyAlignment="false" applyProtection="false">
      <alignment horizontal="general" vertical="bottom" textRotation="0" wrapText="false" indent="0" shrinkToFit="false"/>
      <protection locked="true" hidden="false"/>
    </xf>
    <xf numFmtId="178" fontId="0"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79" fontId="0"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80" fontId="15" fillId="5" borderId="0" xfId="0" applyFont="true" applyBorder="false" applyAlignment="false" applyProtection="false">
      <alignment horizontal="general" vertical="bottom" textRotation="0" wrapText="false" indent="0" shrinkToFit="false"/>
      <protection locked="true" hidden="false"/>
    </xf>
    <xf numFmtId="181" fontId="15" fillId="5" borderId="0" xfId="0" applyFont="true" applyBorder="false" applyAlignment="false" applyProtection="false">
      <alignment horizontal="general" vertical="bottom" textRotation="0" wrapText="false" indent="0" shrinkToFit="false"/>
      <protection locked="true" hidden="false"/>
    </xf>
    <xf numFmtId="167"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82" fontId="0" fillId="0" borderId="0" xfId="0" applyFont="true" applyBorder="false" applyAlignment="false" applyProtection="false">
      <alignment horizontal="general" vertical="bottom" textRotation="0" wrapText="false" indent="0" shrinkToFit="false"/>
      <protection locked="true" hidden="false"/>
    </xf>
    <xf numFmtId="183" fontId="0"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15" fillId="6" borderId="0" xfId="0" applyFont="true" applyBorder="false" applyAlignment="false" applyProtection="false">
      <alignment horizontal="general" vertical="bottom" textRotation="0" wrapText="false" indent="0" shrinkToFit="false"/>
      <protection locked="true" hidden="false"/>
    </xf>
    <xf numFmtId="180" fontId="15" fillId="6" borderId="0" xfId="0" applyFont="true" applyBorder="false" applyAlignment="false" applyProtection="false">
      <alignment horizontal="general" vertical="bottom" textRotation="0" wrapText="false" indent="0" shrinkToFit="false"/>
      <protection locked="true" hidden="false"/>
    </xf>
    <xf numFmtId="180" fontId="15" fillId="6" borderId="0" xfId="0" applyFont="true" applyBorder="true" applyAlignment="true" applyProtection="false">
      <alignment horizontal="center" vertical="bottom" textRotation="0" wrapText="false" indent="0" shrinkToFit="false"/>
      <protection locked="true" hidden="false"/>
    </xf>
    <xf numFmtId="167" fontId="25" fillId="7" borderId="13" xfId="0" applyFont="true" applyBorder="true" applyAlignment="false" applyProtection="false">
      <alignment horizontal="general" vertical="bottom" textRotation="0" wrapText="false" indent="0" shrinkToFit="false"/>
      <protection locked="true" hidden="false"/>
    </xf>
    <xf numFmtId="164" fontId="27" fillId="2" borderId="0" xfId="0" applyFont="true" applyBorder="true" applyAlignment="true" applyProtection="false">
      <alignment horizontal="center" vertical="bottom" textRotation="0" wrapText="false" indent="0" shrinkToFit="false"/>
      <protection locked="true" hidden="false"/>
    </xf>
    <xf numFmtId="180" fontId="0"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8" fontId="15" fillId="8" borderId="0" xfId="0" applyFont="true" applyBorder="false" applyAlignment="false" applyProtection="false">
      <alignment horizontal="general" vertical="bottom" textRotation="0" wrapText="false" indent="0" shrinkToFit="false"/>
      <protection locked="true" hidden="false"/>
    </xf>
    <xf numFmtId="167" fontId="0" fillId="8" borderId="0" xfId="0" applyFont="true" applyBorder="false" applyAlignment="false" applyProtection="false">
      <alignment horizontal="general" vertical="bottom" textRotation="0" wrapText="false" indent="0" shrinkToFit="false"/>
      <protection locked="true" hidden="false"/>
    </xf>
    <xf numFmtId="168" fontId="0" fillId="8" borderId="0" xfId="0" applyFont="true" applyBorder="false" applyAlignment="false" applyProtection="false">
      <alignment horizontal="general" vertical="bottom" textRotation="0" wrapText="false" indent="0" shrinkToFit="false"/>
      <protection locked="true" hidden="false"/>
    </xf>
    <xf numFmtId="164" fontId="15" fillId="0" borderId="11" xfId="0" applyFont="true" applyBorder="true" applyAlignment="false" applyProtection="false">
      <alignment horizontal="general" vertical="bottom" textRotation="0" wrapText="false" indent="0" shrinkToFit="false"/>
      <protection locked="true" hidden="false"/>
    </xf>
    <xf numFmtId="168" fontId="15" fillId="0" borderId="11" xfId="0" applyFont="true" applyBorder="true" applyAlignment="false" applyProtection="false">
      <alignment horizontal="general" vertical="bottom" textRotation="0" wrapText="false" indent="0" shrinkToFit="false"/>
      <protection locked="true" hidden="false"/>
    </xf>
    <xf numFmtId="168" fontId="15" fillId="8" borderId="11" xfId="0" applyFont="true" applyBorder="true" applyAlignment="false" applyProtection="false">
      <alignment horizontal="general" vertical="bottom" textRotation="0" wrapText="false" indent="0" shrinkToFit="false"/>
      <protection locked="true" hidden="false"/>
    </xf>
    <xf numFmtId="164" fontId="15" fillId="0" borderId="14" xfId="0" applyFont="true" applyBorder="true" applyAlignment="false" applyProtection="false">
      <alignment horizontal="general" vertical="bottom" textRotation="0" wrapText="false" indent="0" shrinkToFit="false"/>
      <protection locked="true" hidden="false"/>
    </xf>
    <xf numFmtId="168" fontId="15" fillId="0" borderId="14" xfId="0" applyFont="true" applyBorder="true" applyAlignment="false" applyProtection="false">
      <alignment horizontal="general" vertical="bottom" textRotation="0" wrapText="false" indent="0" shrinkToFit="false"/>
      <protection locked="true" hidden="false"/>
    </xf>
    <xf numFmtId="168" fontId="15" fillId="8" borderId="14" xfId="0" applyFont="true" applyBorder="true" applyAlignment="false" applyProtection="false">
      <alignment horizontal="general" vertical="bottom" textRotation="0" wrapText="false" indent="0" shrinkToFit="false"/>
      <protection locked="true" hidden="false"/>
    </xf>
    <xf numFmtId="164" fontId="15" fillId="0" borderId="15" xfId="0" applyFont="true" applyBorder="true" applyAlignment="false" applyProtection="false">
      <alignment horizontal="general" vertical="bottom" textRotation="0" wrapText="false" indent="0" shrinkToFit="false"/>
      <protection locked="true" hidden="false"/>
    </xf>
    <xf numFmtId="168" fontId="15" fillId="0" borderId="15" xfId="0" applyFont="true" applyBorder="true" applyAlignment="false" applyProtection="false">
      <alignment horizontal="general" vertical="bottom" textRotation="0" wrapText="false" indent="0" shrinkToFit="false"/>
      <protection locked="true" hidden="false"/>
    </xf>
    <xf numFmtId="164" fontId="28" fillId="0" borderId="15" xfId="0" applyFont="true" applyBorder="true" applyAlignment="false" applyProtection="false">
      <alignment horizontal="general" vertical="bottom" textRotation="0" wrapText="false" indent="0" shrinkToFit="false"/>
      <protection locked="true" hidden="false"/>
    </xf>
    <xf numFmtId="184" fontId="28" fillId="0" borderId="15" xfId="0" applyFont="true" applyBorder="true" applyAlignment="false" applyProtection="false">
      <alignment horizontal="general" vertical="bottom" textRotation="0" wrapText="false" indent="0" shrinkToFit="false"/>
      <protection locked="true" hidden="false"/>
    </xf>
    <xf numFmtId="168" fontId="0" fillId="0" borderId="15" xfId="0" applyFont="true" applyBorder="true" applyAlignment="false" applyProtection="false">
      <alignment horizontal="general" vertical="bottom" textRotation="0" wrapText="false" indent="0" shrinkToFit="false"/>
      <protection locked="true" hidden="false"/>
    </xf>
    <xf numFmtId="185" fontId="0" fillId="0" borderId="0" xfId="0" applyFont="true" applyBorder="false" applyAlignment="false" applyProtection="false">
      <alignment horizontal="general" vertical="bottom" textRotation="0" wrapText="false" indent="0" shrinkToFit="false"/>
      <protection locked="true" hidden="false"/>
    </xf>
    <xf numFmtId="168" fontId="0" fillId="0" borderId="11" xfId="0" applyFont="true" applyBorder="true" applyAlignment="false" applyProtection="false">
      <alignment horizontal="general" vertical="bottom" textRotation="0" wrapText="false" indent="0" shrinkToFit="false"/>
      <protection locked="true" hidden="false"/>
    </xf>
    <xf numFmtId="164" fontId="15" fillId="0" borderId="8" xfId="0" applyFont="true" applyBorder="true" applyAlignment="false" applyProtection="false">
      <alignment horizontal="general" vertical="bottom" textRotation="0" wrapText="false" indent="0" shrinkToFit="false"/>
      <protection locked="true" hidden="false"/>
    </xf>
    <xf numFmtId="168" fontId="0" fillId="0" borderId="8" xfId="0" applyFont="true" applyBorder="true" applyAlignment="false" applyProtection="false">
      <alignment horizontal="general" vertical="bottom" textRotation="0" wrapText="false" indent="0" shrinkToFit="false"/>
      <protection locked="true" hidden="false"/>
    </xf>
    <xf numFmtId="168" fontId="15" fillId="0" borderId="8" xfId="0" applyFont="true" applyBorder="true" applyAlignment="false" applyProtection="false">
      <alignment horizontal="general" vertical="bottom" textRotation="0" wrapText="false" indent="0" shrinkToFit="false"/>
      <protection locked="true" hidden="false"/>
    </xf>
    <xf numFmtId="186" fontId="0" fillId="0" borderId="0" xfId="0" applyFont="true" applyBorder="false" applyAlignment="false" applyProtection="false">
      <alignment horizontal="general" vertical="bottom" textRotation="0" wrapText="false" indent="0" shrinkToFit="false"/>
      <protection locked="true" hidden="false"/>
    </xf>
    <xf numFmtId="186" fontId="24" fillId="0" borderId="0" xfId="0" applyFont="true" applyBorder="false" applyAlignment="false" applyProtection="false">
      <alignment horizontal="general" vertical="bottom" textRotation="0" wrapText="false" indent="0" shrinkToFit="false"/>
      <protection locked="true" hidden="false"/>
    </xf>
    <xf numFmtId="164" fontId="15" fillId="8" borderId="0" xfId="0" applyFont="true" applyBorder="false" applyAlignment="false" applyProtection="false">
      <alignment horizontal="general" vertical="bottom" textRotation="0" wrapText="false" indent="0" shrinkToFit="false"/>
      <protection locked="true" hidden="false"/>
    </xf>
    <xf numFmtId="186" fontId="15" fillId="8"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center" vertical="bottom" textRotation="0" wrapText="false" indent="0" shrinkToFit="false"/>
      <protection locked="true" hidden="false"/>
    </xf>
    <xf numFmtId="164" fontId="14" fillId="2" borderId="16" xfId="0" applyFont="true" applyBorder="true" applyAlignment="false" applyProtection="false">
      <alignment horizontal="general" vertical="bottom" textRotation="0" wrapText="false" indent="0" shrinkToFit="false"/>
      <protection locked="true" hidden="false"/>
    </xf>
    <xf numFmtId="164" fontId="14" fillId="2" borderId="17" xfId="0" applyFont="true" applyBorder="true" applyAlignment="true" applyProtection="false">
      <alignment horizontal="right" vertical="bottom" textRotation="0" wrapText="false" indent="0" shrinkToFit="false"/>
      <protection locked="true" hidden="false"/>
    </xf>
    <xf numFmtId="164" fontId="14" fillId="2" borderId="18" xfId="0" applyFont="true" applyBorder="true" applyAlignment="true" applyProtection="false">
      <alignment horizontal="right" vertical="bottom" textRotation="0" wrapText="false" indent="0" shrinkToFit="false"/>
      <protection locked="true" hidden="false"/>
    </xf>
    <xf numFmtId="164" fontId="14" fillId="2" borderId="16" xfId="0" applyFont="true" applyBorder="true" applyAlignment="true" applyProtection="false">
      <alignment horizontal="left" vertical="bottom" textRotation="0" wrapText="false" indent="0" shrinkToFit="false"/>
      <protection locked="true" hidden="false"/>
    </xf>
    <xf numFmtId="164" fontId="14" fillId="2" borderId="19" xfId="0" applyFont="true" applyBorder="true" applyAlignment="true" applyProtection="false">
      <alignment horizontal="center" vertical="bottom" textRotation="0" wrapText="false" indent="0" shrinkToFit="false"/>
      <protection locked="true" hidden="false"/>
    </xf>
    <xf numFmtId="164" fontId="0" fillId="0" borderId="20" xfId="0" applyFont="tru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false" applyProtection="false">
      <alignment horizontal="general" vertical="bottom" textRotation="0" wrapText="false" indent="0" shrinkToFit="false"/>
      <protection locked="true" hidden="false"/>
    </xf>
    <xf numFmtId="167" fontId="0" fillId="0" borderId="21" xfId="0" applyFont="true" applyBorder="true" applyAlignment="false" applyProtection="false">
      <alignment horizontal="general" vertical="bottom" textRotation="0" wrapText="false" indent="0" shrinkToFit="false"/>
      <protection locked="true" hidden="false"/>
    </xf>
    <xf numFmtId="186" fontId="0" fillId="0" borderId="21" xfId="0" applyFont="true" applyBorder="true" applyAlignment="false" applyProtection="false">
      <alignment horizontal="general" vertical="bottom" textRotation="0" wrapText="false" indent="0" shrinkToFit="false"/>
      <protection locked="true" hidden="false"/>
    </xf>
    <xf numFmtId="164" fontId="0" fillId="9" borderId="22" xfId="0" applyFont="true" applyBorder="true" applyAlignment="false" applyProtection="false">
      <alignment horizontal="general" vertical="bottom" textRotation="0" wrapText="false" indent="0" shrinkToFit="false"/>
      <protection locked="true" hidden="false"/>
    </xf>
    <xf numFmtId="164" fontId="0" fillId="9" borderId="23" xfId="0" applyFont="true" applyBorder="true" applyAlignment="false" applyProtection="false">
      <alignment horizontal="general" vertical="bottom" textRotation="0" wrapText="false" indent="0" shrinkToFit="false"/>
      <protection locked="true" hidden="false"/>
    </xf>
    <xf numFmtId="186" fontId="0" fillId="9" borderId="24" xfId="0" applyFont="true" applyBorder="true" applyAlignment="false" applyProtection="false">
      <alignment horizontal="general" vertical="bottom" textRotation="0" wrapText="false" indent="0" shrinkToFit="false"/>
      <protection locked="true" hidden="false"/>
    </xf>
    <xf numFmtId="164" fontId="29" fillId="0" borderId="25" xfId="0" applyFont="true" applyBorder="true" applyAlignment="true" applyProtection="false">
      <alignment horizontal="center" vertical="bottom" textRotation="0" wrapText="false" indent="0" shrinkToFit="false"/>
      <protection locked="true" hidden="false"/>
    </xf>
    <xf numFmtId="164" fontId="0" fillId="0" borderId="26"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0" fillId="0" borderId="12" xfId="0" applyFont="true" applyBorder="true" applyAlignment="false" applyProtection="false">
      <alignment horizontal="general" vertical="bottom" textRotation="0" wrapText="false" indent="0" shrinkToFit="false"/>
      <protection locked="true" hidden="false"/>
    </xf>
    <xf numFmtId="167" fontId="0" fillId="0" borderId="28" xfId="0" applyFont="true" applyBorder="true" applyAlignment="false" applyProtection="false">
      <alignment horizontal="general" vertical="bottom" textRotation="0" wrapText="false" indent="0" shrinkToFit="false"/>
      <protection locked="true" hidden="false"/>
    </xf>
    <xf numFmtId="164" fontId="30" fillId="2" borderId="0" xfId="0" applyFont="true" applyBorder="false" applyAlignment="false" applyProtection="false">
      <alignment horizontal="general" vertical="bottom" textRotation="0" wrapText="fals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64" fontId="0" fillId="0" borderId="17" xfId="0" applyFont="true" applyBorder="true" applyAlignment="false" applyProtection="false">
      <alignment horizontal="general" vertical="bottom" textRotation="0" wrapText="false" indent="0" shrinkToFit="false"/>
      <protection locked="true" hidden="false"/>
    </xf>
    <xf numFmtId="167" fontId="0" fillId="0" borderId="18" xfId="0" applyFont="true" applyBorder="true" applyAlignment="false" applyProtection="false">
      <alignment horizontal="general" vertical="bottom" textRotation="0" wrapText="false" indent="0" shrinkToFit="false"/>
      <protection locked="true" hidden="false"/>
    </xf>
    <xf numFmtId="164" fontId="0" fillId="0" borderId="20" xfId="0" applyFont="true" applyBorder="true" applyAlignment="true" applyProtection="false">
      <alignment horizontal="left" vertical="bottom" textRotation="0" wrapText="false" indent="0" shrinkToFit="false"/>
      <protection locked="true" hidden="false"/>
    </xf>
    <xf numFmtId="167" fontId="0" fillId="0" borderId="21" xfId="19" applyFont="true" applyBorder="true" applyAlignment="true" applyProtection="false">
      <alignment horizontal="right" vertical="bottom" textRotation="0" wrapText="false" indent="0" shrinkToFit="false"/>
      <protection locked="true" hidden="false"/>
    </xf>
    <xf numFmtId="167" fontId="24" fillId="0" borderId="21" xfId="0" applyFont="true" applyBorder="true" applyAlignment="true" applyProtection="false">
      <alignment horizontal="right" vertical="bottom" textRotation="0" wrapText="false" indent="0" shrinkToFit="false"/>
      <protection locked="true" hidden="false"/>
    </xf>
    <xf numFmtId="164" fontId="15" fillId="0" borderId="22" xfId="0" applyFont="true" applyBorder="true" applyAlignment="false" applyProtection="false">
      <alignment horizontal="general" vertical="bottom" textRotation="0" wrapText="false" indent="0" shrinkToFit="false"/>
      <protection locked="true" hidden="false"/>
    </xf>
    <xf numFmtId="164" fontId="0" fillId="0" borderId="23" xfId="0" applyFont="true" applyBorder="true" applyAlignment="false" applyProtection="false">
      <alignment horizontal="general" vertical="bottom" textRotation="0" wrapText="false" indent="0" shrinkToFit="false"/>
      <protection locked="true" hidden="false"/>
    </xf>
    <xf numFmtId="167" fontId="0" fillId="0" borderId="24"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left" vertical="bottom" textRotation="0" wrapText="false" indent="0" shrinkToFit="false"/>
      <protection locked="true" hidden="false"/>
    </xf>
    <xf numFmtId="167" fontId="0" fillId="0" borderId="28" xfId="19" applyFont="true" applyBorder="true" applyAlignment="true" applyProtection="false">
      <alignment horizontal="right" vertical="bottom" textRotation="0" wrapText="false" indent="0" shrinkToFit="false"/>
      <protection locked="true" hidden="false"/>
    </xf>
    <xf numFmtId="164" fontId="0" fillId="0" borderId="17" xfId="0" applyFont="true" applyBorder="true" applyAlignment="true" applyProtection="false">
      <alignment horizontal="right" vertical="bottom" textRotation="0" wrapText="false" indent="0" shrinkToFit="false"/>
      <protection locked="true" hidden="false"/>
    </xf>
    <xf numFmtId="164" fontId="0" fillId="0" borderId="12" xfId="0" applyFont="true" applyBorder="true" applyAlignment="true" applyProtection="false">
      <alignment horizontal="right"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4" fillId="0" borderId="0" xfId="0" applyFont="true" applyBorder="false" applyAlignment="true" applyProtection="false">
      <alignment horizontal="right" vertical="bottom" textRotation="0" wrapText="false" indent="0" shrinkToFit="false"/>
      <protection locked="true" hidden="false"/>
    </xf>
    <xf numFmtId="168" fontId="24" fillId="0" borderId="0" xfId="0" applyFont="true" applyBorder="false" applyAlignment="true" applyProtection="false">
      <alignment horizontal="right" vertical="bottom" textRotation="0" wrapText="false" indent="0" shrinkToFit="false"/>
      <protection locked="true" hidden="false"/>
    </xf>
    <xf numFmtId="171" fontId="24" fillId="0" borderId="0" xfId="0" applyFont="true" applyBorder="false" applyAlignment="false" applyProtection="false">
      <alignment horizontal="general" vertical="bottom" textRotation="0" wrapText="false" indent="0" shrinkToFit="false"/>
      <protection locked="true" hidden="false"/>
    </xf>
    <xf numFmtId="186" fontId="0" fillId="8" borderId="0" xfId="0" applyFont="true" applyBorder="false" applyAlignment="false" applyProtection="false">
      <alignment horizontal="general" vertical="bottom" textRotation="0" wrapText="false" indent="0" shrinkToFit="false"/>
      <protection locked="true" hidden="false"/>
    </xf>
    <xf numFmtId="164" fontId="15" fillId="0" borderId="17" xfId="0" applyFont="true" applyBorder="true" applyAlignment="false" applyProtection="false">
      <alignment horizontal="general" vertical="bottom" textRotation="0" wrapText="false" indent="0" shrinkToFit="false"/>
      <protection locked="true" hidden="false"/>
    </xf>
    <xf numFmtId="168" fontId="31" fillId="0" borderId="17" xfId="0" applyFont="true" applyBorder="true" applyAlignment="true" applyProtection="false">
      <alignment horizontal="right" vertical="bottom" textRotation="0" wrapText="false" indent="0" shrinkToFit="false"/>
      <protection locked="true" hidden="false"/>
    </xf>
    <xf numFmtId="167" fontId="31" fillId="0" borderId="17" xfId="0" applyFont="true" applyBorder="true" applyAlignment="true" applyProtection="false">
      <alignment horizontal="right" vertical="bottom" textRotation="0" wrapText="false" indent="0" shrinkToFit="false"/>
      <protection locked="true" hidden="false"/>
    </xf>
    <xf numFmtId="186" fontId="0" fillId="0" borderId="17" xfId="0" applyFont="true" applyBorder="true" applyAlignment="false" applyProtection="false">
      <alignment horizontal="general" vertical="bottom" textRotation="0" wrapText="false" indent="0" shrinkToFit="false"/>
      <protection locked="true" hidden="false"/>
    </xf>
    <xf numFmtId="168" fontId="31" fillId="0" borderId="12" xfId="0" applyFont="true" applyBorder="true" applyAlignment="true" applyProtection="false">
      <alignment horizontal="right" vertical="bottom" textRotation="0" wrapText="false" indent="0" shrinkToFit="false"/>
      <protection locked="true" hidden="false"/>
    </xf>
    <xf numFmtId="167" fontId="0" fillId="0" borderId="12" xfId="0" applyFont="true" applyBorder="true" applyAlignment="false" applyProtection="false">
      <alignment horizontal="general" vertical="bottom" textRotation="0" wrapText="false" indent="0" shrinkToFit="false"/>
      <protection locked="true" hidden="false"/>
    </xf>
    <xf numFmtId="186" fontId="0" fillId="0" borderId="12" xfId="0" applyFont="true" applyBorder="true" applyAlignment="false" applyProtection="false">
      <alignment horizontal="general" vertical="bottom" textRotation="0" wrapText="false" indent="0" shrinkToFit="false"/>
      <protection locked="true" hidden="false"/>
    </xf>
    <xf numFmtId="171" fontId="32" fillId="0" borderId="0" xfId="0" applyFont="true" applyBorder="false" applyAlignment="false" applyProtection="false">
      <alignment horizontal="general" vertical="bottom" textRotation="0" wrapText="false" indent="0" shrinkToFit="false"/>
      <protection locked="true" hidden="false"/>
    </xf>
    <xf numFmtId="167" fontId="31" fillId="0" borderId="0" xfId="0" applyFont="true" applyBorder="false" applyAlignment="false" applyProtection="false">
      <alignment horizontal="general" vertical="bottom" textRotation="0" wrapText="false" indent="0" shrinkToFit="false"/>
      <protection locked="true" hidden="false"/>
    </xf>
    <xf numFmtId="167" fontId="0" fillId="0" borderId="9" xfId="0" applyFont="true" applyBorder="true" applyAlignment="false" applyProtection="false">
      <alignment horizontal="general" vertical="bottom" textRotation="0" wrapText="false" indent="0" shrinkToFit="false"/>
      <protection locked="true" hidden="false"/>
    </xf>
    <xf numFmtId="168" fontId="0" fillId="0" borderId="9" xfId="0" applyFont="true" applyBorder="true" applyAlignment="false" applyProtection="false">
      <alignment horizontal="general" vertical="bottom" textRotation="0" wrapText="false" indent="0" shrinkToFit="false"/>
      <protection locked="true" hidden="false"/>
    </xf>
    <xf numFmtId="186" fontId="0" fillId="0" borderId="9"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15" fillId="8" borderId="7" xfId="0" applyFont="true" applyBorder="true" applyAlignment="false" applyProtection="false">
      <alignment horizontal="general" vertical="bottom" textRotation="0" wrapText="false" indent="0" shrinkToFit="false"/>
      <protection locked="true" hidden="false"/>
    </xf>
    <xf numFmtId="164" fontId="0" fillId="8" borderId="7" xfId="0" applyFont="true" applyBorder="true" applyAlignment="false" applyProtection="false">
      <alignment horizontal="general" vertical="bottom" textRotation="0" wrapText="false" indent="0" shrinkToFit="false"/>
      <protection locked="true" hidden="false"/>
    </xf>
    <xf numFmtId="167" fontId="0" fillId="8" borderId="7"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5" fontId="7" fillId="2" borderId="0" xfId="0" applyFont="true" applyBorder="false" applyAlignment="true" applyProtection="false">
      <alignment horizontal="right" vertical="bottom" textRotation="0" wrapText="false" indent="0" shrinkToFit="false"/>
      <protection locked="true" hidden="false"/>
    </xf>
    <xf numFmtId="164" fontId="0" fillId="0" borderId="29" xfId="0" applyFont="true" applyBorder="true" applyAlignment="false" applyProtection="false">
      <alignment horizontal="general" vertical="bottom" textRotation="0" wrapText="false" indent="0" shrinkToFit="false"/>
      <protection locked="true" hidden="false"/>
    </xf>
    <xf numFmtId="168" fontId="0" fillId="0" borderId="29" xfId="0" applyFont="true" applyBorder="true" applyAlignment="false" applyProtection="false">
      <alignment horizontal="general" vertical="bottom" textRotation="0" wrapText="false" indent="0" shrinkToFit="false"/>
      <protection locked="true" hidden="false"/>
    </xf>
    <xf numFmtId="164" fontId="15" fillId="0" borderId="30"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8" fontId="0" fillId="0" borderId="30" xfId="0" applyFont="true" applyBorder="true" applyAlignment="false" applyProtection="false">
      <alignment horizontal="general" vertical="bottom" textRotation="0" wrapText="false" indent="0" shrinkToFit="false"/>
      <protection locked="true" hidden="false"/>
    </xf>
    <xf numFmtId="164" fontId="15" fillId="0" borderId="31" xfId="0" applyFont="true" applyBorder="true" applyAlignment="false" applyProtection="false">
      <alignment horizontal="general" vertical="bottom" textRotation="0" wrapText="false" indent="0" shrinkToFit="false"/>
      <protection locked="true" hidden="false"/>
    </xf>
    <xf numFmtId="164" fontId="0" fillId="0" borderId="31" xfId="0" applyFont="true" applyBorder="true" applyAlignment="false" applyProtection="false">
      <alignment horizontal="general" vertical="bottom" textRotation="0" wrapText="false" indent="0" shrinkToFit="false"/>
      <protection locked="true" hidden="false"/>
    </xf>
    <xf numFmtId="168" fontId="0" fillId="0" borderId="31" xfId="0" applyFont="true" applyBorder="true" applyAlignment="false" applyProtection="false">
      <alignment horizontal="general" vertical="bottom" textRotation="0" wrapText="false" indent="0" shrinkToFit="false"/>
      <protection locked="true" hidden="false"/>
    </xf>
    <xf numFmtId="164" fontId="0" fillId="0" borderId="32" xfId="0" applyFont="true" applyBorder="true" applyAlignment="false" applyProtection="false">
      <alignment horizontal="general" vertical="bottom" textRotation="0" wrapText="false" indent="0" shrinkToFit="false"/>
      <protection locked="true" hidden="false"/>
    </xf>
    <xf numFmtId="168" fontId="0" fillId="0" borderId="32" xfId="0" applyFont="true" applyBorder="tru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15" fillId="0" borderId="29" xfId="0" applyFont="true" applyBorder="true" applyAlignment="false" applyProtection="false">
      <alignment horizontal="general" vertical="bottom" textRotation="0" wrapText="false" indent="0" shrinkToFit="false"/>
      <protection locked="true" hidden="false"/>
    </xf>
    <xf numFmtId="167" fontId="15" fillId="0" borderId="30" xfId="19" applyFont="true" applyBorder="true" applyAlignment="false" applyProtection="false">
      <alignment horizontal="general" vertical="bottom" textRotation="0" wrapText="false" indent="0" shrinkToFit="false"/>
      <protection locked="true" hidden="false"/>
    </xf>
    <xf numFmtId="167" fontId="0" fillId="0" borderId="29" xfId="0" applyFont="true" applyBorder="true" applyAlignment="false" applyProtection="false">
      <alignment horizontal="general" vertical="bottom" textRotation="0" wrapText="false" indent="0" shrinkToFit="false"/>
      <protection locked="true" hidden="false"/>
    </xf>
    <xf numFmtId="164" fontId="0" fillId="0" borderId="33" xfId="0" applyFont="true" applyBorder="true" applyAlignment="false" applyProtection="false">
      <alignment horizontal="general" vertical="bottom" textRotation="0" wrapText="false" indent="0" shrinkToFit="false"/>
      <protection locked="true" hidden="false"/>
    </xf>
    <xf numFmtId="168" fontId="0" fillId="0" borderId="33" xfId="0" applyFont="true" applyBorder="true" applyAlignment="false" applyProtection="false">
      <alignment horizontal="general" vertical="bottom" textRotation="0" wrapText="false" indent="0" shrinkToFit="false"/>
      <protection locked="true" hidden="false"/>
    </xf>
    <xf numFmtId="167" fontId="0" fillId="0" borderId="30" xfId="19" applyFont="true" applyBorder="true" applyAlignment="false" applyProtection="false">
      <alignment horizontal="general" vertical="bottom" textRotation="0" wrapText="false" indent="0" shrinkToFit="false"/>
      <protection locked="true" hidden="false"/>
    </xf>
    <xf numFmtId="164" fontId="0" fillId="8" borderId="5" xfId="0" applyFont="true" applyBorder="true" applyAlignment="false" applyProtection="false">
      <alignment horizontal="general" vertical="bottom" textRotation="0" wrapText="false" indent="0" shrinkToFit="false"/>
      <protection locked="true" hidden="false"/>
    </xf>
    <xf numFmtId="167" fontId="0" fillId="8" borderId="5" xfId="0" applyFont="true" applyBorder="true" applyAlignment="false" applyProtection="false">
      <alignment horizontal="general"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7" fontId="24" fillId="0" borderId="29" xfId="0" applyFont="true" applyBorder="true" applyAlignment="false" applyProtection="false">
      <alignment horizontal="general" vertical="bottom" textRotation="0" wrapText="false" indent="0" shrinkToFit="false"/>
      <protection locked="true" hidden="false"/>
    </xf>
    <xf numFmtId="164" fontId="24" fillId="0" borderId="29" xfId="0" applyFont="true" applyBorder="true" applyAlignment="false" applyProtection="false">
      <alignment horizontal="general" vertical="bottom" textRotation="0" wrapText="false" indent="0" shrinkToFit="false"/>
      <protection locked="true" hidden="false"/>
    </xf>
    <xf numFmtId="171" fontId="0" fillId="0" borderId="0" xfId="19" applyFont="true" applyBorder="false" applyAlignment="false" applyProtection="false">
      <alignment horizontal="general" vertical="bottom" textRotation="0" wrapText="false" indent="0" shrinkToFit="false"/>
      <protection locked="true" hidden="false"/>
    </xf>
    <xf numFmtId="187" fontId="0" fillId="0" borderId="29" xfId="0" applyFont="true" applyBorder="true" applyAlignment="false" applyProtection="false">
      <alignment horizontal="general" vertical="bottom" textRotation="0" wrapText="false" indent="0" shrinkToFit="false"/>
      <protection locked="true" hidden="false"/>
    </xf>
    <xf numFmtId="178" fontId="15" fillId="0" borderId="30" xfId="0" applyFont="true" applyBorder="tru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7" fontId="24" fillId="8" borderId="0" xfId="0" applyFont="true" applyBorder="false" applyAlignment="false" applyProtection="false">
      <alignment horizontal="general" vertical="bottom" textRotation="0" wrapText="false" indent="0" shrinkToFit="false"/>
      <protection locked="true" hidden="false"/>
    </xf>
    <xf numFmtId="188" fontId="7" fillId="2" borderId="19"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6" fontId="34" fillId="0" borderId="0" xfId="19" applyFont="true" applyBorder="false" applyAlignment="false" applyProtection="false">
      <alignment horizontal="general" vertical="bottom" textRotation="0" wrapText="false" indent="0" shrinkToFit="false"/>
      <protection locked="true" hidden="false"/>
    </xf>
    <xf numFmtId="171" fontId="24" fillId="0" borderId="0" xfId="19" applyFont="true" applyBorder="false" applyAlignment="false" applyProtection="false">
      <alignment horizontal="general" vertical="bottom" textRotation="0" wrapText="false" indent="0" shrinkToFit="false"/>
      <protection locked="true" hidden="false"/>
    </xf>
    <xf numFmtId="167" fontId="24" fillId="0" borderId="0" xfId="19" applyFont="true" applyBorder="false" applyAlignment="false" applyProtection="false">
      <alignment horizontal="general" vertical="bottom" textRotation="0" wrapText="false" indent="0" shrinkToFit="false"/>
      <protection locked="true" hidden="false"/>
    </xf>
    <xf numFmtId="171" fontId="24" fillId="0" borderId="21" xfId="19" applyFont="true" applyBorder="true" applyAlignment="false" applyProtection="false">
      <alignment horizontal="general" vertical="bottom" textRotation="0" wrapText="false" indent="0" shrinkToFit="false"/>
      <protection locked="true" hidden="false"/>
    </xf>
    <xf numFmtId="189" fontId="0" fillId="0" borderId="34" xfId="19" applyFont="true" applyBorder="true" applyAlignment="false" applyProtection="false">
      <alignment horizontal="general" vertical="bottom" textRotation="0" wrapText="false" indent="0" shrinkToFit="false"/>
      <protection locked="true" hidden="false"/>
    </xf>
    <xf numFmtId="189" fontId="0" fillId="0" borderId="2" xfId="19" applyFont="true" applyBorder="true" applyAlignment="false" applyProtection="false">
      <alignment horizontal="general" vertical="bottom" textRotation="0" wrapText="false" indent="0" shrinkToFit="false"/>
      <protection locked="true" hidden="false"/>
    </xf>
    <xf numFmtId="189" fontId="0" fillId="0" borderId="35" xfId="19" applyFont="true" applyBorder="true" applyAlignment="false" applyProtection="false">
      <alignment horizontal="general" vertical="bottom" textRotation="0" wrapText="false" indent="0" shrinkToFit="false"/>
      <protection locked="true" hidden="false"/>
    </xf>
    <xf numFmtId="189" fontId="0" fillId="0" borderId="36" xfId="19" applyFont="true" applyBorder="true" applyAlignment="false" applyProtection="false">
      <alignment horizontal="general" vertical="bottom" textRotation="0" wrapText="false" indent="0" shrinkToFit="false"/>
      <protection locked="true" hidden="false"/>
    </xf>
    <xf numFmtId="189" fontId="0" fillId="0" borderId="0" xfId="19" applyFont="true" applyBorder="false" applyAlignment="false" applyProtection="false">
      <alignment horizontal="general" vertical="bottom" textRotation="0" wrapText="false" indent="0" shrinkToFit="false"/>
      <protection locked="true" hidden="false"/>
    </xf>
    <xf numFmtId="189" fontId="0" fillId="0" borderId="21" xfId="19" applyFont="true" applyBorder="true" applyAlignment="false" applyProtection="false">
      <alignment horizontal="general" vertical="bottom" textRotation="0" wrapText="false" indent="0" shrinkToFit="false"/>
      <protection locked="true" hidden="false"/>
    </xf>
    <xf numFmtId="164" fontId="15" fillId="0" borderId="20" xfId="0" applyFont="true" applyBorder="true" applyAlignment="false" applyProtection="false">
      <alignment horizontal="general" vertical="bottom" textRotation="0" wrapText="false" indent="0" shrinkToFit="false"/>
      <protection locked="true" hidden="false"/>
    </xf>
    <xf numFmtId="189" fontId="0" fillId="8" borderId="0" xfId="19" applyFont="true" applyBorder="false" applyAlignment="false" applyProtection="false">
      <alignment horizontal="general" vertical="bottom" textRotation="0" wrapText="false" indent="0" shrinkToFit="false"/>
      <protection locked="true" hidden="false"/>
    </xf>
    <xf numFmtId="171" fontId="24" fillId="0" borderId="12" xfId="19" applyFont="true" applyBorder="true" applyAlignment="false" applyProtection="false">
      <alignment horizontal="general" vertical="bottom" textRotation="0" wrapText="false" indent="0" shrinkToFit="false"/>
      <protection locked="true" hidden="false"/>
    </xf>
    <xf numFmtId="189" fontId="0" fillId="0" borderId="37" xfId="19" applyFont="true" applyBorder="true" applyAlignment="false" applyProtection="false">
      <alignment horizontal="general" vertical="bottom" textRotation="0" wrapText="false" indent="0" shrinkToFit="false"/>
      <protection locked="true" hidden="false"/>
    </xf>
    <xf numFmtId="189" fontId="0" fillId="0" borderId="12" xfId="19" applyFont="true" applyBorder="true" applyAlignment="false" applyProtection="false">
      <alignment horizontal="general" vertical="bottom" textRotation="0" wrapText="false" indent="0" shrinkToFit="false"/>
      <protection locked="true" hidden="false"/>
    </xf>
    <xf numFmtId="189" fontId="0" fillId="0" borderId="28" xfId="19" applyFont="true" applyBorder="true" applyAlignment="false" applyProtection="false">
      <alignment horizontal="general" vertical="bottom" textRotation="0" wrapText="false" indent="0" shrinkToFit="false"/>
      <protection locked="true" hidden="false"/>
    </xf>
    <xf numFmtId="166" fontId="15" fillId="0" borderId="30" xfId="0" applyFont="true" applyBorder="true" applyAlignment="false" applyProtection="false">
      <alignment horizontal="general" vertical="bottom" textRotation="0" wrapText="false" indent="0" shrinkToFit="false"/>
      <protection locked="true" hidden="false"/>
    </xf>
    <xf numFmtId="169" fontId="0" fillId="0" borderId="29" xfId="0" applyFont="true" applyBorder="true" applyAlignment="false" applyProtection="false">
      <alignment horizontal="general" vertical="bottom" textRotation="0" wrapText="false" indent="0" shrinkToFit="false"/>
      <protection locked="true" hidden="false"/>
    </xf>
    <xf numFmtId="164" fontId="12" fillId="0" borderId="15" xfId="0" applyFont="true" applyBorder="true" applyAlignment="false" applyProtection="false">
      <alignment horizontal="general" vertical="bottom" textRotation="0" wrapText="fals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64" fontId="35" fillId="2" borderId="0" xfId="0" applyFont="true" applyBorder="false" applyAlignment="false" applyProtection="false">
      <alignment horizontal="general" vertical="bottom" textRotation="0" wrapText="false" indent="0" shrinkToFit="false"/>
      <protection locked="true" hidden="false"/>
    </xf>
    <xf numFmtId="164" fontId="23" fillId="2" borderId="38" xfId="0" applyFont="true" applyBorder="true" applyAlignment="true" applyProtection="false">
      <alignment horizontal="center" vertical="bottom" textRotation="0" wrapText="false" indent="0" shrinkToFit="false"/>
      <protection locked="true" hidden="false"/>
    </xf>
    <xf numFmtId="164" fontId="23" fillId="2" borderId="0" xfId="0" applyFont="true" applyBorder="false" applyAlignment="true" applyProtection="false">
      <alignment horizontal="center" vertical="bottom" textRotation="0" wrapText="false" indent="0" shrinkToFit="false"/>
      <protection locked="true" hidden="false"/>
    </xf>
    <xf numFmtId="164" fontId="23" fillId="2" borderId="0" xfId="0" applyFont="true" applyBorder="false" applyAlignment="fals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right" vertical="bottom" textRotation="0" wrapText="false" indent="0" shrinkToFit="false"/>
      <protection locked="true" hidden="false"/>
    </xf>
    <xf numFmtId="190" fontId="0" fillId="8" borderId="0" xfId="0" applyFont="true" applyBorder="false" applyAlignment="false" applyProtection="false">
      <alignment horizontal="general" vertical="bottom" textRotation="0" wrapText="false" indent="0" shrinkToFit="false"/>
      <protection locked="true" hidden="false"/>
    </xf>
    <xf numFmtId="190" fontId="0" fillId="0" borderId="29" xfId="0" applyFont="true" applyBorder="true" applyAlignment="false" applyProtection="false">
      <alignment horizontal="general" vertical="bottom" textRotation="0" wrapText="false" indent="0" shrinkToFit="false"/>
      <protection locked="true" hidden="false"/>
    </xf>
    <xf numFmtId="164" fontId="0" fillId="8" borderId="29" xfId="0" applyFont="true" applyBorder="true" applyAlignment="false" applyProtection="false">
      <alignment horizontal="general" vertical="bottom" textRotation="0" wrapText="false" indent="0" shrinkToFit="false"/>
      <protection locked="true" hidden="false"/>
    </xf>
    <xf numFmtId="190" fontId="0" fillId="8" borderId="29" xfId="0" applyFont="true" applyBorder="true" applyAlignment="false" applyProtection="false">
      <alignment horizontal="general" vertical="bottom" textRotation="0" wrapText="false" indent="0" shrinkToFit="false"/>
      <protection locked="true" hidden="false"/>
    </xf>
    <xf numFmtId="164" fontId="15" fillId="8" borderId="29" xfId="0" applyFont="true" applyBorder="true" applyAlignment="false" applyProtection="false">
      <alignment horizontal="general" vertical="bottom" textRotation="0" wrapText="false" indent="0" shrinkToFit="false"/>
      <protection locked="true" hidden="false"/>
    </xf>
    <xf numFmtId="190" fontId="15" fillId="8" borderId="29" xfId="0" applyFont="true" applyBorder="true" applyAlignment="false" applyProtection="false">
      <alignment horizontal="general" vertical="bottom" textRotation="0" wrapText="false" indent="0" shrinkToFit="false"/>
      <protection locked="true" hidden="false"/>
    </xf>
    <xf numFmtId="164" fontId="36" fillId="2" borderId="0" xfId="0" applyFont="true" applyBorder="false" applyAlignment="false" applyProtection="false">
      <alignment horizontal="general" vertical="bottom" textRotation="0" wrapText="false" indent="0" shrinkToFit="false"/>
      <protection locked="true" hidden="false"/>
    </xf>
    <xf numFmtId="164" fontId="36" fillId="2" borderId="0" xfId="0" applyFont="true" applyBorder="false" applyAlignment="true" applyProtection="false">
      <alignment horizontal="center" vertical="bottom" textRotation="0" wrapText="false" indent="0" shrinkToFit="false"/>
      <protection locked="true" hidden="false"/>
    </xf>
    <xf numFmtId="164" fontId="36" fillId="2" borderId="0" xfId="0" applyFont="true" applyBorder="false" applyAlignment="true" applyProtection="false">
      <alignment horizontal="right" vertical="bottom" textRotation="0" wrapText="false" indent="0" shrinkToFit="false"/>
      <protection locked="true" hidden="false"/>
    </xf>
    <xf numFmtId="164" fontId="0" fillId="8" borderId="30" xfId="0" applyFont="true" applyBorder="true" applyAlignment="false" applyProtection="false">
      <alignment horizontal="general" vertical="bottom" textRotation="0" wrapText="false" indent="0" shrinkToFit="false"/>
      <protection locked="true" hidden="false"/>
    </xf>
    <xf numFmtId="168" fontId="0" fillId="8" borderId="30" xfId="0" applyFont="true" applyBorder="true" applyAlignment="false" applyProtection="false">
      <alignment horizontal="general" vertical="bottom" textRotation="0" wrapText="false" indent="0" shrinkToFit="false"/>
      <protection locked="true" hidden="false"/>
    </xf>
    <xf numFmtId="164" fontId="0" fillId="8" borderId="39" xfId="0" applyFont="true" applyBorder="true" applyAlignment="false" applyProtection="false">
      <alignment horizontal="general" vertical="bottom" textRotation="0" wrapText="false" indent="0" shrinkToFit="false"/>
      <protection locked="true" hidden="false"/>
    </xf>
    <xf numFmtId="164" fontId="14" fillId="2"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0" fillId="0" borderId="42" xfId="0" applyFont="true" applyBorder="true" applyAlignment="true" applyProtection="false">
      <alignment horizontal="right" vertical="bottom" textRotation="0" wrapText="false" indent="0" shrinkToFit="false"/>
      <protection locked="true" hidden="false"/>
    </xf>
    <xf numFmtId="168" fontId="0" fillId="0" borderId="0" xfId="0" applyFont="true" applyBorder="false" applyAlignment="true" applyProtection="false">
      <alignment horizontal="right" vertical="bottom" textRotation="0" wrapText="false" indent="0" shrinkToFit="false"/>
      <protection locked="true" hidden="false"/>
    </xf>
    <xf numFmtId="168" fontId="0" fillId="0" borderId="42" xfId="0" applyFont="true" applyBorder="true" applyAlignment="true" applyProtection="false">
      <alignment horizontal="right" vertical="bottom" textRotation="0" wrapText="false" indent="0" shrinkToFit="false"/>
      <protection locked="true" hidden="false"/>
    </xf>
    <xf numFmtId="164" fontId="0" fillId="0" borderId="43" xfId="0" applyFont="true" applyBorder="true" applyAlignment="false" applyProtection="false">
      <alignment horizontal="general" vertical="bottom" textRotation="0" wrapText="false" indent="0" shrinkToFit="false"/>
      <protection locked="true" hidden="false"/>
    </xf>
    <xf numFmtId="168" fontId="0" fillId="0" borderId="26" xfId="0" applyFont="true" applyBorder="true" applyAlignment="true" applyProtection="false">
      <alignment horizontal="right" vertical="bottom" textRotation="0" wrapText="false" indent="0" shrinkToFit="false"/>
      <protection locked="true" hidden="false"/>
    </xf>
    <xf numFmtId="191" fontId="0" fillId="0" borderId="26" xfId="0" applyFont="true" applyBorder="true" applyAlignment="false" applyProtection="false">
      <alignment horizontal="general" vertical="bottom" textRotation="0" wrapText="false" indent="0" shrinkToFit="false"/>
      <protection locked="true" hidden="false"/>
    </xf>
    <xf numFmtId="191" fontId="37" fillId="0" borderId="44" xfId="0" applyFont="true" applyBorder="true" applyAlignment="false" applyProtection="false">
      <alignment horizontal="general" vertical="bottom" textRotation="0" wrapText="false" indent="0" shrinkToFit="false"/>
      <protection locked="true" hidden="false"/>
    </xf>
    <xf numFmtId="193" fontId="0" fillId="0" borderId="0" xfId="0" applyFont="true" applyBorder="false" applyAlignment="false" applyProtection="false">
      <alignment horizontal="general" vertical="bottom" textRotation="0" wrapText="false" indent="0" shrinkToFit="false"/>
      <protection locked="true" hidden="false"/>
    </xf>
    <xf numFmtId="167" fontId="0" fillId="0" borderId="29" xfId="19" applyFont="true" applyBorder="true" applyAlignment="false" applyProtection="false">
      <alignment horizontal="general" vertical="bottom" textRotation="0" wrapText="false" indent="0" shrinkToFit="false"/>
      <protection locked="true" hidden="false"/>
    </xf>
    <xf numFmtId="166" fontId="0" fillId="0" borderId="29" xfId="0" applyFont="true" applyBorder="true" applyAlignment="false" applyProtection="false">
      <alignment horizontal="general" vertical="bottom" textRotation="0" wrapText="false" indent="0" shrinkToFit="false"/>
      <protection locked="true" hidden="false"/>
    </xf>
    <xf numFmtId="167" fontId="0" fillId="0" borderId="29" xfId="0" applyFont="true" applyBorder="true" applyAlignment="true" applyProtection="false">
      <alignment horizontal="left" vertical="bottom" textRotation="0" wrapText="false" indent="0" shrinkToFit="false"/>
      <protection locked="true" hidden="false"/>
    </xf>
    <xf numFmtId="167" fontId="0" fillId="0" borderId="29" xfId="0" applyFont="true" applyBorder="true" applyAlignment="true" applyProtection="false">
      <alignment horizontal="right" vertical="bottom" textRotation="0" wrapText="false" indent="0" shrinkToFit="false"/>
      <protection locked="true" hidden="false"/>
    </xf>
    <xf numFmtId="167" fontId="0" fillId="0" borderId="29" xfId="19" applyFont="true" applyBorder="true" applyAlignment="true" applyProtection="false">
      <alignment horizontal="right" vertical="bottom" textRotation="0" wrapText="false" indent="0" shrinkToFit="false"/>
      <protection locked="true" hidden="false"/>
    </xf>
    <xf numFmtId="168" fontId="0" fillId="0" borderId="29" xfId="0" applyFont="true" applyBorder="true" applyAlignment="true" applyProtection="false">
      <alignment horizontal="right" vertical="bottom" textRotation="0" wrapText="false" indent="0" shrinkToFit="false"/>
      <protection locked="true" hidden="false"/>
    </xf>
    <xf numFmtId="166" fontId="24" fillId="0" borderId="29" xfId="0" applyFont="true" applyBorder="true" applyAlignment="false" applyProtection="false">
      <alignment horizontal="general" vertical="bottom" textRotation="0" wrapText="false" indent="0" shrinkToFit="false"/>
      <protection locked="true" hidden="false"/>
    </xf>
    <xf numFmtId="167" fontId="24" fillId="0" borderId="29" xfId="0" applyFont="true" applyBorder="true" applyAlignment="true" applyProtection="false">
      <alignment horizontal="left"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true" applyAlignment="true" applyProtection="false">
      <alignment horizontal="left" vertical="top" textRotation="0" wrapText="true" indent="0" shrinkToFit="false"/>
      <protection locked="true" hidden="false"/>
    </xf>
    <xf numFmtId="164" fontId="41" fillId="0" borderId="0" xfId="0" applyFont="true" applyBorder="false" applyAlignment="true" applyProtection="false">
      <alignment horizontal="general" vertical="center" textRotation="0" wrapText="false" indent="0" shrinkToFit="false"/>
      <protection locked="true" hidden="false"/>
    </xf>
    <xf numFmtId="194" fontId="15" fillId="0" borderId="0" xfId="0" applyFont="true" applyBorder="false" applyAlignment="false" applyProtection="false">
      <alignment horizontal="general" vertical="bottom" textRotation="0" wrapText="false" indent="0" shrinkToFit="false"/>
      <protection locked="true" hidden="false"/>
    </xf>
    <xf numFmtId="167" fontId="15" fillId="8" borderId="0" xfId="19" applyFont="true" applyBorder="false" applyAlignment="false" applyProtection="false">
      <alignment horizontal="general" vertical="bottom" textRotation="0" wrapText="false" indent="0" shrinkToFit="false"/>
      <protection locked="true" hidden="false"/>
    </xf>
    <xf numFmtId="190" fontId="15" fillId="8" borderId="0" xfId="19" applyFont="true" applyBorder="false" applyAlignment="false" applyProtection="false">
      <alignment horizontal="general" vertical="bottom" textRotation="0" wrapText="false" indent="0" shrinkToFit="false"/>
      <protection locked="true" hidden="false"/>
    </xf>
    <xf numFmtId="164" fontId="42" fillId="0" borderId="11" xfId="0" applyFont="true" applyBorder="true" applyAlignment="true" applyProtection="false">
      <alignment horizontal="center" vertical="bottom" textRotation="0" wrapText="false" indent="0" shrinkToFit="false"/>
      <protection locked="true" hidden="false"/>
    </xf>
    <xf numFmtId="184" fontId="0" fillId="0" borderId="0" xfId="19"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4" fontId="43" fillId="8" borderId="0" xfId="0" applyFont="true" applyBorder="false" applyAlignment="false" applyProtection="false">
      <alignment horizontal="general" vertical="bottom" textRotation="0" wrapText="false" indent="0" shrinkToFit="false"/>
      <protection locked="true" hidden="false"/>
    </xf>
    <xf numFmtId="164" fontId="43" fillId="8" borderId="0" xfId="0" applyFont="true" applyBorder="false" applyAlignment="true" applyProtection="false">
      <alignment horizontal="center"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0" fillId="10" borderId="0" xfId="0" applyFont="true" applyBorder="false" applyAlignment="true" applyProtection="false">
      <alignment horizontal="general" vertical="bottom" textRotation="0" wrapText="true" indent="0" shrinkToFit="false"/>
      <protection locked="true" hidden="false"/>
    </xf>
    <xf numFmtId="173" fontId="44" fillId="0" borderId="0" xfId="0" applyFont="true" applyBorder="true" applyAlignment="true" applyProtection="false">
      <alignment horizontal="center" vertical="bottom" textRotation="0" wrapText="false" indent="0" shrinkToFit="false"/>
      <protection locked="true" hidden="false"/>
    </xf>
    <xf numFmtId="173" fontId="14" fillId="11" borderId="0" xfId="0" applyFont="true" applyBorder="true" applyAlignment="true" applyProtection="false">
      <alignment horizontal="center" vertical="bottom" textRotation="0" wrapText="false" indent="0" shrinkToFit="false"/>
      <protection locked="true" hidden="false"/>
    </xf>
    <xf numFmtId="195" fontId="14" fillId="12" borderId="0" xfId="0" applyFont="true" applyBorder="false" applyAlignment="false" applyProtection="false">
      <alignment horizontal="general" vertical="bottom" textRotation="0" wrapText="false" indent="0" shrinkToFit="false"/>
      <protection locked="true" hidden="false"/>
    </xf>
    <xf numFmtId="195" fontId="14" fillId="12" borderId="0" xfId="0" applyFont="true" applyBorder="false" applyAlignment="true" applyProtection="false">
      <alignment horizontal="center" vertical="bottom" textRotation="0" wrapText="false" indent="0" shrinkToFit="false"/>
      <protection locked="true" hidden="false"/>
    </xf>
    <xf numFmtId="195" fontId="31" fillId="0" borderId="0" xfId="0" applyFont="true" applyBorder="false" applyAlignment="false" applyProtection="false">
      <alignment horizontal="general" vertical="bottom" textRotation="0" wrapText="fals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64" fontId="15" fillId="0" borderId="45" xfId="0" applyFont="true" applyBorder="true" applyAlignment="false" applyProtection="false">
      <alignment horizontal="general" vertical="bottom" textRotation="0" wrapText="false" indent="0" shrinkToFit="false"/>
      <protection locked="true" hidden="false"/>
    </xf>
    <xf numFmtId="168" fontId="0" fillId="0" borderId="45" xfId="0" applyFont="true" applyBorder="true" applyAlignment="false" applyProtection="false">
      <alignment horizontal="general" vertical="bottom" textRotation="0" wrapText="false" indent="0" shrinkToFit="false"/>
      <protection locked="true" hidden="false"/>
    </xf>
    <xf numFmtId="164" fontId="15" fillId="0" borderId="3" xfId="0" applyFont="true" applyBorder="true" applyAlignment="false" applyProtection="false">
      <alignment horizontal="general" vertical="bottom" textRotation="0" wrapText="false" indent="0" shrinkToFit="false"/>
      <protection locked="true" hidden="false"/>
    </xf>
    <xf numFmtId="168" fontId="0" fillId="0" borderId="3" xfId="0" applyFont="true" applyBorder="true" applyAlignment="false" applyProtection="false">
      <alignment horizontal="general" vertical="bottom" textRotation="0" wrapText="false" indent="0" shrinkToFit="false"/>
      <protection locked="true" hidden="false"/>
    </xf>
    <xf numFmtId="164" fontId="15" fillId="0" borderId="46" xfId="0" applyFont="true" applyBorder="true" applyAlignment="false" applyProtection="false">
      <alignment horizontal="general" vertical="bottom" textRotation="0" wrapText="false" indent="0" shrinkToFit="false"/>
      <protection locked="true" hidden="false"/>
    </xf>
    <xf numFmtId="170" fontId="15" fillId="0" borderId="46" xfId="0" applyFont="true" applyBorder="true" applyAlignment="false" applyProtection="false">
      <alignment horizontal="general" vertical="bottom" textRotation="0" wrapText="false" indent="0" shrinkToFit="false"/>
      <protection locked="true" hidden="false"/>
    </xf>
    <xf numFmtId="170" fontId="0" fillId="0" borderId="29" xfId="0" applyFont="true" applyBorder="true" applyAlignment="false" applyProtection="false">
      <alignment horizontal="general" vertical="bottom" textRotation="0" wrapText="false" indent="0" shrinkToFit="false"/>
      <protection locked="true" hidden="false"/>
    </xf>
    <xf numFmtId="170" fontId="15" fillId="0" borderId="29" xfId="0" applyFont="true" applyBorder="true" applyAlignment="false" applyProtection="false">
      <alignment horizontal="general" vertical="bottom" textRotation="0" wrapText="false" indent="0" shrinkToFit="false"/>
      <protection locked="true" hidden="false"/>
    </xf>
    <xf numFmtId="170" fontId="0" fillId="0" borderId="31" xfId="0" applyFont="true" applyBorder="true" applyAlignment="false" applyProtection="false">
      <alignment horizontal="general" vertical="bottom" textRotation="0" wrapText="false" indent="0" shrinkToFit="false"/>
      <protection locked="true" hidden="false"/>
    </xf>
    <xf numFmtId="170" fontId="15" fillId="0" borderId="31" xfId="0" applyFont="true" applyBorder="true" applyAlignment="false" applyProtection="false">
      <alignment horizontal="general" vertical="bottom" textRotation="0" wrapText="false" indent="0" shrinkToFit="false"/>
      <protection locked="true" hidden="false"/>
    </xf>
    <xf numFmtId="164" fontId="0" fillId="0" borderId="46" xfId="0" applyFont="true" applyBorder="true" applyAlignment="false" applyProtection="false">
      <alignment horizontal="general" vertical="bottom" textRotation="0" wrapText="false" indent="0" shrinkToFit="false"/>
      <protection locked="true" hidden="false"/>
    </xf>
    <xf numFmtId="170" fontId="0" fillId="0" borderId="46" xfId="0" applyFont="true" applyBorder="true" applyAlignment="false" applyProtection="false">
      <alignment horizontal="general" vertical="bottom" textRotation="0" wrapText="false" indent="0" shrinkToFit="false"/>
      <protection locked="true" hidden="false"/>
    </xf>
    <xf numFmtId="171" fontId="0" fillId="0" borderId="31" xfId="0" applyFont="true" applyBorder="true" applyAlignment="false" applyProtection="false">
      <alignment horizontal="general" vertical="bottom" textRotation="0" wrapText="false" indent="0" shrinkToFit="false"/>
      <protection locked="true" hidden="false"/>
    </xf>
    <xf numFmtId="164" fontId="0" fillId="0" borderId="16" xfId="0" applyFont="true" applyBorder="true" applyAlignment="true" applyProtection="false">
      <alignment horizontal="left" vertical="bottom" textRotation="0" wrapText="false" indent="0" shrinkToFit="false"/>
      <protection locked="true" hidden="false"/>
    </xf>
    <xf numFmtId="164" fontId="0" fillId="0" borderId="17" xfId="0" applyFont="true" applyBorder="true" applyAlignment="true" applyProtection="false">
      <alignment horizontal="center" vertical="bottom" textRotation="0" wrapText="false" indent="0" shrinkToFit="false"/>
      <protection locked="true" hidden="false"/>
    </xf>
    <xf numFmtId="164" fontId="0" fillId="0" borderId="18"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18" xfId="0" applyFont="true" applyBorder="true" applyAlignment="false" applyProtection="false">
      <alignment horizontal="general" vertical="bottom" textRotation="0" wrapText="false" indent="0" shrinkToFit="false"/>
      <protection locked="true" hidden="false"/>
    </xf>
    <xf numFmtId="164" fontId="15" fillId="10" borderId="20" xfId="0" applyFont="true" applyBorder="true" applyAlignment="true" applyProtection="false">
      <alignment horizontal="left" vertical="bottom" textRotation="0" wrapText="false" indent="0" shrinkToFit="false"/>
      <protection locked="true" hidden="false"/>
    </xf>
    <xf numFmtId="164" fontId="15" fillId="10" borderId="0" xfId="0" applyFont="true" applyBorder="false" applyAlignment="true" applyProtection="false">
      <alignment horizontal="right" vertical="bottom" textRotation="0" wrapText="false" indent="0" shrinkToFit="false"/>
      <protection locked="true" hidden="false"/>
    </xf>
    <xf numFmtId="164" fontId="15" fillId="10" borderId="21" xfId="0" applyFont="true" applyBorder="true" applyAlignment="true" applyProtection="false">
      <alignment horizontal="right" vertical="bottom" textRotation="0" wrapText="false" indent="0" shrinkToFit="false"/>
      <protection locked="true" hidden="false"/>
    </xf>
    <xf numFmtId="164" fontId="0" fillId="0" borderId="21" xfId="0" applyFont="true" applyBorder="true" applyAlignment="true" applyProtection="false">
      <alignment horizontal="right" vertical="bottom" textRotation="0" wrapText="false" indent="0" shrinkToFit="false"/>
      <protection locked="true" hidden="false"/>
    </xf>
    <xf numFmtId="191"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96" fontId="0" fillId="0" borderId="20" xfId="0" applyFont="true" applyBorder="true" applyAlignment="true" applyProtection="false">
      <alignment horizontal="left" vertical="bottom" textRotation="0" wrapText="false" indent="0" shrinkToFit="false"/>
      <protection locked="true" hidden="false"/>
    </xf>
    <xf numFmtId="164" fontId="0" fillId="0" borderId="28" xfId="0" applyFont="true" applyBorder="true" applyAlignment="false" applyProtection="false">
      <alignment horizontal="general" vertical="bottom" textRotation="0" wrapText="false" indent="0" shrinkToFit="false"/>
      <protection locked="true" hidden="false"/>
    </xf>
    <xf numFmtId="170" fontId="0" fillId="10" borderId="0" xfId="0" applyFont="tru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28" xfId="0" applyFont="true" applyBorder="true" applyAlignment="true" applyProtection="false">
      <alignment horizontal="right" vertical="bottom" textRotation="0" wrapText="false" indent="0" shrinkToFit="false"/>
      <protection locked="true" hidden="false"/>
    </xf>
    <xf numFmtId="196" fontId="0" fillId="0" borderId="27" xfId="0" applyFont="true" applyBorder="true" applyAlignment="true" applyProtection="false">
      <alignment horizontal="left" vertical="bottom" textRotation="0" wrapText="false" indent="0" shrinkToFit="false"/>
      <protection locked="true" hidden="false"/>
    </xf>
    <xf numFmtId="165" fontId="0" fillId="0" borderId="0" xfId="0" applyFont="true" applyBorder="false" applyAlignment="true" applyProtection="false">
      <alignment horizontal="left" vertical="bottom" textRotation="0" wrapText="false" indent="0" shrinkToFit="false"/>
      <protection locked="true" hidden="false"/>
    </xf>
    <xf numFmtId="167" fontId="0"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C7CE"/>
        </patternFill>
      </fill>
    </dxf>
    <dxf>
      <font>
        <b val="1"/>
        <color rgb="FFFFFFFF"/>
      </font>
      <fill>
        <patternFill>
          <bgColor theme="5"/>
        </patternFill>
      </fill>
    </dxf>
  </dxfs>
  <colors>
    <indexedColors>
      <rgbColor rgb="FF000000"/>
      <rgbColor rgb="FFFFFFFF"/>
      <rgbColor rgb="FFFF0000"/>
      <rgbColor rgb="FF00FF00"/>
      <rgbColor rgb="FF3333FF"/>
      <rgbColor rgb="FFFFFF00"/>
      <rgbColor rgb="FFFF00FF"/>
      <rgbColor rgb="FF00FFFF"/>
      <rgbColor rgb="FF800000"/>
      <rgbColor rgb="FF008000"/>
      <rgbColor rgb="FF202122"/>
      <rgbColor rgb="FF808000"/>
      <rgbColor rgb="FF800080"/>
      <rgbColor rgb="FF0275D8"/>
      <rgbColor rgb="FFB3B3B3"/>
      <rgbColor rgb="FF767171"/>
      <rgbColor rgb="FF8FAADC"/>
      <rgbColor rgb="FF993366"/>
      <rgbColor rgb="FFFFF2CC"/>
      <rgbColor rgb="FFDAE3F3"/>
      <rgbColor rgb="FF660066"/>
      <rgbColor rgb="FFED7D31"/>
      <rgbColor rgb="FF0563C1"/>
      <rgbColor rgb="FFBDD7EE"/>
      <rgbColor rgb="FF000080"/>
      <rgbColor rgb="FFFF00FF"/>
      <rgbColor rgb="FFE7E6E6"/>
      <rgbColor rgb="FF00FFFF"/>
      <rgbColor rgb="FF800080"/>
      <rgbColor rgb="FF800000"/>
      <rgbColor rgb="FF008080"/>
      <rgbColor rgb="FF0000FF"/>
      <rgbColor rgb="FF00CCFF"/>
      <rgbColor rgb="FFF2F2F2"/>
      <rgbColor rgb="FFC6EFCE"/>
      <rgbColor rgb="FFFBE5D6"/>
      <rgbColor rgb="FFB4C7E7"/>
      <rgbColor rgb="FFF4B183"/>
      <rgbColor rgb="FFD0CECE"/>
      <rgbColor rgb="FFF8CBAD"/>
      <rgbColor rgb="FF4472C4"/>
      <rgbColor rgb="FF33CCCC"/>
      <rgbColor rgb="FFD9D9D9"/>
      <rgbColor rgb="FFFFC7CE"/>
      <rgbColor rgb="FFFF9900"/>
      <rgbColor rgb="FFEC6A14"/>
      <rgbColor rgb="FF595959"/>
      <rgbColor rgb="FFA6A6A6"/>
      <rgbColor rgb="FF203864"/>
      <rgbColor rgb="FF70AD47"/>
      <rgbColor rgb="FF181C21"/>
      <rgbColor rgb="FF212529"/>
      <rgbColor rgb="FFC55A11"/>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cked"/>
        <c:varyColors val="0"/>
        <c:ser>
          <c:idx val="0"/>
          <c:order val="0"/>
          <c:tx>
            <c:strRef>
              <c:f>RawData!$I$3</c:f>
              <c:strCache>
                <c:ptCount val="1"/>
                <c:pt idx="0">
                  <c:v>Adj Close</c:v>
                </c:pt>
              </c:strCache>
            </c:strRef>
          </c:tx>
          <c:spPr>
            <a:solidFill>
              <a:srgbClr val="ec6a14"/>
            </a:solidFill>
            <a:ln cap="rnd" w="28440">
              <a:solidFill>
                <a:srgbClr val="ec6a1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RawData!$H$4:$H$64</c:f>
              <c:strCache>
                <c:ptCount val="61"/>
                <c:pt idx="0">
                  <c:v>Jul 3, 2026</c:v>
                </c:pt>
                <c:pt idx="1">
                  <c:v>Jul 1, 2026</c:v>
                </c:pt>
                <c:pt idx="2">
                  <c:v>Jun 1, 2026</c:v>
                </c:pt>
                <c:pt idx="3">
                  <c:v>May 1, 2026</c:v>
                </c:pt>
                <c:pt idx="4">
                  <c:v>Apr 1, 2026</c:v>
                </c:pt>
                <c:pt idx="5">
                  <c:v>Mar 1, 2026</c:v>
                </c:pt>
                <c:pt idx="6">
                  <c:v>Feb 1, 2026</c:v>
                </c:pt>
                <c:pt idx="7">
                  <c:v>Jan 1, 2026</c:v>
                </c:pt>
                <c:pt idx="8">
                  <c:v>Dec 1, 2025</c:v>
                </c:pt>
                <c:pt idx="9">
                  <c:v>Nov 1, 2025</c:v>
                </c:pt>
                <c:pt idx="10">
                  <c:v>Oct 1, 2025</c:v>
                </c:pt>
                <c:pt idx="11">
                  <c:v>Sep 1, 2025</c:v>
                </c:pt>
                <c:pt idx="12">
                  <c:v>Aug 1, 2025</c:v>
                </c:pt>
                <c:pt idx="13">
                  <c:v>Jul 1, 2025</c:v>
                </c:pt>
                <c:pt idx="14">
                  <c:v>Jun 1, 2025</c:v>
                </c:pt>
                <c:pt idx="15">
                  <c:v>May 1, 2025</c:v>
                </c:pt>
                <c:pt idx="16">
                  <c:v>Apr 1, 2025</c:v>
                </c:pt>
                <c:pt idx="17">
                  <c:v>Mar 1, 2025</c:v>
                </c:pt>
                <c:pt idx="18">
                  <c:v>Feb 1, 2025</c:v>
                </c:pt>
                <c:pt idx="19">
                  <c:v>Jan 1, 2025</c:v>
                </c:pt>
                <c:pt idx="20">
                  <c:v>Dec 1, 2024</c:v>
                </c:pt>
                <c:pt idx="21">
                  <c:v>Nov 1, 2024</c:v>
                </c:pt>
                <c:pt idx="22">
                  <c:v>Oct 1, 2024</c:v>
                </c:pt>
                <c:pt idx="23">
                  <c:v>Sep 1, 2024</c:v>
                </c:pt>
                <c:pt idx="24">
                  <c:v>Aug 1, 2024</c:v>
                </c:pt>
                <c:pt idx="25">
                  <c:v>Jul 1, 2024</c:v>
                </c:pt>
                <c:pt idx="26">
                  <c:v>Jun 1, 2024</c:v>
                </c:pt>
                <c:pt idx="27">
                  <c:v>May 1, 2024</c:v>
                </c:pt>
                <c:pt idx="28">
                  <c:v>Apr 1, 2024</c:v>
                </c:pt>
                <c:pt idx="29">
                  <c:v>Mar 1, 2024</c:v>
                </c:pt>
                <c:pt idx="30">
                  <c:v>Feb 1, 2024</c:v>
                </c:pt>
                <c:pt idx="31">
                  <c:v>Jan 1, 2024</c:v>
                </c:pt>
                <c:pt idx="32">
                  <c:v>Dec 1, 2023</c:v>
                </c:pt>
                <c:pt idx="33">
                  <c:v>Nov 1, 2023</c:v>
                </c:pt>
                <c:pt idx="34">
                  <c:v>Oct 1, 2023</c:v>
                </c:pt>
                <c:pt idx="35">
                  <c:v>Sep 1, 2023</c:v>
                </c:pt>
                <c:pt idx="36">
                  <c:v>Aug 1, 2023</c:v>
                </c:pt>
                <c:pt idx="37">
                  <c:v>Jul 1, 2023</c:v>
                </c:pt>
                <c:pt idx="38">
                  <c:v>Jun 1, 2023</c:v>
                </c:pt>
                <c:pt idx="39">
                  <c:v>May 1, 2023</c:v>
                </c:pt>
                <c:pt idx="40">
                  <c:v>Apr 1, 2023</c:v>
                </c:pt>
                <c:pt idx="41">
                  <c:v>Mar 1, 2023</c:v>
                </c:pt>
                <c:pt idx="42">
                  <c:v>Feb 1, 2023</c:v>
                </c:pt>
                <c:pt idx="43">
                  <c:v>Jan 1, 2023</c:v>
                </c:pt>
                <c:pt idx="44">
                  <c:v>Dec 1, 2022</c:v>
                </c:pt>
                <c:pt idx="45">
                  <c:v>Nov 1, 2022</c:v>
                </c:pt>
                <c:pt idx="46">
                  <c:v>Oct 1, 2022</c:v>
                </c:pt>
                <c:pt idx="47">
                  <c:v>Sep 1, 2022</c:v>
                </c:pt>
                <c:pt idx="48">
                  <c:v>Aug 1, 2022</c:v>
                </c:pt>
                <c:pt idx="49">
                  <c:v>Jul 1, 2022</c:v>
                </c:pt>
                <c:pt idx="50">
                  <c:v>Jun 1, 2022</c:v>
                </c:pt>
                <c:pt idx="51">
                  <c:v>May 1, 2022</c:v>
                </c:pt>
                <c:pt idx="52">
                  <c:v>Apr 1, 2022</c:v>
                </c:pt>
                <c:pt idx="53">
                  <c:v>Mar 1, 2022</c:v>
                </c:pt>
                <c:pt idx="54">
                  <c:v>Feb 1, 2022</c:v>
                </c:pt>
                <c:pt idx="55">
                  <c:v>Jan 1, 2022</c:v>
                </c:pt>
                <c:pt idx="56">
                  <c:v>Dec 1, 2021</c:v>
                </c:pt>
                <c:pt idx="57">
                  <c:v>Nov 1, 2021</c:v>
                </c:pt>
                <c:pt idx="58">
                  <c:v>Oct 1, 2021</c:v>
                </c:pt>
                <c:pt idx="59">
                  <c:v>Sep 1, 2021</c:v>
                </c:pt>
                <c:pt idx="60">
                  <c:v>Aug 1, 2021</c:v>
                </c:pt>
              </c:strCache>
            </c:strRef>
          </c:cat>
          <c:val>
            <c:numRef>
              <c:f>RawData!$I$4:$I$64</c:f>
              <c:numCache>
                <c:formatCode>General</c:formatCode>
                <c:ptCount val="61"/>
                <c:pt idx="0">
                  <c:v>2737.8</c:v>
                </c:pt>
                <c:pt idx="1">
                  <c:v>2744.5</c:v>
                </c:pt>
                <c:pt idx="2">
                  <c:v>2635.7</c:v>
                </c:pt>
                <c:pt idx="3">
                  <c:v>2648.62</c:v>
                </c:pt>
                <c:pt idx="4">
                  <c:v>2423.47</c:v>
                </c:pt>
                <c:pt idx="5">
                  <c:v>2146.58</c:v>
                </c:pt>
                <c:pt idx="6">
                  <c:v>2355.76</c:v>
                </c:pt>
                <c:pt idx="7">
                  <c:v>2407.41</c:v>
                </c:pt>
                <c:pt idx="8">
                  <c:v>2745.68</c:v>
                </c:pt>
                <c:pt idx="9">
                  <c:v>2849.68</c:v>
                </c:pt>
                <c:pt idx="10">
                  <c:v>2485.32</c:v>
                </c:pt>
                <c:pt idx="11">
                  <c:v>2326.16</c:v>
                </c:pt>
                <c:pt idx="12">
                  <c:v>2493.05</c:v>
                </c:pt>
                <c:pt idx="13">
                  <c:v>2371.79</c:v>
                </c:pt>
                <c:pt idx="14">
                  <c:v>2317.35</c:v>
                </c:pt>
                <c:pt idx="15">
                  <c:v>2215.74</c:v>
                </c:pt>
                <c:pt idx="16">
                  <c:v>2379.14</c:v>
                </c:pt>
                <c:pt idx="17">
                  <c:v>2295.72</c:v>
                </c:pt>
                <c:pt idx="18">
                  <c:v>2137.91</c:v>
                </c:pt>
                <c:pt idx="19">
                  <c:v>2256.64</c:v>
                </c:pt>
                <c:pt idx="20">
                  <c:v>2237.56</c:v>
                </c:pt>
                <c:pt idx="21">
                  <c:v>2432</c:v>
                </c:pt>
                <c:pt idx="22">
                  <c:v>2874.37</c:v>
                </c:pt>
                <c:pt idx="23">
                  <c:v>3259.61</c:v>
                </c:pt>
                <c:pt idx="24">
                  <c:v>3061.53</c:v>
                </c:pt>
                <c:pt idx="25">
                  <c:v>3020.07</c:v>
                </c:pt>
                <c:pt idx="26">
                  <c:v>2856.16</c:v>
                </c:pt>
                <c:pt idx="27">
                  <c:v>2794.03</c:v>
                </c:pt>
                <c:pt idx="28">
                  <c:v>2788.89</c:v>
                </c:pt>
                <c:pt idx="29">
                  <c:v>2760.62</c:v>
                </c:pt>
                <c:pt idx="30">
                  <c:v>2736.52</c:v>
                </c:pt>
                <c:pt idx="31">
                  <c:v>2868.36</c:v>
                </c:pt>
                <c:pt idx="32">
                  <c:v>3299.46</c:v>
                </c:pt>
                <c:pt idx="33">
                  <c:v>3025.5</c:v>
                </c:pt>
                <c:pt idx="34">
                  <c:v>2900</c:v>
                </c:pt>
                <c:pt idx="35">
                  <c:v>3060.07</c:v>
                </c:pt>
                <c:pt idx="36">
                  <c:v>3152.08</c:v>
                </c:pt>
                <c:pt idx="37">
                  <c:v>3269.46</c:v>
                </c:pt>
                <c:pt idx="38">
                  <c:v>3254.65</c:v>
                </c:pt>
                <c:pt idx="39">
                  <c:v>3070.5</c:v>
                </c:pt>
                <c:pt idx="40">
                  <c:v>2791.04</c:v>
                </c:pt>
                <c:pt idx="41">
                  <c:v>2655.74</c:v>
                </c:pt>
                <c:pt idx="42">
                  <c:v>2720.31</c:v>
                </c:pt>
                <c:pt idx="43">
                  <c:v>2621.31</c:v>
                </c:pt>
                <c:pt idx="44">
                  <c:v>2969.48</c:v>
                </c:pt>
                <c:pt idx="45">
                  <c:v>3053.38</c:v>
                </c:pt>
                <c:pt idx="46">
                  <c:v>2988.52</c:v>
                </c:pt>
                <c:pt idx="47">
                  <c:v>3209.63</c:v>
                </c:pt>
                <c:pt idx="48">
                  <c:v>3256.83</c:v>
                </c:pt>
                <c:pt idx="49">
                  <c:v>3201.28</c:v>
                </c:pt>
                <c:pt idx="50">
                  <c:v>2588.1</c:v>
                </c:pt>
                <c:pt idx="51">
                  <c:v>2730.29</c:v>
                </c:pt>
                <c:pt idx="52">
                  <c:v>3090.76</c:v>
                </c:pt>
                <c:pt idx="53">
                  <c:v>2940.62</c:v>
                </c:pt>
                <c:pt idx="54">
                  <c:v>3031.03</c:v>
                </c:pt>
                <c:pt idx="55">
                  <c:v>3009.65</c:v>
                </c:pt>
                <c:pt idx="56">
                  <c:v>3229.91</c:v>
                </c:pt>
                <c:pt idx="57">
                  <c:v>3001.44</c:v>
                </c:pt>
                <c:pt idx="58">
                  <c:v>2959.86</c:v>
                </c:pt>
                <c:pt idx="59">
                  <c:v>3094.21</c:v>
                </c:pt>
                <c:pt idx="60">
                  <c:v>3052.92</c:v>
                </c:pt>
              </c:numCache>
            </c:numRef>
          </c:val>
          <c:smooth val="0"/>
        </c:ser>
        <c:hiLowLines>
          <c:spPr>
            <a:ln w="0">
              <a:noFill/>
            </a:ln>
          </c:spPr>
        </c:hiLowLines>
        <c:marker val="0"/>
        <c:axId val="95414639"/>
        <c:axId val="24907573"/>
      </c:lineChart>
      <c:catAx>
        <c:axId val="95414639"/>
        <c:scaling>
          <c:orientation val="minMax"/>
        </c:scaling>
        <c:delete val="0"/>
        <c:axPos val="b"/>
        <c:numFmt formatCode="yyyy"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4907573"/>
        <c:crosses val="autoZero"/>
        <c:auto val="1"/>
        <c:lblAlgn val="ctr"/>
        <c:lblOffset val="100"/>
        <c:noMultiLvlLbl val="0"/>
      </c:catAx>
      <c:valAx>
        <c:axId val="24907573"/>
        <c:scaling>
          <c:orientation val="minMax"/>
          <c:max val="3500"/>
          <c:min val="500"/>
        </c:scaling>
        <c:delete val="0"/>
        <c:axPos val="l"/>
        <c:numFmt formatCode="General"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95414639"/>
        <c:crosses val="autoZero"/>
        <c:crossBetween val="between"/>
      </c:valAx>
      <c:spPr>
        <a:noFill/>
        <a:ln w="0">
          <a:noFill/>
        </a:ln>
      </c:spPr>
    </c:plotArea>
    <c:plotVisOnly val="1"/>
    <c:dispBlanksAs val="zero"/>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41044411908248"/>
          <c:y val="0.126958891664774"/>
          <c:w val="0.81564177647633"/>
          <c:h val="0.438564615035203"/>
        </c:manualLayout>
      </c:layout>
      <c:barChart>
        <c:barDir val="col"/>
        <c:grouping val="stacked"/>
        <c:varyColors val="0"/>
        <c:ser>
          <c:idx val="0"/>
          <c:order val="0"/>
          <c:spPr>
            <a:solidFill>
              <a:srgbClr val="ec6a1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RawData!$H$4:$H$64</c:f>
              <c:strCache>
                <c:ptCount val="61"/>
                <c:pt idx="0">
                  <c:v>Jul 3, 2026</c:v>
                </c:pt>
                <c:pt idx="1">
                  <c:v>Jul 1, 2026</c:v>
                </c:pt>
                <c:pt idx="2">
                  <c:v>Jun 1, 2026</c:v>
                </c:pt>
                <c:pt idx="3">
                  <c:v>May 1, 2026</c:v>
                </c:pt>
                <c:pt idx="4">
                  <c:v>Apr 1, 2026</c:v>
                </c:pt>
                <c:pt idx="5">
                  <c:v>Mar 1, 2026</c:v>
                </c:pt>
                <c:pt idx="6">
                  <c:v>Feb 1, 2026</c:v>
                </c:pt>
                <c:pt idx="7">
                  <c:v>Jan 1, 2026</c:v>
                </c:pt>
                <c:pt idx="8">
                  <c:v>Dec 1, 2025</c:v>
                </c:pt>
                <c:pt idx="9">
                  <c:v>Nov 1, 2025</c:v>
                </c:pt>
                <c:pt idx="10">
                  <c:v>Oct 1, 2025</c:v>
                </c:pt>
                <c:pt idx="11">
                  <c:v>Sep 1, 2025</c:v>
                </c:pt>
                <c:pt idx="12">
                  <c:v>Aug 1, 2025</c:v>
                </c:pt>
                <c:pt idx="13">
                  <c:v>Jul 1, 2025</c:v>
                </c:pt>
                <c:pt idx="14">
                  <c:v>Jun 1, 2025</c:v>
                </c:pt>
                <c:pt idx="15">
                  <c:v>May 1, 2025</c:v>
                </c:pt>
                <c:pt idx="16">
                  <c:v>Apr 1, 2025</c:v>
                </c:pt>
                <c:pt idx="17">
                  <c:v>Mar 1, 2025</c:v>
                </c:pt>
                <c:pt idx="18">
                  <c:v>Feb 1, 2025</c:v>
                </c:pt>
                <c:pt idx="19">
                  <c:v>Jan 1, 2025</c:v>
                </c:pt>
                <c:pt idx="20">
                  <c:v>Dec 1, 2024</c:v>
                </c:pt>
                <c:pt idx="21">
                  <c:v>Nov 1, 2024</c:v>
                </c:pt>
                <c:pt idx="22">
                  <c:v>Oct 1, 2024</c:v>
                </c:pt>
                <c:pt idx="23">
                  <c:v>Sep 1, 2024</c:v>
                </c:pt>
                <c:pt idx="24">
                  <c:v>Aug 1, 2024</c:v>
                </c:pt>
                <c:pt idx="25">
                  <c:v>Jul 1, 2024</c:v>
                </c:pt>
                <c:pt idx="26">
                  <c:v>Jun 1, 2024</c:v>
                </c:pt>
                <c:pt idx="27">
                  <c:v>May 1, 2024</c:v>
                </c:pt>
                <c:pt idx="28">
                  <c:v>Apr 1, 2024</c:v>
                </c:pt>
                <c:pt idx="29">
                  <c:v>Mar 1, 2024</c:v>
                </c:pt>
                <c:pt idx="30">
                  <c:v>Feb 1, 2024</c:v>
                </c:pt>
                <c:pt idx="31">
                  <c:v>Jan 1, 2024</c:v>
                </c:pt>
                <c:pt idx="32">
                  <c:v>Dec 1, 2023</c:v>
                </c:pt>
                <c:pt idx="33">
                  <c:v>Nov 1, 2023</c:v>
                </c:pt>
                <c:pt idx="34">
                  <c:v>Oct 1, 2023</c:v>
                </c:pt>
                <c:pt idx="35">
                  <c:v>Sep 1, 2023</c:v>
                </c:pt>
                <c:pt idx="36">
                  <c:v>Aug 1, 2023</c:v>
                </c:pt>
                <c:pt idx="37">
                  <c:v>Jul 1, 2023</c:v>
                </c:pt>
                <c:pt idx="38">
                  <c:v>Jun 1, 2023</c:v>
                </c:pt>
                <c:pt idx="39">
                  <c:v>May 1, 2023</c:v>
                </c:pt>
                <c:pt idx="40">
                  <c:v>Apr 1, 2023</c:v>
                </c:pt>
                <c:pt idx="41">
                  <c:v>Mar 1, 2023</c:v>
                </c:pt>
                <c:pt idx="42">
                  <c:v>Feb 1, 2023</c:v>
                </c:pt>
                <c:pt idx="43">
                  <c:v>Jan 1, 2023</c:v>
                </c:pt>
                <c:pt idx="44">
                  <c:v>Dec 1, 2022</c:v>
                </c:pt>
                <c:pt idx="45">
                  <c:v>Nov 1, 2022</c:v>
                </c:pt>
                <c:pt idx="46">
                  <c:v>Oct 1, 2022</c:v>
                </c:pt>
                <c:pt idx="47">
                  <c:v>Sep 1, 2022</c:v>
                </c:pt>
                <c:pt idx="48">
                  <c:v>Aug 1, 2022</c:v>
                </c:pt>
                <c:pt idx="49">
                  <c:v>Jul 1, 2022</c:v>
                </c:pt>
                <c:pt idx="50">
                  <c:v>Jun 1, 2022</c:v>
                </c:pt>
                <c:pt idx="51">
                  <c:v>May 1, 2022</c:v>
                </c:pt>
                <c:pt idx="52">
                  <c:v>Apr 1, 2022</c:v>
                </c:pt>
                <c:pt idx="53">
                  <c:v>Mar 1, 2022</c:v>
                </c:pt>
                <c:pt idx="54">
                  <c:v>Feb 1, 2022</c:v>
                </c:pt>
                <c:pt idx="55">
                  <c:v>Jan 1, 2022</c:v>
                </c:pt>
                <c:pt idx="56">
                  <c:v>Dec 1, 2021</c:v>
                </c:pt>
                <c:pt idx="57">
                  <c:v>Nov 1, 2021</c:v>
                </c:pt>
                <c:pt idx="58">
                  <c:v>Oct 1, 2021</c:v>
                </c:pt>
                <c:pt idx="59">
                  <c:v>Sep 1, 2021</c:v>
                </c:pt>
                <c:pt idx="60">
                  <c:v>Aug 1, 2021</c:v>
                </c:pt>
              </c:strCache>
            </c:strRef>
          </c:cat>
          <c:val>
            <c:numRef>
              <c:f>RawData!$J$4:$J$64</c:f>
              <c:numCache>
                <c:formatCode>General</c:formatCode>
                <c:ptCount val="61"/>
                <c:pt idx="0">
                  <c:v>0.472095</c:v>
                </c:pt>
                <c:pt idx="1">
                  <c:v>2.727079</c:v>
                </c:pt>
                <c:pt idx="2">
                  <c:v>31.407028</c:v>
                </c:pt>
                <c:pt idx="3">
                  <c:v>24.922732</c:v>
                </c:pt>
                <c:pt idx="4">
                  <c:v>28.781051</c:v>
                </c:pt>
                <c:pt idx="5">
                  <c:v>23.464907</c:v>
                </c:pt>
                <c:pt idx="6">
                  <c:v>22.708371</c:v>
                </c:pt>
                <c:pt idx="7">
                  <c:v>29.42148</c:v>
                </c:pt>
                <c:pt idx="8">
                  <c:v>27.446915</c:v>
                </c:pt>
                <c:pt idx="9">
                  <c:v>35.174896</c:v>
                </c:pt>
                <c:pt idx="10">
                  <c:v>16.363165</c:v>
                </c:pt>
                <c:pt idx="11">
                  <c:v>21.304014</c:v>
                </c:pt>
                <c:pt idx="12">
                  <c:v>26.744337</c:v>
                </c:pt>
                <c:pt idx="13">
                  <c:v>22.879351</c:v>
                </c:pt>
                <c:pt idx="14">
                  <c:v>25.721771</c:v>
                </c:pt>
                <c:pt idx="15">
                  <c:v>27.390695</c:v>
                </c:pt>
                <c:pt idx="16">
                  <c:v>19.512308</c:v>
                </c:pt>
                <c:pt idx="17">
                  <c:v>22.686751</c:v>
                </c:pt>
                <c:pt idx="18">
                  <c:v>28.272421</c:v>
                </c:pt>
                <c:pt idx="19">
                  <c:v>26.548648</c:v>
                </c:pt>
                <c:pt idx="20">
                  <c:v>28.639502</c:v>
                </c:pt>
                <c:pt idx="21">
                  <c:v>35.976547</c:v>
                </c:pt>
                <c:pt idx="22">
                  <c:v>20.203893</c:v>
                </c:pt>
                <c:pt idx="23">
                  <c:v>24.86929</c:v>
                </c:pt>
                <c:pt idx="24">
                  <c:v>23.138941</c:v>
                </c:pt>
                <c:pt idx="25">
                  <c:v>38.749558</c:v>
                </c:pt>
                <c:pt idx="26">
                  <c:v>24.99677</c:v>
                </c:pt>
                <c:pt idx="27">
                  <c:v>32.374118</c:v>
                </c:pt>
                <c:pt idx="28">
                  <c:v>20.285504</c:v>
                </c:pt>
                <c:pt idx="29">
                  <c:v>21.368906</c:v>
                </c:pt>
                <c:pt idx="30">
                  <c:v>31.586526</c:v>
                </c:pt>
                <c:pt idx="31">
                  <c:v>24.098927</c:v>
                </c:pt>
                <c:pt idx="32">
                  <c:v>19.737885</c:v>
                </c:pt>
                <c:pt idx="33">
                  <c:v>15.149982</c:v>
                </c:pt>
                <c:pt idx="34">
                  <c:v>18.372958</c:v>
                </c:pt>
                <c:pt idx="35">
                  <c:v>18.227698</c:v>
                </c:pt>
                <c:pt idx="36">
                  <c:v>16.415451</c:v>
                </c:pt>
                <c:pt idx="37">
                  <c:v>17.229102</c:v>
                </c:pt>
                <c:pt idx="38">
                  <c:v>18.302973</c:v>
                </c:pt>
                <c:pt idx="39">
                  <c:v>21.922294</c:v>
                </c:pt>
                <c:pt idx="40">
                  <c:v>15.227696</c:v>
                </c:pt>
                <c:pt idx="41">
                  <c:v>21.347057</c:v>
                </c:pt>
                <c:pt idx="42">
                  <c:v>18.969238</c:v>
                </c:pt>
                <c:pt idx="43">
                  <c:v>26.563904</c:v>
                </c:pt>
                <c:pt idx="44">
                  <c:v>19.992087</c:v>
                </c:pt>
                <c:pt idx="45">
                  <c:v>20.242762</c:v>
                </c:pt>
                <c:pt idx="46">
                  <c:v>20.990793</c:v>
                </c:pt>
                <c:pt idx="47">
                  <c:v>23.352453</c:v>
                </c:pt>
                <c:pt idx="48">
                  <c:v>21.161293</c:v>
                </c:pt>
                <c:pt idx="49">
                  <c:v>28.722838</c:v>
                </c:pt>
                <c:pt idx="50">
                  <c:v>34.007282</c:v>
                </c:pt>
                <c:pt idx="51">
                  <c:v>30.837045</c:v>
                </c:pt>
                <c:pt idx="52">
                  <c:v>18.570571</c:v>
                </c:pt>
                <c:pt idx="53">
                  <c:v>46.951421</c:v>
                </c:pt>
                <c:pt idx="54">
                  <c:v>17.145295</c:v>
                </c:pt>
                <c:pt idx="55">
                  <c:v>25.109145</c:v>
                </c:pt>
                <c:pt idx="56">
                  <c:v>24.234063</c:v>
                </c:pt>
                <c:pt idx="57">
                  <c:v>21.72899</c:v>
                </c:pt>
                <c:pt idx="58">
                  <c:v>32.085053</c:v>
                </c:pt>
                <c:pt idx="59">
                  <c:v>22.000891</c:v>
                </c:pt>
                <c:pt idx="60">
                  <c:v>25.145608</c:v>
                </c:pt>
              </c:numCache>
            </c:numRef>
          </c:val>
        </c:ser>
        <c:gapWidth val="150"/>
        <c:overlap val="100"/>
        <c:axId val="91648567"/>
        <c:axId val="93894346"/>
      </c:barChart>
      <c:catAx>
        <c:axId val="91648567"/>
        <c:scaling>
          <c:orientation val="minMax"/>
        </c:scaling>
        <c:delete val="0"/>
        <c:axPos val="b"/>
        <c:numFmt formatCode="yyyy"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3894346"/>
        <c:crosses val="autoZero"/>
        <c:auto val="1"/>
        <c:lblAlgn val="ctr"/>
        <c:lblOffset val="100"/>
        <c:noMultiLvlLbl val="0"/>
      </c:catAx>
      <c:valAx>
        <c:axId val="93894346"/>
        <c:scaling>
          <c:orientation val="minMax"/>
        </c:scaling>
        <c:delete val="0"/>
        <c:axPos val="l"/>
        <c:numFmt formatCode="0\M"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91648567"/>
        <c:crosses val="autoZero"/>
        <c:crossBetween val="between"/>
      </c:valAx>
      <c:spPr>
        <a:noFill/>
        <a:ln w="0">
          <a:noFill/>
        </a:ln>
      </c:spPr>
    </c:plotArea>
    <c:plotVisOnly val="1"/>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252372403180303"/>
          <c:y val="0.00167434072833822"/>
          <c:w val="0.746088740702744"/>
          <c:h val="0.99811636668062"/>
        </c:manualLayout>
      </c:layout>
      <c:barChart>
        <c:barDir val="bar"/>
        <c:grouping val="clustered"/>
        <c:varyColors val="0"/>
        <c:ser>
          <c:idx val="0"/>
          <c:order val="0"/>
          <c:spPr>
            <a:solidFill>
              <a:srgbClr val="dae3f3"/>
            </a:solidFill>
            <a:ln w="0">
              <a:noFill/>
            </a:ln>
          </c:spPr>
          <c:invertIfNegative val="0"/>
          <c:dPt>
            <c:idx val="0"/>
            <c:invertIfNegative val="0"/>
            <c:spPr>
              <a:solidFill>
                <a:srgbClr val="c55a11"/>
              </a:solidFill>
              <a:ln w="0">
                <a:noFill/>
              </a:ln>
            </c:spPr>
          </c:dPt>
          <c:dPt>
            <c:idx val="1"/>
            <c:invertIfNegative val="0"/>
            <c:spPr>
              <a:solidFill>
                <a:srgbClr val="f8cbad"/>
              </a:solidFill>
              <a:ln w="0">
                <a:noFill/>
              </a:ln>
            </c:spPr>
          </c:dPt>
          <c:dPt>
            <c:idx val="2"/>
            <c:invertIfNegative val="0"/>
            <c:spPr>
              <a:solidFill>
                <a:srgbClr val="ec6a14"/>
              </a:solidFill>
              <a:ln w="0">
                <a:noFill/>
              </a:ln>
            </c:spPr>
          </c:dPt>
          <c:dPt>
            <c:idx val="3"/>
            <c:invertIfNegative val="0"/>
            <c:spPr>
              <a:solidFill>
                <a:srgbClr val="f4b183"/>
              </a:solidFill>
              <a:ln w="0">
                <a:noFill/>
              </a:ln>
            </c:spPr>
          </c:dPt>
          <c:dLbls>
            <c:numFmt formatCode="0.00%" sourceLinked="1"/>
            <c:dLbl>
              <c:idx val="0"/>
              <c:numFmt formatCode="0.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dLbl>
            <c:dLbl>
              <c:idx val="1"/>
              <c:numFmt formatCode="0.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dLbl>
            <c:dLbl>
              <c:idx val="2"/>
              <c:numFmt formatCode="0.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dLbl>
            <c:dLbl>
              <c:idx val="3"/>
              <c:numFmt formatCode="0.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dLbl>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RawData!$AA$18:$AA$21</c:f>
              <c:strCache>
                <c:ptCount val="4"/>
                <c:pt idx="0">
                  <c:v>Promoters </c:v>
                </c:pt>
                <c:pt idx="1">
                  <c:v>FIIs </c:v>
                </c:pt>
                <c:pt idx="2">
                  <c:v>DIIs </c:v>
                </c:pt>
                <c:pt idx="3">
                  <c:v>Public &amp; Govt.</c:v>
                </c:pt>
              </c:strCache>
            </c:strRef>
          </c:cat>
          <c:val>
            <c:numRef>
              <c:f>RawData!$AM$18:$AM$21</c:f>
              <c:numCache>
                <c:formatCode>0.00%</c:formatCode>
                <c:ptCount val="4"/>
                <c:pt idx="0">
                  <c:v>0.5263</c:v>
                </c:pt>
                <c:pt idx="1">
                  <c:v>0.1211</c:v>
                </c:pt>
                <c:pt idx="2">
                  <c:v>0.2174</c:v>
                </c:pt>
                <c:pt idx="3">
                  <c:v>0.1352</c:v>
                </c:pt>
              </c:numCache>
            </c:numRef>
          </c:val>
        </c:ser>
        <c:gapWidth val="98"/>
        <c:overlap val="64"/>
        <c:axId val="32771581"/>
        <c:axId val="48122696"/>
      </c:barChart>
      <c:catAx>
        <c:axId val="3277158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48122696"/>
        <c:crosses val="autoZero"/>
        <c:auto val="1"/>
        <c:lblAlgn val="ctr"/>
        <c:lblOffset val="100"/>
        <c:noMultiLvlLbl val="0"/>
      </c:catAx>
      <c:valAx>
        <c:axId val="48122696"/>
        <c:scaling>
          <c:orientation val="minMax"/>
        </c:scaling>
        <c:delete val="1"/>
        <c:axPos val="l"/>
        <c:numFmt formatCode="0.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2771581"/>
        <c:crossBetween val="between"/>
      </c:valAx>
      <c:spPr>
        <a:noFill/>
        <a:ln w="0">
          <a:noFill/>
        </a:ln>
      </c:spPr>
    </c:plotArea>
    <c:plotVisOnly val="1"/>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IN" sz="1400" spc="-1" strike="noStrike">
                <a:solidFill>
                  <a:srgbClr val="ec6a14"/>
                </a:solidFill>
                <a:latin typeface="Calibri"/>
              </a:defRPr>
            </a:pPr>
            <a:r>
              <a:rPr b="0" lang="en-IN" sz="1400" spc="-1" strike="noStrike">
                <a:solidFill>
                  <a:srgbClr val="ec6a14"/>
                </a:solidFill>
                <a:latin typeface="Calibri"/>
              </a:rPr>
              <a:t>Football Field Analysis - Valuation Summary (Rs)</a:t>
            </a:r>
          </a:p>
        </c:rich>
      </c:tx>
      <c:overlay val="0"/>
      <c:spPr>
        <a:noFill/>
        <a:ln w="0">
          <a:noFill/>
        </a:ln>
      </c:spPr>
    </c:title>
    <c:autoTitleDeleted val="0"/>
    <c:plotArea>
      <c:stockChart>
        <c:ser>
          <c:idx val="1"/>
          <c:order val="1"/>
          <c:cat>
            <c:strRef>
              <c:f>Football_Field!$B$13:$B$17</c:f>
              <c:strCache>
                <c:ptCount val="5"/>
                <c:pt idx="0">
                  <c:v>Comps</c:v>
                </c:pt>
                <c:pt idx="1">
                  <c:v>DCF Bear</c:v>
                </c:pt>
                <c:pt idx="2">
                  <c:v>DCF Base</c:v>
                </c:pt>
                <c:pt idx="3">
                  <c:v>DCF Bull</c:v>
                </c:pt>
                <c:pt idx="4">
                  <c:v>52W H/L</c:v>
                </c:pt>
              </c:strCache>
            </c:strRef>
          </c:cat>
          <c:val>
            <c:numRef>
              <c:f>Football_Field!$D$13:$D$17</c:f>
              <c:numCache>
                <c:formatCode>"₹ "#,##0.0;"₹ ("#,##0.0\);\-</c:formatCode>
                <c:ptCount val="5"/>
                <c:pt idx="0">
                  <c:v>1481.65027519379</c:v>
                </c:pt>
                <c:pt idx="1">
                  <c:v>309.095826371477</c:v>
                </c:pt>
                <c:pt idx="2">
                  <c:v>370.089579035898</c:v>
                </c:pt>
                <c:pt idx="3">
                  <c:v>449.545203924353</c:v>
                </c:pt>
                <c:pt idx="4">
                  <c:v>2115</c:v>
                </c:pt>
              </c:numCache>
            </c:numRef>
          </c:val>
        </c:ser>
        <c:ser>
          <c:idx val="2"/>
          <c:order val="2"/>
          <c:cat>
            <c:strRef>
              <c:f>Football_Field!$B$13:$B$17</c:f>
              <c:strCache>
                <c:ptCount val="5"/>
                <c:pt idx="0">
                  <c:v>Comps</c:v>
                </c:pt>
                <c:pt idx="1">
                  <c:v>DCF Bear</c:v>
                </c:pt>
                <c:pt idx="2">
                  <c:v>DCF Base</c:v>
                </c:pt>
                <c:pt idx="3">
                  <c:v>DCF Bull</c:v>
                </c:pt>
                <c:pt idx="4">
                  <c:v>52W H/L</c:v>
                </c:pt>
              </c:strCache>
            </c:strRef>
          </c:cat>
          <c:val>
            <c:numRef>
              <c:f>Football_Field!$E$13:$E$17</c:f>
              <c:numCache>
                <c:formatCode>"₹ "#,##0.0;"₹ ("#,##0.0\);\-</c:formatCode>
                <c:ptCount val="5"/>
                <c:pt idx="0">
                  <c:v>1481.65027519379</c:v>
                </c:pt>
                <c:pt idx="1">
                  <c:v>309.095826371477</c:v>
                </c:pt>
                <c:pt idx="2">
                  <c:v>370.089579035898</c:v>
                </c:pt>
                <c:pt idx="3">
                  <c:v>449.545203924353</c:v>
                </c:pt>
                <c:pt idx="4">
                  <c:v>2115</c:v>
                </c:pt>
              </c:numCache>
            </c:numRef>
          </c:val>
        </c:ser>
        <c:ser>
          <c:idx val="3"/>
          <c:order val="3"/>
          <c:cat>
            <c:strRef>
              <c:f>Football_Field!$B$13:$B$17</c:f>
              <c:strCache>
                <c:ptCount val="5"/>
                <c:pt idx="0">
                  <c:v>Comps</c:v>
                </c:pt>
                <c:pt idx="1">
                  <c:v>DCF Bear</c:v>
                </c:pt>
                <c:pt idx="2">
                  <c:v>DCF Base</c:v>
                </c:pt>
                <c:pt idx="3">
                  <c:v>DCF Bull</c:v>
                </c:pt>
                <c:pt idx="4">
                  <c:v>52W H/L</c:v>
                </c:pt>
              </c:strCache>
            </c:strRef>
          </c:cat>
          <c:val>
            <c:numRef>
              <c:f>Football_Field!$F$13:$F$17</c:f>
              <c:numCache>
                <c:formatCode>"₹ "#,##0.0;"₹ ("#,##0.0\);\-</c:formatCode>
                <c:ptCount val="5"/>
                <c:pt idx="0">
                  <c:v>1602.20978640335</c:v>
                </c:pt>
                <c:pt idx="1">
                  <c:v>400.295437486951</c:v>
                </c:pt>
                <c:pt idx="2">
                  <c:v>560.14261107865</c:v>
                </c:pt>
                <c:pt idx="3">
                  <c:v>887.177402082444</c:v>
                </c:pt>
                <c:pt idx="4">
                  <c:v>2985.7</c:v>
                </c:pt>
              </c:numCache>
            </c:numRef>
          </c:val>
        </c:ser>
        <c:ser>
          <c:idx val="4"/>
          <c:order val="4"/>
          <c:cat>
            <c:strRef>
              <c:f>Football_Field!$B$13:$B$17</c:f>
              <c:strCache>
                <c:ptCount val="5"/>
                <c:pt idx="0">
                  <c:v>Comps</c:v>
                </c:pt>
                <c:pt idx="1">
                  <c:v>DCF Bear</c:v>
                </c:pt>
                <c:pt idx="2">
                  <c:v>DCF Base</c:v>
                </c:pt>
                <c:pt idx="3">
                  <c:v>DCF Bull</c:v>
                </c:pt>
                <c:pt idx="4">
                  <c:v>52W H/L</c:v>
                </c:pt>
              </c:strCache>
            </c:strRef>
          </c:cat>
          <c:val>
            <c:numRef>
              <c:f>Football_Field!$G$13:$G$17</c:f>
              <c:numCache>
                <c:formatCode>"₹ "#,##0.0;"₹ ("#,##0.0\);\-</c:formatCode>
                <c:ptCount val="5"/>
                <c:pt idx="0">
                  <c:v>1602.20978640335</c:v>
                </c:pt>
                <c:pt idx="1">
                  <c:v>400.295437486951</c:v>
                </c:pt>
                <c:pt idx="2">
                  <c:v>560.14261107865</c:v>
                </c:pt>
                <c:pt idx="3">
                  <c:v>887.177402082444</c:v>
                </c:pt>
                <c:pt idx="4">
                  <c:v>2985.7</c:v>
                </c:pt>
              </c:numCache>
            </c:numRef>
          </c:val>
        </c:ser>
        <c:hiLowLines>
          <c:spPr>
            <a:solidFill>
              <a:srgbClr val="404040"/>
            </a:solidFill>
            <a:ln w="9360">
              <a:solidFill>
                <a:srgbClr val="404040"/>
              </a:solidFill>
              <a:bevel/>
            </a:ln>
          </c:spPr>
        </c:hiLowLines>
        <c:upDownBars>
          <c:gapWidth val="150"/>
          <c:upBars>
            <c:spPr>
              <a:solidFill>
                <a:srgbClr val="ed7d31"/>
              </a:solidFill>
              <a:ln w="9360">
                <a:solidFill>
                  <a:srgbClr val="595959"/>
                </a:solidFill>
                <a:round/>
              </a:ln>
            </c:spPr>
          </c:upBars>
          <c:downBars>
            <c:spPr>
              <a:solidFill>
                <a:srgbClr val="404040"/>
              </a:solidFill>
              <a:ln w="9360">
                <a:solidFill>
                  <a:srgbClr val="595959"/>
                </a:solidFill>
                <a:round/>
              </a:ln>
            </c:spPr>
          </c:downBars>
        </c:upDownBars>
        <c:axId val="29281481"/>
        <c:axId val="22783905"/>
      </c:stockChart>
      <c:catAx>
        <c:axId val="29281481"/>
        <c:scaling>
          <c:orientation val="minMax"/>
        </c:scaling>
        <c:delete val="0"/>
        <c:axPos val="b"/>
        <c:numFmt formatCode="General"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22783905"/>
        <c:crosses val="autoZero"/>
        <c:auto val="1"/>
        <c:lblAlgn val="ctr"/>
        <c:lblOffset val="100"/>
        <c:noMultiLvlLbl val="0"/>
      </c:catAx>
      <c:valAx>
        <c:axId val="22783905"/>
        <c:scaling>
          <c:orientation val="minMax"/>
          <c:max val="3200"/>
          <c:min val="0"/>
        </c:scaling>
        <c:delete val="0"/>
        <c:axPos val="l"/>
        <c:numFmt formatCode="#,##0.0"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29281481"/>
        <c:crosses val="autoZero"/>
        <c:crossBetween val="between"/>
        <c:majorUnit val="500"/>
        <c:minorUnit val="166.666666666667"/>
      </c:valAx>
      <c:spPr>
        <a:noFill/>
        <a:ln w="0">
          <a:noFill/>
        </a:ln>
      </c:spPr>
    </c:plotArea>
    <c:plotVisOnly val="1"/>
    <c:dispBlanksAs val="gap"/>
  </c:chart>
  <c:spPr>
    <a:noFill/>
    <a:ln w="9360">
      <a:solidFill>
        <a:srgbClr val="d0cece"/>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cked"/>
        <c:varyColors val="0"/>
        <c:ser>
          <c:idx val="0"/>
          <c:order val="0"/>
          <c:tx>
            <c:strRef>
              <c:f>RawData!$I$3</c:f>
              <c:strCache>
                <c:ptCount val="1"/>
                <c:pt idx="0">
                  <c:v>Adj Close</c:v>
                </c:pt>
              </c:strCache>
            </c:strRef>
          </c:tx>
          <c:spPr>
            <a:solidFill>
              <a:srgbClr val="2f5597"/>
            </a:solidFill>
            <a:ln cap="rnd" w="28440">
              <a:solidFill>
                <a:srgbClr val="2f5597"/>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RawData!$H$4:$H$64</c:f>
              <c:strCache>
                <c:ptCount val="61"/>
                <c:pt idx="0">
                  <c:v>Jul 3, 2026</c:v>
                </c:pt>
                <c:pt idx="1">
                  <c:v>Jul 1, 2026</c:v>
                </c:pt>
                <c:pt idx="2">
                  <c:v>Jun 1, 2026</c:v>
                </c:pt>
                <c:pt idx="3">
                  <c:v>May 1, 2026</c:v>
                </c:pt>
                <c:pt idx="4">
                  <c:v>Apr 1, 2026</c:v>
                </c:pt>
                <c:pt idx="5">
                  <c:v>Mar 1, 2026</c:v>
                </c:pt>
                <c:pt idx="6">
                  <c:v>Feb 1, 2026</c:v>
                </c:pt>
                <c:pt idx="7">
                  <c:v>Jan 1, 2026</c:v>
                </c:pt>
                <c:pt idx="8">
                  <c:v>Dec 1, 2025</c:v>
                </c:pt>
                <c:pt idx="9">
                  <c:v>Nov 1, 2025</c:v>
                </c:pt>
                <c:pt idx="10">
                  <c:v>Oct 1, 2025</c:v>
                </c:pt>
                <c:pt idx="11">
                  <c:v>Sep 1, 2025</c:v>
                </c:pt>
                <c:pt idx="12">
                  <c:v>Aug 1, 2025</c:v>
                </c:pt>
                <c:pt idx="13">
                  <c:v>Jul 1, 2025</c:v>
                </c:pt>
                <c:pt idx="14">
                  <c:v>Jun 1, 2025</c:v>
                </c:pt>
                <c:pt idx="15">
                  <c:v>May 1, 2025</c:v>
                </c:pt>
                <c:pt idx="16">
                  <c:v>Apr 1, 2025</c:v>
                </c:pt>
                <c:pt idx="17">
                  <c:v>Mar 1, 2025</c:v>
                </c:pt>
                <c:pt idx="18">
                  <c:v>Feb 1, 2025</c:v>
                </c:pt>
                <c:pt idx="19">
                  <c:v>Jan 1, 2025</c:v>
                </c:pt>
                <c:pt idx="20">
                  <c:v>Dec 1, 2024</c:v>
                </c:pt>
                <c:pt idx="21">
                  <c:v>Nov 1, 2024</c:v>
                </c:pt>
                <c:pt idx="22">
                  <c:v>Oct 1, 2024</c:v>
                </c:pt>
                <c:pt idx="23">
                  <c:v>Sep 1, 2024</c:v>
                </c:pt>
                <c:pt idx="24">
                  <c:v>Aug 1, 2024</c:v>
                </c:pt>
                <c:pt idx="25">
                  <c:v>Jul 1, 2024</c:v>
                </c:pt>
                <c:pt idx="26">
                  <c:v>Jun 1, 2024</c:v>
                </c:pt>
                <c:pt idx="27">
                  <c:v>May 1, 2024</c:v>
                </c:pt>
                <c:pt idx="28">
                  <c:v>Apr 1, 2024</c:v>
                </c:pt>
                <c:pt idx="29">
                  <c:v>Mar 1, 2024</c:v>
                </c:pt>
                <c:pt idx="30">
                  <c:v>Feb 1, 2024</c:v>
                </c:pt>
                <c:pt idx="31">
                  <c:v>Jan 1, 2024</c:v>
                </c:pt>
                <c:pt idx="32">
                  <c:v>Dec 1, 2023</c:v>
                </c:pt>
                <c:pt idx="33">
                  <c:v>Nov 1, 2023</c:v>
                </c:pt>
                <c:pt idx="34">
                  <c:v>Oct 1, 2023</c:v>
                </c:pt>
                <c:pt idx="35">
                  <c:v>Sep 1, 2023</c:v>
                </c:pt>
                <c:pt idx="36">
                  <c:v>Aug 1, 2023</c:v>
                </c:pt>
                <c:pt idx="37">
                  <c:v>Jul 1, 2023</c:v>
                </c:pt>
                <c:pt idx="38">
                  <c:v>Jun 1, 2023</c:v>
                </c:pt>
                <c:pt idx="39">
                  <c:v>May 1, 2023</c:v>
                </c:pt>
                <c:pt idx="40">
                  <c:v>Apr 1, 2023</c:v>
                </c:pt>
                <c:pt idx="41">
                  <c:v>Mar 1, 2023</c:v>
                </c:pt>
                <c:pt idx="42">
                  <c:v>Feb 1, 2023</c:v>
                </c:pt>
                <c:pt idx="43">
                  <c:v>Jan 1, 2023</c:v>
                </c:pt>
                <c:pt idx="44">
                  <c:v>Dec 1, 2022</c:v>
                </c:pt>
                <c:pt idx="45">
                  <c:v>Nov 1, 2022</c:v>
                </c:pt>
                <c:pt idx="46">
                  <c:v>Oct 1, 2022</c:v>
                </c:pt>
                <c:pt idx="47">
                  <c:v>Sep 1, 2022</c:v>
                </c:pt>
                <c:pt idx="48">
                  <c:v>Aug 1, 2022</c:v>
                </c:pt>
                <c:pt idx="49">
                  <c:v>Jul 1, 2022</c:v>
                </c:pt>
                <c:pt idx="50">
                  <c:v>Jun 1, 2022</c:v>
                </c:pt>
                <c:pt idx="51">
                  <c:v>May 1, 2022</c:v>
                </c:pt>
                <c:pt idx="52">
                  <c:v>Apr 1, 2022</c:v>
                </c:pt>
                <c:pt idx="53">
                  <c:v>Mar 1, 2022</c:v>
                </c:pt>
                <c:pt idx="54">
                  <c:v>Feb 1, 2022</c:v>
                </c:pt>
                <c:pt idx="55">
                  <c:v>Jan 1, 2022</c:v>
                </c:pt>
                <c:pt idx="56">
                  <c:v>Dec 1, 2021</c:v>
                </c:pt>
                <c:pt idx="57">
                  <c:v>Nov 1, 2021</c:v>
                </c:pt>
                <c:pt idx="58">
                  <c:v>Oct 1, 2021</c:v>
                </c:pt>
                <c:pt idx="59">
                  <c:v>Sep 1, 2021</c:v>
                </c:pt>
                <c:pt idx="60">
                  <c:v>Aug 1, 2021</c:v>
                </c:pt>
              </c:strCache>
            </c:strRef>
          </c:cat>
          <c:val>
            <c:numRef>
              <c:f>RawData!$I$4:$I$64</c:f>
              <c:numCache>
                <c:formatCode>General</c:formatCode>
                <c:ptCount val="61"/>
                <c:pt idx="0">
                  <c:v>2737.8</c:v>
                </c:pt>
                <c:pt idx="1">
                  <c:v>2744.5</c:v>
                </c:pt>
                <c:pt idx="2">
                  <c:v>2635.7</c:v>
                </c:pt>
                <c:pt idx="3">
                  <c:v>2648.62</c:v>
                </c:pt>
                <c:pt idx="4">
                  <c:v>2423.47</c:v>
                </c:pt>
                <c:pt idx="5">
                  <c:v>2146.58</c:v>
                </c:pt>
                <c:pt idx="6">
                  <c:v>2355.76</c:v>
                </c:pt>
                <c:pt idx="7">
                  <c:v>2407.41</c:v>
                </c:pt>
                <c:pt idx="8">
                  <c:v>2745.68</c:v>
                </c:pt>
                <c:pt idx="9">
                  <c:v>2849.68</c:v>
                </c:pt>
                <c:pt idx="10">
                  <c:v>2485.32</c:v>
                </c:pt>
                <c:pt idx="11">
                  <c:v>2326.16</c:v>
                </c:pt>
                <c:pt idx="12">
                  <c:v>2493.05</c:v>
                </c:pt>
                <c:pt idx="13">
                  <c:v>2371.79</c:v>
                </c:pt>
                <c:pt idx="14">
                  <c:v>2317.35</c:v>
                </c:pt>
                <c:pt idx="15">
                  <c:v>2215.74</c:v>
                </c:pt>
                <c:pt idx="16">
                  <c:v>2379.14</c:v>
                </c:pt>
                <c:pt idx="17">
                  <c:v>2295.72</c:v>
                </c:pt>
                <c:pt idx="18">
                  <c:v>2137.91</c:v>
                </c:pt>
                <c:pt idx="19">
                  <c:v>2256.64</c:v>
                </c:pt>
                <c:pt idx="20">
                  <c:v>2237.56</c:v>
                </c:pt>
                <c:pt idx="21">
                  <c:v>2432</c:v>
                </c:pt>
                <c:pt idx="22">
                  <c:v>2874.37</c:v>
                </c:pt>
                <c:pt idx="23">
                  <c:v>3259.61</c:v>
                </c:pt>
                <c:pt idx="24">
                  <c:v>3061.53</c:v>
                </c:pt>
                <c:pt idx="25">
                  <c:v>3020.07</c:v>
                </c:pt>
                <c:pt idx="26">
                  <c:v>2856.16</c:v>
                </c:pt>
                <c:pt idx="27">
                  <c:v>2794.03</c:v>
                </c:pt>
                <c:pt idx="28">
                  <c:v>2788.89</c:v>
                </c:pt>
                <c:pt idx="29">
                  <c:v>2760.62</c:v>
                </c:pt>
                <c:pt idx="30">
                  <c:v>2736.52</c:v>
                </c:pt>
                <c:pt idx="31">
                  <c:v>2868.36</c:v>
                </c:pt>
                <c:pt idx="32">
                  <c:v>3299.46</c:v>
                </c:pt>
                <c:pt idx="33">
                  <c:v>3025.5</c:v>
                </c:pt>
                <c:pt idx="34">
                  <c:v>2900</c:v>
                </c:pt>
                <c:pt idx="35">
                  <c:v>3060.07</c:v>
                </c:pt>
                <c:pt idx="36">
                  <c:v>3152.08</c:v>
                </c:pt>
                <c:pt idx="37">
                  <c:v>3269.46</c:v>
                </c:pt>
                <c:pt idx="38">
                  <c:v>3254.65</c:v>
                </c:pt>
                <c:pt idx="39">
                  <c:v>3070.5</c:v>
                </c:pt>
                <c:pt idx="40">
                  <c:v>2791.04</c:v>
                </c:pt>
                <c:pt idx="41">
                  <c:v>2655.74</c:v>
                </c:pt>
                <c:pt idx="42">
                  <c:v>2720.31</c:v>
                </c:pt>
                <c:pt idx="43">
                  <c:v>2621.31</c:v>
                </c:pt>
                <c:pt idx="44">
                  <c:v>2969.48</c:v>
                </c:pt>
                <c:pt idx="45">
                  <c:v>3053.38</c:v>
                </c:pt>
                <c:pt idx="46">
                  <c:v>2988.52</c:v>
                </c:pt>
                <c:pt idx="47">
                  <c:v>3209.63</c:v>
                </c:pt>
                <c:pt idx="48">
                  <c:v>3256.83</c:v>
                </c:pt>
                <c:pt idx="49">
                  <c:v>3201.28</c:v>
                </c:pt>
                <c:pt idx="50">
                  <c:v>2588.1</c:v>
                </c:pt>
                <c:pt idx="51">
                  <c:v>2730.29</c:v>
                </c:pt>
                <c:pt idx="52">
                  <c:v>3090.76</c:v>
                </c:pt>
                <c:pt idx="53">
                  <c:v>2940.62</c:v>
                </c:pt>
                <c:pt idx="54">
                  <c:v>3031.03</c:v>
                </c:pt>
                <c:pt idx="55">
                  <c:v>3009.65</c:v>
                </c:pt>
                <c:pt idx="56">
                  <c:v>3229.91</c:v>
                </c:pt>
                <c:pt idx="57">
                  <c:v>3001.44</c:v>
                </c:pt>
                <c:pt idx="58">
                  <c:v>2959.86</c:v>
                </c:pt>
                <c:pt idx="59">
                  <c:v>3094.21</c:v>
                </c:pt>
                <c:pt idx="60">
                  <c:v>3052.92</c:v>
                </c:pt>
              </c:numCache>
            </c:numRef>
          </c:val>
          <c:smooth val="0"/>
        </c:ser>
        <c:hiLowLines>
          <c:spPr>
            <a:ln w="0">
              <a:noFill/>
            </a:ln>
          </c:spPr>
        </c:hiLowLines>
        <c:marker val="0"/>
        <c:axId val="39675723"/>
        <c:axId val="49559060"/>
      </c:lineChart>
      <c:catAx>
        <c:axId val="39675723"/>
        <c:scaling>
          <c:orientation val="minMax"/>
        </c:scaling>
        <c:delete val="0"/>
        <c:axPos val="b"/>
        <c:numFmt formatCode="yyyy"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49559060"/>
        <c:crosses val="autoZero"/>
        <c:auto val="1"/>
        <c:lblAlgn val="ctr"/>
        <c:lblOffset val="100"/>
        <c:noMultiLvlLbl val="0"/>
      </c:catAx>
      <c:valAx>
        <c:axId val="49559060"/>
        <c:scaling>
          <c:orientation val="minMax"/>
          <c:max val="3500"/>
          <c:min val="500"/>
        </c:scaling>
        <c:delete val="0"/>
        <c:axPos val="l"/>
        <c:numFmt formatCode="General"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39675723"/>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0"/>
    <c:plotArea>
      <c:barChart>
        <c:barDir val="col"/>
        <c:grouping val="stacked"/>
        <c:varyColors val="0"/>
        <c:ser>
          <c:idx val="0"/>
          <c:order val="0"/>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RawData!$H$4:$H$64</c:f>
              <c:numCache>
                <c:formatCode>yyyy</c:formatCode>
                <c:ptCount val="61"/>
                <c:pt idx="0">
                  <c:v>Jul 3, 2026</c:v>
                </c:pt>
                <c:pt idx="1">
                  <c:v>Jul 1, 2026</c:v>
                </c:pt>
                <c:pt idx="2">
                  <c:v>Jun 1, 2026</c:v>
                </c:pt>
                <c:pt idx="3">
                  <c:v>May 1, 2026</c:v>
                </c:pt>
                <c:pt idx="4">
                  <c:v>Apr 1, 2026</c:v>
                </c:pt>
                <c:pt idx="5">
                  <c:v>Mar 1, 2026</c:v>
                </c:pt>
                <c:pt idx="6">
                  <c:v>Feb 1, 2026</c:v>
                </c:pt>
                <c:pt idx="7">
                  <c:v>Jan 1, 2026</c:v>
                </c:pt>
                <c:pt idx="8">
                  <c:v>Dec 1, 2025</c:v>
                </c:pt>
                <c:pt idx="9">
                  <c:v>Nov 1, 2025</c:v>
                </c:pt>
                <c:pt idx="10">
                  <c:v>Oct 1, 2025</c:v>
                </c:pt>
                <c:pt idx="11">
                  <c:v>Sep 1, 2025</c:v>
                </c:pt>
                <c:pt idx="12">
                  <c:v>Aug 1, 2025</c:v>
                </c:pt>
                <c:pt idx="13">
                  <c:v>Jul 1, 2025</c:v>
                </c:pt>
                <c:pt idx="14">
                  <c:v>Jun 1, 2025</c:v>
                </c:pt>
                <c:pt idx="15">
                  <c:v>May 1, 2025</c:v>
                </c:pt>
                <c:pt idx="16">
                  <c:v>Apr 1, 2025</c:v>
                </c:pt>
                <c:pt idx="17">
                  <c:v>Mar 1, 2025</c:v>
                </c:pt>
                <c:pt idx="18">
                  <c:v>Feb 1, 2025</c:v>
                </c:pt>
                <c:pt idx="19">
                  <c:v>Jan 1, 2025</c:v>
                </c:pt>
                <c:pt idx="20">
                  <c:v>Dec 1, 2024</c:v>
                </c:pt>
                <c:pt idx="21">
                  <c:v>Nov 1, 2024</c:v>
                </c:pt>
                <c:pt idx="22">
                  <c:v>Oct 1, 2024</c:v>
                </c:pt>
                <c:pt idx="23">
                  <c:v>Sep 1, 2024</c:v>
                </c:pt>
                <c:pt idx="24">
                  <c:v>Aug 1, 2024</c:v>
                </c:pt>
                <c:pt idx="25">
                  <c:v>Jul 1, 2024</c:v>
                </c:pt>
                <c:pt idx="26">
                  <c:v>Jun 1, 2024</c:v>
                </c:pt>
                <c:pt idx="27">
                  <c:v>May 1, 2024</c:v>
                </c:pt>
                <c:pt idx="28">
                  <c:v>Apr 1, 2024</c:v>
                </c:pt>
                <c:pt idx="29">
                  <c:v>Mar 1, 2024</c:v>
                </c:pt>
                <c:pt idx="30">
                  <c:v>Feb 1, 2024</c:v>
                </c:pt>
                <c:pt idx="31">
                  <c:v>Jan 1, 2024</c:v>
                </c:pt>
                <c:pt idx="32">
                  <c:v>Dec 1, 2023</c:v>
                </c:pt>
                <c:pt idx="33">
                  <c:v>Nov 1, 2023</c:v>
                </c:pt>
                <c:pt idx="34">
                  <c:v>Oct 1, 2023</c:v>
                </c:pt>
                <c:pt idx="35">
                  <c:v>Sep 1, 2023</c:v>
                </c:pt>
                <c:pt idx="36">
                  <c:v>Aug 1, 2023</c:v>
                </c:pt>
                <c:pt idx="37">
                  <c:v>Jul 1, 2023</c:v>
                </c:pt>
                <c:pt idx="38">
                  <c:v>Jun 1, 2023</c:v>
                </c:pt>
                <c:pt idx="39">
                  <c:v>May 1, 2023</c:v>
                </c:pt>
                <c:pt idx="40">
                  <c:v>Apr 1, 2023</c:v>
                </c:pt>
                <c:pt idx="41">
                  <c:v>Mar 1, 2023</c:v>
                </c:pt>
                <c:pt idx="42">
                  <c:v>Feb 1, 2023</c:v>
                </c:pt>
                <c:pt idx="43">
                  <c:v>Jan 1, 2023</c:v>
                </c:pt>
                <c:pt idx="44">
                  <c:v>Dec 1, 2022</c:v>
                </c:pt>
                <c:pt idx="45">
                  <c:v>Nov 1, 2022</c:v>
                </c:pt>
                <c:pt idx="46">
                  <c:v>Oct 1, 2022</c:v>
                </c:pt>
                <c:pt idx="47">
                  <c:v>Sep 1, 2022</c:v>
                </c:pt>
                <c:pt idx="48">
                  <c:v>Aug 1, 2022</c:v>
                </c:pt>
                <c:pt idx="49">
                  <c:v>Jul 1, 2022</c:v>
                </c:pt>
                <c:pt idx="50">
                  <c:v>Jun 1, 2022</c:v>
                </c:pt>
                <c:pt idx="51">
                  <c:v>May 1, 2022</c:v>
                </c:pt>
                <c:pt idx="52">
                  <c:v>Apr 1, 2022</c:v>
                </c:pt>
                <c:pt idx="53">
                  <c:v>Mar 1, 2022</c:v>
                </c:pt>
                <c:pt idx="54">
                  <c:v>Feb 1, 2022</c:v>
                </c:pt>
                <c:pt idx="55">
                  <c:v>Jan 1, 2022</c:v>
                </c:pt>
                <c:pt idx="56">
                  <c:v>Dec 1, 2021</c:v>
                </c:pt>
                <c:pt idx="57">
                  <c:v>Nov 1, 2021</c:v>
                </c:pt>
                <c:pt idx="58">
                  <c:v>Oct 1, 2021</c:v>
                </c:pt>
                <c:pt idx="59">
                  <c:v>Sep 1, 2021</c:v>
                </c:pt>
                <c:pt idx="60">
                  <c:v>Aug 1, 2021</c:v>
                </c:pt>
              </c:numCache>
            </c:numRef>
          </c:cat>
          <c:val>
            <c:numRef>
              <c:f>RawData!$J$4:$J$64</c:f>
              <c:numCache>
                <c:formatCode>General</c:formatCode>
                <c:ptCount val="61"/>
                <c:pt idx="0">
                  <c:v>0.472095</c:v>
                </c:pt>
                <c:pt idx="1">
                  <c:v>2.727079</c:v>
                </c:pt>
                <c:pt idx="2">
                  <c:v>31.407028</c:v>
                </c:pt>
                <c:pt idx="3">
                  <c:v>24.922732</c:v>
                </c:pt>
                <c:pt idx="4">
                  <c:v>28.781051</c:v>
                </c:pt>
                <c:pt idx="5">
                  <c:v>23.464907</c:v>
                </c:pt>
                <c:pt idx="6">
                  <c:v>22.708371</c:v>
                </c:pt>
                <c:pt idx="7">
                  <c:v>29.42148</c:v>
                </c:pt>
                <c:pt idx="8">
                  <c:v>27.446915</c:v>
                </c:pt>
                <c:pt idx="9">
                  <c:v>35.174896</c:v>
                </c:pt>
                <c:pt idx="10">
                  <c:v>16.363165</c:v>
                </c:pt>
                <c:pt idx="11">
                  <c:v>21.304014</c:v>
                </c:pt>
                <c:pt idx="12">
                  <c:v>26.744337</c:v>
                </c:pt>
                <c:pt idx="13">
                  <c:v>22.879351</c:v>
                </c:pt>
                <c:pt idx="14">
                  <c:v>25.721771</c:v>
                </c:pt>
                <c:pt idx="15">
                  <c:v>27.390695</c:v>
                </c:pt>
                <c:pt idx="16">
                  <c:v>19.512308</c:v>
                </c:pt>
                <c:pt idx="17">
                  <c:v>22.686751</c:v>
                </c:pt>
                <c:pt idx="18">
                  <c:v>28.272421</c:v>
                </c:pt>
                <c:pt idx="19">
                  <c:v>26.548648</c:v>
                </c:pt>
                <c:pt idx="20">
                  <c:v>28.639502</c:v>
                </c:pt>
                <c:pt idx="21">
                  <c:v>35.976547</c:v>
                </c:pt>
                <c:pt idx="22">
                  <c:v>20.203893</c:v>
                </c:pt>
                <c:pt idx="23">
                  <c:v>24.86929</c:v>
                </c:pt>
                <c:pt idx="24">
                  <c:v>23.138941</c:v>
                </c:pt>
                <c:pt idx="25">
                  <c:v>38.749558</c:v>
                </c:pt>
                <c:pt idx="26">
                  <c:v>24.99677</c:v>
                </c:pt>
                <c:pt idx="27">
                  <c:v>32.374118</c:v>
                </c:pt>
                <c:pt idx="28">
                  <c:v>20.285504</c:v>
                </c:pt>
                <c:pt idx="29">
                  <c:v>21.368906</c:v>
                </c:pt>
                <c:pt idx="30">
                  <c:v>31.586526</c:v>
                </c:pt>
                <c:pt idx="31">
                  <c:v>24.098927</c:v>
                </c:pt>
                <c:pt idx="32">
                  <c:v>19.737885</c:v>
                </c:pt>
                <c:pt idx="33">
                  <c:v>15.149982</c:v>
                </c:pt>
                <c:pt idx="34">
                  <c:v>18.372958</c:v>
                </c:pt>
                <c:pt idx="35">
                  <c:v>18.227698</c:v>
                </c:pt>
                <c:pt idx="36">
                  <c:v>16.415451</c:v>
                </c:pt>
                <c:pt idx="37">
                  <c:v>17.229102</c:v>
                </c:pt>
                <c:pt idx="38">
                  <c:v>18.302973</c:v>
                </c:pt>
                <c:pt idx="39">
                  <c:v>21.922294</c:v>
                </c:pt>
                <c:pt idx="40">
                  <c:v>15.227696</c:v>
                </c:pt>
                <c:pt idx="41">
                  <c:v>21.347057</c:v>
                </c:pt>
                <c:pt idx="42">
                  <c:v>18.969238</c:v>
                </c:pt>
                <c:pt idx="43">
                  <c:v>26.563904</c:v>
                </c:pt>
                <c:pt idx="44">
                  <c:v>19.992087</c:v>
                </c:pt>
                <c:pt idx="45">
                  <c:v>20.242762</c:v>
                </c:pt>
                <c:pt idx="46">
                  <c:v>20.990793</c:v>
                </c:pt>
                <c:pt idx="47">
                  <c:v>23.352453</c:v>
                </c:pt>
                <c:pt idx="48">
                  <c:v>21.161293</c:v>
                </c:pt>
                <c:pt idx="49">
                  <c:v>28.722838</c:v>
                </c:pt>
                <c:pt idx="50">
                  <c:v>34.007282</c:v>
                </c:pt>
                <c:pt idx="51">
                  <c:v>30.837045</c:v>
                </c:pt>
                <c:pt idx="52">
                  <c:v>18.570571</c:v>
                </c:pt>
                <c:pt idx="53">
                  <c:v>46.951421</c:v>
                </c:pt>
                <c:pt idx="54">
                  <c:v>17.145295</c:v>
                </c:pt>
                <c:pt idx="55">
                  <c:v>25.109145</c:v>
                </c:pt>
                <c:pt idx="56">
                  <c:v>24.234063</c:v>
                </c:pt>
                <c:pt idx="57">
                  <c:v>21.72899</c:v>
                </c:pt>
                <c:pt idx="58">
                  <c:v>32.085053</c:v>
                </c:pt>
                <c:pt idx="59">
                  <c:v>22.000891</c:v>
                </c:pt>
                <c:pt idx="60">
                  <c:v>25.145608</c:v>
                </c:pt>
              </c:numCache>
            </c:numRef>
          </c:val>
        </c:ser>
        <c:gapWidth val="150"/>
        <c:overlap val="100"/>
        <c:axId val="69664258"/>
        <c:axId val="47778170"/>
      </c:barChart>
      <c:dateAx>
        <c:axId val="69664258"/>
        <c:scaling>
          <c:orientation val="minMax"/>
        </c:scaling>
        <c:delete val="0"/>
        <c:axPos val="b"/>
        <c:numFmt formatCode="yyyy"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47778170"/>
        <c:crosses val="autoZero"/>
        <c:auto val="1"/>
        <c:lblOffset val="100"/>
        <c:baseTimeUnit val="days"/>
        <c:noMultiLvlLbl val="0"/>
      </c:dateAx>
      <c:valAx>
        <c:axId val="47778170"/>
        <c:scaling>
          <c:orientation val="minMax"/>
        </c:scaling>
        <c:delete val="0"/>
        <c:axPos val="l"/>
        <c:numFmt formatCode="General"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6966425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85737274498179"/>
          <c:y val="0.162468300929839"/>
          <c:w val="0.746167527737783"/>
          <c:h val="0.720710059171598"/>
        </c:manualLayout>
      </c:layout>
      <c:barChart>
        <c:barDir val="bar"/>
        <c:grouping val="clustered"/>
        <c:varyColors val="0"/>
        <c:ser>
          <c:idx val="0"/>
          <c:order val="0"/>
          <c:spPr>
            <a:solidFill>
              <a:srgbClr val="dae3f3"/>
            </a:solidFill>
            <a:ln w="0">
              <a:noFill/>
            </a:ln>
          </c:spPr>
          <c:invertIfNegative val="0"/>
          <c:dPt>
            <c:idx val="0"/>
            <c:invertIfNegative val="0"/>
            <c:spPr>
              <a:solidFill>
                <a:srgbClr val="203864"/>
              </a:solidFill>
              <a:ln w="0">
                <a:noFill/>
              </a:ln>
            </c:spPr>
          </c:dPt>
          <c:dPt>
            <c:idx val="1"/>
            <c:invertIfNegative val="0"/>
            <c:spPr>
              <a:solidFill>
                <a:srgbClr val="2f5597"/>
              </a:solidFill>
              <a:ln w="0">
                <a:noFill/>
              </a:ln>
            </c:spPr>
          </c:dPt>
          <c:dPt>
            <c:idx val="2"/>
            <c:invertIfNegative val="0"/>
            <c:spPr>
              <a:solidFill>
                <a:srgbClr val="8faadc"/>
              </a:solidFill>
              <a:ln w="0">
                <a:noFill/>
              </a:ln>
            </c:spPr>
          </c:dPt>
          <c:dPt>
            <c:idx val="3"/>
            <c:invertIfNegative val="0"/>
            <c:spPr>
              <a:solidFill>
                <a:srgbClr val="b4c7e7"/>
              </a:solidFill>
              <a:ln w="0">
                <a:noFill/>
              </a:ln>
            </c:spPr>
          </c:dPt>
          <c:dLbls>
            <c:numFmt formatCode="0.00%" sourceLinked="1"/>
            <c:dLbl>
              <c:idx val="0"/>
              <c:numFmt formatCode="0.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dLbl>
            <c:dLbl>
              <c:idx val="1"/>
              <c:numFmt formatCode="0.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dLbl>
            <c:dLbl>
              <c:idx val="2"/>
              <c:numFmt formatCode="0.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dLbl>
            <c:dLbl>
              <c:idx val="3"/>
              <c:numFmt formatCode="0.00%" sourceLinked="1"/>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dLbl>
            <c:txPr>
              <a:bodyPr wrap="square"/>
              <a:lstStyle/>
              <a:p>
                <a:pPr>
                  <a:defRPr b="1" sz="900" spc="-1" strike="noStrike">
                    <a:solidFill>
                      <a:srgbClr val="ffffff"/>
                    </a:solidFill>
                    <a:latin typeface="Calibri"/>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RawData!$AA$18:$AA$21</c:f>
              <c:strCache>
                <c:ptCount val="4"/>
                <c:pt idx="0">
                  <c:v>Promoters </c:v>
                </c:pt>
                <c:pt idx="1">
                  <c:v>FIIs </c:v>
                </c:pt>
                <c:pt idx="2">
                  <c:v>DIIs </c:v>
                </c:pt>
                <c:pt idx="3">
                  <c:v>Public &amp; Govt.</c:v>
                </c:pt>
              </c:strCache>
            </c:strRef>
          </c:cat>
          <c:val>
            <c:numRef>
              <c:f>RawData!$AM$18:$AM$21</c:f>
              <c:numCache>
                <c:formatCode>0.00%</c:formatCode>
                <c:ptCount val="4"/>
                <c:pt idx="0">
                  <c:v>0.5263</c:v>
                </c:pt>
                <c:pt idx="1">
                  <c:v>0.1211</c:v>
                </c:pt>
                <c:pt idx="2">
                  <c:v>0.2174</c:v>
                </c:pt>
                <c:pt idx="3">
                  <c:v>0.1352</c:v>
                </c:pt>
              </c:numCache>
            </c:numRef>
          </c:val>
        </c:ser>
        <c:gapWidth val="98"/>
        <c:overlap val="64"/>
        <c:axId val="76830808"/>
        <c:axId val="5626782"/>
      </c:barChart>
      <c:catAx>
        <c:axId val="7683080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5626782"/>
        <c:crosses val="autoZero"/>
        <c:auto val="1"/>
        <c:lblAlgn val="ctr"/>
        <c:lblOffset val="100"/>
        <c:noMultiLvlLbl val="0"/>
      </c:catAx>
      <c:valAx>
        <c:axId val="5626782"/>
        <c:scaling>
          <c:orientation val="minMax"/>
        </c:scaling>
        <c:delete val="0"/>
        <c:axPos val="l"/>
        <c:numFmt formatCode="0.00%"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768308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image" Target="../media/image4.png"/>
</Relationships>
</file>

<file path=xl/drawings/_rels/drawing5.xml.rels><?xml version="1.0" encoding="UTF-8"?>
<Relationships xmlns="http://schemas.openxmlformats.org/package/2006/relationships"><Relationship Id="rId1" Type="http://schemas.openxmlformats.org/officeDocument/2006/relationships/image" Target="../media/image4.png"/>
</Relationships>
</file>

<file path=xl/drawings/_rels/drawing6.xml.rels><?xml version="1.0" encoding="UTF-8"?>
<Relationships xmlns="http://schemas.openxmlformats.org/package/2006/relationships"><Relationship Id="rId1" Type="http://schemas.openxmlformats.org/officeDocument/2006/relationships/image" Target="../media/image4.png"/>
</Relationships>
</file>

<file path=xl/drawings/_rels/drawing7.xml.rels><?xml version="1.0" encoding="UTF-8"?>
<Relationships xmlns="http://schemas.openxmlformats.org/package/2006/relationships"><Relationship Id="rId1" Type="http://schemas.openxmlformats.org/officeDocument/2006/relationships/image" Target="../media/image4.png"/>
</Relationships>
</file>

<file path=xl/drawings/_rels/drawing8.xml.rels><?xml version="1.0" encoding="UTF-8"?>
<Relationships xmlns="http://schemas.openxmlformats.org/package/2006/relationships"><Relationship Id="rId1" Type="http://schemas.openxmlformats.org/officeDocument/2006/relationships/image" Target="../media/image4.png"/>
</Relationships>
</file>

<file path=xl/drawings/_rels/drawing9.xml.rels><?xml version="1.0" encoding="UTF-8"?>
<Relationships xmlns="http://schemas.openxmlformats.org/package/2006/relationships"><Relationship Id="rId1" Type="http://schemas.openxmlformats.org/officeDocument/2006/relationships/image" Target="../media/image4.png"/>
</Relationships>
</file>

<file path=xl/drawings/_rels/drawing10.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4.png"/>
</Relationships>
</file>

<file path=xl/drawings/_rels/drawing11.xml.rels><?xml version="1.0" encoding="UTF-8"?>
<Relationships xmlns="http://schemas.openxmlformats.org/package/2006/relationships"><Relationship Id="rId1" Type="http://schemas.openxmlformats.org/officeDocument/2006/relationships/image" Target="../media/image4.png"/>
</Relationships>
</file>

<file path=xl/drawings/_rels/drawing12.xml.rels><?xml version="1.0" encoding="UTF-8"?>
<Relationships xmlns="http://schemas.openxmlformats.org/package/2006/relationships"><Relationship Id="rId1" Type="http://schemas.openxmlformats.org/officeDocument/2006/relationships/image" Target="../media/image4.png"/>
</Relationships>
</file>

<file path=xl/drawings/_rels/drawing13.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52560</xdr:colOff>
      <xdr:row>5</xdr:row>
      <xdr:rowOff>82080</xdr:rowOff>
    </xdr:from>
    <xdr:to>
      <xdr:col>8</xdr:col>
      <xdr:colOff>504720</xdr:colOff>
      <xdr:row>21</xdr:row>
      <xdr:rowOff>37440</xdr:rowOff>
    </xdr:to>
    <xdr:pic>
      <xdr:nvPicPr>
        <xdr:cNvPr id="0" name="Picture 2" descr=""/>
        <xdr:cNvPicPr/>
      </xdr:nvPicPr>
      <xdr:blipFill>
        <a:blip r:embed="rId1"/>
        <a:stretch/>
      </xdr:blipFill>
      <xdr:spPr>
        <a:xfrm>
          <a:off x="2175480" y="872640"/>
          <a:ext cx="2898000" cy="28605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377640</xdr:colOff>
      <xdr:row>0</xdr:row>
      <xdr:rowOff>59400</xdr:rowOff>
    </xdr:from>
    <xdr:to>
      <xdr:col>12</xdr:col>
      <xdr:colOff>29160</xdr:colOff>
      <xdr:row>4</xdr:row>
      <xdr:rowOff>49320</xdr:rowOff>
    </xdr:to>
    <xdr:sp>
      <xdr:nvSpPr>
        <xdr:cNvPr id="1" name="Picture 5"/>
        <xdr:cNvSpPr/>
      </xdr:nvSpPr>
      <xdr:spPr>
        <a:xfrm>
          <a:off x="8916480" y="59400"/>
          <a:ext cx="1500480" cy="1161360"/>
        </a:xfrm>
        <a:prstGeom prst="roundRect">
          <a:avLst>
            <a:gd name="adj" fmla="val 16667"/>
          </a:avLst>
        </a:prstGeom>
        <a:blipFill rotWithShape="0">
          <a:blip r:embed="rId1"/>
          <a:srcRect/>
          <a:stretch/>
        </a:blipFill>
        <a:ln w="0">
          <a:noFill/>
        </a:ln>
        <a:scene3d>
          <a:camera prst="orthographicFront"/>
          <a:lightRig rig="threePt" dir="t"/>
        </a:scene3d>
        <a:sp3d prstMaterial="plastic"/>
      </xdr:spPr>
      <xdr:style>
        <a:lnRef idx="0"/>
        <a:fillRef idx="0"/>
        <a:effectRef idx="0"/>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21240</xdr:colOff>
      <xdr:row>8</xdr:row>
      <xdr:rowOff>0</xdr:rowOff>
    </xdr:from>
    <xdr:to>
      <xdr:col>11</xdr:col>
      <xdr:colOff>7200</xdr:colOff>
      <xdr:row>19</xdr:row>
      <xdr:rowOff>144360</xdr:rowOff>
    </xdr:to>
    <xdr:graphicFrame>
      <xdr:nvGraphicFramePr>
        <xdr:cNvPr id="2" name="Chart 1"/>
        <xdr:cNvGraphicFramePr/>
      </xdr:nvGraphicFramePr>
      <xdr:xfrm>
        <a:off x="8149320" y="1971720"/>
        <a:ext cx="2875680" cy="2135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22</xdr:row>
      <xdr:rowOff>15120</xdr:rowOff>
    </xdr:from>
    <xdr:to>
      <xdr:col>11</xdr:col>
      <xdr:colOff>60480</xdr:colOff>
      <xdr:row>29</xdr:row>
      <xdr:rowOff>456840</xdr:rowOff>
    </xdr:to>
    <xdr:graphicFrame>
      <xdr:nvGraphicFramePr>
        <xdr:cNvPr id="3" name="Chart 2"/>
        <xdr:cNvGraphicFramePr/>
      </xdr:nvGraphicFramePr>
      <xdr:xfrm>
        <a:off x="8128080" y="4406040"/>
        <a:ext cx="2950200" cy="15847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112680</xdr:colOff>
      <xdr:row>32</xdr:row>
      <xdr:rowOff>53280</xdr:rowOff>
    </xdr:from>
    <xdr:to>
      <xdr:col>11</xdr:col>
      <xdr:colOff>29880</xdr:colOff>
      <xdr:row>41</xdr:row>
      <xdr:rowOff>144360</xdr:rowOff>
    </xdr:to>
    <xdr:graphicFrame>
      <xdr:nvGraphicFramePr>
        <xdr:cNvPr id="4" name="Chart 3"/>
        <xdr:cNvGraphicFramePr/>
      </xdr:nvGraphicFramePr>
      <xdr:xfrm>
        <a:off x="8240760" y="6368400"/>
        <a:ext cx="2806920" cy="17197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152280</xdr:colOff>
      <xdr:row>4</xdr:row>
      <xdr:rowOff>15120</xdr:rowOff>
    </xdr:from>
    <xdr:to>
      <xdr:col>1</xdr:col>
      <xdr:colOff>1200600</xdr:colOff>
      <xdr:row>4</xdr:row>
      <xdr:rowOff>906480</xdr:rowOff>
    </xdr:to>
    <xdr:pic>
      <xdr:nvPicPr>
        <xdr:cNvPr id="5" name="Picture 5" descr=""/>
        <xdr:cNvPicPr/>
      </xdr:nvPicPr>
      <xdr:blipFill>
        <a:blip r:embed="rId4"/>
        <a:stretch/>
      </xdr:blipFill>
      <xdr:spPr>
        <a:xfrm>
          <a:off x="285120" y="605520"/>
          <a:ext cx="1048320" cy="8913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182160</xdr:colOff>
      <xdr:row>1</xdr:row>
      <xdr:rowOff>72360</xdr:rowOff>
    </xdr:from>
    <xdr:to>
      <xdr:col>14</xdr:col>
      <xdr:colOff>689760</xdr:colOff>
      <xdr:row>6</xdr:row>
      <xdr:rowOff>21240</xdr:rowOff>
    </xdr:to>
    <xdr:pic>
      <xdr:nvPicPr>
        <xdr:cNvPr id="6" name="Picture 1" descr=""/>
        <xdr:cNvPicPr/>
      </xdr:nvPicPr>
      <xdr:blipFill>
        <a:blip r:embed="rId1"/>
        <a:stretch/>
      </xdr:blipFill>
      <xdr:spPr>
        <a:xfrm>
          <a:off x="10730160" y="253440"/>
          <a:ext cx="1283040" cy="134892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491400</xdr:colOff>
      <xdr:row>1</xdr:row>
      <xdr:rowOff>110520</xdr:rowOff>
    </xdr:from>
    <xdr:to>
      <xdr:col>11</xdr:col>
      <xdr:colOff>534240</xdr:colOff>
      <xdr:row>6</xdr:row>
      <xdr:rowOff>47160</xdr:rowOff>
    </xdr:to>
    <xdr:pic>
      <xdr:nvPicPr>
        <xdr:cNvPr id="7" name="Picture 2" descr=""/>
        <xdr:cNvPicPr/>
      </xdr:nvPicPr>
      <xdr:blipFill>
        <a:blip r:embed="rId1"/>
        <a:stretch/>
      </xdr:blipFill>
      <xdr:spPr>
        <a:xfrm>
          <a:off x="6455160" y="243720"/>
          <a:ext cx="1266120" cy="133704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830160</xdr:colOff>
      <xdr:row>0</xdr:row>
      <xdr:rowOff>100800</xdr:rowOff>
    </xdr:from>
    <xdr:to>
      <xdr:col>12</xdr:col>
      <xdr:colOff>998640</xdr:colOff>
      <xdr:row>7</xdr:row>
      <xdr:rowOff>28080</xdr:rowOff>
    </xdr:to>
    <xdr:pic>
      <xdr:nvPicPr>
        <xdr:cNvPr id="8" name="Picture 1" descr=""/>
        <xdr:cNvPicPr/>
      </xdr:nvPicPr>
      <xdr:blipFill>
        <a:blip r:embed="rId1"/>
        <a:stretch/>
      </xdr:blipFill>
      <xdr:spPr>
        <a:xfrm>
          <a:off x="12839760" y="100800"/>
          <a:ext cx="1288080" cy="158472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114120</xdr:colOff>
      <xdr:row>1</xdr:row>
      <xdr:rowOff>53280</xdr:rowOff>
    </xdr:from>
    <xdr:to>
      <xdr:col>10</xdr:col>
      <xdr:colOff>644400</xdr:colOff>
      <xdr:row>5</xdr:row>
      <xdr:rowOff>161640</xdr:rowOff>
    </xdr:to>
    <xdr:pic>
      <xdr:nvPicPr>
        <xdr:cNvPr id="9" name="Picture 1" descr=""/>
        <xdr:cNvPicPr/>
      </xdr:nvPicPr>
      <xdr:blipFill>
        <a:blip r:embed="rId1"/>
        <a:stretch/>
      </xdr:blipFill>
      <xdr:spPr>
        <a:xfrm>
          <a:off x="7459200" y="234360"/>
          <a:ext cx="1281960" cy="131796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367560</xdr:colOff>
      <xdr:row>0</xdr:row>
      <xdr:rowOff>148680</xdr:rowOff>
    </xdr:from>
    <xdr:to>
      <xdr:col>12</xdr:col>
      <xdr:colOff>760680</xdr:colOff>
      <xdr:row>6</xdr:row>
      <xdr:rowOff>21600</xdr:rowOff>
    </xdr:to>
    <xdr:pic>
      <xdr:nvPicPr>
        <xdr:cNvPr id="10" name="Picture 1" descr=""/>
        <xdr:cNvPicPr/>
      </xdr:nvPicPr>
      <xdr:blipFill>
        <a:blip r:embed="rId1"/>
        <a:stretch/>
      </xdr:blipFill>
      <xdr:spPr>
        <a:xfrm>
          <a:off x="9813240" y="148680"/>
          <a:ext cx="1285920" cy="14540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376920</xdr:colOff>
      <xdr:row>0</xdr:row>
      <xdr:rowOff>154800</xdr:rowOff>
    </xdr:from>
    <xdr:to>
      <xdr:col>16</xdr:col>
      <xdr:colOff>777600</xdr:colOff>
      <xdr:row>6</xdr:row>
      <xdr:rowOff>56880</xdr:rowOff>
    </xdr:to>
    <xdr:pic>
      <xdr:nvPicPr>
        <xdr:cNvPr id="11" name="Picture 1" descr=""/>
        <xdr:cNvPicPr/>
      </xdr:nvPicPr>
      <xdr:blipFill>
        <a:blip r:embed="rId1"/>
        <a:stretch/>
      </xdr:blipFill>
      <xdr:spPr>
        <a:xfrm>
          <a:off x="11395440" y="154800"/>
          <a:ext cx="1285920" cy="148320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20160</xdr:colOff>
      <xdr:row>19</xdr:row>
      <xdr:rowOff>19080</xdr:rowOff>
    </xdr:from>
    <xdr:to>
      <xdr:col>8</xdr:col>
      <xdr:colOff>215280</xdr:colOff>
      <xdr:row>38</xdr:row>
      <xdr:rowOff>83520</xdr:rowOff>
    </xdr:to>
    <xdr:graphicFrame>
      <xdr:nvGraphicFramePr>
        <xdr:cNvPr id="12" name="Chart 1"/>
        <xdr:cNvGraphicFramePr/>
      </xdr:nvGraphicFramePr>
      <xdr:xfrm>
        <a:off x="153000" y="4019760"/>
        <a:ext cx="5200560" cy="3502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479880</xdr:colOff>
      <xdr:row>1</xdr:row>
      <xdr:rowOff>45720</xdr:rowOff>
    </xdr:from>
    <xdr:to>
      <xdr:col>11</xdr:col>
      <xdr:colOff>522720</xdr:colOff>
      <xdr:row>6</xdr:row>
      <xdr:rowOff>45360</xdr:rowOff>
    </xdr:to>
    <xdr:pic>
      <xdr:nvPicPr>
        <xdr:cNvPr id="13" name="Picture 2" descr=""/>
        <xdr:cNvPicPr/>
      </xdr:nvPicPr>
      <xdr:blipFill>
        <a:blip r:embed="rId2"/>
        <a:stretch/>
      </xdr:blipFill>
      <xdr:spPr>
        <a:xfrm>
          <a:off x="6229800" y="226800"/>
          <a:ext cx="1265760" cy="139968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19080</xdr:colOff>
      <xdr:row>1</xdr:row>
      <xdr:rowOff>72360</xdr:rowOff>
    </xdr:from>
    <xdr:to>
      <xdr:col>8</xdr:col>
      <xdr:colOff>541800</xdr:colOff>
      <xdr:row>5</xdr:row>
      <xdr:rowOff>56880</xdr:rowOff>
    </xdr:to>
    <xdr:pic>
      <xdr:nvPicPr>
        <xdr:cNvPr id="14" name="Picture 2" descr=""/>
        <xdr:cNvPicPr/>
      </xdr:nvPicPr>
      <xdr:blipFill>
        <a:blip r:embed="rId1"/>
        <a:stretch/>
      </xdr:blipFill>
      <xdr:spPr>
        <a:xfrm>
          <a:off x="5977440" y="196200"/>
          <a:ext cx="1281960" cy="119412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19080</xdr:colOff>
      <xdr:row>1</xdr:row>
      <xdr:rowOff>72360</xdr:rowOff>
    </xdr:from>
    <xdr:to>
      <xdr:col>8</xdr:col>
      <xdr:colOff>541800</xdr:colOff>
      <xdr:row>5</xdr:row>
      <xdr:rowOff>56880</xdr:rowOff>
    </xdr:to>
    <xdr:pic>
      <xdr:nvPicPr>
        <xdr:cNvPr id="15" name="Picture 1" descr=""/>
        <xdr:cNvPicPr/>
      </xdr:nvPicPr>
      <xdr:blipFill>
        <a:blip r:embed="rId1"/>
        <a:stretch/>
      </xdr:blipFill>
      <xdr:spPr>
        <a:xfrm>
          <a:off x="6071400" y="196200"/>
          <a:ext cx="1281960" cy="119412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101520</xdr:colOff>
      <xdr:row>7</xdr:row>
      <xdr:rowOff>127080</xdr:rowOff>
    </xdr:from>
    <xdr:to>
      <xdr:col>5</xdr:col>
      <xdr:colOff>558360</xdr:colOff>
      <xdr:row>20</xdr:row>
      <xdr:rowOff>84240</xdr:rowOff>
    </xdr:to>
    <xdr:graphicFrame>
      <xdr:nvGraphicFramePr>
        <xdr:cNvPr id="16" name="Chart 1"/>
        <xdr:cNvGraphicFramePr/>
      </xdr:nvGraphicFramePr>
      <xdr:xfrm>
        <a:off x="234360" y="1393920"/>
        <a:ext cx="3243600" cy="2309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110160</xdr:colOff>
      <xdr:row>20</xdr:row>
      <xdr:rowOff>144000</xdr:rowOff>
    </xdr:from>
    <xdr:to>
      <xdr:col>5</xdr:col>
      <xdr:colOff>541440</xdr:colOff>
      <xdr:row>33</xdr:row>
      <xdr:rowOff>152280</xdr:rowOff>
    </xdr:to>
    <xdr:graphicFrame>
      <xdr:nvGraphicFramePr>
        <xdr:cNvPr id="17" name="Chart 2"/>
        <xdr:cNvGraphicFramePr/>
      </xdr:nvGraphicFramePr>
      <xdr:xfrm>
        <a:off x="243000" y="3763440"/>
        <a:ext cx="3218040" cy="2360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30</xdr:col>
      <xdr:colOff>219960</xdr:colOff>
      <xdr:row>3</xdr:row>
      <xdr:rowOff>50760</xdr:rowOff>
    </xdr:from>
    <xdr:to>
      <xdr:col>37</xdr:col>
      <xdr:colOff>194040</xdr:colOff>
      <xdr:row>15</xdr:row>
      <xdr:rowOff>7920</xdr:rowOff>
    </xdr:to>
    <xdr:graphicFrame>
      <xdr:nvGraphicFramePr>
        <xdr:cNvPr id="18" name="Chart 3"/>
        <xdr:cNvGraphicFramePr/>
      </xdr:nvGraphicFramePr>
      <xdr:xfrm>
        <a:off x="21096360" y="593640"/>
        <a:ext cx="4250160" cy="21290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6.xml"/><Relationship Id="rId3"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3.xml.rels><?xml version="1.0" encoding="UTF-8"?>
<Relationships xmlns="http://schemas.openxmlformats.org/package/2006/relationships"><Relationship Id="rId1" Type="http://schemas.openxmlformats.org/officeDocument/2006/relationships/drawing" Target="../drawings/drawing8.xml"/>
</Relationships>
</file>

<file path=xl/worksheets/_rels/sheet14.xml.rels><?xml version="1.0" encoding="UTF-8"?>
<Relationships xmlns="http://schemas.openxmlformats.org/package/2006/relationships"><Relationship Id="rId1" Type="http://schemas.openxmlformats.org/officeDocument/2006/relationships/drawing" Target="../drawings/drawing9.xml"/>
</Relationships>
</file>

<file path=xl/worksheets/_rels/sheet15.xml.rels><?xml version="1.0" encoding="UTF-8"?>
<Relationships xmlns="http://schemas.openxmlformats.org/package/2006/relationships"><Relationship Id="rId1" Type="http://schemas.openxmlformats.org/officeDocument/2006/relationships/drawing" Target="../drawings/drawing10.xml"/>
</Relationships>
</file>

<file path=xl/worksheets/_rels/sheet18.xml.rels><?xml version="1.0" encoding="UTF-8"?>
<Relationships xmlns="http://schemas.openxmlformats.org/package/2006/relationships"><Relationship Id="rId1" Type="http://schemas.openxmlformats.org/officeDocument/2006/relationships/drawing" Target="../drawings/drawing11.xml"/>
</Relationships>
</file>

<file path=xl/worksheets/_rels/sheet19.xml.rels><?xml version="1.0" encoding="UTF-8"?>
<Relationships xmlns="http://schemas.openxmlformats.org/package/2006/relationships"><Relationship Id="rId1" Type="http://schemas.openxmlformats.org/officeDocument/2006/relationships/drawing" Target="../drawings/drawing12.xml"/>
</Relationships>
</file>

<file path=xl/worksheets/_rels/sheet24.xml.rels><?xml version="1.0" encoding="UTF-8"?>
<Relationships xmlns="http://schemas.openxmlformats.org/package/2006/relationships"><Relationship Id="rId1" Type="http://schemas.openxmlformats.org/officeDocument/2006/relationships/hyperlink" Target="https://www.screener.in/excel/" TargetMode="External"/>
</Relationships>
</file>

<file path=xl/worksheets/_rels/sheet28.xml.rels><?xml version="1.0" encoding="UTF-8"?>
<Relationships xmlns="http://schemas.openxmlformats.org/package/2006/relationships"><Relationship Id="rId1" Type="http://schemas.openxmlformats.org/officeDocument/2006/relationships/drawing" Target="../drawings/drawing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53"/>
  <sheetViews>
    <sheetView showFormulas="false" showGridLines="false" showRowColHeaders="true" showZeros="true" rightToLeft="false" tabSelected="false" showOutlineSymbols="true" defaultGridColor="true" view="normal" topLeftCell="A10" colorId="64" zoomScale="55" zoomScaleNormal="55" zoomScalePageLayoutView="92" workbookViewId="0">
      <selection pane="topLeft" activeCell="K39" activeCellId="0" sqref="K39"/>
    </sheetView>
  </sheetViews>
  <sheetFormatPr defaultColWidth="8.6796875" defaultRowHeight="14.25" zeroHeight="false" outlineLevelRow="0" outlineLevelCol="0"/>
  <cols>
    <col collapsed="false" customWidth="true" hidden="false" outlineLevel="0" max="1" min="1" style="0" width="1.88"/>
    <col collapsed="false" customWidth="true" hidden="false" outlineLevel="0" max="4" min="4" style="0" width="10.88"/>
    <col collapsed="false" customWidth="true" hidden="false" outlineLevel="0" max="12" min="12" style="0" width="8.88"/>
    <col collapsed="false" customWidth="true" hidden="false" outlineLevel="0" max="13" min="13" style="0" width="1.88"/>
  </cols>
  <sheetData>
    <row r="1" customFormat="false" ht="14.25" hidden="false" customHeight="false" outlineLevel="0" collapsed="false">
      <c r="B1" s="1"/>
      <c r="C1" s="1"/>
      <c r="D1" s="1"/>
      <c r="E1" s="1"/>
      <c r="F1" s="1"/>
      <c r="G1" s="1"/>
      <c r="H1" s="1"/>
      <c r="I1" s="1"/>
      <c r="J1" s="1"/>
      <c r="K1" s="1"/>
      <c r="L1" s="1"/>
      <c r="M1" s="1"/>
    </row>
    <row r="2" customFormat="false" ht="14.25" hidden="false" customHeight="false" outlineLevel="0" collapsed="false">
      <c r="B2" s="1"/>
      <c r="C2" s="1"/>
      <c r="D2" s="1"/>
      <c r="E2" s="1"/>
      <c r="F2" s="1"/>
      <c r="G2" s="1"/>
      <c r="H2" s="1"/>
      <c r="I2" s="1"/>
      <c r="J2" s="1"/>
      <c r="K2" s="1"/>
      <c r="L2" s="1"/>
      <c r="M2" s="1"/>
    </row>
    <row r="3" customFormat="false" ht="14.25" hidden="false" customHeight="false" outlineLevel="0" collapsed="false">
      <c r="B3" s="1"/>
      <c r="C3" s="1"/>
      <c r="D3" s="1"/>
      <c r="E3" s="1"/>
      <c r="F3" s="1"/>
      <c r="G3" s="1"/>
      <c r="H3" s="1"/>
      <c r="I3" s="1"/>
      <c r="J3" s="1"/>
      <c r="K3" s="1"/>
      <c r="L3" s="1"/>
      <c r="M3" s="1"/>
    </row>
    <row r="4" customFormat="false" ht="5.25" hidden="false" customHeight="true" outlineLevel="0" collapsed="false">
      <c r="B4" s="2"/>
      <c r="C4" s="2"/>
      <c r="D4" s="2"/>
      <c r="E4" s="2"/>
      <c r="F4" s="2"/>
      <c r="G4" s="2"/>
      <c r="H4" s="2"/>
      <c r="I4" s="2"/>
      <c r="J4" s="2"/>
      <c r="K4" s="2"/>
      <c r="L4" s="2"/>
      <c r="M4" s="2"/>
    </row>
    <row r="18" customFormat="false" ht="36" hidden="false" customHeight="true" outlineLevel="0" collapsed="false"/>
    <row r="19" customFormat="false" ht="3.75" hidden="false" customHeight="true" outlineLevel="0" collapsed="false"/>
    <row r="21" customFormat="false" ht="3.75" hidden="false" customHeight="true" outlineLevel="0" collapsed="false"/>
    <row r="22" customFormat="false" ht="14.25" hidden="false" customHeight="false" outlineLevel="0" collapsed="false">
      <c r="C22" s="3"/>
      <c r="K22" s="3"/>
    </row>
    <row r="23" customFormat="false" ht="21" hidden="false" customHeight="true" outlineLevel="0" collapsed="false">
      <c r="D23" s="4"/>
      <c r="E23" s="4"/>
      <c r="F23" s="4"/>
      <c r="G23" s="5" t="s">
        <v>0</v>
      </c>
      <c r="H23" s="4"/>
      <c r="I23" s="4"/>
      <c r="J23" s="4"/>
    </row>
    <row r="25" customFormat="false" ht="46.5" hidden="false" customHeight="true" outlineLevel="0" collapsed="false">
      <c r="C25" s="6"/>
      <c r="D25" s="6"/>
      <c r="E25" s="7"/>
      <c r="F25" s="6"/>
      <c r="G25" s="8" t="s">
        <v>1</v>
      </c>
      <c r="H25" s="6"/>
      <c r="I25" s="6"/>
      <c r="J25" s="6"/>
      <c r="K25" s="6"/>
    </row>
    <row r="26" customFormat="false" ht="15" hidden="false" customHeight="true" outlineLevel="0" collapsed="false"/>
    <row r="27" customFormat="false" ht="14.25" hidden="false" customHeight="false" outlineLevel="0" collapsed="false">
      <c r="D27" s="9" t="s">
        <v>2</v>
      </c>
    </row>
    <row r="41" customFormat="false" ht="10.5" hidden="false" customHeight="true" outlineLevel="0" collapsed="false"/>
    <row r="53" customFormat="false" ht="14.25" hidden="false" customHeight="false" outlineLevel="0" collapsed="false">
      <c r="B53" s="1"/>
      <c r="C53" s="1"/>
      <c r="D53" s="1"/>
      <c r="E53" s="1"/>
      <c r="F53" s="1"/>
      <c r="G53" s="1"/>
      <c r="H53" s="1"/>
      <c r="I53" s="1"/>
      <c r="J53" s="1"/>
      <c r="K53" s="1"/>
      <c r="L53" s="1"/>
      <c r="M53" s="1"/>
    </row>
  </sheetData>
  <printOptions headings="false" gridLines="false" gridLinesSet="true" horizontalCentered="false" verticalCentered="false"/>
  <pageMargins left="0.708333333333333" right="0.39375" top="0.747916666666667" bottom="0.747916666666667" header="0.511811023622047" footer="0.511811023622047"/>
  <pageSetup paperSize="9" scale="81"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1"/>
  <sheetViews>
    <sheetView showFormulas="false" showGridLines="false" showRowColHeaders="true" showZeros="true" rightToLeft="false" tabSelected="false" showOutlineSymbols="true" defaultGridColor="true" view="normal" topLeftCell="A1" colorId="64" zoomScale="56" zoomScaleNormal="56" zoomScalePageLayoutView="100" workbookViewId="0">
      <selection pane="topLeft" activeCell="G26" activeCellId="0" sqref="G26"/>
    </sheetView>
  </sheetViews>
  <sheetFormatPr defaultColWidth="8.6796875" defaultRowHeight="14.25" zeroHeight="false" outlineLevelRow="0" outlineLevelCol="0"/>
  <cols>
    <col collapsed="false" customWidth="true" hidden="false" outlineLevel="0" max="1" min="1" style="0" width="1.88"/>
    <col collapsed="false" customWidth="true" hidden="false" outlineLevel="0" max="2" min="2" style="0" width="5.66"/>
    <col collapsed="false" customWidth="true" hidden="false" outlineLevel="0" max="3" min="3" style="0" width="59.33"/>
    <col collapsed="false" customWidth="true" hidden="false" outlineLevel="0" max="4" min="4" style="0" width="10.88"/>
    <col collapsed="false" customWidth="true" hidden="false" outlineLevel="0" max="12" min="12" style="0" width="8.88"/>
    <col collapsed="false" customWidth="true" hidden="false" outlineLevel="0" max="13" min="13" style="0" width="1.88"/>
  </cols>
  <sheetData>
    <row r="1" customFormat="false" ht="14.25" hidden="false" customHeight="false" outlineLevel="0" collapsed="false">
      <c r="B1" s="1"/>
      <c r="C1" s="1"/>
      <c r="D1" s="1"/>
      <c r="E1" s="1"/>
      <c r="F1" s="1"/>
      <c r="G1" s="1"/>
      <c r="H1" s="1"/>
      <c r="I1" s="1"/>
      <c r="J1" s="1"/>
      <c r="K1" s="1"/>
      <c r="L1" s="1"/>
      <c r="M1" s="1"/>
    </row>
    <row r="2" customFormat="false" ht="45.75" hidden="false" customHeight="true" outlineLevel="0" collapsed="false">
      <c r="B2" s="10" t="s">
        <v>3</v>
      </c>
      <c r="C2" s="1"/>
      <c r="D2" s="1"/>
      <c r="E2" s="1"/>
      <c r="F2" s="1"/>
      <c r="G2" s="1"/>
      <c r="H2" s="1"/>
      <c r="I2" s="1"/>
      <c r="J2" s="1"/>
      <c r="K2" s="1"/>
      <c r="L2" s="1"/>
      <c r="M2" s="1"/>
    </row>
    <row r="3" customFormat="false" ht="18" hidden="false" customHeight="true" outlineLevel="0" collapsed="false">
      <c r="B3" s="11" t="s">
        <v>4</v>
      </c>
      <c r="C3" s="1"/>
      <c r="D3" s="1"/>
      <c r="E3" s="1"/>
      <c r="F3" s="1"/>
      <c r="G3" s="1"/>
      <c r="H3" s="1"/>
      <c r="I3" s="1"/>
      <c r="J3" s="1"/>
      <c r="K3" s="1"/>
      <c r="L3" s="1"/>
      <c r="M3" s="1"/>
    </row>
    <row r="4" customFormat="false" ht="14.25" hidden="false" customHeight="false" outlineLevel="0" collapsed="false">
      <c r="B4" s="1"/>
      <c r="C4" s="1"/>
      <c r="D4" s="1"/>
      <c r="E4" s="1"/>
      <c r="F4" s="1"/>
      <c r="G4" s="1"/>
      <c r="H4" s="1"/>
      <c r="I4" s="1"/>
      <c r="J4" s="1"/>
      <c r="K4" s="1"/>
      <c r="L4" s="1"/>
      <c r="M4" s="1"/>
    </row>
    <row r="5" customFormat="false" ht="14.25" hidden="false" customHeight="false" outlineLevel="0" collapsed="false">
      <c r="B5" s="1"/>
      <c r="C5" s="1"/>
      <c r="D5" s="1"/>
      <c r="E5" s="1"/>
      <c r="F5" s="1"/>
      <c r="G5" s="1"/>
      <c r="H5" s="1"/>
      <c r="I5" s="1"/>
      <c r="J5" s="1"/>
      <c r="K5" s="1"/>
      <c r="L5" s="1"/>
      <c r="M5" s="1"/>
    </row>
    <row r="6" customFormat="false" ht="5.25" hidden="false" customHeight="true" outlineLevel="0" collapsed="false">
      <c r="B6" s="2"/>
      <c r="C6" s="2"/>
      <c r="D6" s="2"/>
      <c r="E6" s="2"/>
      <c r="F6" s="2"/>
      <c r="G6" s="2"/>
      <c r="H6" s="2"/>
      <c r="I6" s="2"/>
      <c r="J6" s="2"/>
      <c r="K6" s="2"/>
      <c r="L6" s="2"/>
      <c r="M6" s="2"/>
    </row>
    <row r="8" customFormat="false" ht="28.5" hidden="false" customHeight="true" outlineLevel="0" collapsed="false">
      <c r="B8" s="12" t="n">
        <v>1</v>
      </c>
      <c r="C8" s="12" t="s">
        <v>5</v>
      </c>
      <c r="D8" s="13"/>
      <c r="E8" s="13"/>
      <c r="K8" s="14" t="n">
        <v>1</v>
      </c>
    </row>
    <row r="9" customFormat="false" ht="28.5" hidden="false" customHeight="true" outlineLevel="0" collapsed="false">
      <c r="B9" s="12" t="n">
        <v>2</v>
      </c>
      <c r="C9" s="12" t="s">
        <v>6</v>
      </c>
      <c r="D9" s="13"/>
      <c r="E9" s="13"/>
      <c r="K9" s="14" t="n">
        <v>2</v>
      </c>
    </row>
    <row r="10" customFormat="false" ht="28.5" hidden="false" customHeight="true" outlineLevel="0" collapsed="false">
      <c r="B10" s="12" t="n">
        <v>3</v>
      </c>
      <c r="C10" s="12" t="s">
        <v>7</v>
      </c>
      <c r="D10" s="13"/>
      <c r="E10" s="13"/>
      <c r="K10" s="14" t="n">
        <v>3</v>
      </c>
    </row>
    <row r="11" customFormat="false" ht="28.5" hidden="false" customHeight="true" outlineLevel="0" collapsed="false">
      <c r="B11" s="12" t="n">
        <v>4</v>
      </c>
      <c r="C11" s="12" t="s">
        <v>8</v>
      </c>
      <c r="D11" s="13"/>
      <c r="E11" s="13"/>
      <c r="K11" s="14" t="n">
        <v>4</v>
      </c>
    </row>
    <row r="12" customFormat="false" ht="28.5" hidden="false" customHeight="true" outlineLevel="0" collapsed="false">
      <c r="B12" s="12" t="n">
        <v>5</v>
      </c>
      <c r="C12" s="12" t="s">
        <v>9</v>
      </c>
      <c r="D12" s="13"/>
      <c r="E12" s="13"/>
      <c r="K12" s="14" t="n">
        <v>5</v>
      </c>
    </row>
    <row r="13" customFormat="false" ht="28.5" hidden="false" customHeight="true" outlineLevel="0" collapsed="false">
      <c r="B13" s="12" t="n">
        <v>6</v>
      </c>
      <c r="C13" s="12" t="s">
        <v>10</v>
      </c>
      <c r="D13" s="13"/>
      <c r="E13" s="13"/>
      <c r="K13" s="14" t="n">
        <v>6</v>
      </c>
    </row>
    <row r="14" customFormat="false" ht="28.5" hidden="false" customHeight="true" outlineLevel="0" collapsed="false">
      <c r="B14" s="12" t="n">
        <v>7</v>
      </c>
      <c r="C14" s="12" t="s">
        <v>11</v>
      </c>
      <c r="D14" s="13"/>
      <c r="E14" s="13"/>
      <c r="K14" s="14" t="n">
        <v>7</v>
      </c>
    </row>
    <row r="15" customFormat="false" ht="28.5" hidden="false" customHeight="true" outlineLevel="0" collapsed="false">
      <c r="B15" s="12" t="n">
        <v>8</v>
      </c>
      <c r="C15" s="12" t="s">
        <v>12</v>
      </c>
      <c r="D15" s="13"/>
      <c r="E15" s="13"/>
      <c r="K15" s="14" t="n">
        <v>8</v>
      </c>
    </row>
    <row r="16" customFormat="false" ht="28.5" hidden="false" customHeight="true" outlineLevel="0" collapsed="false">
      <c r="B16" s="12" t="n">
        <v>9</v>
      </c>
      <c r="C16" s="12" t="s">
        <v>13</v>
      </c>
      <c r="D16" s="13"/>
      <c r="E16" s="13"/>
      <c r="K16" s="14" t="n">
        <v>9</v>
      </c>
    </row>
    <row r="17" customFormat="false" ht="28.5" hidden="false" customHeight="true" outlineLevel="0" collapsed="false">
      <c r="B17" s="12" t="n">
        <v>10</v>
      </c>
      <c r="C17" s="12" t="s">
        <v>14</v>
      </c>
      <c r="D17" s="13"/>
      <c r="E17" s="13"/>
      <c r="K17" s="14" t="n">
        <v>10</v>
      </c>
    </row>
    <row r="18" customFormat="false" ht="28.5" hidden="false" customHeight="true" outlineLevel="0" collapsed="false">
      <c r="B18" s="12" t="n">
        <v>11</v>
      </c>
      <c r="C18" s="12" t="s">
        <v>15</v>
      </c>
      <c r="D18" s="13"/>
      <c r="E18" s="13"/>
      <c r="K18" s="14" t="n">
        <v>11</v>
      </c>
    </row>
    <row r="19" customFormat="false" ht="28.5" hidden="false" customHeight="true" outlineLevel="0" collapsed="false">
      <c r="B19" s="12" t="n">
        <v>12</v>
      </c>
      <c r="C19" s="12" t="s">
        <v>16</v>
      </c>
      <c r="D19" s="13"/>
      <c r="E19" s="13"/>
      <c r="K19" s="14" t="n">
        <v>12</v>
      </c>
    </row>
    <row r="20" customFormat="false" ht="28.5" hidden="false" customHeight="true" outlineLevel="0" collapsed="false">
      <c r="B20" s="12" t="n">
        <v>13</v>
      </c>
      <c r="C20" s="12" t="s">
        <v>17</v>
      </c>
      <c r="D20" s="13"/>
      <c r="E20" s="13"/>
      <c r="K20" s="14" t="n">
        <v>13</v>
      </c>
    </row>
    <row r="21" customFormat="false" ht="28.5" hidden="false" customHeight="true" outlineLevel="0" collapsed="false">
      <c r="B21" s="12" t="n">
        <v>14</v>
      </c>
      <c r="C21" s="12" t="s">
        <v>18</v>
      </c>
      <c r="D21" s="13"/>
      <c r="E21" s="13"/>
      <c r="K21" s="14" t="n">
        <v>14</v>
      </c>
    </row>
    <row r="22" customFormat="false" ht="28.5" hidden="false" customHeight="true" outlineLevel="0" collapsed="false">
      <c r="B22" s="12" t="n">
        <v>15</v>
      </c>
      <c r="C22" s="12" t="s">
        <v>19</v>
      </c>
      <c r="D22" s="13"/>
      <c r="E22" s="13"/>
      <c r="K22" s="14" t="n">
        <v>15</v>
      </c>
    </row>
    <row r="23" customFormat="false" ht="28.5" hidden="false" customHeight="true" outlineLevel="0" collapsed="false">
      <c r="B23" s="12" t="n">
        <v>16</v>
      </c>
      <c r="C23" s="12" t="s">
        <v>20</v>
      </c>
      <c r="D23" s="13"/>
      <c r="E23" s="13"/>
      <c r="K23" s="14" t="n">
        <v>16</v>
      </c>
    </row>
    <row r="24" customFormat="false" ht="28.5" hidden="false" customHeight="true" outlineLevel="0" collapsed="false">
      <c r="B24" s="12" t="n">
        <v>17</v>
      </c>
      <c r="C24" s="12" t="s">
        <v>21</v>
      </c>
      <c r="D24" s="13"/>
      <c r="E24" s="13"/>
      <c r="K24" s="14" t="n">
        <v>17</v>
      </c>
    </row>
    <row r="25" customFormat="false" ht="28.5" hidden="false" customHeight="true" outlineLevel="0" collapsed="false">
      <c r="B25" s="12" t="n">
        <v>18</v>
      </c>
      <c r="C25" s="12" t="s">
        <v>22</v>
      </c>
      <c r="D25" s="13"/>
      <c r="E25" s="13"/>
      <c r="K25" s="14" t="n">
        <v>18</v>
      </c>
    </row>
    <row r="26" customFormat="false" ht="28.5" hidden="false" customHeight="true" outlineLevel="0" collapsed="false">
      <c r="B26" s="12" t="n">
        <v>19</v>
      </c>
      <c r="C26" s="12" t="s">
        <v>23</v>
      </c>
      <c r="D26" s="13"/>
      <c r="E26" s="13"/>
      <c r="K26" s="14" t="n">
        <v>19</v>
      </c>
    </row>
    <row r="41" customFormat="false" ht="10.5" hidden="false" customHeight="true" outlineLevel="0" collapsed="false">
      <c r="A41" s="1"/>
      <c r="B41" s="1"/>
      <c r="C41" s="1"/>
      <c r="D41" s="1"/>
      <c r="E41" s="1"/>
      <c r="F41" s="1"/>
      <c r="G41" s="1"/>
      <c r="H41" s="1"/>
      <c r="I41" s="1"/>
      <c r="J41" s="1"/>
      <c r="K41" s="1"/>
      <c r="L41" s="1"/>
      <c r="M41" s="1"/>
    </row>
  </sheetData>
  <printOptions headings="false" gridLines="false" gridLinesSet="true" horizontalCentered="false" verticalCentered="false"/>
  <pageMargins left="0.708333333333333" right="0.39375" top="0.747916666666667" bottom="0.747916666666667" header="0.511811023622047" footer="0.511811023622047"/>
  <pageSetup paperSize="9" scale="6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61"/>
  <sheetViews>
    <sheetView showFormulas="false" showGridLines="false" showRowColHeaders="true" showZeros="true" rightToLeft="false" tabSelected="false" showOutlineSymbols="true" defaultGridColor="true" view="normal" topLeftCell="A41" colorId="64" zoomScale="80" zoomScaleNormal="80" zoomScalePageLayoutView="64" workbookViewId="0">
      <selection pane="topLeft" activeCell="B3" activeCellId="0" sqref="B3"/>
    </sheetView>
  </sheetViews>
  <sheetFormatPr defaultColWidth="8.6796875" defaultRowHeight="14.25" zeroHeight="false" outlineLevelRow="0" outlineLevelCol="0"/>
  <cols>
    <col collapsed="false" customWidth="true" hidden="false" outlineLevel="0" max="1" min="1" style="0" width="1.88"/>
    <col collapsed="false" customWidth="true" hidden="false" outlineLevel="0" max="2" min="2" style="0" width="55.88"/>
    <col collapsed="false" customWidth="true" hidden="false" outlineLevel="0" max="3" min="3" style="0" width="15.33"/>
    <col collapsed="false" customWidth="true" hidden="false" outlineLevel="0" max="4" min="4" style="0" width="10.44"/>
    <col collapsed="false" customWidth="true" hidden="false" outlineLevel="0" max="5" min="5" style="0" width="11.44"/>
    <col collapsed="false" customWidth="true" hidden="false" outlineLevel="0" max="6" min="6" style="0" width="10.44"/>
    <col collapsed="false" customWidth="true" hidden="false" outlineLevel="0" max="7" min="7" style="0" width="9.33"/>
    <col collapsed="false" customWidth="true" hidden="false" outlineLevel="0" max="8" min="8" style="0" width="0.56"/>
    <col collapsed="false" customWidth="true" hidden="false" outlineLevel="0" max="11" min="9" style="0" width="13.67"/>
    <col collapsed="false" customWidth="true" hidden="false" outlineLevel="0" max="12" min="12" style="0" width="2.67"/>
    <col collapsed="false" customWidth="true" hidden="false" outlineLevel="0" max="22" min="13" style="15" width="8.88"/>
  </cols>
  <sheetData>
    <row r="1" customFormat="false" ht="9.75" hidden="false" customHeight="true" outlineLevel="0" collapsed="false">
      <c r="B1" s="1"/>
      <c r="C1" s="1"/>
      <c r="D1" s="1"/>
      <c r="E1" s="1"/>
      <c r="F1" s="1"/>
      <c r="G1" s="1"/>
      <c r="H1" s="1"/>
      <c r="I1" s="1"/>
      <c r="J1" s="1"/>
      <c r="K1" s="1"/>
    </row>
    <row r="3" customFormat="false" ht="18" hidden="false" customHeight="true" outlineLevel="0" collapsed="false">
      <c r="B3" s="16" t="str">
        <f aca="false">'Data Sheet'!B1&amp;" - One Page Profile"</f>
        <v>ASIAN PAINTS LTD - One Page Profile</v>
      </c>
      <c r="C3" s="16"/>
      <c r="D3" s="16"/>
      <c r="E3" s="16"/>
      <c r="F3" s="16"/>
      <c r="G3" s="16"/>
      <c r="H3" s="16"/>
      <c r="I3" s="16"/>
      <c r="J3" s="16"/>
      <c r="K3" s="16"/>
    </row>
    <row r="4" customFormat="false" ht="4.5" hidden="false" customHeight="true" outlineLevel="0" collapsed="false"/>
    <row r="5" customFormat="false" ht="75" hidden="false" customHeight="true" outlineLevel="0" collapsed="false">
      <c r="B5" s="17"/>
      <c r="C5" s="18" t="str">
        <f aca="false">InputSheet!C2</f>
        <v>Asian Paints Ltd is an Indian multinational paint company, headquartered in Mumbai. The company is engaged in the business of manufacturing, selling and distribution of paints, coatings, products related to home décor, bath fittings and providing related services.</v>
      </c>
      <c r="D5" s="18"/>
      <c r="E5" s="18"/>
      <c r="F5" s="18"/>
      <c r="G5" s="18"/>
      <c r="H5" s="18"/>
      <c r="I5" s="18"/>
      <c r="J5" s="18"/>
      <c r="K5" s="18"/>
    </row>
    <row r="6" customFormat="false" ht="14.25" hidden="false" customHeight="false" outlineLevel="0" collapsed="false">
      <c r="M6" s="19"/>
      <c r="N6" s="19"/>
      <c r="O6" s="19"/>
      <c r="P6" s="19"/>
      <c r="Q6" s="19"/>
      <c r="R6" s="19"/>
      <c r="S6" s="19"/>
      <c r="T6" s="19"/>
      <c r="U6" s="19"/>
      <c r="V6" s="19"/>
    </row>
    <row r="7" customFormat="false" ht="15" hidden="false" customHeight="true" outlineLevel="0" collapsed="false">
      <c r="B7" s="20" t="s">
        <v>24</v>
      </c>
      <c r="C7" s="21" t="n">
        <f aca="false">HistoricalFS!H3</f>
        <v>44651</v>
      </c>
      <c r="D7" s="21" t="n">
        <f aca="false">HistoricalFS!I3</f>
        <v>45016</v>
      </c>
      <c r="E7" s="21" t="n">
        <f aca="false">HistoricalFS!J3</f>
        <v>45382</v>
      </c>
      <c r="F7" s="21" t="n">
        <f aca="false">HistoricalFS!K3</f>
        <v>45747</v>
      </c>
      <c r="G7" s="21" t="n">
        <f aca="false">HistoricalFS!L3</f>
        <v>46112</v>
      </c>
      <c r="I7" s="22" t="s">
        <v>25</v>
      </c>
      <c r="J7" s="22"/>
      <c r="K7" s="22"/>
    </row>
    <row r="8" customFormat="false" ht="4.5" hidden="false" customHeight="true" outlineLevel="0" collapsed="false"/>
    <row r="9" customFormat="false" ht="14.25" hidden="false" customHeight="false" outlineLevel="0" collapsed="false">
      <c r="B9" s="23" t="s">
        <v>26</v>
      </c>
      <c r="C9" s="24" t="n">
        <f aca="false">HistoricalFS!H6</f>
        <v>29101.28</v>
      </c>
      <c r="D9" s="24" t="n">
        <f aca="false">HistoricalFS!I6</f>
        <v>34488.59</v>
      </c>
      <c r="E9" s="24" t="n">
        <f aca="false">HistoricalFS!J6</f>
        <v>35494.73</v>
      </c>
      <c r="F9" s="24" t="n">
        <f aca="false">HistoricalFS!K6</f>
        <v>33905.62</v>
      </c>
      <c r="G9" s="24" t="n">
        <f aca="false">HistoricalFS!L6</f>
        <v>35583.54</v>
      </c>
    </row>
    <row r="10" customFormat="false" ht="14.25" hidden="false" customHeight="false" outlineLevel="0" collapsed="false">
      <c r="B10" s="23" t="s">
        <v>27</v>
      </c>
      <c r="C10" s="25" t="n">
        <f aca="false">HistoricalFS!H7</f>
        <v>0.340282847114535</v>
      </c>
      <c r="D10" s="25" t="n">
        <f aca="false">HistoricalFS!I7</f>
        <v>0.185122784977156</v>
      </c>
      <c r="E10" s="25" t="n">
        <f aca="false">HistoricalFS!J7</f>
        <v>0.0291731265325723</v>
      </c>
      <c r="F10" s="25" t="n">
        <f aca="false">HistoricalFS!K7</f>
        <v>-0.0447703081556051</v>
      </c>
      <c r="G10" s="25" t="n">
        <f aca="false">HistoricalFS!L7</f>
        <v>0.0494879609928973</v>
      </c>
    </row>
    <row r="12" customFormat="false" ht="14.25" hidden="false" customHeight="false" outlineLevel="0" collapsed="false">
      <c r="B12" s="23" t="s">
        <v>28</v>
      </c>
      <c r="C12" s="24" t="n">
        <f aca="false">HistoricalFS!H12</f>
        <v>8510.71</v>
      </c>
      <c r="D12" s="24" t="n">
        <f aca="false">HistoricalFS!I12</f>
        <v>10721.89</v>
      </c>
      <c r="E12" s="24" t="n">
        <f aca="false">HistoricalFS!J12</f>
        <v>12484.74</v>
      </c>
      <c r="F12" s="24" t="n">
        <f aca="false">HistoricalFS!K12</f>
        <v>11164.35</v>
      </c>
      <c r="G12" s="24" t="n">
        <f aca="false">HistoricalFS!L12</f>
        <v>12093.91</v>
      </c>
    </row>
    <row r="13" customFormat="false" ht="14.25" hidden="false" customHeight="false" outlineLevel="0" collapsed="false">
      <c r="B13" s="23" t="s">
        <v>29</v>
      </c>
      <c r="C13" s="25" t="n">
        <f aca="false">HistoricalFS!H13</f>
        <v>0.292451397326853</v>
      </c>
      <c r="D13" s="25" t="n">
        <f aca="false">HistoricalFS!I13</f>
        <v>0.310882236704951</v>
      </c>
      <c r="E13" s="25" t="n">
        <f aca="false">HistoricalFS!J13</f>
        <v>0.351735032214642</v>
      </c>
      <c r="F13" s="25" t="n">
        <f aca="false">HistoricalFS!K13</f>
        <v>0.329277270257851</v>
      </c>
      <c r="G13" s="25" t="n">
        <f aca="false">HistoricalFS!L13</f>
        <v>0.339873716892698</v>
      </c>
    </row>
    <row r="14" customFormat="false" ht="14.25" hidden="false" customHeight="false" outlineLevel="0" collapsed="false">
      <c r="B14" s="23" t="s">
        <v>30</v>
      </c>
      <c r="C14" s="25" t="n">
        <f aca="false">HistoricalFS!H19</f>
        <v>0.165065247989092</v>
      </c>
      <c r="D14" s="25" t="n">
        <f aca="false">HistoricalFS!I19</f>
        <v>0.181504665745976</v>
      </c>
      <c r="E14" s="25" t="n">
        <f aca="false">HistoricalFS!J19</f>
        <v>0.213693131346541</v>
      </c>
      <c r="F14" s="25" t="n">
        <f aca="false">HistoricalFS!K19</f>
        <v>0.177144968887164</v>
      </c>
      <c r="G14" s="25" t="n">
        <f aca="false">HistoricalFS!L19</f>
        <v>0.188281716771294</v>
      </c>
    </row>
    <row r="15" customFormat="false" ht="14.25" hidden="false" customHeight="false" outlineLevel="0" collapsed="false">
      <c r="B15" s="23" t="s">
        <v>31</v>
      </c>
      <c r="C15" s="25" t="n">
        <f aca="false">HistoricalFS!H28</f>
        <v>0.147180124035781</v>
      </c>
      <c r="D15" s="25" t="n">
        <f aca="false">HistoricalFS!I28</f>
        <v>0.169136517323555</v>
      </c>
      <c r="E15" s="25" t="n">
        <f aca="false">HistoricalFS!J28</f>
        <v>0.212790462133393</v>
      </c>
      <c r="F15" s="25" t="n">
        <f aca="false">HistoricalFS!K28</f>
        <v>0.15720373200667</v>
      </c>
      <c r="G15" s="25" t="n">
        <f aca="false">HistoricalFS!L28</f>
        <v>0.174205545597768</v>
      </c>
    </row>
    <row r="16" customFormat="false" ht="14.25" hidden="false" customHeight="false" outlineLevel="0" collapsed="false">
      <c r="B16" s="23" t="s">
        <v>32</v>
      </c>
      <c r="C16" s="26" t="n">
        <f aca="false">HistoricalFS!H39</f>
        <v>3084.81</v>
      </c>
      <c r="D16" s="26" t="n">
        <f aca="false">HistoricalFS!I39</f>
        <v>4195.33</v>
      </c>
      <c r="E16" s="26" t="n">
        <f aca="false">HistoricalFS!J39</f>
        <v>5557.69</v>
      </c>
      <c r="F16" s="26" t="n">
        <f aca="false">HistoricalFS!K39</f>
        <v>3709.71000000001</v>
      </c>
      <c r="G16" s="26" t="n">
        <f aca="false">HistoricalFS!L39</f>
        <v>4394.69</v>
      </c>
    </row>
    <row r="17" customFormat="false" ht="14.25" hidden="false" customHeight="false" outlineLevel="0" collapsed="false">
      <c r="B17" s="23" t="s">
        <v>33</v>
      </c>
      <c r="C17" s="24" t="n">
        <f aca="false">HistoricalFS!H44</f>
        <v>32.1602376980817</v>
      </c>
      <c r="D17" s="24" t="n">
        <f aca="false">HistoricalFS!I44</f>
        <v>43.7378023352794</v>
      </c>
      <c r="E17" s="24" t="n">
        <f aca="false">HistoricalFS!J44</f>
        <v>57.9408882402002</v>
      </c>
      <c r="F17" s="24" t="n">
        <f aca="false">HistoricalFS!K44</f>
        <v>38.6750417014179</v>
      </c>
      <c r="G17" s="24" t="n">
        <f aca="false">HistoricalFS!L44</f>
        <v>45.8162010008341</v>
      </c>
    </row>
    <row r="18" customFormat="false" ht="14.25" hidden="false" customHeight="false" outlineLevel="0" collapsed="false">
      <c r="B18" s="23" t="s">
        <v>34</v>
      </c>
      <c r="C18" s="25" t="n">
        <f aca="false">HistoricalFS!H45</f>
        <v>-0.0380260388243561</v>
      </c>
      <c r="D18" s="25" t="n">
        <f aca="false">HistoricalFS!I45</f>
        <v>0.359996239638745</v>
      </c>
      <c r="E18" s="25" t="n">
        <f aca="false">HistoricalFS!J45</f>
        <v>0.324732500184731</v>
      </c>
      <c r="F18" s="25" t="n">
        <f aca="false">HistoricalFS!K45</f>
        <v>-0.332508650176602</v>
      </c>
      <c r="G18" s="25" t="n">
        <f aca="false">HistoricalFS!L45</f>
        <v>0.184645160942499</v>
      </c>
    </row>
    <row r="19" customFormat="false" ht="14.25" hidden="false" customHeight="false" outlineLevel="0" collapsed="false">
      <c r="B19" s="23" t="s">
        <v>35</v>
      </c>
      <c r="C19" s="24" t="n">
        <f aca="false">HistoricalFS!H47</f>
        <v>19.1500208507089</v>
      </c>
      <c r="D19" s="24" t="n">
        <f aca="false">HistoricalFS!I47</f>
        <v>25.6500208507089</v>
      </c>
      <c r="E19" s="24" t="n">
        <f aca="false">HistoricalFS!J47</f>
        <v>33.3000417014179</v>
      </c>
      <c r="F19" s="24" t="n">
        <f aca="false">HistoricalFS!K47</f>
        <v>24.8000417014179</v>
      </c>
      <c r="G19" s="24" t="n">
        <f aca="false">HistoricalFS!L47</f>
        <v>27.5</v>
      </c>
    </row>
    <row r="20" customFormat="false" ht="14.25" hidden="false" customHeight="false" outlineLevel="0" collapsed="false">
      <c r="B20" s="23" t="s">
        <v>36</v>
      </c>
      <c r="C20" s="25" t="n">
        <f aca="false">'Data Sheet'!G34</f>
        <v>0.0728315529415886</v>
      </c>
      <c r="D20" s="25" t="n">
        <f aca="false">'Data Sheet'!H34</f>
        <v>0.339425217897837</v>
      </c>
      <c r="E20" s="25" t="n">
        <f aca="false">'Data Sheet'!I34</f>
        <v>0.298246184485947</v>
      </c>
      <c r="F20" s="25" t="n">
        <f aca="false">'Data Sheet'!J34</f>
        <v>-0.255254935600819</v>
      </c>
      <c r="G20" s="25" t="n">
        <f aca="false">'Data Sheet'!K34</f>
        <v>0.108869103168798</v>
      </c>
    </row>
    <row r="21" customFormat="false" ht="4.5" hidden="false" customHeight="true" outlineLevel="0" collapsed="false"/>
    <row r="22" customFormat="false" ht="15" hidden="false" customHeight="true" outlineLevel="0" collapsed="false">
      <c r="B22" s="20" t="s">
        <v>37</v>
      </c>
      <c r="C22" s="21" t="n">
        <f aca="false">HistoricalFS!H3</f>
        <v>44651</v>
      </c>
      <c r="D22" s="21" t="n">
        <f aca="false">HistoricalFS!I3</f>
        <v>45016</v>
      </c>
      <c r="E22" s="21" t="n">
        <f aca="false">HistoricalFS!J3</f>
        <v>45382</v>
      </c>
      <c r="F22" s="21" t="n">
        <f aca="false">HistoricalFS!K3</f>
        <v>45747</v>
      </c>
      <c r="G22" s="21" t="n">
        <f aca="false">HistoricalFS!L3</f>
        <v>46112</v>
      </c>
      <c r="I22" s="22" t="s">
        <v>38</v>
      </c>
      <c r="J22" s="22"/>
      <c r="K22" s="22"/>
    </row>
    <row r="23" customFormat="false" ht="4.5" hidden="false" customHeight="true" outlineLevel="0" collapsed="false"/>
    <row r="24" customFormat="false" ht="14.25" hidden="false" customHeight="false" outlineLevel="0" collapsed="false">
      <c r="B24" s="23" t="s">
        <v>39</v>
      </c>
      <c r="C24" s="27" t="n">
        <f aca="false">'Data Sheet'!G96</f>
        <v>82.2506358576379</v>
      </c>
      <c r="D24" s="27" t="n">
        <f aca="false">'Data Sheet'!H96</f>
        <v>60.4785759403909</v>
      </c>
      <c r="E24" s="27" t="n">
        <f aca="false">'Data Sheet'!I96</f>
        <v>45.6534250740865</v>
      </c>
      <c r="F24" s="27" t="n">
        <f aca="false">'Data Sheet'!J96</f>
        <v>68.3955306479481</v>
      </c>
      <c r="G24" s="27" t="n">
        <f aca="false">'Data Sheet'!K96</f>
        <v>57.7350356907995</v>
      </c>
    </row>
    <row r="25" customFormat="false" ht="14.25" hidden="false" customHeight="false" outlineLevel="0" collapsed="false">
      <c r="B25" s="23" t="s">
        <v>40</v>
      </c>
      <c r="C25" s="27" t="n">
        <f aca="false">'Data Sheet'!G99</f>
        <v>1.792824769593</v>
      </c>
      <c r="D25" s="27" t="n">
        <f aca="false">'Data Sheet'!H99</f>
        <v>1.10065193426706</v>
      </c>
      <c r="E25" s="27" t="n">
        <f aca="false">'Data Sheet'!I99</f>
        <v>0.760640968480652</v>
      </c>
      <c r="F25" s="27" t="n">
        <f aca="false">'Data Sheet'!J99</f>
        <v>1.3434111194499</v>
      </c>
      <c r="G25" s="27" t="n">
        <f aca="false">'Data Sheet'!K99</f>
        <v>1.25276610004604</v>
      </c>
    </row>
    <row r="26" customFormat="false" ht="14.25" hidden="false" customHeight="false" outlineLevel="0" collapsed="false">
      <c r="B26" s="23" t="s">
        <v>41</v>
      </c>
      <c r="C26" s="27" t="n">
        <f aca="false">'Data Sheet'!G100</f>
        <v>0.295933065193855</v>
      </c>
      <c r="D26" s="27" t="n">
        <f aca="false">'Data Sheet'!H100</f>
        <v>0.199773461431804</v>
      </c>
      <c r="E26" s="27" t="n">
        <f aca="false">'Data Sheet'!I100</f>
        <v>0.162543750385096</v>
      </c>
      <c r="F26" s="27" t="n">
        <f aca="false">'Data Sheet'!J100</f>
        <v>0.237978520957622</v>
      </c>
      <c r="G26" s="27" t="n">
        <f aca="false">'Data Sheet'!K100</f>
        <v>0.235872952029548</v>
      </c>
    </row>
    <row r="27" customFormat="false" ht="14.25" hidden="false" customHeight="false" outlineLevel="0" collapsed="false">
      <c r="B27" s="23" t="s">
        <v>42</v>
      </c>
      <c r="C27" s="27" t="n">
        <f aca="false">'Data Sheet'!G102</f>
        <v>0.571223018360318</v>
      </c>
      <c r="D27" s="27" t="n">
        <f aca="false">'Data Sheet'!H102</f>
        <v>0.362745220910548</v>
      </c>
      <c r="E27" s="27" t="n">
        <f aca="false">'Data Sheet'!I102</f>
        <v>0.233821357683633</v>
      </c>
      <c r="F27" s="27" t="n">
        <f aca="false">'Data Sheet'!J102</f>
        <v>0.338173379004804</v>
      </c>
      <c r="G27" s="27" t="n">
        <f aca="false">'Data Sheet'!K102</f>
        <v>0.259126467589051</v>
      </c>
    </row>
    <row r="28" customFormat="false" ht="14.25" hidden="false" customHeight="false" outlineLevel="0" collapsed="false">
      <c r="B28" s="23" t="s">
        <v>43</v>
      </c>
      <c r="C28" s="25" t="n">
        <f aca="false">'Ratio Analysis'!H29</f>
        <v>0.223349860551596</v>
      </c>
      <c r="D28" s="25" t="n">
        <f aca="false">'Ratio Analysis'!I29</f>
        <v>0.262335521687719</v>
      </c>
      <c r="E28" s="25" t="n">
        <f aca="false">'Ratio Analysis'!J29</f>
        <v>0.296753576138785</v>
      </c>
      <c r="F28" s="25" t="n">
        <f aca="false">'Ratio Analysis'!K29</f>
        <v>0.191224037761195</v>
      </c>
      <c r="G28" s="25" t="n">
        <f aca="false">'Ratio Analysis'!L29</f>
        <v>0.205632337135422</v>
      </c>
    </row>
    <row r="29" customFormat="false" ht="14.25" hidden="false" customHeight="false" outlineLevel="0" collapsed="false">
      <c r="B29" s="23" t="s">
        <v>44</v>
      </c>
      <c r="C29" s="25" t="n">
        <f aca="false">'Ratio Analysis'!H27</f>
        <v>0.278153501263764</v>
      </c>
      <c r="D29" s="25" t="n">
        <f aca="false">'Ratio Analysis'!I27</f>
        <v>0.325429780444467</v>
      </c>
      <c r="E29" s="25" t="n">
        <f aca="false">'Ratio Analysis'!J27</f>
        <v>0.356225722408677</v>
      </c>
      <c r="F29" s="25" t="n">
        <f aca="false">'Ratio Analysis'!K27</f>
        <v>0.245738378338505</v>
      </c>
      <c r="G29" s="25" t="n">
        <f aca="false">'Ratio Analysis'!L27</f>
        <v>0.245008798238139</v>
      </c>
    </row>
    <row r="30" customFormat="false" ht="42" hidden="false" customHeight="true" outlineLevel="0" collapsed="false">
      <c r="C30" s="28"/>
      <c r="D30" s="28"/>
      <c r="E30" s="28"/>
      <c r="F30" s="28"/>
      <c r="G30" s="28"/>
    </row>
    <row r="31" customFormat="false" ht="15" hidden="false" customHeight="true" outlineLevel="0" collapsed="false">
      <c r="B31" s="20" t="s">
        <v>45</v>
      </c>
      <c r="C31" s="29" t="str">
        <f aca="false">RawData!AB2</f>
        <v>N. Shares (In Cr)</v>
      </c>
      <c r="D31" s="29"/>
      <c r="E31" s="30" t="str">
        <f aca="false">RawData!AC2</f>
        <v>(%) Holding</v>
      </c>
      <c r="F31" s="29" t="s">
        <v>46</v>
      </c>
      <c r="G31" s="29"/>
      <c r="I31" s="22" t="s">
        <v>47</v>
      </c>
      <c r="J31" s="22"/>
      <c r="K31" s="22"/>
    </row>
    <row r="32" customFormat="false" ht="4.5" hidden="false" customHeight="true" outlineLevel="0" collapsed="false"/>
    <row r="33" customFormat="false" ht="14.25" hidden="false" customHeight="false" outlineLevel="0" collapsed="false">
      <c r="B33" s="23" t="str">
        <f aca="false">RawData!AA3</f>
        <v>Life Insurance Corporation of India</v>
      </c>
      <c r="C33" s="31" t="n">
        <f aca="false">RawData!AB3</f>
        <v>7.7822006</v>
      </c>
      <c r="D33" s="31"/>
      <c r="E33" s="32" t="n">
        <f aca="false">RawData!AC3</f>
        <v>0.0811</v>
      </c>
      <c r="F33" s="31" t="n">
        <f aca="false">C33*'Data Sheet'!$B$8</f>
        <v>20585.47702712</v>
      </c>
      <c r="G33" s="31"/>
    </row>
    <row r="34" customFormat="false" ht="14.25" hidden="false" customHeight="false" outlineLevel="0" collapsed="false">
      <c r="B34" s="23" t="str">
        <f aca="false">RawData!AA4</f>
        <v>Sattva Holding and Trading Private Limited</v>
      </c>
      <c r="C34" s="31" t="n">
        <f aca="false">RawData!AB4</f>
        <v>5.4789183</v>
      </c>
      <c r="D34" s="31"/>
      <c r="E34" s="32" t="n">
        <f aca="false">RawData!AC4</f>
        <v>0.0571</v>
      </c>
      <c r="F34" s="31" t="n">
        <f aca="false">C34*'Data Sheet'!$B$8</f>
        <v>14492.83468716</v>
      </c>
      <c r="G34" s="31"/>
    </row>
    <row r="35" customFormat="false" ht="14.25" hidden="false" customHeight="false" outlineLevel="0" collapsed="false">
      <c r="B35" s="23" t="str">
        <f aca="false">RawData!AA5</f>
        <v>Smiti Holding and Trading Company Private Limited</v>
      </c>
      <c r="C35" s="31" t="n">
        <f aca="false">RawData!AB5</f>
        <v>5.1442638</v>
      </c>
      <c r="D35" s="31"/>
      <c r="E35" s="32" t="n">
        <f aca="false">RawData!AC5</f>
        <v>0.0536</v>
      </c>
      <c r="F35" s="31" t="n">
        <f aca="false">C35*'Data Sheet'!$B$8</f>
        <v>13607.60660376</v>
      </c>
      <c r="G35" s="31"/>
    </row>
    <row r="36" customFormat="false" ht="14.25" hidden="false" customHeight="false" outlineLevel="0" collapsed="false">
      <c r="B36" s="23" t="str">
        <f aca="false">RawData!AA6</f>
        <v>SBI Mutual Fund</v>
      </c>
      <c r="C36" s="31" t="n">
        <f aca="false">RawData!AB6</f>
        <v>4.9885007</v>
      </c>
      <c r="D36" s="31"/>
      <c r="E36" s="32" t="n">
        <f aca="false">RawData!AC6</f>
        <v>0.052</v>
      </c>
      <c r="F36" s="31" t="n">
        <f aca="false">C36*'Data Sheet'!$B$8</f>
        <v>13195.58205164</v>
      </c>
      <c r="G36" s="31"/>
    </row>
    <row r="37" customFormat="false" ht="14.25" hidden="false" customHeight="false" outlineLevel="0" collapsed="false">
      <c r="B37" s="23" t="str">
        <f aca="false">RawData!AA7</f>
        <v>Geetanjali Trading and Investments Private Limited</v>
      </c>
      <c r="C37" s="31" t="n">
        <f aca="false">RawData!AB7</f>
        <v>4.570614</v>
      </c>
      <c r="D37" s="31"/>
      <c r="E37" s="32" t="n">
        <f aca="false">RawData!AC7</f>
        <v>0.0477</v>
      </c>
      <c r="F37" s="31" t="n">
        <f aca="false">C37*'Data Sheet'!$B$8</f>
        <v>12090.1881528</v>
      </c>
      <c r="G37" s="31"/>
    </row>
    <row r="38" customFormat="false" ht="14.25" hidden="false" customHeight="false" outlineLevel="0" collapsed="false">
      <c r="B38" s="23" t="str">
        <f aca="false">RawData!AA8</f>
        <v>Elcid Investments Limited</v>
      </c>
      <c r="C38" s="31" t="n">
        <f aca="false">RawData!AB8</f>
        <v>2.831386</v>
      </c>
      <c r="D38" s="31"/>
      <c r="E38" s="32" t="n">
        <f aca="false">RawData!AC8</f>
        <v>0.0295</v>
      </c>
      <c r="F38" s="31" t="n">
        <f aca="false">C38*'Data Sheet'!$B$8</f>
        <v>7489.5822472</v>
      </c>
      <c r="G38" s="31"/>
    </row>
    <row r="39" customFormat="false" ht="14.25" hidden="false" customHeight="false" outlineLevel="0" collapsed="false">
      <c r="B39" s="23" t="str">
        <f aca="false">RawData!AA9</f>
        <v>Shubhit Holdings Private Limited</v>
      </c>
      <c r="C39" s="31" t="n">
        <f aca="false">RawData!AB9</f>
        <v>2.315073</v>
      </c>
      <c r="D39" s="31"/>
      <c r="E39" s="32" t="n">
        <f aca="false">RawData!AC9</f>
        <v>0.0241</v>
      </c>
      <c r="F39" s="31" t="n">
        <f aca="false">C39*'Data Sheet'!$B$8</f>
        <v>6123.8310996</v>
      </c>
      <c r="G39" s="31"/>
    </row>
    <row r="40" customFormat="false" ht="14.25" hidden="false" customHeight="false" outlineLevel="0" collapsed="false">
      <c r="B40" s="23" t="str">
        <f aca="false">RawData!AA10</f>
        <v>ICICI Prudential Mutual Fund</v>
      </c>
      <c r="C40" s="31" t="n">
        <f aca="false">RawData!AB10</f>
        <v>2.1582801</v>
      </c>
      <c r="D40" s="31"/>
      <c r="E40" s="32" t="n">
        <f aca="false">RawData!AC10</f>
        <v>0.0225</v>
      </c>
      <c r="F40" s="31" t="n">
        <f aca="false">C40*'Data Sheet'!$B$8</f>
        <v>5709.08252052</v>
      </c>
      <c r="G40" s="31"/>
    </row>
    <row r="41" customFormat="false" ht="14.25" hidden="false" customHeight="false" outlineLevel="0" collapsed="false">
      <c r="B41" s="23" t="str">
        <f aca="false">RawData!AA11</f>
        <v>Sudhanva Investments and Trading Company Private Limited</v>
      </c>
      <c r="C41" s="31" t="n">
        <f aca="false">RawData!AB11</f>
        <v>1.900176</v>
      </c>
      <c r="D41" s="31"/>
      <c r="E41" s="32" t="n">
        <f aca="false">RawData!AC11</f>
        <v>0.0198</v>
      </c>
      <c r="F41" s="31" t="n">
        <f aca="false">C41*'Data Sheet'!$B$8</f>
        <v>5026.3455552</v>
      </c>
      <c r="G41" s="31"/>
    </row>
    <row r="42" customFormat="false" ht="14.25" hidden="false" customHeight="false" outlineLevel="0" collapsed="false">
      <c r="B42" s="23" t="str">
        <f aca="false">RawData!AA12</f>
        <v>Rupen Investment &amp; Industries Private Limited</v>
      </c>
      <c r="C42" s="31" t="n">
        <f aca="false">RawData!AB12</f>
        <v>1.8849825</v>
      </c>
      <c r="D42" s="31"/>
      <c r="E42" s="32" t="n">
        <f aca="false">RawData!AC12</f>
        <v>0.0197</v>
      </c>
      <c r="F42" s="31" t="n">
        <f aca="false">C42*'Data Sheet'!$B$8</f>
        <v>4986.155709</v>
      </c>
      <c r="G42" s="31"/>
    </row>
    <row r="43" customFormat="false" ht="4.5" hidden="false" customHeight="true" outlineLevel="0" collapsed="false"/>
    <row r="44" customFormat="false" ht="15" hidden="false" customHeight="true" outlineLevel="0" collapsed="false">
      <c r="B44" s="20" t="s">
        <v>48</v>
      </c>
      <c r="C44" s="33" t="s">
        <v>49</v>
      </c>
      <c r="D44" s="34" t="s">
        <v>50</v>
      </c>
      <c r="E44" s="34"/>
      <c r="F44" s="34" t="s">
        <v>51</v>
      </c>
      <c r="G44" s="34"/>
      <c r="I44" s="22" t="s">
        <v>52</v>
      </c>
      <c r="J44" s="22"/>
      <c r="K44" s="22"/>
    </row>
    <row r="45" customFormat="false" ht="4.5" hidden="false" customHeight="true" outlineLevel="0" collapsed="false"/>
    <row r="46" customFormat="false" ht="14.25" hidden="false" customHeight="false" outlineLevel="0" collapsed="false">
      <c r="B46" s="23" t="s">
        <v>53</v>
      </c>
      <c r="C46" s="35" t="s">
        <v>54</v>
      </c>
      <c r="D46" s="31" t="n">
        <v>312446860</v>
      </c>
      <c r="E46" s="31"/>
      <c r="F46" s="36" t="n">
        <v>249.09</v>
      </c>
      <c r="G46" s="36"/>
      <c r="I46" s="23" t="s">
        <v>55</v>
      </c>
      <c r="J46" s="23"/>
      <c r="K46" s="37" t="n">
        <f aca="false">'Data Sheet'!B8</f>
        <v>2645.2</v>
      </c>
    </row>
    <row r="47" customFormat="false" ht="15" hidden="false" customHeight="true" outlineLevel="0" collapsed="false">
      <c r="B47" s="23" t="s">
        <v>56</v>
      </c>
      <c r="C47" s="35" t="s">
        <v>57</v>
      </c>
      <c r="D47" s="31" t="n">
        <v>53653863</v>
      </c>
      <c r="E47" s="31"/>
      <c r="F47" s="36" t="n">
        <v>42.77</v>
      </c>
      <c r="G47" s="36"/>
      <c r="I47" s="38" t="s">
        <v>58</v>
      </c>
      <c r="K47" s="39" t="n">
        <f aca="false">'Data Sheet'!B6</f>
        <v>95.9197792227431</v>
      </c>
    </row>
    <row r="48" customFormat="false" ht="15" hidden="false" customHeight="true" outlineLevel="0" collapsed="false">
      <c r="B48" s="23" t="s">
        <v>59</v>
      </c>
      <c r="C48" s="35" t="s">
        <v>60</v>
      </c>
      <c r="D48" s="31" t="n">
        <v>13700000</v>
      </c>
      <c r="E48" s="31"/>
      <c r="F48" s="36" t="n">
        <v>10.92</v>
      </c>
      <c r="G48" s="36"/>
      <c r="I48" s="40" t="s">
        <v>61</v>
      </c>
      <c r="J48" s="41"/>
      <c r="K48" s="41" t="n">
        <f aca="false">K47*K46</f>
        <v>253727</v>
      </c>
    </row>
    <row r="49" customFormat="false" ht="15" hidden="false" customHeight="true" outlineLevel="0" collapsed="false">
      <c r="B49" s="23" t="s">
        <v>62</v>
      </c>
      <c r="C49" s="35" t="s">
        <v>63</v>
      </c>
      <c r="D49" s="31" t="n">
        <v>8000000</v>
      </c>
      <c r="E49" s="31"/>
      <c r="F49" s="36" t="n">
        <v>6.38</v>
      </c>
      <c r="G49" s="36"/>
      <c r="I49" s="42" t="s">
        <v>64</v>
      </c>
      <c r="K49" s="43" t="n">
        <f aca="false">-'Data Sheet'!K69</f>
        <v>-1073.68</v>
      </c>
    </row>
    <row r="50" customFormat="false" ht="14.25" hidden="false" customHeight="false" outlineLevel="0" collapsed="false">
      <c r="D50" s="44"/>
      <c r="E50" s="44"/>
      <c r="I50" s="45" t="s">
        <v>65</v>
      </c>
      <c r="J50" s="23"/>
      <c r="K50" s="24" t="n">
        <f aca="false">'Data Sheet'!K59</f>
        <v>3928.93</v>
      </c>
    </row>
    <row r="51" customFormat="false" ht="15" hidden="false" customHeight="true" outlineLevel="0" collapsed="false">
      <c r="I51" s="42" t="s">
        <v>66</v>
      </c>
      <c r="K51" s="39" t="n">
        <v>643.39</v>
      </c>
    </row>
    <row r="52" customFormat="false" ht="15" hidden="false" customHeight="true" outlineLevel="0" collapsed="false">
      <c r="I52" s="46" t="s">
        <v>67</v>
      </c>
      <c r="J52" s="41"/>
      <c r="K52" s="47" t="n">
        <f aca="false">SUM(K48:K51)</f>
        <v>257225.64</v>
      </c>
    </row>
    <row r="53" customFormat="false" ht="6" hidden="false" customHeight="true" outlineLevel="0" collapsed="false"/>
    <row r="54" customFormat="false" ht="15" hidden="false" customHeight="true" outlineLevel="0" collapsed="false">
      <c r="B54" s="20" t="s">
        <v>68</v>
      </c>
      <c r="C54" s="1"/>
      <c r="D54" s="1"/>
      <c r="E54" s="1"/>
      <c r="F54" s="1"/>
      <c r="G54" s="1"/>
      <c r="H54" s="1"/>
      <c r="I54" s="1"/>
      <c r="J54" s="1"/>
      <c r="K54" s="1"/>
    </row>
    <row r="55" customFormat="false" ht="4.5" hidden="false" customHeight="true" outlineLevel="0" collapsed="false"/>
    <row r="56" customFormat="false" ht="14.25" hidden="false" customHeight="false" outlineLevel="0" collapsed="false">
      <c r="B56" s="0" t="s">
        <v>69</v>
      </c>
    </row>
    <row r="57" customFormat="false" ht="14.25" hidden="false" customHeight="false" outlineLevel="0" collapsed="false">
      <c r="B57" s="0" t="s">
        <v>70</v>
      </c>
    </row>
    <row r="58" customFormat="false" ht="14.25" hidden="false" customHeight="false" outlineLevel="0" collapsed="false">
      <c r="B58" s="0" t="s">
        <v>71</v>
      </c>
    </row>
    <row r="59" customFormat="false" ht="14.25" hidden="false" customHeight="false" outlineLevel="0" collapsed="false">
      <c r="B59" s="0" t="s">
        <v>72</v>
      </c>
    </row>
    <row r="60" customFormat="false" ht="6.75" hidden="false" customHeight="true" outlineLevel="0" collapsed="false"/>
    <row r="61" customFormat="false" ht="14.25" hidden="false" customHeight="false" outlineLevel="0" collapsed="false">
      <c r="B61" s="1"/>
      <c r="C61" s="1"/>
      <c r="D61" s="1"/>
      <c r="E61" s="1"/>
      <c r="F61" s="1"/>
      <c r="G61" s="1"/>
      <c r="H61" s="1"/>
      <c r="I61" s="1"/>
      <c r="J61" s="1"/>
      <c r="K61" s="1"/>
    </row>
  </sheetData>
  <mergeCells count="39">
    <mergeCell ref="B3:K3"/>
    <mergeCell ref="C5:K5"/>
    <mergeCell ref="I7:K7"/>
    <mergeCell ref="I22:K22"/>
    <mergeCell ref="C31:D31"/>
    <mergeCell ref="F31:G31"/>
    <mergeCell ref="I31:K31"/>
    <mergeCell ref="C33:D33"/>
    <mergeCell ref="F33:G33"/>
    <mergeCell ref="C34:D34"/>
    <mergeCell ref="F34:G34"/>
    <mergeCell ref="C35:D35"/>
    <mergeCell ref="F35:G35"/>
    <mergeCell ref="C36:D36"/>
    <mergeCell ref="F36:G36"/>
    <mergeCell ref="C37:D37"/>
    <mergeCell ref="F37:G37"/>
    <mergeCell ref="C38:D38"/>
    <mergeCell ref="F38:G38"/>
    <mergeCell ref="C39:D39"/>
    <mergeCell ref="F39:G39"/>
    <mergeCell ref="C40:D40"/>
    <mergeCell ref="F40:G40"/>
    <mergeCell ref="C41:D41"/>
    <mergeCell ref="F41:G41"/>
    <mergeCell ref="C42:D42"/>
    <mergeCell ref="F42:G42"/>
    <mergeCell ref="D44:E44"/>
    <mergeCell ref="F44:G44"/>
    <mergeCell ref="I44:K44"/>
    <mergeCell ref="D46:E46"/>
    <mergeCell ref="F46:G46"/>
    <mergeCell ref="D47:E47"/>
    <mergeCell ref="F47:G47"/>
    <mergeCell ref="D48:E48"/>
    <mergeCell ref="F48:G48"/>
    <mergeCell ref="D49:E49"/>
    <mergeCell ref="F49:G49"/>
    <mergeCell ref="D50:E50"/>
  </mergeCells>
  <printOptions headings="false" gridLines="false" gridLinesSet="true" horizontalCentered="false" verticalCentered="false"/>
  <pageMargins left="0.590277777777778" right="0.590277777777778" top="0.157638888888889" bottom="0.157638888888889" header="0.511811023622047" footer="0.511811023622047"/>
  <pageSetup paperSize="1" scale="58"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11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N88" activeCellId="0" sqref="N88"/>
    </sheetView>
  </sheetViews>
  <sheetFormatPr defaultColWidth="8.66796875" defaultRowHeight="14.25" zeroHeight="false" outlineLevelRow="1" outlineLevelCol="0"/>
  <cols>
    <col collapsed="false" customWidth="true" hidden="false" outlineLevel="0" max="1" min="1" style="0" width="1.88"/>
    <col collapsed="false" customWidth="true" hidden="false" outlineLevel="0" max="2" min="2" style="0" width="27.11"/>
    <col collapsed="false" customWidth="true" hidden="false" outlineLevel="0" max="13" min="3" style="0" width="11.77"/>
    <col collapsed="false" customWidth="true" hidden="false" outlineLevel="0" max="16" min="16" style="0" width="9.78"/>
  </cols>
  <sheetData>
    <row r="2" customFormat="false" ht="14.25" hidden="false" customHeight="true" outlineLevel="0" collapsed="false">
      <c r="B2" s="48" t="str">
        <f aca="false">"Historical Financial Statement"&amp;" - " &amp;'Data Sheet'!B1</f>
        <v>Historical Financial Statement - ASIAN PAINTS LTD</v>
      </c>
      <c r="C2" s="48"/>
      <c r="D2" s="48"/>
      <c r="E2" s="48"/>
      <c r="F2" s="48"/>
      <c r="G2" s="48"/>
      <c r="H2" s="48"/>
      <c r="I2" s="48"/>
      <c r="J2" s="48"/>
      <c r="K2" s="48"/>
      <c r="L2" s="48"/>
    </row>
    <row r="3" customFormat="false" ht="14.25" hidden="false" customHeight="true" outlineLevel="0" collapsed="false">
      <c r="B3" s="49" t="s">
        <v>73</v>
      </c>
      <c r="C3" s="50" t="n">
        <f aca="false">'Data Sheet'!B16</f>
        <v>42825</v>
      </c>
      <c r="D3" s="50" t="n">
        <f aca="false">'Data Sheet'!C16</f>
        <v>43190</v>
      </c>
      <c r="E3" s="50" t="n">
        <f aca="false">'Data Sheet'!D16</f>
        <v>43555</v>
      </c>
      <c r="F3" s="50" t="n">
        <f aca="false">'Data Sheet'!E16</f>
        <v>43921</v>
      </c>
      <c r="G3" s="50" t="n">
        <f aca="false">'Data Sheet'!F16</f>
        <v>44286</v>
      </c>
      <c r="H3" s="50" t="n">
        <f aca="false">'Data Sheet'!G16</f>
        <v>44651</v>
      </c>
      <c r="I3" s="50" t="n">
        <f aca="false">'Data Sheet'!H16</f>
        <v>45016</v>
      </c>
      <c r="J3" s="50" t="n">
        <f aca="false">'Data Sheet'!I16</f>
        <v>45382</v>
      </c>
      <c r="K3" s="50" t="n">
        <f aca="false">'Data Sheet'!J16</f>
        <v>45747</v>
      </c>
      <c r="L3" s="50" t="n">
        <f aca="false">'Data Sheet'!K16</f>
        <v>46112</v>
      </c>
      <c r="N3" s="51"/>
      <c r="O3" s="51"/>
    </row>
    <row r="5" customFormat="false" ht="14.25" hidden="false" customHeight="true" outlineLevel="0" collapsed="false">
      <c r="A5" s="0" t="s">
        <v>74</v>
      </c>
      <c r="B5" s="52" t="str">
        <f aca="false">"Income Statement"&amp;" - "&amp;'Data Sheet'!B1</f>
        <v>Income Statement - ASIAN PAINTS LTD</v>
      </c>
      <c r="C5" s="53"/>
      <c r="D5" s="53"/>
      <c r="E5" s="53"/>
      <c r="F5" s="53"/>
      <c r="G5" s="53"/>
      <c r="H5" s="53"/>
      <c r="I5" s="53"/>
      <c r="J5" s="53"/>
      <c r="K5" s="53"/>
      <c r="L5" s="53"/>
    </row>
    <row r="6" customFormat="false" ht="14.25" hidden="false" customHeight="true" outlineLevel="1" collapsed="false">
      <c r="B6" s="0" t="s">
        <v>75</v>
      </c>
      <c r="C6" s="54" t="n">
        <f aca="false">IFERROR('Data Sheet'!B17,0)</f>
        <v>15061.99</v>
      </c>
      <c r="D6" s="54" t="n">
        <f aca="false">IFERROR('Data Sheet'!C17,0)</f>
        <v>16824.55</v>
      </c>
      <c r="E6" s="54" t="n">
        <f aca="false">IFERROR('Data Sheet'!D17,0)</f>
        <v>19240.13</v>
      </c>
      <c r="F6" s="54" t="n">
        <f aca="false">IFERROR('Data Sheet'!E17,0)</f>
        <v>20211.25</v>
      </c>
      <c r="G6" s="54" t="n">
        <f aca="false">IFERROR('Data Sheet'!F17,0)</f>
        <v>21712.79</v>
      </c>
      <c r="H6" s="54" t="n">
        <f aca="false">IFERROR('Data Sheet'!G17,0)</f>
        <v>29101.28</v>
      </c>
      <c r="I6" s="54" t="n">
        <f aca="false">IFERROR('Data Sheet'!H17,0)</f>
        <v>34488.59</v>
      </c>
      <c r="J6" s="54" t="n">
        <f aca="false">IFERROR('Data Sheet'!I17,0)</f>
        <v>35494.73</v>
      </c>
      <c r="K6" s="54" t="n">
        <f aca="false">IFERROR('Data Sheet'!J17,0)</f>
        <v>33905.62</v>
      </c>
      <c r="L6" s="54" t="n">
        <f aca="false">IFERROR('Data Sheet'!K17,0)</f>
        <v>35583.54</v>
      </c>
      <c r="O6" s="28"/>
      <c r="P6" s="55"/>
    </row>
    <row r="7" customFormat="false" ht="14.25" hidden="false" customHeight="true" outlineLevel="1" collapsed="false">
      <c r="B7" s="56" t="s">
        <v>76</v>
      </c>
      <c r="C7" s="57"/>
      <c r="D7" s="57" t="n">
        <f aca="false">IFERROR(D6/C6-1,0)</f>
        <v>0.117020393719555</v>
      </c>
      <c r="E7" s="57" t="n">
        <f aca="false">IFERROR(E6/D6-1,0)</f>
        <v>0.143574716708619</v>
      </c>
      <c r="F7" s="57" t="n">
        <f aca="false">IFERROR(F6/E6-1,0)</f>
        <v>0.0504736714356919</v>
      </c>
      <c r="G7" s="57" t="n">
        <f aca="false">IFERROR(G6/F6-1,0)</f>
        <v>0.0742922877110521</v>
      </c>
      <c r="H7" s="57" t="n">
        <f aca="false">IFERROR(H6/G6-1,0)</f>
        <v>0.340282847114535</v>
      </c>
      <c r="I7" s="57" t="n">
        <f aca="false">IFERROR(I6/H6-1,0)</f>
        <v>0.185122784977156</v>
      </c>
      <c r="J7" s="57" t="n">
        <f aca="false">IFERROR(J6/I6-1,0)</f>
        <v>0.0291731265325723</v>
      </c>
      <c r="K7" s="57" t="n">
        <f aca="false">IFERROR(K6/J6-1,0)</f>
        <v>-0.0447703081556051</v>
      </c>
      <c r="L7" s="57" t="n">
        <f aca="false">IFERROR(L6/K6-1,0)</f>
        <v>0.0494879609928973</v>
      </c>
      <c r="O7" s="28"/>
    </row>
    <row r="8" customFormat="false" ht="14.25" hidden="false" customHeight="true" outlineLevel="1" collapsed="false">
      <c r="C8" s="54"/>
      <c r="D8" s="54"/>
      <c r="E8" s="54"/>
      <c r="F8" s="54"/>
      <c r="G8" s="54"/>
      <c r="H8" s="54"/>
      <c r="I8" s="54"/>
      <c r="J8" s="54"/>
      <c r="K8" s="54"/>
      <c r="L8" s="54"/>
    </row>
    <row r="9" customFormat="false" ht="14.25" hidden="false" customHeight="true" outlineLevel="1" collapsed="false">
      <c r="B9" s="0" t="s">
        <v>77</v>
      </c>
      <c r="C9" s="54" t="n">
        <f aca="false">IFERROR(SUM('Data Sheet'!B18,'Data Sheet'!B20:B22)-1*'Data Sheet'!B19,0)</f>
        <v>9732.66</v>
      </c>
      <c r="D9" s="54" t="n">
        <f aca="false">IFERROR(SUM('Data Sheet'!C18,'Data Sheet'!C20:C22)-1*'Data Sheet'!C19,0)</f>
        <v>11194.17</v>
      </c>
      <c r="E9" s="54" t="n">
        <f aca="false">IFERROR(SUM('Data Sheet'!D18,'Data Sheet'!D20:D22)-1*'Data Sheet'!D19,0)</f>
        <v>12905.81</v>
      </c>
      <c r="F9" s="54" t="n">
        <f aca="false">IFERROR(SUM('Data Sheet'!E18,'Data Sheet'!E20:E22)-1*'Data Sheet'!E19,0)</f>
        <v>13158.02</v>
      </c>
      <c r="G9" s="54" t="n">
        <f aca="false">IFERROR(SUM('Data Sheet'!F18,'Data Sheet'!F20:F22)-1*'Data Sheet'!F19,0)</f>
        <v>14035.07</v>
      </c>
      <c r="H9" s="54" t="n">
        <f aca="false">IFERROR(SUM('Data Sheet'!G18,'Data Sheet'!G20:G22)-1*'Data Sheet'!G19,0)</f>
        <v>20590.57</v>
      </c>
      <c r="I9" s="54" t="n">
        <f aca="false">IFERROR(SUM('Data Sheet'!H18,'Data Sheet'!H20:H22)-1*'Data Sheet'!H19,0)</f>
        <v>23766.7</v>
      </c>
      <c r="J9" s="54" t="n">
        <f aca="false">IFERROR(SUM('Data Sheet'!I18,'Data Sheet'!I20:I22)-1*'Data Sheet'!I19,0)</f>
        <v>23009.99</v>
      </c>
      <c r="K9" s="54" t="n">
        <f aca="false">IFERROR(SUM('Data Sheet'!J18,'Data Sheet'!J20:J22)-1*'Data Sheet'!J19,0)</f>
        <v>22741.27</v>
      </c>
      <c r="L9" s="54" t="n">
        <f aca="false">IFERROR(SUM('Data Sheet'!K18,'Data Sheet'!K20:K22)-1*'Data Sheet'!K19,0)</f>
        <v>23489.63</v>
      </c>
    </row>
    <row r="10" customFormat="false" ht="14.25" hidden="false" customHeight="true" outlineLevel="1" collapsed="false">
      <c r="B10" s="56" t="s">
        <v>78</v>
      </c>
      <c r="C10" s="57" t="n">
        <f aca="false">IFERROR(C9/C6,0)</f>
        <v>0.646173579985115</v>
      </c>
      <c r="D10" s="57" t="n">
        <f aca="false">IFERROR(D9/D6,0)</f>
        <v>0.665347364416879</v>
      </c>
      <c r="E10" s="57" t="n">
        <f aca="false">IFERROR(E9/E6,0)</f>
        <v>0.670775613262488</v>
      </c>
      <c r="F10" s="57" t="n">
        <f aca="false">IFERROR(F9/F6,0)</f>
        <v>0.651024553157276</v>
      </c>
      <c r="G10" s="57" t="n">
        <f aca="false">IFERROR(G9/G6,0)</f>
        <v>0.646396432701647</v>
      </c>
      <c r="H10" s="57" t="n">
        <f aca="false">IFERROR(H9/H6,0)</f>
        <v>0.707548602673147</v>
      </c>
      <c r="I10" s="57" t="n">
        <f aca="false">IFERROR(I9/I6,0)</f>
        <v>0.689117763295049</v>
      </c>
      <c r="J10" s="57" t="n">
        <f aca="false">IFERROR(J9/J6,0)</f>
        <v>0.648264967785359</v>
      </c>
      <c r="K10" s="57" t="n">
        <f aca="false">IFERROR(K9/K6,0)</f>
        <v>0.670722729742149</v>
      </c>
      <c r="L10" s="57" t="n">
        <f aca="false">IFERROR(L9/L6,0)</f>
        <v>0.660126283107302</v>
      </c>
    </row>
    <row r="11" customFormat="false" ht="14.25" hidden="false" customHeight="true" outlineLevel="1" collapsed="false">
      <c r="C11" s="54"/>
      <c r="D11" s="54"/>
      <c r="E11" s="54"/>
      <c r="F11" s="54"/>
      <c r="G11" s="54"/>
      <c r="H11" s="54"/>
      <c r="I11" s="54"/>
      <c r="J11" s="54"/>
      <c r="K11" s="54"/>
      <c r="L11" s="54"/>
    </row>
    <row r="12" customFormat="false" ht="14.25" hidden="false" customHeight="true" outlineLevel="1" collapsed="false">
      <c r="B12" s="58" t="s">
        <v>28</v>
      </c>
      <c r="C12" s="59" t="n">
        <f aca="false">IFERROR(C6-C9,0)</f>
        <v>5329.33</v>
      </c>
      <c r="D12" s="59" t="n">
        <f aca="false">IFERROR(D6-D9,0)</f>
        <v>5630.38</v>
      </c>
      <c r="E12" s="59" t="n">
        <f aca="false">IFERROR(E6-E9,0)</f>
        <v>6334.32</v>
      </c>
      <c r="F12" s="59" t="n">
        <f aca="false">IFERROR(F6-F9,0)</f>
        <v>7053.23</v>
      </c>
      <c r="G12" s="59" t="n">
        <f aca="false">IFERROR(G6-G9,0)</f>
        <v>7677.72</v>
      </c>
      <c r="H12" s="59" t="n">
        <f aca="false">IFERROR(H6-H9,0)</f>
        <v>8510.71</v>
      </c>
      <c r="I12" s="59" t="n">
        <f aca="false">IFERROR(I6-I9,0)</f>
        <v>10721.89</v>
      </c>
      <c r="J12" s="59" t="n">
        <f aca="false">IFERROR(J6-J9,0)</f>
        <v>12484.74</v>
      </c>
      <c r="K12" s="59" t="n">
        <f aca="false">IFERROR(K6-K9,0)</f>
        <v>11164.35</v>
      </c>
      <c r="L12" s="59" t="n">
        <f aca="false">IFERROR(L6-L9,0)</f>
        <v>12093.91</v>
      </c>
    </row>
    <row r="13" customFormat="false" ht="14.25" hidden="false" customHeight="true" outlineLevel="1" collapsed="false">
      <c r="B13" s="56" t="s">
        <v>79</v>
      </c>
      <c r="C13" s="57" t="n">
        <f aca="false">IFERROR(C12/C6,0)</f>
        <v>0.353826420014885</v>
      </c>
      <c r="D13" s="57" t="n">
        <f aca="false">IFERROR(D12/D6,0)</f>
        <v>0.334652635583121</v>
      </c>
      <c r="E13" s="57" t="n">
        <f aca="false">IFERROR(E12/E6,0)</f>
        <v>0.329224386737512</v>
      </c>
      <c r="F13" s="57" t="n">
        <f aca="false">IFERROR(F12/F6,0)</f>
        <v>0.348975446842724</v>
      </c>
      <c r="G13" s="57" t="n">
        <f aca="false">IFERROR(G12/G6,0)</f>
        <v>0.353603567298353</v>
      </c>
      <c r="H13" s="57" t="n">
        <f aca="false">IFERROR(H12/H6,0)</f>
        <v>0.292451397326853</v>
      </c>
      <c r="I13" s="57" t="n">
        <f aca="false">IFERROR(I12/I6,0)</f>
        <v>0.310882236704951</v>
      </c>
      <c r="J13" s="57" t="n">
        <f aca="false">IFERROR(J12/J6,0)</f>
        <v>0.351735032214642</v>
      </c>
      <c r="K13" s="57" t="n">
        <f aca="false">IFERROR(K12/K6,0)</f>
        <v>0.329277270257851</v>
      </c>
      <c r="L13" s="57" t="n">
        <f aca="false">IFERROR(L12/L6,0)</f>
        <v>0.339873716892698</v>
      </c>
    </row>
    <row r="14" customFormat="false" ht="14.25" hidden="false" customHeight="true" outlineLevel="1" collapsed="false">
      <c r="C14" s="54"/>
      <c r="D14" s="54"/>
      <c r="E14" s="54"/>
      <c r="F14" s="54"/>
      <c r="G14" s="54"/>
      <c r="H14" s="54"/>
      <c r="I14" s="54"/>
      <c r="J14" s="54"/>
      <c r="K14" s="54"/>
      <c r="L14" s="54"/>
    </row>
    <row r="15" customFormat="false" ht="14.25" hidden="false" customHeight="true" outlineLevel="1" collapsed="false">
      <c r="B15" s="0" t="s">
        <v>80</v>
      </c>
      <c r="C15" s="54" t="n">
        <f aca="false">IFERROR(SUM('Data Sheet'!B23:B24),0)</f>
        <v>2335.57</v>
      </c>
      <c r="D15" s="54" t="n">
        <f aca="false">IFERROR(SUM('Data Sheet'!C23:C24),0)</f>
        <v>2426.37</v>
      </c>
      <c r="E15" s="54" t="n">
        <f aca="false">IFERROR(SUM('Data Sheet'!D23:D24),0)</f>
        <v>2569.38</v>
      </c>
      <c r="F15" s="54" t="n">
        <f aca="false">IFERROR(SUM('Data Sheet'!E23:E24),0)</f>
        <v>2891.46</v>
      </c>
      <c r="G15" s="54" t="n">
        <f aca="false">IFERROR(SUM('Data Sheet'!F23:F24),0)</f>
        <v>2822.12</v>
      </c>
      <c r="H15" s="54" t="n">
        <f aca="false">IFERROR(SUM('Data Sheet'!G23:G24),0)</f>
        <v>3707.1</v>
      </c>
      <c r="I15" s="54" t="n">
        <f aca="false">IFERROR(SUM('Data Sheet'!H23:H24),0)</f>
        <v>4462.05</v>
      </c>
      <c r="J15" s="54" t="n">
        <f aca="false">IFERROR(SUM('Data Sheet'!I23:I24),0)</f>
        <v>4899.76</v>
      </c>
      <c r="K15" s="54" t="n">
        <f aca="false">IFERROR(SUM('Data Sheet'!J23:J24),0)</f>
        <v>5158.14</v>
      </c>
      <c r="L15" s="54" t="n">
        <f aca="false">IFERROR(SUM('Data Sheet'!K23:K24),0)</f>
        <v>5394.18</v>
      </c>
    </row>
    <row r="16" customFormat="false" ht="14.25" hidden="false" customHeight="true" outlineLevel="1" collapsed="false">
      <c r="B16" s="57" t="s">
        <v>81</v>
      </c>
      <c r="C16" s="57" t="n">
        <f aca="false">IFERROR(C15/C6,0)</f>
        <v>0.155063839505935</v>
      </c>
      <c r="D16" s="57" t="n">
        <f aca="false">IFERROR(D15/D6,0)</f>
        <v>0.144216041439444</v>
      </c>
      <c r="E16" s="57" t="n">
        <f aca="false">IFERROR(E15/E6,0)</f>
        <v>0.133542756727735</v>
      </c>
      <c r="F16" s="57" t="n">
        <f aca="false">IFERROR(F15/F6,0)</f>
        <v>0.143061908590513</v>
      </c>
      <c r="G16" s="57" t="n">
        <f aca="false">IFERROR(G15/G6,0)</f>
        <v>0.129975005515183</v>
      </c>
      <c r="H16" s="57" t="n">
        <f aca="false">IFERROR(H15/H6,0)</f>
        <v>0.127386149337761</v>
      </c>
      <c r="I16" s="57" t="n">
        <f aca="false">IFERROR(I15/I6,0)</f>
        <v>0.129377570958975</v>
      </c>
      <c r="J16" s="57" t="n">
        <f aca="false">IFERROR(J15/J6,0)</f>
        <v>0.138041900868101</v>
      </c>
      <c r="K16" s="57" t="n">
        <f aca="false">IFERROR(K15/K6,0)</f>
        <v>0.152132301370687</v>
      </c>
      <c r="L16" s="57" t="n">
        <f aca="false">IFERROR(L15/L6,0)</f>
        <v>0.151592000121404</v>
      </c>
    </row>
    <row r="17" customFormat="false" ht="14.25" hidden="false" customHeight="true" outlineLevel="1" collapsed="false">
      <c r="C17" s="54"/>
      <c r="D17" s="54"/>
      <c r="E17" s="54"/>
      <c r="F17" s="54"/>
      <c r="G17" s="54"/>
      <c r="H17" s="54"/>
      <c r="I17" s="54"/>
      <c r="J17" s="54"/>
      <c r="K17" s="54"/>
      <c r="L17" s="54"/>
    </row>
    <row r="18" customFormat="false" ht="14.25" hidden="false" customHeight="true" outlineLevel="1" collapsed="false">
      <c r="B18" s="58" t="s">
        <v>82</v>
      </c>
      <c r="C18" s="59" t="n">
        <f aca="false">IFERROR(C12-C15,0)</f>
        <v>2993.76</v>
      </c>
      <c r="D18" s="59" t="n">
        <f aca="false">IFERROR(D12-D15,0)</f>
        <v>3204.01</v>
      </c>
      <c r="E18" s="59" t="n">
        <f aca="false">IFERROR(E12-E15,0)</f>
        <v>3764.94</v>
      </c>
      <c r="F18" s="59" t="n">
        <f aca="false">IFERROR(F12-F15,0)</f>
        <v>4161.77</v>
      </c>
      <c r="G18" s="59" t="n">
        <f aca="false">IFERROR(G12-G15,0)</f>
        <v>4855.6</v>
      </c>
      <c r="H18" s="59" t="n">
        <f aca="false">IFERROR(H12-H15,0)</f>
        <v>4803.61</v>
      </c>
      <c r="I18" s="59" t="n">
        <f aca="false">IFERROR(I12-I15,0)</f>
        <v>6259.84</v>
      </c>
      <c r="J18" s="59" t="n">
        <f aca="false">IFERROR(J12-J15,0)</f>
        <v>7584.98</v>
      </c>
      <c r="K18" s="59" t="n">
        <f aca="false">IFERROR(K12-K15,0)</f>
        <v>6006.21000000001</v>
      </c>
      <c r="L18" s="59" t="n">
        <f aca="false">IFERROR(L12-L15,0)</f>
        <v>6699.73</v>
      </c>
    </row>
    <row r="19" customFormat="false" ht="14.25" hidden="false" customHeight="true" outlineLevel="1" collapsed="false">
      <c r="B19" s="57" t="s">
        <v>83</v>
      </c>
      <c r="C19" s="57" t="n">
        <f aca="false">IFERROR(C18/C6,0)</f>
        <v>0.19876258050895</v>
      </c>
      <c r="D19" s="57" t="n">
        <f aca="false">IFERROR(D18/D6,0)</f>
        <v>0.190436594143677</v>
      </c>
      <c r="E19" s="57" t="n">
        <f aca="false">IFERROR(E18/E6,0)</f>
        <v>0.195681630009777</v>
      </c>
      <c r="F19" s="57" t="n">
        <f aca="false">IFERROR(F18/F6,0)</f>
        <v>0.205913538252211</v>
      </c>
      <c r="G19" s="57" t="n">
        <f aca="false">IFERROR(G18/G6,0)</f>
        <v>0.22362856178317</v>
      </c>
      <c r="H19" s="57" t="n">
        <f aca="false">IFERROR(H18/H6,0)</f>
        <v>0.165065247989092</v>
      </c>
      <c r="I19" s="57" t="n">
        <f aca="false">IFERROR(I18/I6,0)</f>
        <v>0.181504665745976</v>
      </c>
      <c r="J19" s="57" t="n">
        <f aca="false">IFERROR(J18/J6,0)</f>
        <v>0.213693131346541</v>
      </c>
      <c r="K19" s="57" t="n">
        <f aca="false">IFERROR(K18/K6,0)</f>
        <v>0.177144968887164</v>
      </c>
      <c r="L19" s="57" t="n">
        <f aca="false">IFERROR(L18/L6,0)</f>
        <v>0.188281716771294</v>
      </c>
    </row>
    <row r="20" customFormat="false" ht="14.25" hidden="false" customHeight="true" outlineLevel="1" collapsed="false">
      <c r="C20" s="54"/>
      <c r="D20" s="54"/>
      <c r="E20" s="54"/>
      <c r="F20" s="54"/>
      <c r="G20" s="54"/>
      <c r="H20" s="54"/>
      <c r="I20" s="54"/>
      <c r="J20" s="54"/>
      <c r="K20" s="54"/>
      <c r="L20" s="54"/>
    </row>
    <row r="21" customFormat="false" ht="14.25" hidden="false" customHeight="true" outlineLevel="1" collapsed="false">
      <c r="B21" s="0" t="s">
        <v>84</v>
      </c>
      <c r="C21" s="54" t="n">
        <f aca="false">IFERROR('Data Sheet'!B25,0)</f>
        <v>337.9</v>
      </c>
      <c r="D21" s="54" t="n">
        <f aca="false">IFERROR('Data Sheet'!C25,0)</f>
        <v>336.41</v>
      </c>
      <c r="E21" s="54" t="n">
        <f aca="false">IFERROR('Data Sheet'!D25,0)</f>
        <v>273.77</v>
      </c>
      <c r="F21" s="54" t="n">
        <f aca="false">IFERROR('Data Sheet'!E25,0)</f>
        <v>350.1</v>
      </c>
      <c r="G21" s="54" t="n">
        <f aca="false">IFERROR('Data Sheet'!F25,0)</f>
        <v>331.65</v>
      </c>
      <c r="H21" s="54" t="n">
        <f aca="false">IFERROR('Data Sheet'!G25,0)</f>
        <v>295.88</v>
      </c>
      <c r="I21" s="54" t="n">
        <f aca="false">IFERROR('Data Sheet'!H25,0)</f>
        <v>431.46</v>
      </c>
      <c r="J21" s="54" t="n">
        <f aca="false">IFERROR('Data Sheet'!I25,0)</f>
        <v>820.96</v>
      </c>
      <c r="K21" s="54" t="n">
        <f aca="false">IFERROR('Data Sheet'!J25,0)</f>
        <v>350.22</v>
      </c>
      <c r="L21" s="54" t="n">
        <f aca="false">IFERROR('Data Sheet'!K25,0)</f>
        <v>727.97</v>
      </c>
    </row>
    <row r="22" customFormat="false" ht="14.25" hidden="false" customHeight="true" outlineLevel="1" collapsed="false">
      <c r="B22" s="57" t="s">
        <v>85</v>
      </c>
      <c r="C22" s="57" t="n">
        <f aca="false">IFERROR(C21/C6,0)</f>
        <v>0.0224339546102474</v>
      </c>
      <c r="D22" s="57" t="n">
        <f aca="false">IFERROR(D21/D6,0)</f>
        <v>0.0199951856067473</v>
      </c>
      <c r="E22" s="57" t="n">
        <f aca="false">IFERROR(E21/E6,0)</f>
        <v>0.0142291138365489</v>
      </c>
      <c r="F22" s="57" t="n">
        <f aca="false">IFERROR(F21/F6,0)</f>
        <v>0.0173220359948049</v>
      </c>
      <c r="G22" s="57" t="n">
        <f aca="false">IFERROR(G21/G6,0)</f>
        <v>0.0152744073884563</v>
      </c>
      <c r="H22" s="57" t="n">
        <f aca="false">IFERROR(H21/H6,0)</f>
        <v>0.0101672503752412</v>
      </c>
      <c r="I22" s="57" t="n">
        <f aca="false">IFERROR(I21/I6,0)</f>
        <v>0.0125102243959524</v>
      </c>
      <c r="J22" s="57" t="n">
        <f aca="false">IFERROR(J21/J6,0)</f>
        <v>0.02312906732915</v>
      </c>
      <c r="K22" s="57" t="n">
        <f aca="false">IFERROR(K21/K6,0)</f>
        <v>0.0103292610487583</v>
      </c>
      <c r="L22" s="57" t="n">
        <f aca="false">IFERROR(L21/L6,0)</f>
        <v>0.0204580544824939</v>
      </c>
    </row>
    <row r="23" customFormat="false" ht="14.25" hidden="false" customHeight="true" outlineLevel="1" collapsed="false">
      <c r="C23" s="54"/>
      <c r="D23" s="54"/>
      <c r="E23" s="54"/>
      <c r="F23" s="54"/>
      <c r="G23" s="54"/>
      <c r="H23" s="54"/>
      <c r="I23" s="54"/>
      <c r="J23" s="54"/>
      <c r="K23" s="54"/>
      <c r="L23" s="54"/>
    </row>
    <row r="24" customFormat="false" ht="14.25" hidden="false" customHeight="true" outlineLevel="1" collapsed="false">
      <c r="B24" s="0" t="s">
        <v>86</v>
      </c>
      <c r="C24" s="54" t="n">
        <f aca="false">IFERROR('Data Sheet'!B26,0)</f>
        <v>334.79</v>
      </c>
      <c r="D24" s="54" t="n">
        <f aca="false">IFERROR('Data Sheet'!C26,0)</f>
        <v>360.47</v>
      </c>
      <c r="E24" s="54" t="n">
        <f aca="false">IFERROR('Data Sheet'!D26,0)</f>
        <v>622.14</v>
      </c>
      <c r="F24" s="54" t="n">
        <f aca="false">IFERROR('Data Sheet'!E26,0)</f>
        <v>780.5</v>
      </c>
      <c r="G24" s="54" t="n">
        <f aca="false">IFERROR('Data Sheet'!F26,0)</f>
        <v>791.27</v>
      </c>
      <c r="H24" s="54" t="n">
        <f aca="false">IFERROR('Data Sheet'!G26,0)</f>
        <v>816.36</v>
      </c>
      <c r="I24" s="54" t="n">
        <f aca="false">IFERROR('Data Sheet'!H26,0)</f>
        <v>858.02</v>
      </c>
      <c r="J24" s="54" t="n">
        <f aca="false">IFERROR('Data Sheet'!I26,0)</f>
        <v>853</v>
      </c>
      <c r="K24" s="54" t="n">
        <f aca="false">IFERROR('Data Sheet'!J26,0)</f>
        <v>1026.34</v>
      </c>
      <c r="L24" s="54" t="n">
        <f aca="false">IFERROR('Data Sheet'!K26,0)</f>
        <v>1228.85</v>
      </c>
    </row>
    <row r="25" customFormat="false" ht="14.25" hidden="false" customHeight="true" outlineLevel="1" collapsed="false">
      <c r="B25" s="57" t="s">
        <v>87</v>
      </c>
      <c r="C25" s="57" t="n">
        <f aca="false">IFERROR(C24/C6,0)</f>
        <v>0.022227474590011</v>
      </c>
      <c r="D25" s="57" t="n">
        <f aca="false">IFERROR(D24/D6,0)</f>
        <v>0.0214252387136655</v>
      </c>
      <c r="E25" s="57" t="n">
        <f aca="false">IFERROR(E24/E6,0)</f>
        <v>0.0323355403523781</v>
      </c>
      <c r="F25" s="57" t="n">
        <f aca="false">IFERROR(F24/F6,0)</f>
        <v>0.0386171068093265</v>
      </c>
      <c r="G25" s="57" t="n">
        <f aca="false">IFERROR(G24/G6,0)</f>
        <v>0.0364425760116503</v>
      </c>
      <c r="H25" s="57" t="n">
        <f aca="false">IFERROR(H24/H6,0)</f>
        <v>0.0280523743285519</v>
      </c>
      <c r="I25" s="57" t="n">
        <f aca="false">IFERROR(I24/I6,0)</f>
        <v>0.0248783728183727</v>
      </c>
      <c r="J25" s="57" t="n">
        <f aca="false">IFERROR(J24/J6,0)</f>
        <v>0.024031736542298</v>
      </c>
      <c r="K25" s="57" t="n">
        <f aca="false">IFERROR(K24/K6,0)</f>
        <v>0.0302704979292518</v>
      </c>
      <c r="L25" s="57" t="n">
        <f aca="false">IFERROR(L24/L6,0)</f>
        <v>0.0345342256560196</v>
      </c>
    </row>
    <row r="26" customFormat="false" ht="14.25" hidden="false" customHeight="true" outlineLevel="1" collapsed="false">
      <c r="C26" s="54"/>
      <c r="D26" s="54"/>
      <c r="E26" s="54"/>
      <c r="F26" s="54"/>
      <c r="G26" s="54"/>
      <c r="H26" s="54"/>
      <c r="I26" s="54"/>
      <c r="J26" s="54"/>
      <c r="K26" s="54"/>
      <c r="L26" s="54"/>
    </row>
    <row r="27" customFormat="false" ht="14.25" hidden="false" customHeight="true" outlineLevel="1" collapsed="false">
      <c r="B27" s="58" t="s">
        <v>88</v>
      </c>
      <c r="C27" s="59" t="n">
        <f aca="false">IFERROR(C18+C21-C24,0)</f>
        <v>2996.87</v>
      </c>
      <c r="D27" s="59" t="n">
        <f aca="false">IFERROR(D18+D21-D24,0)</f>
        <v>3179.95</v>
      </c>
      <c r="E27" s="59" t="n">
        <f aca="false">IFERROR(E18+E21-E24,0)</f>
        <v>3416.57</v>
      </c>
      <c r="F27" s="59" t="n">
        <f aca="false">IFERROR(F18+F21-F24,0)</f>
        <v>3731.37</v>
      </c>
      <c r="G27" s="59" t="n">
        <f aca="false">IFERROR(G18+G21-G24,0)</f>
        <v>4395.98</v>
      </c>
      <c r="H27" s="59" t="n">
        <f aca="false">IFERROR(H18+H21-H24,0)</f>
        <v>4283.13</v>
      </c>
      <c r="I27" s="59" t="n">
        <f aca="false">IFERROR(I18+I21-I24,0)</f>
        <v>5833.28</v>
      </c>
      <c r="J27" s="59" t="n">
        <f aca="false">IFERROR(J18+J21-J24,0)</f>
        <v>7552.94</v>
      </c>
      <c r="K27" s="59" t="n">
        <f aca="false">IFERROR(K18+K21-K24,0)</f>
        <v>5330.09000000001</v>
      </c>
      <c r="L27" s="59" t="n">
        <f aca="false">IFERROR(L18+L21-L24,0)</f>
        <v>6198.85</v>
      </c>
    </row>
    <row r="28" customFormat="false" ht="14.25" hidden="false" customHeight="true" outlineLevel="1" collapsed="false">
      <c r="B28" s="57" t="s">
        <v>89</v>
      </c>
      <c r="C28" s="57" t="n">
        <f aca="false">IFERROR(C27/C6,0)</f>
        <v>0.198969060529186</v>
      </c>
      <c r="D28" s="57" t="n">
        <f aca="false">IFERROR(D27/D6,0)</f>
        <v>0.189006541036759</v>
      </c>
      <c r="E28" s="57" t="n">
        <f aca="false">IFERROR(E27/E6,0)</f>
        <v>0.177575203493947</v>
      </c>
      <c r="F28" s="57" t="n">
        <f aca="false">IFERROR(F27/F6,0)</f>
        <v>0.184618467437689</v>
      </c>
      <c r="G28" s="57" t="n">
        <f aca="false">IFERROR(G27/G6,0)</f>
        <v>0.202460393159976</v>
      </c>
      <c r="H28" s="57" t="n">
        <f aca="false">IFERROR(H27/H6,0)</f>
        <v>0.147180124035781</v>
      </c>
      <c r="I28" s="57" t="n">
        <f aca="false">IFERROR(I27/I6,0)</f>
        <v>0.169136517323555</v>
      </c>
      <c r="J28" s="57" t="n">
        <f aca="false">IFERROR(J27/J6,0)</f>
        <v>0.212790462133393</v>
      </c>
      <c r="K28" s="57" t="n">
        <f aca="false">IFERROR(K27/K6,0)</f>
        <v>0.15720373200667</v>
      </c>
      <c r="L28" s="57" t="n">
        <f aca="false">IFERROR(L27/L6,0)</f>
        <v>0.174205545597768</v>
      </c>
    </row>
    <row r="29" customFormat="false" ht="14.25" hidden="false" customHeight="true" outlineLevel="1" collapsed="false">
      <c r="C29" s="54"/>
      <c r="D29" s="54"/>
      <c r="E29" s="54"/>
      <c r="F29" s="54"/>
      <c r="G29" s="54"/>
      <c r="H29" s="54"/>
      <c r="I29" s="54"/>
      <c r="J29" s="54"/>
      <c r="K29" s="54"/>
      <c r="L29" s="54"/>
    </row>
    <row r="30" customFormat="false" ht="14.25" hidden="false" customHeight="true" outlineLevel="1" collapsed="false">
      <c r="B30" s="0" t="s">
        <v>90</v>
      </c>
      <c r="C30" s="54" t="n">
        <f aca="false">IFERROR('Data Sheet'!B27,0)</f>
        <v>37.33</v>
      </c>
      <c r="D30" s="54" t="n">
        <f aca="false">IFERROR('Data Sheet'!C27,0)</f>
        <v>41.47</v>
      </c>
      <c r="E30" s="54" t="n">
        <f aca="false">IFERROR('Data Sheet'!D27,0)</f>
        <v>110.47</v>
      </c>
      <c r="F30" s="54" t="n">
        <f aca="false">IFERROR('Data Sheet'!E27,0)</f>
        <v>102.33</v>
      </c>
      <c r="G30" s="54" t="n">
        <f aca="false">IFERROR('Data Sheet'!F27,0)</f>
        <v>91.63</v>
      </c>
      <c r="H30" s="54" t="n">
        <f aca="false">IFERROR('Data Sheet'!G27,0)</f>
        <v>95.41</v>
      </c>
      <c r="I30" s="54" t="n">
        <f aca="false">IFERROR('Data Sheet'!H27,0)</f>
        <v>144.45</v>
      </c>
      <c r="J30" s="54" t="n">
        <f aca="false">IFERROR('Data Sheet'!I27,0)</f>
        <v>205.17</v>
      </c>
      <c r="K30" s="54" t="n">
        <f aca="false">IFERROR('Data Sheet'!J27,0)</f>
        <v>227.02</v>
      </c>
      <c r="L30" s="54" t="n">
        <f aca="false">IFERROR('Data Sheet'!K27,0)</f>
        <v>195.41</v>
      </c>
    </row>
    <row r="31" customFormat="false" ht="14.25" hidden="false" customHeight="true" outlineLevel="1" collapsed="false">
      <c r="B31" s="57" t="s">
        <v>91</v>
      </c>
      <c r="C31" s="57" t="n">
        <f aca="false">IFERROR(C30/C6,0)</f>
        <v>0.00247842416573109</v>
      </c>
      <c r="D31" s="57" t="n">
        <f aca="false">IFERROR(D30/D6,0)</f>
        <v>0.00246485047148364</v>
      </c>
      <c r="E31" s="57" t="n">
        <f aca="false">IFERROR(E30/E6,0)</f>
        <v>0.00574164519678401</v>
      </c>
      <c r="F31" s="57" t="n">
        <f aca="false">IFERROR(F30/F6,0)</f>
        <v>0.00506302183190055</v>
      </c>
      <c r="G31" s="57" t="n">
        <f aca="false">IFERROR(G30/G6,0)</f>
        <v>0.00422009331827002</v>
      </c>
      <c r="H31" s="57" t="n">
        <f aca="false">IFERROR(H30/H6,0)</f>
        <v>0.00327854994694391</v>
      </c>
      <c r="I31" s="57" t="n">
        <f aca="false">IFERROR(I30/I6,0)</f>
        <v>0.0041883417095335</v>
      </c>
      <c r="J31" s="57" t="n">
        <f aca="false">IFERROR(J30/J6,0)</f>
        <v>0.00578029470853842</v>
      </c>
      <c r="K31" s="57" t="n">
        <f aca="false">IFERROR(K30/K6,0)</f>
        <v>0.00669564514673379</v>
      </c>
      <c r="L31" s="57" t="n">
        <f aca="false">IFERROR(L30/L6,0)</f>
        <v>0.00549158403014427</v>
      </c>
    </row>
    <row r="32" customFormat="false" ht="14.25" hidden="false" customHeight="true" outlineLevel="1" collapsed="false">
      <c r="C32" s="54"/>
      <c r="D32" s="54"/>
      <c r="E32" s="54"/>
      <c r="F32" s="54"/>
      <c r="G32" s="54"/>
      <c r="H32" s="54"/>
      <c r="I32" s="54"/>
      <c r="J32" s="54"/>
      <c r="K32" s="54"/>
      <c r="L32" s="54"/>
    </row>
    <row r="33" customFormat="false" ht="14.25" hidden="false" customHeight="true" outlineLevel="1" collapsed="false">
      <c r="B33" s="58" t="s">
        <v>92</v>
      </c>
      <c r="C33" s="59" t="n">
        <f aca="false">IFERROR(C27-C30,0)</f>
        <v>2959.54</v>
      </c>
      <c r="D33" s="59" t="n">
        <f aca="false">IFERROR(D27-D30,0)</f>
        <v>3138.48</v>
      </c>
      <c r="E33" s="59" t="n">
        <f aca="false">IFERROR(E27-E30,0)</f>
        <v>3306.1</v>
      </c>
      <c r="F33" s="59" t="n">
        <f aca="false">IFERROR(F27-F30,0)</f>
        <v>3629.04</v>
      </c>
      <c r="G33" s="59" t="n">
        <f aca="false">IFERROR(G27-G30,0)</f>
        <v>4304.35</v>
      </c>
      <c r="H33" s="59" t="n">
        <f aca="false">IFERROR(H27-H30,0)</f>
        <v>4187.72</v>
      </c>
      <c r="I33" s="59" t="n">
        <f aca="false">IFERROR(I27-I30,0)</f>
        <v>5688.83</v>
      </c>
      <c r="J33" s="59" t="n">
        <f aca="false">IFERROR(J27-J30,0)</f>
        <v>7347.77</v>
      </c>
      <c r="K33" s="59" t="n">
        <f aca="false">IFERROR(K27-K30,0)</f>
        <v>5103.07000000001</v>
      </c>
      <c r="L33" s="59" t="n">
        <f aca="false">IFERROR(L27-L30,0)</f>
        <v>6003.44</v>
      </c>
    </row>
    <row r="34" customFormat="false" ht="14.25" hidden="false" customHeight="true" outlineLevel="1" collapsed="false">
      <c r="B34" s="57" t="s">
        <v>93</v>
      </c>
      <c r="C34" s="57" t="n">
        <f aca="false">IFERROR(C33/C6,0)</f>
        <v>0.196490636363455</v>
      </c>
      <c r="D34" s="57" t="n">
        <f aca="false">IFERROR(D33/D6,0)</f>
        <v>0.186541690565275</v>
      </c>
      <c r="E34" s="57" t="n">
        <f aca="false">IFERROR(E33/E6,0)</f>
        <v>0.171833558297163</v>
      </c>
      <c r="F34" s="57" t="n">
        <f aca="false">IFERROR(F33/F6,0)</f>
        <v>0.179555445605789</v>
      </c>
      <c r="G34" s="57" t="n">
        <f aca="false">IFERROR(G33/G6,0)</f>
        <v>0.198240299841706</v>
      </c>
      <c r="H34" s="57" t="n">
        <f aca="false">IFERROR(H33/H6,0)</f>
        <v>0.143901574088837</v>
      </c>
      <c r="I34" s="57" t="n">
        <f aca="false">IFERROR(I33/I6,0)</f>
        <v>0.164948175614022</v>
      </c>
      <c r="J34" s="57" t="n">
        <f aca="false">IFERROR(J33/J6,0)</f>
        <v>0.207010167424854</v>
      </c>
      <c r="K34" s="57" t="n">
        <f aca="false">IFERROR(K33/K6,0)</f>
        <v>0.150508086859937</v>
      </c>
      <c r="L34" s="57" t="n">
        <f aca="false">IFERROR(L33/L6,0)</f>
        <v>0.168713961567624</v>
      </c>
    </row>
    <row r="35" customFormat="false" ht="14.25" hidden="false" customHeight="true" outlineLevel="1" collapsed="false">
      <c r="C35" s="54"/>
      <c r="D35" s="54"/>
      <c r="E35" s="54"/>
      <c r="F35" s="54"/>
      <c r="G35" s="54"/>
      <c r="H35" s="54"/>
      <c r="I35" s="54"/>
      <c r="J35" s="54"/>
      <c r="K35" s="54"/>
      <c r="L35" s="54"/>
    </row>
    <row r="36" customFormat="false" ht="14.25" hidden="false" customHeight="true" outlineLevel="1" collapsed="false">
      <c r="B36" s="0" t="s">
        <v>94</v>
      </c>
      <c r="C36" s="54" t="n">
        <f aca="false">IFERROR('Data Sheet'!B29,0)</f>
        <v>943.29</v>
      </c>
      <c r="D36" s="54" t="n">
        <f aca="false">IFERROR('Data Sheet'!C29,0)</f>
        <v>1040.96</v>
      </c>
      <c r="E36" s="54" t="n">
        <f aca="false">IFERROR('Data Sheet'!D29,0)</f>
        <v>1098.06</v>
      </c>
      <c r="F36" s="54" t="n">
        <f aca="false">IFERROR('Data Sheet'!E29,0)</f>
        <v>854.85</v>
      </c>
      <c r="G36" s="54" t="n">
        <f aca="false">IFERROR('Data Sheet'!F29,0)</f>
        <v>1097.6</v>
      </c>
      <c r="H36" s="54" t="n">
        <f aca="false">IFERROR('Data Sheet'!G29,0)</f>
        <v>1102.91</v>
      </c>
      <c r="I36" s="54" t="n">
        <f aca="false">IFERROR('Data Sheet'!H29,0)</f>
        <v>1493.5</v>
      </c>
      <c r="J36" s="54" t="n">
        <f aca="false">IFERROR('Data Sheet'!I29,0)</f>
        <v>1790.08</v>
      </c>
      <c r="K36" s="54" t="n">
        <f aca="false">IFERROR('Data Sheet'!J29,0)</f>
        <v>1393.36</v>
      </c>
      <c r="L36" s="54" t="n">
        <f aca="false">IFERROR('Data Sheet'!K29,0)</f>
        <v>1608.75</v>
      </c>
    </row>
    <row r="37" customFormat="false" ht="14.25" hidden="false" customHeight="true" outlineLevel="1" collapsed="false">
      <c r="B37" s="57" t="s">
        <v>95</v>
      </c>
      <c r="C37" s="57" t="n">
        <f aca="false">IFERROR(C36/C33,0)</f>
        <v>0.318728586199207</v>
      </c>
      <c r="D37" s="57" t="n">
        <f aca="false">IFERROR(D36/D33,0)</f>
        <v>0.33167648033443</v>
      </c>
      <c r="E37" s="57" t="n">
        <f aca="false">IFERROR(E36/E33,0)</f>
        <v>0.332131514473246</v>
      </c>
      <c r="F37" s="57" t="n">
        <f aca="false">IFERROR(F36/F33,0)</f>
        <v>0.235558164142583</v>
      </c>
      <c r="G37" s="57" t="n">
        <f aca="false">IFERROR(G36/G33,0)</f>
        <v>0.254997851011186</v>
      </c>
      <c r="H37" s="57" t="n">
        <f aca="false">IFERROR(H36/H33,0)</f>
        <v>0.263367655908227</v>
      </c>
      <c r="I37" s="57" t="n">
        <f aca="false">IFERROR(I36/I33,0)</f>
        <v>0.262532014491557</v>
      </c>
      <c r="J37" s="57" t="n">
        <f aca="false">IFERROR(J36/J33,0)</f>
        <v>0.243622214631106</v>
      </c>
      <c r="K37" s="57" t="n">
        <f aca="false">IFERROR(K36/K33,0)</f>
        <v>0.273043481668877</v>
      </c>
      <c r="L37" s="57" t="n">
        <f aca="false">IFERROR(L36/L33,0)</f>
        <v>0.267971363085164</v>
      </c>
    </row>
    <row r="38" customFormat="false" ht="14.25" hidden="false" customHeight="true" outlineLevel="1" collapsed="false">
      <c r="C38" s="54"/>
      <c r="D38" s="54"/>
      <c r="E38" s="54"/>
      <c r="F38" s="54"/>
      <c r="G38" s="54"/>
      <c r="H38" s="54"/>
      <c r="I38" s="54"/>
      <c r="J38" s="54"/>
      <c r="K38" s="54"/>
      <c r="L38" s="54"/>
    </row>
    <row r="39" customFormat="false" ht="14.25" hidden="false" customHeight="true" outlineLevel="1" collapsed="false">
      <c r="B39" s="58" t="s">
        <v>96</v>
      </c>
      <c r="C39" s="59" t="n">
        <f aca="false">IFERROR(C33-C36,0)</f>
        <v>2016.25</v>
      </c>
      <c r="D39" s="59" t="n">
        <f aca="false">IFERROR(D33-D36,0)</f>
        <v>2097.52</v>
      </c>
      <c r="E39" s="59" t="n">
        <f aca="false">IFERROR(E33-E36,0)</f>
        <v>2208.04</v>
      </c>
      <c r="F39" s="59" t="n">
        <f aca="false">IFERROR(F33-F36,0)</f>
        <v>2774.19</v>
      </c>
      <c r="G39" s="59" t="n">
        <f aca="false">IFERROR(G33-G36,0)</f>
        <v>3206.75</v>
      </c>
      <c r="H39" s="59" t="n">
        <f aca="false">IFERROR(H33-H36,0)</f>
        <v>3084.81</v>
      </c>
      <c r="I39" s="59" t="n">
        <f aca="false">IFERROR(I33-I36,0)</f>
        <v>4195.33</v>
      </c>
      <c r="J39" s="59" t="n">
        <f aca="false">IFERROR(J33-J36,0)</f>
        <v>5557.69</v>
      </c>
      <c r="K39" s="59" t="n">
        <f aca="false">IFERROR(K33-K36,0)</f>
        <v>3709.71000000001</v>
      </c>
      <c r="L39" s="59" t="n">
        <f aca="false">IFERROR(L33-L36,0)</f>
        <v>4394.69</v>
      </c>
    </row>
    <row r="40" customFormat="false" ht="14.25" hidden="false" customHeight="true" outlineLevel="1" collapsed="false">
      <c r="B40" s="57" t="s">
        <v>97</v>
      </c>
      <c r="C40" s="57" t="n">
        <f aca="false">IFERROR(C39/C6,0)</f>
        <v>0.133863453633949</v>
      </c>
      <c r="D40" s="57" t="n">
        <f aca="false">IFERROR(D39/D6,0)</f>
        <v>0.12467019920295</v>
      </c>
      <c r="E40" s="57" t="n">
        <f aca="false">IFERROR(E39/E6,0)</f>
        <v>0.1147622183426</v>
      </c>
      <c r="F40" s="57" t="n">
        <f aca="false">IFERROR(F39/F6,0)</f>
        <v>0.137259694477086</v>
      </c>
      <c r="G40" s="57" t="n">
        <f aca="false">IFERROR(G39/G6,0)</f>
        <v>0.147689449398258</v>
      </c>
      <c r="H40" s="57" t="n">
        <f aca="false">IFERROR(H39/H6,0)</f>
        <v>0.106002553839556</v>
      </c>
      <c r="I40" s="57" t="n">
        <f aca="false">IFERROR(I39/I6,0)</f>
        <v>0.121643998783366</v>
      </c>
      <c r="J40" s="57" t="n">
        <f aca="false">IFERROR(J39/J6,0)</f>
        <v>0.156577891985655</v>
      </c>
      <c r="K40" s="57" t="n">
        <f aca="false">IFERROR(K39/K6,0)</f>
        <v>0.109412834804378</v>
      </c>
      <c r="L40" s="57" t="n">
        <f aca="false">IFERROR(L39/L6,0)</f>
        <v>0.12350345131485</v>
      </c>
    </row>
    <row r="41" customFormat="false" ht="14.25" hidden="false" customHeight="true" outlineLevel="1" collapsed="false"/>
    <row r="42" customFormat="false" ht="14.25" hidden="false" customHeight="true" outlineLevel="1" collapsed="false">
      <c r="B42" s="0" t="s">
        <v>98</v>
      </c>
      <c r="C42" s="60" t="n">
        <f aca="false">IFERROR('Data Sheet'!B93,0)</f>
        <v>95.92</v>
      </c>
      <c r="D42" s="60" t="n">
        <f aca="false">IFERROR('Data Sheet'!C93,0)</f>
        <v>95.92</v>
      </c>
      <c r="E42" s="60" t="n">
        <f aca="false">IFERROR('Data Sheet'!D93,0)</f>
        <v>95.92</v>
      </c>
      <c r="F42" s="60" t="n">
        <f aca="false">IFERROR('Data Sheet'!E93,0)</f>
        <v>95.92</v>
      </c>
      <c r="G42" s="60" t="n">
        <f aca="false">IFERROR('Data Sheet'!F93,0)</f>
        <v>95.92</v>
      </c>
      <c r="H42" s="60" t="n">
        <f aca="false">IFERROR('Data Sheet'!G93,0)</f>
        <v>95.92</v>
      </c>
      <c r="I42" s="60" t="n">
        <f aca="false">IFERROR('Data Sheet'!H93,0)</f>
        <v>95.92</v>
      </c>
      <c r="J42" s="60" t="n">
        <f aca="false">IFERROR('Data Sheet'!I93,0)</f>
        <v>95.92</v>
      </c>
      <c r="K42" s="60" t="n">
        <f aca="false">IFERROR('Data Sheet'!J93,0)</f>
        <v>95.92</v>
      </c>
      <c r="L42" s="60" t="n">
        <f aca="false">IFERROR('Data Sheet'!K93,0)</f>
        <v>95.92</v>
      </c>
    </row>
    <row r="43" customFormat="false" ht="14.25" hidden="false" customHeight="true" outlineLevel="1" collapsed="false"/>
    <row r="44" customFormat="false" ht="14.25" hidden="false" customHeight="true" outlineLevel="1" collapsed="false">
      <c r="B44" s="0" t="s">
        <v>99</v>
      </c>
      <c r="C44" s="54" t="n">
        <f aca="false">IFERROR(C39/C42,0)</f>
        <v>21.0201209341118</v>
      </c>
      <c r="D44" s="54" t="n">
        <f aca="false">IFERROR(D39/D42,0)</f>
        <v>21.8673894912427</v>
      </c>
      <c r="E44" s="54" t="n">
        <f aca="false">IFERROR(E39/E42,0)</f>
        <v>23.0195996663887</v>
      </c>
      <c r="F44" s="54" t="n">
        <f aca="false">IFERROR(F39/F42,0)</f>
        <v>28.9219140950792</v>
      </c>
      <c r="G44" s="54" t="n">
        <f aca="false">IFERROR(G39/G42,0)</f>
        <v>33.4315054211844</v>
      </c>
      <c r="H44" s="54" t="n">
        <f aca="false">IFERROR(H39/H42,0)</f>
        <v>32.1602376980817</v>
      </c>
      <c r="I44" s="54" t="n">
        <f aca="false">IFERROR(I39/I42,0)</f>
        <v>43.7378023352794</v>
      </c>
      <c r="J44" s="54" t="n">
        <f aca="false">IFERROR(J39/J42,0)</f>
        <v>57.9408882402002</v>
      </c>
      <c r="K44" s="54" t="n">
        <f aca="false">IFERROR(K39/K42,0)</f>
        <v>38.6750417014179</v>
      </c>
      <c r="L44" s="54" t="n">
        <f aca="false">IFERROR(L39/L42,0)</f>
        <v>45.8162010008341</v>
      </c>
    </row>
    <row r="45" customFormat="false" ht="14.25" hidden="false" customHeight="true" outlineLevel="1" collapsed="false">
      <c r="B45" s="57" t="s">
        <v>100</v>
      </c>
      <c r="C45" s="57"/>
      <c r="D45" s="57" t="n">
        <f aca="false">IFERROR(D44/C44-1,0)</f>
        <v>0.0403075015499064</v>
      </c>
      <c r="E45" s="57" t="n">
        <f aca="false">IFERROR(E44/D44-1,0)</f>
        <v>0.0526907967504493</v>
      </c>
      <c r="F45" s="57" t="n">
        <f aca="false">IFERROR(F44/E44-1,0)</f>
        <v>0.256403869495117</v>
      </c>
      <c r="G45" s="57" t="n">
        <f aca="false">IFERROR(G44/F44-1,0)</f>
        <v>0.155922990134058</v>
      </c>
      <c r="H45" s="57" t="n">
        <f aca="false">IFERROR(H44/G44-1,0)</f>
        <v>-0.0380260388243561</v>
      </c>
      <c r="I45" s="57" t="n">
        <f aca="false">IFERROR(I44/H44-1,0)</f>
        <v>0.359996239638745</v>
      </c>
      <c r="J45" s="57" t="n">
        <f aca="false">IFERROR(J44/I44-1,0)</f>
        <v>0.324732500184731</v>
      </c>
      <c r="K45" s="57" t="n">
        <f aca="false">IFERROR(K44/J44-1,0)</f>
        <v>-0.332508650176602</v>
      </c>
      <c r="L45" s="57" t="n">
        <f aca="false">IFERROR(L44/K44-1,0)</f>
        <v>0.184645160942499</v>
      </c>
    </row>
    <row r="46" customFormat="false" ht="14.25" hidden="false" customHeight="true" outlineLevel="1" collapsed="false"/>
    <row r="47" customFormat="false" ht="14.25" hidden="false" customHeight="true" outlineLevel="1" collapsed="false">
      <c r="B47" s="0" t="s">
        <v>101</v>
      </c>
      <c r="C47" s="54" t="n">
        <f aca="false">IFERROR('Data Sheet'!B31/HistoricalFS!C42,0)</f>
        <v>10.3000417014178</v>
      </c>
      <c r="D47" s="54" t="n">
        <f aca="false">IFERROR('Data Sheet'!C31/HistoricalFS!D42,0)</f>
        <v>8.69995829858215</v>
      </c>
      <c r="E47" s="54" t="n">
        <f aca="false">IFERROR('Data Sheet'!D31/HistoricalFS!E42,0)</f>
        <v>10.5</v>
      </c>
      <c r="F47" s="54" t="n">
        <f aca="false">IFERROR('Data Sheet'!E31/HistoricalFS!F42,0)</f>
        <v>12</v>
      </c>
      <c r="G47" s="54" t="n">
        <f aca="false">IFERROR('Data Sheet'!F31/HistoricalFS!G42,0)</f>
        <v>17.8499791492911</v>
      </c>
      <c r="H47" s="54" t="n">
        <f aca="false">IFERROR('Data Sheet'!G31/HistoricalFS!H42,0)</f>
        <v>19.1500208507089</v>
      </c>
      <c r="I47" s="54" t="n">
        <f aca="false">IFERROR('Data Sheet'!H31/HistoricalFS!I42,0)</f>
        <v>25.6500208507089</v>
      </c>
      <c r="J47" s="54" t="n">
        <f aca="false">IFERROR('Data Sheet'!I31/HistoricalFS!J42,0)</f>
        <v>33.3000417014179</v>
      </c>
      <c r="K47" s="54" t="n">
        <f aca="false">IFERROR('Data Sheet'!J31/HistoricalFS!K42,0)</f>
        <v>24.8000417014179</v>
      </c>
      <c r="L47" s="54" t="n">
        <f aca="false">IFERROR('Data Sheet'!K31/HistoricalFS!L42,0)</f>
        <v>27.5</v>
      </c>
    </row>
    <row r="48" customFormat="false" ht="14.25" hidden="false" customHeight="true" outlineLevel="1" collapsed="false">
      <c r="B48" s="57" t="s">
        <v>102</v>
      </c>
      <c r="C48" s="57" t="n">
        <f aca="false">IFERROR(C47/C44,0)</f>
        <v>0.490008679479231</v>
      </c>
      <c r="D48" s="57" t="n">
        <f aca="false">IFERROR(D47/D44,0)</f>
        <v>0.397850795224837</v>
      </c>
      <c r="E48" s="57" t="n">
        <f aca="false">IFERROR(E47/E44,0)</f>
        <v>0.456133041068096</v>
      </c>
      <c r="F48" s="57" t="n">
        <f aca="false">IFERROR(F47/F44,0)</f>
        <v>0.414910298141079</v>
      </c>
      <c r="G48" s="57" t="n">
        <f aca="false">IFERROR(G47/G44,0)</f>
        <v>0.53392687300226</v>
      </c>
      <c r="H48" s="57" t="n">
        <f aca="false">IFERROR(H47/H44,0)</f>
        <v>0.595456446264114</v>
      </c>
      <c r="I48" s="57" t="n">
        <f aca="false">IFERROR(I47/I44,0)</f>
        <v>0.586449695256393</v>
      </c>
      <c r="J48" s="57" t="n">
        <f aca="false">IFERROR(J47/J44,0)</f>
        <v>0.57472439088902</v>
      </c>
      <c r="K48" s="57" t="n">
        <f aca="false">IFERROR(K47/K44,0)</f>
        <v>0.64124149866162</v>
      </c>
      <c r="L48" s="57" t="n">
        <f aca="false">IFERROR(L47/L44,0)</f>
        <v>0.600224361672836</v>
      </c>
    </row>
    <row r="49" customFormat="false" ht="14.25" hidden="false" customHeight="true" outlineLevel="1" collapsed="false"/>
    <row r="50" customFormat="false" ht="14.25" hidden="false" customHeight="true" outlineLevel="1" collapsed="false">
      <c r="B50" s="0" t="s">
        <v>103</v>
      </c>
      <c r="C50" s="28" t="n">
        <f aca="false">IFERROR(IF(C44&gt;C47,1-C48),0)</f>
        <v>0.509991320520769</v>
      </c>
      <c r="D50" s="28" t="n">
        <f aca="false">IFERROR(IF(D44&gt;D47,1-D48),0)</f>
        <v>0.602149204775163</v>
      </c>
      <c r="E50" s="28" t="n">
        <f aca="false">IFERROR(IF(E44&gt;E47,1-E48),0)</f>
        <v>0.543866958931904</v>
      </c>
      <c r="F50" s="28" t="n">
        <f aca="false">IFERROR(IF(F44&gt;F47,1-F48),0)</f>
        <v>0.585089701858921</v>
      </c>
      <c r="G50" s="28" t="n">
        <f aca="false">IFERROR(IF(G44&gt;G47,1-G48),0)</f>
        <v>0.46607312699774</v>
      </c>
      <c r="H50" s="28" t="n">
        <f aca="false">IFERROR(IF(H44&gt;H47,1-H48),0)</f>
        <v>0.404543553735886</v>
      </c>
      <c r="I50" s="28" t="n">
        <f aca="false">IFERROR(IF(I44&gt;I47,1-I48),0)</f>
        <v>0.413550304743607</v>
      </c>
      <c r="J50" s="28" t="n">
        <f aca="false">IFERROR(IF(J44&gt;J47,1-J48),0)</f>
        <v>0.42527560911098</v>
      </c>
      <c r="K50" s="28" t="n">
        <f aca="false">IFERROR(IF(K44&gt;K47,1-K48),0)</f>
        <v>0.35875850133838</v>
      </c>
      <c r="L50" s="28" t="n">
        <f aca="false">IFERROR(IF(L44&gt;L47,1-L48),0)</f>
        <v>0.399775638327164</v>
      </c>
    </row>
    <row r="52" customFormat="false" ht="14.25" hidden="false" customHeight="true" outlineLevel="0" collapsed="false">
      <c r="A52" s="0" t="s">
        <v>74</v>
      </c>
      <c r="B52" s="52" t="str">
        <f aca="false">"Balance Sheet"&amp;" - "&amp;'Data Sheet'!B1</f>
        <v>Balance Sheet - ASIAN PAINTS LTD</v>
      </c>
      <c r="C52" s="53"/>
      <c r="D52" s="53"/>
      <c r="E52" s="53"/>
      <c r="F52" s="53"/>
      <c r="G52" s="53"/>
      <c r="H52" s="53"/>
      <c r="I52" s="53"/>
      <c r="J52" s="53"/>
      <c r="K52" s="53"/>
      <c r="L52" s="53"/>
    </row>
    <row r="53" customFormat="false" ht="14.25" hidden="false" customHeight="true" outlineLevel="1" collapsed="false">
      <c r="B53" s="61" t="s">
        <v>104</v>
      </c>
      <c r="C53" s="54" t="n">
        <f aca="false">IFERROR('Data Sheet'!B57,0)</f>
        <v>95.92</v>
      </c>
      <c r="D53" s="54" t="n">
        <f aca="false">IFERROR('Data Sheet'!C57,0)</f>
        <v>95.92</v>
      </c>
      <c r="E53" s="54" t="n">
        <f aca="false">IFERROR('Data Sheet'!D57,0)</f>
        <v>95.92</v>
      </c>
      <c r="F53" s="54" t="n">
        <f aca="false">IFERROR('Data Sheet'!E57,0)</f>
        <v>95.92</v>
      </c>
      <c r="G53" s="54" t="n">
        <f aca="false">IFERROR('Data Sheet'!F57,0)</f>
        <v>95.92</v>
      </c>
      <c r="H53" s="54" t="n">
        <f aca="false">IFERROR('Data Sheet'!G57,0)</f>
        <v>95.92</v>
      </c>
      <c r="I53" s="54" t="n">
        <f aca="false">IFERROR('Data Sheet'!H57,0)</f>
        <v>95.92</v>
      </c>
      <c r="J53" s="54" t="n">
        <f aca="false">IFERROR('Data Sheet'!I57,0)</f>
        <v>95.92</v>
      </c>
      <c r="K53" s="54" t="n">
        <f aca="false">IFERROR('Data Sheet'!J57,0)</f>
        <v>95.92</v>
      </c>
      <c r="L53" s="54" t="n">
        <f aca="false">IFERROR('Data Sheet'!K57,0)</f>
        <v>95.92</v>
      </c>
    </row>
    <row r="54" customFormat="false" ht="14.25" hidden="false" customHeight="true" outlineLevel="1" collapsed="false">
      <c r="B54" s="61" t="s">
        <v>105</v>
      </c>
      <c r="C54" s="54" t="n">
        <f aca="false">IFERROR('Data Sheet'!B58,0)</f>
        <v>7507.97</v>
      </c>
      <c r="D54" s="54" t="n">
        <f aca="false">IFERROR('Data Sheet'!C58,0)</f>
        <v>8314.31</v>
      </c>
      <c r="E54" s="54" t="n">
        <f aca="false">IFERROR('Data Sheet'!D58,0)</f>
        <v>9374.63</v>
      </c>
      <c r="F54" s="54" t="n">
        <f aca="false">IFERROR('Data Sheet'!E58,0)</f>
        <v>10034.24</v>
      </c>
      <c r="G54" s="54" t="n">
        <f aca="false">IFERROR('Data Sheet'!F58,0)</f>
        <v>12710.37</v>
      </c>
      <c r="H54" s="54" t="n">
        <f aca="false">IFERROR('Data Sheet'!G58,0)</f>
        <v>13715.64</v>
      </c>
      <c r="I54" s="54" t="n">
        <f aca="false">IFERROR('Data Sheet'!H58,0)</f>
        <v>15896.31</v>
      </c>
      <c r="J54" s="54" t="n">
        <f aca="false">IFERROR('Data Sheet'!I58,0)</f>
        <v>18632.38</v>
      </c>
      <c r="K54" s="54" t="n">
        <f aca="false">IFERROR('Data Sheet'!J58,0)</f>
        <v>19303.89</v>
      </c>
      <c r="L54" s="54" t="n">
        <f aca="false">IFERROR('Data Sheet'!K58,0)</f>
        <v>21275.67</v>
      </c>
    </row>
    <row r="55" customFormat="false" ht="14.25" hidden="false" customHeight="true" outlineLevel="1" collapsed="false">
      <c r="B55" s="61" t="s">
        <v>106</v>
      </c>
      <c r="C55" s="54" t="n">
        <f aca="false">IFERROR('Data Sheet'!B59,0)</f>
        <v>560.34</v>
      </c>
      <c r="D55" s="54" t="n">
        <f aca="false">IFERROR('Data Sheet'!C59,0)</f>
        <v>533.43</v>
      </c>
      <c r="E55" s="54" t="n">
        <f aca="false">IFERROR('Data Sheet'!D59,0)</f>
        <v>1319.6</v>
      </c>
      <c r="F55" s="54" t="n">
        <f aca="false">IFERROR('Data Sheet'!E59,0)</f>
        <v>1118.5</v>
      </c>
      <c r="G55" s="54" t="n">
        <f aca="false">IFERROR('Data Sheet'!F59,0)</f>
        <v>1093.12</v>
      </c>
      <c r="H55" s="54" t="n">
        <f aca="false">IFERROR('Data Sheet'!G59,0)</f>
        <v>1586.88</v>
      </c>
      <c r="I55" s="54" t="n">
        <f aca="false">IFERROR('Data Sheet'!H59,0)</f>
        <v>1932.62</v>
      </c>
      <c r="J55" s="54" t="n">
        <f aca="false">IFERROR('Data Sheet'!I59,0)</f>
        <v>2474.38</v>
      </c>
      <c r="K55" s="54" t="n">
        <f aca="false">IFERROR('Data Sheet'!J59,0)</f>
        <v>2290.29</v>
      </c>
      <c r="L55" s="54" t="n">
        <f aca="false">IFERROR('Data Sheet'!K59,0)</f>
        <v>3928.93</v>
      </c>
    </row>
    <row r="56" customFormat="false" ht="14.25" hidden="false" customHeight="true" outlineLevel="1" collapsed="false">
      <c r="B56" s="61" t="s">
        <v>107</v>
      </c>
      <c r="C56" s="54" t="n">
        <f aca="false">IFERROR('Data Sheet'!B74,0)</f>
        <v>1923</v>
      </c>
      <c r="D56" s="54" t="n">
        <f aca="false">IFERROR('Data Sheet'!C74,0)</f>
        <v>2160</v>
      </c>
      <c r="E56" s="54" t="n">
        <f aca="false">IFERROR('Data Sheet'!D74,0)</f>
        <v>2394</v>
      </c>
      <c r="F56" s="54" t="n">
        <f aca="false">IFERROR('Data Sheet'!E74,0)</f>
        <v>2137</v>
      </c>
      <c r="G56" s="54" t="n">
        <f aca="false">IFERROR('Data Sheet'!F74,0)</f>
        <v>3379</v>
      </c>
      <c r="H56" s="54" t="n">
        <f aca="false">IFERROR('Data Sheet'!G74,0)</f>
        <v>4164</v>
      </c>
      <c r="I56" s="54" t="n">
        <f aca="false">IFERROR('Data Sheet'!H74,0)</f>
        <v>3635</v>
      </c>
      <c r="J56" s="54" t="n">
        <f aca="false">IFERROR('Data Sheet'!I74,0)</f>
        <v>3831</v>
      </c>
      <c r="K56" s="54" t="n">
        <f aca="false">IFERROR('Data Sheet'!J74,0)</f>
        <v>3848</v>
      </c>
      <c r="L56" s="54" t="n">
        <f aca="false">IFERROR('Data Sheet'!K74,0)</f>
        <v>3863</v>
      </c>
    </row>
    <row r="57" customFormat="false" ht="14.25" hidden="false" customHeight="true" outlineLevel="1" collapsed="false">
      <c r="B57" s="61" t="s">
        <v>108</v>
      </c>
      <c r="C57" s="54" t="n">
        <f aca="false">IFERROR('Data Sheet'!B60-'Data Sheet'!B74,0)</f>
        <v>2317.96</v>
      </c>
      <c r="D57" s="54" t="n">
        <f aca="false">IFERROR('Data Sheet'!C60-'Data Sheet'!C74,0)</f>
        <v>2659.82</v>
      </c>
      <c r="E57" s="54" t="n">
        <f aca="false">IFERROR('Data Sheet'!D60-'Data Sheet'!D74,0)</f>
        <v>3064.69</v>
      </c>
      <c r="F57" s="54" t="n">
        <f aca="false">IFERROR('Data Sheet'!E60-'Data Sheet'!E74,0)</f>
        <v>2752.31</v>
      </c>
      <c r="G57" s="54" t="n">
        <f aca="false">IFERROR('Data Sheet'!F60-'Data Sheet'!F74,0)</f>
        <v>3076.93</v>
      </c>
      <c r="H57" s="54" t="n">
        <f aca="false">IFERROR('Data Sheet'!G60-'Data Sheet'!G74,0)</f>
        <v>3395.99</v>
      </c>
      <c r="I57" s="54" t="n">
        <f aca="false">IFERROR('Data Sheet'!H60-'Data Sheet'!H74,0)</f>
        <v>4219.48</v>
      </c>
      <c r="J57" s="54" t="n">
        <f aca="false">IFERROR('Data Sheet'!I60-'Data Sheet'!I74,0)</f>
        <v>4867.09</v>
      </c>
      <c r="K57" s="54" t="n">
        <f aca="false">IFERROR('Data Sheet'!J60-'Data Sheet'!J74,0)</f>
        <v>4817.15</v>
      </c>
      <c r="L57" s="54" t="n">
        <f aca="false">IFERROR('Data Sheet'!K60-'Data Sheet'!K74,0)</f>
        <v>5355.23</v>
      </c>
    </row>
    <row r="58" customFormat="false" ht="14.25" hidden="false" customHeight="true" outlineLevel="1" collapsed="false">
      <c r="B58" s="62" t="s">
        <v>109</v>
      </c>
      <c r="C58" s="59" t="n">
        <f aca="false">IFERROR(SUM(C53:C57),0)</f>
        <v>12405.19</v>
      </c>
      <c r="D58" s="59" t="n">
        <f aca="false">IFERROR(SUM(D53:D57),0)</f>
        <v>13763.48</v>
      </c>
      <c r="E58" s="59" t="n">
        <f aca="false">IFERROR(SUM(E53:E57),0)</f>
        <v>16248.84</v>
      </c>
      <c r="F58" s="59" t="n">
        <f aca="false">IFERROR(SUM(F53:F57),0)</f>
        <v>16137.97</v>
      </c>
      <c r="G58" s="59" t="n">
        <f aca="false">IFERROR(SUM(G53:G57),0)</f>
        <v>20355.34</v>
      </c>
      <c r="H58" s="59" t="n">
        <f aca="false">IFERROR(SUM(H53:H57),0)</f>
        <v>22958.43</v>
      </c>
      <c r="I58" s="59" t="n">
        <f aca="false">IFERROR(SUM(I53:I57),0)</f>
        <v>25779.33</v>
      </c>
      <c r="J58" s="59" t="n">
        <f aca="false">IFERROR(SUM(J53:J57),0)</f>
        <v>29900.77</v>
      </c>
      <c r="K58" s="59" t="n">
        <f aca="false">IFERROR(SUM(K53:K57),0)</f>
        <v>30355.25</v>
      </c>
      <c r="L58" s="59" t="n">
        <f aca="false">IFERROR(SUM(L53:L57),0)</f>
        <v>34518.75</v>
      </c>
    </row>
    <row r="59" customFormat="false" ht="14.25" hidden="false" customHeight="true" outlineLevel="1" collapsed="false">
      <c r="B59" s="63"/>
    </row>
    <row r="60" customFormat="false" ht="14.25" hidden="false" customHeight="true" outlineLevel="1" collapsed="false">
      <c r="B60" s="0" t="s">
        <v>110</v>
      </c>
      <c r="C60" s="54" t="n">
        <f aca="false">IFERROR('Data Sheet'!B62,0)</f>
        <v>3303.74</v>
      </c>
      <c r="D60" s="54" t="n">
        <f aca="false">IFERROR('Data Sheet'!C62,0)</f>
        <v>3732.24</v>
      </c>
      <c r="E60" s="54" t="n">
        <f aca="false">IFERROR('Data Sheet'!D62,0)</f>
        <v>6496.56</v>
      </c>
      <c r="F60" s="54" t="n">
        <f aca="false">IFERROR('Data Sheet'!E62,0)</f>
        <v>6272.31</v>
      </c>
      <c r="G60" s="54" t="n">
        <f aca="false">IFERROR('Data Sheet'!F62,0)</f>
        <v>5858.52</v>
      </c>
      <c r="H60" s="54" t="n">
        <f aca="false">IFERROR('Data Sheet'!G62,0)</f>
        <v>5519.06</v>
      </c>
      <c r="I60" s="54" t="n">
        <f aca="false">IFERROR('Data Sheet'!H62,0)</f>
        <v>5770.46</v>
      </c>
      <c r="J60" s="54" t="n">
        <f aca="false">IFERROR('Data Sheet'!I62,0)</f>
        <v>7146.62</v>
      </c>
      <c r="K60" s="54" t="n">
        <f aca="false">IFERROR('Data Sheet'!J62,0)</f>
        <v>9220.1</v>
      </c>
      <c r="L60" s="54" t="n">
        <f aca="false">IFERROR('Data Sheet'!K62,0)</f>
        <v>9640.28</v>
      </c>
    </row>
    <row r="61" customFormat="false" ht="14.25" hidden="false" customHeight="true" outlineLevel="1" collapsed="false">
      <c r="B61" s="0" t="s">
        <v>111</v>
      </c>
      <c r="C61" s="54" t="n">
        <f aca="false">IFERROR('Data Sheet'!B63,0)</f>
        <v>257.54</v>
      </c>
      <c r="D61" s="54" t="n">
        <f aca="false">IFERROR('Data Sheet'!C63,0)</f>
        <v>1405.11</v>
      </c>
      <c r="E61" s="54" t="n">
        <f aca="false">IFERROR('Data Sheet'!D63,0)</f>
        <v>209.67</v>
      </c>
      <c r="F61" s="54" t="n">
        <f aca="false">IFERROR('Data Sheet'!E63,0)</f>
        <v>140.24</v>
      </c>
      <c r="G61" s="54" t="n">
        <f aca="false">IFERROR('Data Sheet'!F63,0)</f>
        <v>182.98</v>
      </c>
      <c r="H61" s="54" t="n">
        <f aca="false">IFERROR('Data Sheet'!G63,0)</f>
        <v>426.43</v>
      </c>
      <c r="I61" s="54" t="n">
        <f aca="false">IFERROR('Data Sheet'!H63,0)</f>
        <v>1019.59</v>
      </c>
      <c r="J61" s="54" t="n">
        <f aca="false">IFERROR('Data Sheet'!I63,0)</f>
        <v>2698.37</v>
      </c>
      <c r="K61" s="54" t="n">
        <f aca="false">IFERROR('Data Sheet'!J63,0)</f>
        <v>1254.49</v>
      </c>
      <c r="L61" s="54" t="n">
        <f aca="false">IFERROR('Data Sheet'!K63,0)</f>
        <v>1848.67</v>
      </c>
    </row>
    <row r="62" customFormat="false" ht="14.25" hidden="false" customHeight="true" outlineLevel="1" collapsed="false">
      <c r="B62" s="0" t="s">
        <v>112</v>
      </c>
      <c r="C62" s="54" t="n">
        <f aca="false">IFERROR('Data Sheet'!B64,0)</f>
        <v>2651.99</v>
      </c>
      <c r="D62" s="54" t="n">
        <f aca="false">IFERROR('Data Sheet'!C64,0)</f>
        <v>2140.7</v>
      </c>
      <c r="E62" s="54" t="n">
        <f aca="false">IFERROR('Data Sheet'!D64,0)</f>
        <v>2568.58</v>
      </c>
      <c r="F62" s="54" t="n">
        <f aca="false">IFERROR('Data Sheet'!E64,0)</f>
        <v>2018.85</v>
      </c>
      <c r="G62" s="54" t="n">
        <f aca="false">IFERROR('Data Sheet'!F64,0)</f>
        <v>4736.8</v>
      </c>
      <c r="H62" s="54" t="n">
        <f aca="false">IFERROR('Data Sheet'!G64,0)</f>
        <v>3247.53</v>
      </c>
      <c r="I62" s="54" t="n">
        <f aca="false">IFERROR('Data Sheet'!H64,0)</f>
        <v>4261.71</v>
      </c>
      <c r="J62" s="54" t="n">
        <f aca="false">IFERROR('Data Sheet'!I64,0)</f>
        <v>4587.92</v>
      </c>
      <c r="K62" s="54" t="n">
        <f aca="false">IFERROR('Data Sheet'!J64,0)</f>
        <v>4724.75</v>
      </c>
      <c r="L62" s="54" t="n">
        <f aca="false">IFERROR('Data Sheet'!K64,0)</f>
        <v>7061.74</v>
      </c>
    </row>
    <row r="63" customFormat="false" ht="14.25" hidden="false" customHeight="true" outlineLevel="1" collapsed="false">
      <c r="B63" s="0" t="s">
        <v>113</v>
      </c>
      <c r="C63" s="54" t="n">
        <f aca="false">IFERROR('Data Sheet'!B65-SUM('Data Sheet'!B67:B69),0)</f>
        <v>1317.17</v>
      </c>
      <c r="D63" s="54" t="n">
        <f aca="false">IFERROR('Data Sheet'!C65-SUM('Data Sheet'!C67:C69),0)</f>
        <v>1691.84</v>
      </c>
      <c r="E63" s="54" t="n">
        <f aca="false">IFERROR('Data Sheet'!D65-SUM('Data Sheet'!D67:D69),0)</f>
        <v>1471.96</v>
      </c>
      <c r="F63" s="54" t="n">
        <f aca="false">IFERROR('Data Sheet'!E65-SUM('Data Sheet'!E67:E69),0)</f>
        <v>1738.71</v>
      </c>
      <c r="G63" s="54" t="n">
        <f aca="false">IFERROR('Data Sheet'!F65-SUM('Data Sheet'!F67:F69),0)</f>
        <v>2565.52</v>
      </c>
      <c r="H63" s="54" t="n">
        <f aca="false">IFERROR('Data Sheet'!G65-SUM('Data Sheet'!G67:G69),0)</f>
        <v>2876.66</v>
      </c>
      <c r="I63" s="54" t="n">
        <f aca="false">IFERROR('Data Sheet'!H65-SUM('Data Sheet'!H67:H69),0)</f>
        <v>3036.17</v>
      </c>
      <c r="J63" s="54" t="n">
        <f aca="false">IFERROR('Data Sheet'!I65-SUM('Data Sheet'!I67:I69),0)</f>
        <v>3571.39</v>
      </c>
      <c r="K63" s="54" t="n">
        <f aca="false">IFERROR('Data Sheet'!J65-SUM('Data Sheet'!J67:J69),0)</f>
        <v>3341.01</v>
      </c>
      <c r="L63" s="54" t="n">
        <f aca="false">IFERROR('Data Sheet'!K65-SUM('Data Sheet'!K67:K69),0)</f>
        <v>4688.89</v>
      </c>
    </row>
    <row r="64" customFormat="false" ht="14.25" hidden="false" customHeight="true" outlineLevel="1" collapsed="false">
      <c r="B64" s="64" t="s">
        <v>114</v>
      </c>
      <c r="C64" s="59" t="n">
        <f aca="false">IFERROR(SUM(C60:C63),0)</f>
        <v>7530.44</v>
      </c>
      <c r="D64" s="59" t="n">
        <f aca="false">IFERROR(SUM(D60:D63),0)</f>
        <v>8969.89</v>
      </c>
      <c r="E64" s="59" t="n">
        <f aca="false">IFERROR(SUM(E60:E63),0)</f>
        <v>10746.77</v>
      </c>
      <c r="F64" s="59" t="n">
        <f aca="false">IFERROR(SUM(F60:F63),0)</f>
        <v>10170.11</v>
      </c>
      <c r="G64" s="59" t="n">
        <f aca="false">IFERROR(SUM(G60:G63),0)</f>
        <v>13343.82</v>
      </c>
      <c r="H64" s="59" t="n">
        <f aca="false">IFERROR(SUM(H60:H63),0)</f>
        <v>12069.68</v>
      </c>
      <c r="I64" s="59" t="n">
        <f aca="false">IFERROR(SUM(I60:I63),0)</f>
        <v>14087.93</v>
      </c>
      <c r="J64" s="59" t="n">
        <f aca="false">IFERROR(SUM(J60:J63),0)</f>
        <v>18004.3</v>
      </c>
      <c r="K64" s="59" t="n">
        <f aca="false">IFERROR(SUM(K60:K63),0)</f>
        <v>18540.35</v>
      </c>
      <c r="L64" s="59" t="n">
        <f aca="false">IFERROR(SUM(L60:L63),0)</f>
        <v>23239.58</v>
      </c>
    </row>
    <row r="65" customFormat="false" ht="14.25" hidden="false" customHeight="true" outlineLevel="1" collapsed="false">
      <c r="B65" s="65"/>
    </row>
    <row r="66" customFormat="false" ht="14.25" hidden="false" customHeight="true" outlineLevel="1" collapsed="false">
      <c r="B66" s="0" t="s">
        <v>115</v>
      </c>
      <c r="C66" s="54" t="n">
        <f aca="false">IFERROR('Data Sheet'!B67,0)</f>
        <v>1446.6</v>
      </c>
      <c r="D66" s="54" t="n">
        <f aca="false">IFERROR('Data Sheet'!C67,0)</f>
        <v>1730.63</v>
      </c>
      <c r="E66" s="54" t="n">
        <f aca="false">IFERROR('Data Sheet'!D67,0)</f>
        <v>1907.33</v>
      </c>
      <c r="F66" s="54" t="n">
        <f aca="false">IFERROR('Data Sheet'!E67,0)</f>
        <v>1795.22</v>
      </c>
      <c r="G66" s="54" t="n">
        <f aca="false">IFERROR('Data Sheet'!F67,0)</f>
        <v>2602.17</v>
      </c>
      <c r="H66" s="54" t="n">
        <f aca="false">IFERROR('Data Sheet'!G67,0)</f>
        <v>3871.44</v>
      </c>
      <c r="I66" s="54" t="n">
        <f aca="false">IFERROR('Data Sheet'!H67,0)</f>
        <v>4636.94</v>
      </c>
      <c r="J66" s="54" t="n">
        <f aca="false">IFERROR('Data Sheet'!I67,0)</f>
        <v>4889.05</v>
      </c>
      <c r="K66" s="54" t="n">
        <f aca="false">IFERROR('Data Sheet'!J67,0)</f>
        <v>4313.65</v>
      </c>
      <c r="L66" s="54" t="n">
        <f aca="false">IFERROR('Data Sheet'!K67,0)</f>
        <v>4461.8</v>
      </c>
    </row>
    <row r="67" customFormat="false" ht="14.25" hidden="false" customHeight="true" outlineLevel="1" collapsed="false">
      <c r="B67" s="0" t="s">
        <v>116</v>
      </c>
      <c r="C67" s="54" t="n">
        <f aca="false">IFERROR('Data Sheet'!B68,0)</f>
        <v>2626.94</v>
      </c>
      <c r="D67" s="54" t="n">
        <f aca="false">IFERROR('Data Sheet'!C68,0)</f>
        <v>2658.31</v>
      </c>
      <c r="E67" s="54" t="n">
        <f aca="false">IFERROR('Data Sheet'!D68,0)</f>
        <v>3149.86</v>
      </c>
      <c r="F67" s="54" t="n">
        <f aca="false">IFERROR('Data Sheet'!E68,0)</f>
        <v>3389.81</v>
      </c>
      <c r="G67" s="54" t="n">
        <f aca="false">IFERROR('Data Sheet'!F68,0)</f>
        <v>3798.6</v>
      </c>
      <c r="H67" s="54" t="n">
        <f aca="false">IFERROR('Data Sheet'!G68,0)</f>
        <v>6152.98</v>
      </c>
      <c r="I67" s="54" t="n">
        <f aca="false">IFERROR('Data Sheet'!H68,0)</f>
        <v>6210.64</v>
      </c>
      <c r="J67" s="54" t="n">
        <f aca="false">IFERROR('Data Sheet'!I68,0)</f>
        <v>5923.41</v>
      </c>
      <c r="K67" s="54" t="n">
        <f aca="false">IFERROR('Data Sheet'!J68,0)</f>
        <v>6719.27</v>
      </c>
      <c r="L67" s="54" t="n">
        <f aca="false">IFERROR('Data Sheet'!K68,0)</f>
        <v>5743.69</v>
      </c>
    </row>
    <row r="68" customFormat="false" ht="14.25" hidden="false" customHeight="true" outlineLevel="1" collapsed="false">
      <c r="B68" s="0" t="s">
        <v>117</v>
      </c>
      <c r="C68" s="54" t="n">
        <f aca="false">IFERROR('Data Sheet'!B69,0)</f>
        <v>801.21</v>
      </c>
      <c r="D68" s="54" t="n">
        <f aca="false">IFERROR('Data Sheet'!C69,0)</f>
        <v>404.65</v>
      </c>
      <c r="E68" s="54" t="n">
        <f aca="false">IFERROR('Data Sheet'!D69,0)</f>
        <v>444.88</v>
      </c>
      <c r="F68" s="54" t="n">
        <f aca="false">IFERROR('Data Sheet'!E69,0)</f>
        <v>782.83</v>
      </c>
      <c r="G68" s="54" t="n">
        <f aca="false">IFERROR('Data Sheet'!F69,0)</f>
        <v>610.75</v>
      </c>
      <c r="H68" s="54" t="n">
        <f aca="false">IFERROR('Data Sheet'!G69,0)</f>
        <v>864.33</v>
      </c>
      <c r="I68" s="54" t="n">
        <f aca="false">IFERROR('Data Sheet'!H69,0)</f>
        <v>843.82</v>
      </c>
      <c r="J68" s="54" t="n">
        <f aca="false">IFERROR('Data Sheet'!I69,0)</f>
        <v>1084.01</v>
      </c>
      <c r="K68" s="54" t="n">
        <f aca="false">IFERROR('Data Sheet'!J69,0)</f>
        <v>781.98</v>
      </c>
      <c r="L68" s="54" t="n">
        <f aca="false">IFERROR('Data Sheet'!K69,0)</f>
        <v>1073.68</v>
      </c>
    </row>
    <row r="69" customFormat="false" ht="14.25" hidden="false" customHeight="true" outlineLevel="1" collapsed="false">
      <c r="B69" s="64" t="s">
        <v>118</v>
      </c>
      <c r="C69" s="59" t="n">
        <f aca="false">IFERROR(SUM(C66:C68),0)</f>
        <v>4874.75</v>
      </c>
      <c r="D69" s="59" t="n">
        <f aca="false">IFERROR(SUM(D66:D68),0)</f>
        <v>4793.59</v>
      </c>
      <c r="E69" s="59" t="n">
        <f aca="false">IFERROR(SUM(E66:E68),0)</f>
        <v>5502.07</v>
      </c>
      <c r="F69" s="59" t="n">
        <f aca="false">IFERROR(SUM(F66:F68),0)</f>
        <v>5967.86</v>
      </c>
      <c r="G69" s="59" t="n">
        <f aca="false">IFERROR(SUM(G66:G68),0)</f>
        <v>7011.52</v>
      </c>
      <c r="H69" s="59" t="n">
        <f aca="false">IFERROR(SUM(H66:H68),0)</f>
        <v>10888.75</v>
      </c>
      <c r="I69" s="59" t="n">
        <f aca="false">IFERROR(SUM(I66:I68),0)</f>
        <v>11691.4</v>
      </c>
      <c r="J69" s="59" t="n">
        <f aca="false">IFERROR(SUM(J66:J68),0)</f>
        <v>11896.47</v>
      </c>
      <c r="K69" s="59" t="n">
        <f aca="false">IFERROR(SUM(K66:K68),0)</f>
        <v>11814.9</v>
      </c>
      <c r="L69" s="59" t="n">
        <f aca="false">IFERROR(SUM(L66:L68),0)</f>
        <v>11279.17</v>
      </c>
    </row>
    <row r="70" customFormat="false" ht="14.25" hidden="false" customHeight="true" outlineLevel="1" collapsed="false"/>
    <row r="71" customFormat="false" ht="14.25" hidden="false" customHeight="true" outlineLevel="1" collapsed="false">
      <c r="B71" s="64" t="s">
        <v>119</v>
      </c>
      <c r="C71" s="59" t="n">
        <f aca="false">IFERROR(SUM(C69,C64),0)</f>
        <v>12405.19</v>
      </c>
      <c r="D71" s="59" t="n">
        <f aca="false">IFERROR(SUM(D69,D64),0)</f>
        <v>13763.48</v>
      </c>
      <c r="E71" s="59" t="n">
        <f aca="false">IFERROR(SUM(E69,E64),0)</f>
        <v>16248.84</v>
      </c>
      <c r="F71" s="59" t="n">
        <f aca="false">IFERROR(SUM(F69,F64),0)</f>
        <v>16137.97</v>
      </c>
      <c r="G71" s="59" t="n">
        <f aca="false">IFERROR(SUM(G69,G64),0)</f>
        <v>20355.34</v>
      </c>
      <c r="H71" s="59" t="n">
        <f aca="false">IFERROR(SUM(H69,H64),0)</f>
        <v>22958.43</v>
      </c>
      <c r="I71" s="59" t="n">
        <f aca="false">IFERROR(SUM(I69,I64),0)</f>
        <v>25779.33</v>
      </c>
      <c r="J71" s="59" t="n">
        <f aca="false">IFERROR(SUM(J69,J64),0)</f>
        <v>29900.77</v>
      </c>
      <c r="K71" s="59" t="n">
        <f aca="false">IFERROR(SUM(K69,K64),0)</f>
        <v>30355.25</v>
      </c>
      <c r="L71" s="59" t="n">
        <f aca="false">IFERROR(SUM(L69,L64),0)</f>
        <v>34518.75</v>
      </c>
    </row>
    <row r="72" customFormat="false" ht="14.25" hidden="false" customHeight="true" outlineLevel="1" collapsed="false"/>
    <row r="73" customFormat="false" ht="14.25" hidden="false" customHeight="true" outlineLevel="1" collapsed="false">
      <c r="B73" s="66" t="s">
        <v>120</v>
      </c>
      <c r="C73" s="67" t="n">
        <f aca="false">IFERROR(C71=C58,0)</f>
        <v>1</v>
      </c>
      <c r="D73" s="67" t="n">
        <f aca="false">IFERROR(D71=D58,0)</f>
        <v>1</v>
      </c>
      <c r="E73" s="67" t="n">
        <f aca="false">IFERROR(E71=E58,0)</f>
        <v>1</v>
      </c>
      <c r="F73" s="67" t="n">
        <f aca="false">IFERROR(F71=F58,0)</f>
        <v>1</v>
      </c>
      <c r="G73" s="67" t="n">
        <f aca="false">IFERROR(G71=G58,0)</f>
        <v>1</v>
      </c>
      <c r="H73" s="67" t="n">
        <f aca="false">IFERROR(H71=H58,0)</f>
        <v>1</v>
      </c>
      <c r="I73" s="67" t="n">
        <f aca="false">IFERROR(I71=I58,0)</f>
        <v>1</v>
      </c>
      <c r="J73" s="67" t="n">
        <f aca="false">IFERROR(J71=J58,0)</f>
        <v>1</v>
      </c>
      <c r="K73" s="67" t="n">
        <f aca="false">IFERROR(K71=K58,0)</f>
        <v>1</v>
      </c>
      <c r="L73" s="67" t="n">
        <f aca="false">IFERROR(L71=L58,0)</f>
        <v>1</v>
      </c>
    </row>
    <row r="75" customFormat="false" ht="14.25" hidden="false" customHeight="true" outlineLevel="0" collapsed="false">
      <c r="A75" s="0" t="s">
        <v>74</v>
      </c>
      <c r="B75" s="52" t="str">
        <f aca="false">"Cash Flow Statement"&amp;" - "&amp;'Data Sheet'!B1</f>
        <v>Cash Flow Statement - ASIAN PAINTS LTD</v>
      </c>
      <c r="C75" s="53"/>
      <c r="D75" s="53"/>
      <c r="E75" s="53"/>
      <c r="F75" s="53"/>
      <c r="G75" s="53"/>
      <c r="H75" s="53"/>
      <c r="I75" s="53"/>
      <c r="J75" s="53"/>
      <c r="K75" s="53"/>
      <c r="L75" s="53"/>
    </row>
    <row r="76" customFormat="false" ht="14.25" hidden="false" customHeight="true" outlineLevel="1" collapsed="false">
      <c r="B76" s="65" t="s">
        <v>121</v>
      </c>
    </row>
    <row r="77" customFormat="false" ht="14.25" hidden="false" customHeight="true" outlineLevel="1" collapsed="false">
      <c r="B77" s="0" t="s">
        <v>122</v>
      </c>
      <c r="C77" s="54" t="n">
        <f aca="false">IFERROR('CashFlow Statement'!E4,0)</f>
        <v>3056</v>
      </c>
      <c r="D77" s="54" t="n">
        <f aca="false">IFERROR('CashFlow Statement'!F4,0)</f>
        <v>3274</v>
      </c>
      <c r="E77" s="54" t="n">
        <f aca="false">IFERROR('CashFlow Statement'!G4,0)</f>
        <v>3861</v>
      </c>
      <c r="F77" s="54" t="n">
        <f aca="false">IFERROR('CashFlow Statement'!H4,0)</f>
        <v>4380</v>
      </c>
      <c r="G77" s="54" t="n">
        <f aca="false">IFERROR('CashFlow Statement'!I4,0)</f>
        <v>4970</v>
      </c>
      <c r="H77" s="54" t="n">
        <f aca="false">IFERROR('CashFlow Statement'!J4,0)</f>
        <v>4957</v>
      </c>
      <c r="I77" s="54" t="n">
        <f aca="false">IFERROR('CashFlow Statement'!K4,0)</f>
        <v>6460</v>
      </c>
      <c r="J77" s="54" t="n">
        <f aca="false">IFERROR('CashFlow Statement'!L4,0)</f>
        <v>7929</v>
      </c>
      <c r="K77" s="54" t="n">
        <f aca="false">IFERROR('CashFlow Statement'!M4,0)</f>
        <v>6390</v>
      </c>
      <c r="L77" s="54" t="n">
        <f aca="false">IFERROR('CashFlow Statement'!N4,0)</f>
        <v>7186</v>
      </c>
    </row>
    <row r="78" customFormat="false" ht="14.25" hidden="false" customHeight="true" outlineLevel="1" collapsed="false">
      <c r="B78" s="0" t="s">
        <v>115</v>
      </c>
      <c r="C78" s="54" t="n">
        <f aca="false">IFERROR('CashFlow Statement'!E5,0)</f>
        <v>-475</v>
      </c>
      <c r="D78" s="54" t="n">
        <f aca="false">IFERROR('CashFlow Statement'!F5,0)</f>
        <v>-483</v>
      </c>
      <c r="E78" s="54" t="n">
        <f aca="false">IFERROR('CashFlow Statement'!G5,0)</f>
        <v>-205</v>
      </c>
      <c r="F78" s="54" t="n">
        <f aca="false">IFERROR('CashFlow Statement'!H5,0)</f>
        <v>160</v>
      </c>
      <c r="G78" s="54" t="n">
        <f aca="false">IFERROR('CashFlow Statement'!I5,0)</f>
        <v>-849</v>
      </c>
      <c r="H78" s="54" t="n">
        <f aca="false">IFERROR('CashFlow Statement'!J5,0)</f>
        <v>-1326</v>
      </c>
      <c r="I78" s="54" t="n">
        <f aca="false">IFERROR('CashFlow Statement'!K5,0)</f>
        <v>-834</v>
      </c>
      <c r="J78" s="54" t="n">
        <f aca="false">IFERROR('CashFlow Statement'!L5,0)</f>
        <v>-362</v>
      </c>
      <c r="K78" s="54" t="n">
        <f aca="false">IFERROR('CashFlow Statement'!M5,0)</f>
        <v>282</v>
      </c>
      <c r="L78" s="54" t="n">
        <f aca="false">IFERROR('CashFlow Statement'!N5,0)</f>
        <v>-274</v>
      </c>
    </row>
    <row r="79" customFormat="false" ht="14.25" hidden="false" customHeight="true" outlineLevel="1" collapsed="false">
      <c r="B79" s="0" t="s">
        <v>116</v>
      </c>
      <c r="C79" s="54" t="n">
        <f aca="false">IFERROR('CashFlow Statement'!E6,0)</f>
        <v>-629</v>
      </c>
      <c r="D79" s="54" t="n">
        <f aca="false">IFERROR('CashFlow Statement'!F6,0)</f>
        <v>-39</v>
      </c>
      <c r="E79" s="54" t="n">
        <f aca="false">IFERROR('CashFlow Statement'!G6,0)</f>
        <v>-492</v>
      </c>
      <c r="F79" s="54" t="n">
        <f aca="false">IFERROR('CashFlow Statement'!H6,0)</f>
        <v>-251</v>
      </c>
      <c r="G79" s="54" t="n">
        <f aca="false">IFERROR('CashFlow Statement'!I6,0)</f>
        <v>-409</v>
      </c>
      <c r="H79" s="54" t="n">
        <f aca="false">IFERROR('CashFlow Statement'!J6,0)</f>
        <v>-2354</v>
      </c>
      <c r="I79" s="54" t="n">
        <f aca="false">IFERROR('CashFlow Statement'!K6,0)</f>
        <v>-56</v>
      </c>
      <c r="J79" s="54" t="n">
        <f aca="false">IFERROR('CashFlow Statement'!L6,0)</f>
        <v>315</v>
      </c>
      <c r="K79" s="54" t="n">
        <f aca="false">IFERROR('CashFlow Statement'!M6,0)</f>
        <v>-805</v>
      </c>
      <c r="L79" s="54" t="n">
        <f aca="false">IFERROR('CashFlow Statement'!N6,0)</f>
        <v>976</v>
      </c>
    </row>
    <row r="80" customFormat="false" ht="14.25" hidden="false" customHeight="true" outlineLevel="1" collapsed="false">
      <c r="B80" s="0" t="s">
        <v>123</v>
      </c>
      <c r="C80" s="54" t="n">
        <f aca="false">IFERROR('CashFlow Statement'!E7,0)</f>
        <v>501</v>
      </c>
      <c r="D80" s="54" t="n">
        <f aca="false">IFERROR('CashFlow Statement'!F7,0)</f>
        <v>442</v>
      </c>
      <c r="E80" s="54" t="n">
        <f aca="false">IFERROR('CashFlow Statement'!G7,0)</f>
        <v>287</v>
      </c>
      <c r="F80" s="54" t="n">
        <f aca="false">IFERROR('CashFlow Statement'!H7,0)</f>
        <v>-241</v>
      </c>
      <c r="G80" s="54" t="n">
        <f aca="false">IFERROR('CashFlow Statement'!I7,0)</f>
        <v>1143</v>
      </c>
      <c r="H80" s="54" t="n">
        <f aca="false">IFERROR('CashFlow Statement'!J7,0)</f>
        <v>644</v>
      </c>
      <c r="I80" s="54" t="n">
        <f aca="false">IFERROR('CashFlow Statement'!K7,0)</f>
        <v>-539</v>
      </c>
      <c r="J80" s="54" t="n">
        <f aca="false">IFERROR('CashFlow Statement'!L7,0)</f>
        <v>269</v>
      </c>
      <c r="K80" s="54" t="n">
        <f aca="false">IFERROR('CashFlow Statement'!M7,0)</f>
        <v>-160</v>
      </c>
      <c r="L80" s="54" t="n">
        <f aca="false">IFERROR('CashFlow Statement'!N7,0)</f>
        <v>396</v>
      </c>
    </row>
    <row r="81" customFormat="false" ht="14.25" hidden="false" customHeight="true" outlineLevel="1" collapsed="false">
      <c r="B81" s="0" t="s">
        <v>124</v>
      </c>
      <c r="C81" s="54" t="n">
        <f aca="false">IFERROR('CashFlow Statement'!E8,0)</f>
        <v>0</v>
      </c>
      <c r="D81" s="54" t="n">
        <f aca="false">IFERROR('CashFlow Statement'!F8,0)</f>
        <v>0</v>
      </c>
      <c r="E81" s="54" t="n">
        <f aca="false">IFERROR('CashFlow Statement'!G8,0)</f>
        <v>0</v>
      </c>
      <c r="F81" s="54" t="n">
        <f aca="false">IFERROR('CashFlow Statement'!H8,0)</f>
        <v>0</v>
      </c>
      <c r="G81" s="54" t="n">
        <f aca="false">IFERROR('CashFlow Statement'!I8,0)</f>
        <v>-92</v>
      </c>
      <c r="H81" s="54" t="n">
        <f aca="false">IFERROR('CashFlow Statement'!J8,0)</f>
        <v>242</v>
      </c>
      <c r="I81" s="54" t="n">
        <f aca="false">IFERROR('CashFlow Statement'!K8,0)</f>
        <v>657</v>
      </c>
      <c r="J81" s="54" t="n">
        <f aca="false">IFERROR('CashFlow Statement'!L8,0)</f>
        <v>-212</v>
      </c>
      <c r="K81" s="54" t="n">
        <f aca="false">IFERROR('CashFlow Statement'!M8,0)</f>
        <v>114</v>
      </c>
      <c r="L81" s="54" t="n">
        <f aca="false">IFERROR('CashFlow Statement'!N8,0)</f>
        <v>378</v>
      </c>
    </row>
    <row r="82" customFormat="false" ht="14.25" hidden="false" customHeight="true" outlineLevel="1" collapsed="false">
      <c r="B82" s="0" t="s">
        <v>125</v>
      </c>
      <c r="C82" s="54" t="n">
        <f aca="false">IFERROR('CashFlow Statement'!E9,0)</f>
        <v>-603</v>
      </c>
      <c r="D82" s="54" t="n">
        <f aca="false">IFERROR('CashFlow Statement'!F9,0)</f>
        <v>-80</v>
      </c>
      <c r="E82" s="54" t="n">
        <f aca="false">IFERROR('CashFlow Statement'!G9,0)</f>
        <v>-410</v>
      </c>
      <c r="F82" s="54" t="n">
        <f aca="false">IFERROR('CashFlow Statement'!H9,0)</f>
        <v>-331</v>
      </c>
      <c r="G82" s="54" t="n">
        <f aca="false">IFERROR('CashFlow Statement'!I9,0)</f>
        <v>-206</v>
      </c>
      <c r="H82" s="54" t="n">
        <f aca="false">IFERROR('CashFlow Statement'!J9,0)</f>
        <v>-2795</v>
      </c>
      <c r="I82" s="54" t="n">
        <f aca="false">IFERROR('CashFlow Statement'!K9,0)</f>
        <v>-772</v>
      </c>
      <c r="J82" s="54" t="n">
        <f aca="false">IFERROR('CashFlow Statement'!L9,0)</f>
        <v>10</v>
      </c>
      <c r="K82" s="54" t="n">
        <f aca="false">IFERROR('CashFlow Statement'!M9,0)</f>
        <v>-570</v>
      </c>
      <c r="L82" s="54" t="n">
        <f aca="false">IFERROR('CashFlow Statement'!N9,0)</f>
        <v>1476</v>
      </c>
    </row>
    <row r="83" customFormat="false" ht="14.25" hidden="false" customHeight="true" outlineLevel="1" collapsed="false">
      <c r="B83" s="0" t="s">
        <v>126</v>
      </c>
      <c r="C83" s="54" t="n">
        <f aca="false">IFERROR('CashFlow Statement'!E10,0)</f>
        <v>-925</v>
      </c>
      <c r="D83" s="54" t="n">
        <f aca="false">IFERROR('CashFlow Statement'!F10,0)</f>
        <v>-1081</v>
      </c>
      <c r="E83" s="54" t="n">
        <f aca="false">IFERROR('CashFlow Statement'!G10,0)</f>
        <v>-982</v>
      </c>
      <c r="F83" s="54" t="n">
        <f aca="false">IFERROR('CashFlow Statement'!H10,0)</f>
        <v>-1011</v>
      </c>
      <c r="G83" s="54" t="n">
        <f aca="false">IFERROR('CashFlow Statement'!I10,0)</f>
        <v>-1080</v>
      </c>
      <c r="H83" s="54" t="n">
        <f aca="false">IFERROR('CashFlow Statement'!J10,0)</f>
        <v>-1176</v>
      </c>
      <c r="I83" s="54" t="n">
        <f aca="false">IFERROR('CashFlow Statement'!K10,0)</f>
        <v>-1494</v>
      </c>
      <c r="J83" s="54" t="n">
        <f aca="false">IFERROR('CashFlow Statement'!L10,0)</f>
        <v>-1835</v>
      </c>
      <c r="K83" s="54" t="n">
        <f aca="false">IFERROR('CashFlow Statement'!M10,0)</f>
        <v>-1396</v>
      </c>
      <c r="L83" s="54" t="n">
        <f aca="false">IFERROR('CashFlow Statement'!N10,0)</f>
        <v>-1574</v>
      </c>
    </row>
    <row r="84" customFormat="false" ht="14.25" hidden="false" customHeight="true" outlineLevel="1" collapsed="false">
      <c r="B84" s="64" t="s">
        <v>127</v>
      </c>
      <c r="C84" s="59" t="n">
        <f aca="false">IFERROR((C77+C82+C83),0)</f>
        <v>1528</v>
      </c>
      <c r="D84" s="59" t="n">
        <f aca="false">IFERROR((D77+D82+D83),0)</f>
        <v>2113</v>
      </c>
      <c r="E84" s="59" t="n">
        <f aca="false">IFERROR((E77+E82+E83),0)</f>
        <v>2469</v>
      </c>
      <c r="F84" s="59" t="n">
        <f aca="false">IFERROR((F77+F82+F83),0)</f>
        <v>3038</v>
      </c>
      <c r="G84" s="59" t="n">
        <f aca="false">IFERROR((G77+G82+G83),0)</f>
        <v>3684</v>
      </c>
      <c r="H84" s="59" t="n">
        <f aca="false">IFERROR((H77+H82+H83),0)</f>
        <v>986</v>
      </c>
      <c r="I84" s="59" t="n">
        <f aca="false">IFERROR((I77+I82+I83),0)</f>
        <v>4194</v>
      </c>
      <c r="J84" s="59" t="n">
        <f aca="false">IFERROR((J77+J82+J83),0)</f>
        <v>6104</v>
      </c>
      <c r="K84" s="59" t="n">
        <f aca="false">IFERROR((K77+K82+K83),0)</f>
        <v>4424</v>
      </c>
      <c r="L84" s="59" t="n">
        <f aca="false">IFERROR((L77+L82+L83),0)</f>
        <v>7088</v>
      </c>
    </row>
    <row r="85" customFormat="false" ht="14.25" hidden="false" customHeight="true" outlineLevel="1" collapsed="false"/>
    <row r="86" customFormat="false" ht="14.25" hidden="false" customHeight="true" outlineLevel="1" collapsed="false">
      <c r="B86" s="65" t="s">
        <v>128</v>
      </c>
    </row>
    <row r="87" customFormat="false" ht="14.25" hidden="false" customHeight="true" outlineLevel="1" collapsed="false">
      <c r="B87" s="0" t="s">
        <v>129</v>
      </c>
      <c r="C87" s="54" t="n">
        <f aca="false">IFERROR('CashFlow Statement'!E12,0)</f>
        <v>-684</v>
      </c>
      <c r="D87" s="54" t="n">
        <f aca="false">IFERROR('CashFlow Statement'!F12,0)</f>
        <v>-1426</v>
      </c>
      <c r="E87" s="54" t="n">
        <f aca="false">IFERROR('CashFlow Statement'!G12,0)</f>
        <v>-1151</v>
      </c>
      <c r="F87" s="54" t="n">
        <f aca="false">IFERROR('CashFlow Statement'!H12,0)</f>
        <v>-414</v>
      </c>
      <c r="G87" s="54" t="n">
        <f aca="false">IFERROR('CashFlow Statement'!I12,0)</f>
        <v>-289</v>
      </c>
      <c r="H87" s="54" t="n">
        <f aca="false">IFERROR('CashFlow Statement'!J12,0)</f>
        <v>-551</v>
      </c>
      <c r="I87" s="54" t="n">
        <f aca="false">IFERROR('CashFlow Statement'!K12,0)</f>
        <v>-1446</v>
      </c>
      <c r="J87" s="54" t="n">
        <f aca="false">IFERROR('CashFlow Statement'!L12,0)</f>
        <v>-2496</v>
      </c>
      <c r="K87" s="54" t="n">
        <f aca="false">IFERROR('CashFlow Statement'!M12,0)</f>
        <v>-1830</v>
      </c>
      <c r="L87" s="54" t="n">
        <f aca="false">IFERROR('CashFlow Statement'!N12,0)</f>
        <v>-1487</v>
      </c>
    </row>
    <row r="88" customFormat="false" ht="14.25" hidden="false" customHeight="true" outlineLevel="1" collapsed="false">
      <c r="B88" s="0" t="s">
        <v>130</v>
      </c>
      <c r="C88" s="54" t="n">
        <f aca="false">IFERROR('CashFlow Statement'!E13,0)</f>
        <v>17</v>
      </c>
      <c r="D88" s="54" t="n">
        <f aca="false">IFERROR('CashFlow Statement'!F13,0)</f>
        <v>17</v>
      </c>
      <c r="E88" s="54" t="n">
        <f aca="false">IFERROR('CashFlow Statement'!G13,0)</f>
        <v>17</v>
      </c>
      <c r="F88" s="54" t="n">
        <f aca="false">IFERROR('CashFlow Statement'!H13,0)</f>
        <v>37</v>
      </c>
      <c r="G88" s="54" t="n">
        <f aca="false">IFERROR('CashFlow Statement'!I13,0)</f>
        <v>28</v>
      </c>
      <c r="H88" s="54" t="n">
        <f aca="false">IFERROR('CashFlow Statement'!J13,0)</f>
        <v>40</v>
      </c>
      <c r="I88" s="54" t="n">
        <f aca="false">IFERROR('CashFlow Statement'!K13,0)</f>
        <v>26</v>
      </c>
      <c r="J88" s="54" t="n">
        <f aca="false">IFERROR('CashFlow Statement'!L13,0)</f>
        <v>5</v>
      </c>
      <c r="K88" s="54" t="n">
        <f aca="false">IFERROR('CashFlow Statement'!M13,0)</f>
        <v>10</v>
      </c>
      <c r="L88" s="54" t="n">
        <f aca="false">IFERROR('CashFlow Statement'!N13,0)</f>
        <v>3</v>
      </c>
    </row>
    <row r="89" customFormat="false" ht="14.25" hidden="false" customHeight="true" outlineLevel="1" collapsed="false">
      <c r="B89" s="0" t="s">
        <v>131</v>
      </c>
      <c r="C89" s="54" t="n">
        <f aca="false">IFERROR('CashFlow Statement'!E14,0)</f>
        <v>-153</v>
      </c>
      <c r="D89" s="54" t="n">
        <f aca="false">IFERROR('CashFlow Statement'!F14,0)</f>
        <v>-320</v>
      </c>
      <c r="E89" s="54" t="n">
        <f aca="false">IFERROR('CashFlow Statement'!G14,0)</f>
        <v>-573</v>
      </c>
      <c r="F89" s="54" t="n">
        <f aca="false">IFERROR('CashFlow Statement'!H14,0)</f>
        <v>-25</v>
      </c>
      <c r="G89" s="54" t="n">
        <f aca="false">IFERROR('CashFlow Statement'!I14,0)</f>
        <v>-140</v>
      </c>
      <c r="H89" s="54" t="n">
        <f aca="false">IFERROR('CashFlow Statement'!J14,0)</f>
        <v>0</v>
      </c>
      <c r="I89" s="54" t="n">
        <f aca="false">IFERROR('CashFlow Statement'!K14,0)</f>
        <v>-146</v>
      </c>
      <c r="J89" s="54" t="n">
        <f aca="false">IFERROR('CashFlow Statement'!L14,0)</f>
        <v>-212</v>
      </c>
      <c r="K89" s="54" t="n">
        <f aca="false">IFERROR('CashFlow Statement'!M14,0)</f>
        <v>-1</v>
      </c>
      <c r="L89" s="54" t="n">
        <f aca="false">IFERROR('CashFlow Statement'!N14,0)</f>
        <v>0</v>
      </c>
    </row>
    <row r="90" customFormat="false" ht="14.25" hidden="false" customHeight="true" outlineLevel="1" collapsed="false">
      <c r="B90" s="0" t="s">
        <v>132</v>
      </c>
      <c r="C90" s="54" t="n">
        <f aca="false">IFERROR('CashFlow Statement'!E15,0)</f>
        <v>357</v>
      </c>
      <c r="D90" s="54" t="n">
        <f aca="false">IFERROR('CashFlow Statement'!F15,0)</f>
        <v>362</v>
      </c>
      <c r="E90" s="54" t="n">
        <f aca="false">IFERROR('CashFlow Statement'!G15,0)</f>
        <v>733</v>
      </c>
      <c r="F90" s="54" t="n">
        <f aca="false">IFERROR('CashFlow Statement'!H15,0)</f>
        <v>118</v>
      </c>
      <c r="G90" s="54" t="n">
        <f aca="false">IFERROR('CashFlow Statement'!I15,0)</f>
        <v>272</v>
      </c>
      <c r="H90" s="54" t="n">
        <f aca="false">IFERROR('CashFlow Statement'!J15,0)</f>
        <v>207</v>
      </c>
      <c r="I90" s="54" t="n">
        <f aca="false">IFERROR('CashFlow Statement'!K15,0)</f>
        <v>446</v>
      </c>
      <c r="J90" s="54" t="n">
        <f aca="false">IFERROR('CashFlow Statement'!L15,0)</f>
        <v>240</v>
      </c>
      <c r="K90" s="54" t="n">
        <f aca="false">IFERROR('CashFlow Statement'!M15,0)</f>
        <v>421</v>
      </c>
      <c r="L90" s="54" t="n">
        <f aca="false">IFERROR('CashFlow Statement'!N15,0)</f>
        <v>1197</v>
      </c>
    </row>
    <row r="91" customFormat="false" ht="14.25" hidden="false" customHeight="true" outlineLevel="1" collapsed="false">
      <c r="B91" s="0" t="s">
        <v>133</v>
      </c>
      <c r="C91" s="54" t="n">
        <f aca="false">IFERROR('CashFlow Statement'!E16,0)</f>
        <v>32</v>
      </c>
      <c r="D91" s="54" t="n">
        <f aca="false">IFERROR('CashFlow Statement'!F16,0)</f>
        <v>39</v>
      </c>
      <c r="E91" s="54" t="n">
        <f aca="false">IFERROR('CashFlow Statement'!G16,0)</f>
        <v>40</v>
      </c>
      <c r="F91" s="54" t="n">
        <f aca="false">IFERROR('CashFlow Statement'!H16,0)</f>
        <v>65</v>
      </c>
      <c r="G91" s="54" t="n">
        <f aca="false">IFERROR('CashFlow Statement'!I16,0)</f>
        <v>73</v>
      </c>
      <c r="H91" s="54" t="n">
        <f aca="false">IFERROR('CashFlow Statement'!J16,0)</f>
        <v>77</v>
      </c>
      <c r="I91" s="54" t="n">
        <f aca="false">IFERROR('CashFlow Statement'!K16,0)</f>
        <v>87</v>
      </c>
      <c r="J91" s="54" t="n">
        <f aca="false">IFERROR('CashFlow Statement'!L16,0)</f>
        <v>135</v>
      </c>
      <c r="K91" s="54" t="n">
        <f aca="false">IFERROR('CashFlow Statement'!M16,0)</f>
        <v>155</v>
      </c>
      <c r="L91" s="54" t="n">
        <f aca="false">IFERROR('CashFlow Statement'!N16,0)</f>
        <v>153</v>
      </c>
    </row>
    <row r="92" customFormat="false" ht="14.25" hidden="false" customHeight="true" outlineLevel="1" collapsed="false">
      <c r="B92" s="0" t="s">
        <v>134</v>
      </c>
      <c r="C92" s="54" t="n">
        <f aca="false">IFERROR('CashFlow Statement'!E17,0)</f>
        <v>74</v>
      </c>
      <c r="D92" s="54" t="n">
        <f aca="false">IFERROR('CashFlow Statement'!F17,0)</f>
        <v>38</v>
      </c>
      <c r="E92" s="54" t="n">
        <f aca="false">IFERROR('CashFlow Statement'!G17,0)</f>
        <v>40</v>
      </c>
      <c r="F92" s="54" t="n">
        <f aca="false">IFERROR('CashFlow Statement'!H17,0)</f>
        <v>27</v>
      </c>
      <c r="G92" s="54" t="n">
        <f aca="false">IFERROR('CashFlow Statement'!I17,0)</f>
        <v>8</v>
      </c>
      <c r="H92" s="54" t="n">
        <f aca="false">IFERROR('CashFlow Statement'!J17,0)</f>
        <v>15</v>
      </c>
      <c r="I92" s="54" t="n">
        <f aca="false">IFERROR('CashFlow Statement'!K17,0)</f>
        <v>56</v>
      </c>
      <c r="J92" s="54" t="n">
        <f aca="false">IFERROR('CashFlow Statement'!L17,0)</f>
        <v>129</v>
      </c>
      <c r="K92" s="54" t="n">
        <f aca="false">IFERROR('CashFlow Statement'!M17,0)</f>
        <v>136</v>
      </c>
      <c r="L92" s="54" t="n">
        <f aca="false">IFERROR('CashFlow Statement'!N17,0)</f>
        <v>118</v>
      </c>
    </row>
    <row r="93" customFormat="false" ht="14.25" hidden="false" customHeight="true" outlineLevel="1" collapsed="false">
      <c r="B93" s="0" t="s">
        <v>135</v>
      </c>
      <c r="C93" s="54" t="n">
        <f aca="false">IFERROR('CashFlow Statement'!E18,0)</f>
        <v>0</v>
      </c>
      <c r="D93" s="54" t="n">
        <f aca="false">IFERROR('CashFlow Statement'!F18,0)</f>
        <v>0</v>
      </c>
      <c r="E93" s="54" t="n">
        <f aca="false">IFERROR('CashFlow Statement'!G18,0)</f>
        <v>0</v>
      </c>
      <c r="F93" s="54" t="n">
        <f aca="false">IFERROR('CashFlow Statement'!H18,0)</f>
        <v>0</v>
      </c>
      <c r="G93" s="54" t="n">
        <f aca="false">IFERROR('CashFlow Statement'!I18,0)</f>
        <v>0</v>
      </c>
      <c r="H93" s="54" t="n">
        <f aca="false">IFERROR('CashFlow Statement'!J18,0)</f>
        <v>0</v>
      </c>
      <c r="I93" s="54" t="n">
        <f aca="false">IFERROR('CashFlow Statement'!K18,0)</f>
        <v>-180</v>
      </c>
      <c r="J93" s="54" t="n">
        <f aca="false">IFERROR('CashFlow Statement'!L18,0)</f>
        <v>0</v>
      </c>
      <c r="K93" s="54" t="n">
        <f aca="false">IFERROR('CashFlow Statement'!M18,0)</f>
        <v>0</v>
      </c>
      <c r="L93" s="54" t="n">
        <f aca="false">IFERROR('CashFlow Statement'!N18,0)</f>
        <v>0</v>
      </c>
    </row>
    <row r="94" customFormat="false" ht="14.25" hidden="false" customHeight="true" outlineLevel="1" collapsed="false">
      <c r="B94" s="0" t="s">
        <v>136</v>
      </c>
      <c r="C94" s="54" t="n">
        <f aca="false">IFERROR('CashFlow Statement'!E19,0)</f>
        <v>0</v>
      </c>
      <c r="D94" s="54" t="n">
        <f aca="false">IFERROR('CashFlow Statement'!F19,0)</f>
        <v>141</v>
      </c>
      <c r="E94" s="54" t="n">
        <f aca="false">IFERROR('CashFlow Statement'!G19,0)</f>
        <v>0</v>
      </c>
      <c r="F94" s="54" t="n">
        <f aca="false">IFERROR('CashFlow Statement'!H19,0)</f>
        <v>17</v>
      </c>
      <c r="G94" s="54" t="n">
        <f aca="false">IFERROR('CashFlow Statement'!I19,0)</f>
        <v>0</v>
      </c>
      <c r="H94" s="54" t="n">
        <f aca="false">IFERROR('CashFlow Statement'!J19,0)</f>
        <v>0</v>
      </c>
      <c r="I94" s="54" t="n">
        <f aca="false">IFERROR('CashFlow Statement'!K19,0)</f>
        <v>0</v>
      </c>
      <c r="J94" s="54" t="n">
        <f aca="false">IFERROR('CashFlow Statement'!L19,0)</f>
        <v>0</v>
      </c>
      <c r="K94" s="54" t="n">
        <f aca="false">IFERROR('CashFlow Statement'!M19,0)</f>
        <v>38</v>
      </c>
      <c r="L94" s="54" t="n">
        <f aca="false">IFERROR('CashFlow Statement'!N19,0)</f>
        <v>0</v>
      </c>
    </row>
    <row r="95" customFormat="false" ht="14.25" hidden="false" customHeight="true" outlineLevel="1" collapsed="false">
      <c r="B95" s="0" t="s">
        <v>137</v>
      </c>
      <c r="C95" s="54" t="n">
        <f aca="false">IFERROR('CashFlow Statement'!E20,0)</f>
        <v>0</v>
      </c>
      <c r="D95" s="54" t="n">
        <f aca="false">IFERROR('CashFlow Statement'!F20,0)</f>
        <v>-525</v>
      </c>
      <c r="E95" s="54" t="n">
        <f aca="false">IFERROR('CashFlow Statement'!G20,0)</f>
        <v>0</v>
      </c>
      <c r="F95" s="54" t="n">
        <f aca="false">IFERROR('CashFlow Statement'!H20,0)</f>
        <v>0</v>
      </c>
      <c r="G95" s="54" t="n">
        <f aca="false">IFERROR('CashFlow Statement'!I20,0)</f>
        <v>0</v>
      </c>
      <c r="H95" s="54" t="n">
        <f aca="false">IFERROR('CashFlow Statement'!J20,0)</f>
        <v>0</v>
      </c>
      <c r="I95" s="54" t="n">
        <f aca="false">IFERROR('CashFlow Statement'!K20,0)</f>
        <v>0</v>
      </c>
      <c r="J95" s="54" t="n">
        <f aca="false">IFERROR('CashFlow Statement'!L20,0)</f>
        <v>0</v>
      </c>
      <c r="K95" s="54" t="n">
        <f aca="false">IFERROR('CashFlow Statement'!M20,0)</f>
        <v>0</v>
      </c>
      <c r="L95" s="54" t="n">
        <f aca="false">IFERROR('CashFlow Statement'!N20,0)</f>
        <v>0</v>
      </c>
    </row>
    <row r="96" customFormat="false" ht="14.25" hidden="false" customHeight="true" outlineLevel="1" collapsed="false">
      <c r="B96" s="0" t="s">
        <v>138</v>
      </c>
      <c r="C96" s="54" t="n">
        <f aca="false">IFERROR('CashFlow Statement'!E21,0)</f>
        <v>-324</v>
      </c>
      <c r="D96" s="54" t="n">
        <f aca="false">IFERROR('CashFlow Statement'!F21,0)</f>
        <v>118</v>
      </c>
      <c r="E96" s="54" t="n">
        <f aca="false">IFERROR('CashFlow Statement'!G21,0)</f>
        <v>-24</v>
      </c>
      <c r="F96" s="54" t="n">
        <f aca="false">IFERROR('CashFlow Statement'!H21,0)</f>
        <v>-343</v>
      </c>
      <c r="G96" s="54" t="n">
        <f aca="false">IFERROR('CashFlow Statement'!I21,0)</f>
        <v>-493</v>
      </c>
      <c r="H96" s="54" t="n">
        <f aca="false">IFERROR('CashFlow Statement'!J21,0)</f>
        <v>-105</v>
      </c>
      <c r="I96" s="54" t="n">
        <f aca="false">IFERROR('CashFlow Statement'!K21,0)</f>
        <v>-126</v>
      </c>
      <c r="J96" s="54" t="n">
        <f aca="false">IFERROR('CashFlow Statement'!L21,0)</f>
        <v>-350</v>
      </c>
      <c r="K96" s="54" t="n">
        <f aca="false">IFERROR('CashFlow Statement'!M21,0)</f>
        <v>130</v>
      </c>
      <c r="L96" s="54" t="n">
        <f aca="false">IFERROR('CashFlow Statement'!N21,0)</f>
        <v>-1312</v>
      </c>
    </row>
    <row r="97" customFormat="false" ht="14.25" hidden="false" customHeight="true" outlineLevel="1" collapsed="false">
      <c r="B97" s="64" t="s">
        <v>139</v>
      </c>
      <c r="C97" s="59" t="n">
        <f aca="false">IFERROR(SUM(C87:C96),0)</f>
        <v>-681</v>
      </c>
      <c r="D97" s="59" t="n">
        <f aca="false">IFERROR(SUM(D87:D96),0)</f>
        <v>-1556</v>
      </c>
      <c r="E97" s="59" t="n">
        <f aca="false">IFERROR(SUM(E87:E96),0)</f>
        <v>-918</v>
      </c>
      <c r="F97" s="59" t="n">
        <f aca="false">IFERROR(SUM(F87:F96),0)</f>
        <v>-518</v>
      </c>
      <c r="G97" s="59" t="n">
        <f aca="false">IFERROR(SUM(G87:G96),0)</f>
        <v>-541</v>
      </c>
      <c r="H97" s="59" t="n">
        <f aca="false">IFERROR(SUM(H87:H96),0)</f>
        <v>-317</v>
      </c>
      <c r="I97" s="59" t="n">
        <f aca="false">IFERROR(SUM(I87:I96),0)</f>
        <v>-1283</v>
      </c>
      <c r="J97" s="59" t="n">
        <f aca="false">IFERROR(SUM(J87:J96),0)</f>
        <v>-2549</v>
      </c>
      <c r="K97" s="59" t="n">
        <f aca="false">IFERROR(SUM(K87:K96),0)</f>
        <v>-941</v>
      </c>
      <c r="L97" s="59" t="n">
        <f aca="false">IFERROR(SUM(L87:L96),0)</f>
        <v>-1328</v>
      </c>
    </row>
    <row r="98" customFormat="false" ht="14.25" hidden="false" customHeight="true" outlineLevel="1" collapsed="false"/>
    <row r="99" customFormat="false" ht="14.25" hidden="false" customHeight="true" outlineLevel="1" collapsed="false">
      <c r="B99" s="65" t="s">
        <v>140</v>
      </c>
    </row>
    <row r="100" customFormat="false" ht="14.25" hidden="false" customHeight="true" outlineLevel="1" collapsed="false">
      <c r="B100" s="0" t="s">
        <v>141</v>
      </c>
      <c r="C100" s="54" t="n">
        <f aca="false">IFERROR('CashFlow Statement'!E23,0)</f>
        <v>0</v>
      </c>
      <c r="D100" s="54" t="n">
        <f aca="false">IFERROR('CashFlow Statement'!F23,0)</f>
        <v>0</v>
      </c>
      <c r="E100" s="54" t="n">
        <f aca="false">IFERROR('CashFlow Statement'!G23,0)</f>
        <v>0</v>
      </c>
      <c r="F100" s="54" t="n">
        <f aca="false">IFERROR('CashFlow Statement'!H23,0)</f>
        <v>0</v>
      </c>
      <c r="G100" s="54" t="n">
        <f aca="false">IFERROR('CashFlow Statement'!I23,0)</f>
        <v>0</v>
      </c>
      <c r="H100" s="54" t="n">
        <f aca="false">IFERROR('CashFlow Statement'!J23,0)</f>
        <v>0</v>
      </c>
      <c r="I100" s="54" t="n">
        <f aca="false">IFERROR('CashFlow Statement'!K23,0)</f>
        <v>0</v>
      </c>
      <c r="J100" s="54" t="n">
        <f aca="false">IFERROR('CashFlow Statement'!L23,0)</f>
        <v>1</v>
      </c>
      <c r="K100" s="54" t="n">
        <f aca="false">IFERROR('CashFlow Statement'!M23,0)</f>
        <v>0</v>
      </c>
      <c r="L100" s="54" t="n">
        <f aca="false">IFERROR('CashFlow Statement'!N23,0)</f>
        <v>0</v>
      </c>
    </row>
    <row r="101" customFormat="false" ht="14.25" hidden="false" customHeight="true" outlineLevel="1" collapsed="false">
      <c r="B101" s="0" t="s">
        <v>142</v>
      </c>
      <c r="C101" s="54" t="n">
        <f aca="false">IFERROR('CashFlow Statement'!E24,0)</f>
        <v>271</v>
      </c>
      <c r="D101" s="54" t="n">
        <f aca="false">IFERROR('CashFlow Statement'!F24,0)</f>
        <v>10</v>
      </c>
      <c r="E101" s="54" t="n">
        <f aca="false">IFERROR('CashFlow Statement'!G24,0)</f>
        <v>243</v>
      </c>
      <c r="F101" s="54" t="n">
        <f aca="false">IFERROR('CashFlow Statement'!H24,0)</f>
        <v>18</v>
      </c>
      <c r="G101" s="54" t="n">
        <f aca="false">IFERROR('CashFlow Statement'!I24,0)</f>
        <v>155</v>
      </c>
      <c r="H101" s="54" t="n">
        <f aca="false">IFERROR('CashFlow Statement'!J24,0)</f>
        <v>418</v>
      </c>
      <c r="I101" s="54" t="n">
        <f aca="false">IFERROR('CashFlow Statement'!K24,0)</f>
        <v>254</v>
      </c>
      <c r="J101" s="54" t="n">
        <f aca="false">IFERROR('CashFlow Statement'!L24,0)</f>
        <v>101</v>
      </c>
      <c r="K101" s="54" t="n">
        <f aca="false">IFERROR('CashFlow Statement'!M24,0)</f>
        <v>415</v>
      </c>
      <c r="L101" s="54" t="n">
        <f aca="false">IFERROR('CashFlow Statement'!N24,0)</f>
        <v>1279</v>
      </c>
    </row>
    <row r="102" customFormat="false" ht="14.25" hidden="false" customHeight="true" outlineLevel="1" collapsed="false">
      <c r="B102" s="0" t="s">
        <v>143</v>
      </c>
      <c r="C102" s="54" t="n">
        <f aca="false">IFERROR('CashFlow Statement'!E25,0)</f>
        <v>-58</v>
      </c>
      <c r="D102" s="54" t="n">
        <f aca="false">IFERROR('CashFlow Statement'!F25,0)</f>
        <v>-54</v>
      </c>
      <c r="E102" s="54" t="n">
        <f aca="false">IFERROR('CashFlow Statement'!G25,0)</f>
        <v>-26</v>
      </c>
      <c r="F102" s="54" t="n">
        <f aca="false">IFERROR('CashFlow Statement'!H25,0)</f>
        <v>-482</v>
      </c>
      <c r="G102" s="54" t="n">
        <f aca="false">IFERROR('CashFlow Statement'!I25,0)</f>
        <v>-14</v>
      </c>
      <c r="H102" s="54" t="n">
        <f aca="false">IFERROR('CashFlow Statement'!J25,0)</f>
        <v>-8</v>
      </c>
      <c r="I102" s="54" t="n">
        <f aca="false">IFERROR('CashFlow Statement'!K25,0)</f>
        <v>-25</v>
      </c>
      <c r="J102" s="54" t="n">
        <f aca="false">IFERROR('CashFlow Statement'!L25,0)</f>
        <v>-98</v>
      </c>
      <c r="K102" s="54" t="n">
        <f aca="false">IFERROR('CashFlow Statement'!M25,0)</f>
        <v>-428</v>
      </c>
      <c r="L102" s="54" t="n">
        <f aca="false">IFERROR('CashFlow Statement'!N25,0)</f>
        <v>-452</v>
      </c>
    </row>
    <row r="103" customFormat="false" ht="14.25" hidden="false" customHeight="true" outlineLevel="1" collapsed="false">
      <c r="B103" s="0" t="s">
        <v>144</v>
      </c>
      <c r="C103" s="54" t="n">
        <f aca="false">IFERROR('CashFlow Statement'!E26,0)</f>
        <v>-36</v>
      </c>
      <c r="D103" s="54" t="n">
        <f aca="false">IFERROR('CashFlow Statement'!F26,0)</f>
        <v>-35</v>
      </c>
      <c r="E103" s="54" t="n">
        <f aca="false">IFERROR('CashFlow Statement'!G26,0)</f>
        <v>-106</v>
      </c>
      <c r="F103" s="54" t="n">
        <f aca="false">IFERROR('CashFlow Statement'!H26,0)</f>
        <v>-101</v>
      </c>
      <c r="G103" s="54" t="n">
        <f aca="false">IFERROR('CashFlow Statement'!I26,0)</f>
        <v>-89</v>
      </c>
      <c r="H103" s="54" t="n">
        <f aca="false">IFERROR('CashFlow Statement'!J26,0)</f>
        <v>-94</v>
      </c>
      <c r="I103" s="54" t="n">
        <f aca="false">IFERROR('CashFlow Statement'!K26,0)</f>
        <v>-142</v>
      </c>
      <c r="J103" s="54" t="n">
        <f aca="false">IFERROR('CashFlow Statement'!L26,0)</f>
        <v>-191</v>
      </c>
      <c r="K103" s="54" t="n">
        <f aca="false">IFERROR('CashFlow Statement'!M26,0)</f>
        <v>-203</v>
      </c>
      <c r="L103" s="54" t="n">
        <f aca="false">IFERROR('CashFlow Statement'!N26,0)</f>
        <v>-228</v>
      </c>
    </row>
    <row r="104" customFormat="false" ht="14.25" hidden="false" customHeight="true" outlineLevel="1" collapsed="false">
      <c r="B104" s="0" t="s">
        <v>145</v>
      </c>
      <c r="C104" s="54" t="n">
        <f aca="false">IFERROR('CashFlow Statement'!E27,0)</f>
        <v>-947</v>
      </c>
      <c r="D104" s="54" t="n">
        <f aca="false">IFERROR('CashFlow Statement'!F27,0)</f>
        <v>-1218</v>
      </c>
      <c r="E104" s="54" t="n">
        <f aca="false">IFERROR('CashFlow Statement'!G27,0)</f>
        <v>-1049</v>
      </c>
      <c r="F104" s="54" t="n">
        <f aca="false">IFERROR('CashFlow Statement'!H27,0)</f>
        <v>-2121</v>
      </c>
      <c r="G104" s="54" t="n">
        <f aca="false">IFERROR('CashFlow Statement'!I27,0)</f>
        <v>-499</v>
      </c>
      <c r="H104" s="54" t="n">
        <f aca="false">IFERROR('CashFlow Statement'!J27,0)</f>
        <v>-1763</v>
      </c>
      <c r="I104" s="54" t="n">
        <f aca="false">IFERROR('CashFlow Statement'!K27,0)</f>
        <v>-1936</v>
      </c>
      <c r="J104" s="54" t="n">
        <f aca="false">IFERROR('CashFlow Statement'!L27,0)</f>
        <v>-2551</v>
      </c>
      <c r="K104" s="54" t="n">
        <f aca="false">IFERROR('CashFlow Statement'!M27,0)</f>
        <v>-3140</v>
      </c>
      <c r="L104" s="54" t="n">
        <f aca="false">IFERROR('CashFlow Statement'!N27,0)</f>
        <v>-2425</v>
      </c>
    </row>
    <row r="105" customFormat="false" ht="14.25" hidden="false" customHeight="true" outlineLevel="1" collapsed="false">
      <c r="B105" s="0" t="s">
        <v>146</v>
      </c>
      <c r="C105" s="54" t="n">
        <f aca="false">IFERROR('CashFlow Statement'!E28,0)</f>
        <v>0</v>
      </c>
      <c r="D105" s="54" t="n">
        <f aca="false">IFERROR('CashFlow Statement'!F28,0)</f>
        <v>0</v>
      </c>
      <c r="E105" s="54" t="n">
        <f aca="false">IFERROR('CashFlow Statement'!G28,0)</f>
        <v>-180</v>
      </c>
      <c r="F105" s="54" t="n">
        <f aca="false">IFERROR('CashFlow Statement'!H28,0)</f>
        <v>-179</v>
      </c>
      <c r="G105" s="54" t="n">
        <f aca="false">IFERROR('CashFlow Statement'!I28,0)</f>
        <v>-203</v>
      </c>
      <c r="H105" s="54" t="n">
        <f aca="false">IFERROR('CashFlow Statement'!J28,0)</f>
        <v>-221</v>
      </c>
      <c r="I105" s="54" t="n">
        <f aca="false">IFERROR('CashFlow Statement'!K28,0)</f>
        <v>-256</v>
      </c>
      <c r="J105" s="54" t="n">
        <f aca="false">IFERROR('CashFlow Statement'!L28,0)</f>
        <v>-286</v>
      </c>
      <c r="K105" s="54" t="n">
        <f aca="false">IFERROR('CashFlow Statement'!M28,0)</f>
        <v>-325</v>
      </c>
      <c r="L105" s="54" t="n">
        <f aca="false">IFERROR('CashFlow Statement'!N28,0)</f>
        <v>-340</v>
      </c>
    </row>
    <row r="106" customFormat="false" ht="14.25" hidden="false" customHeight="true" outlineLevel="1" collapsed="false">
      <c r="B106" s="0" t="s">
        <v>147</v>
      </c>
      <c r="C106" s="54" t="n">
        <f aca="false">IFERROR('CashFlow Statement'!E29,0)</f>
        <v>13</v>
      </c>
      <c r="D106" s="54" t="n">
        <f aca="false">IFERROR('CashFlow Statement'!F29,0)</f>
        <v>-82</v>
      </c>
      <c r="E106" s="54" t="n">
        <f aca="false">IFERROR('CashFlow Statement'!G29,0)</f>
        <v>0</v>
      </c>
      <c r="F106" s="54" t="n">
        <f aca="false">IFERROR('CashFlow Statement'!H29,0)</f>
        <v>-6</v>
      </c>
      <c r="G106" s="54" t="n">
        <f aca="false">IFERROR('CashFlow Statement'!I29,0)</f>
        <v>0</v>
      </c>
      <c r="H106" s="54" t="n">
        <f aca="false">IFERROR('CashFlow Statement'!J29,0)</f>
        <v>-140</v>
      </c>
      <c r="I106" s="54" t="n">
        <f aca="false">IFERROR('CashFlow Statement'!K29,0)</f>
        <v>-36</v>
      </c>
      <c r="J106" s="54" t="n">
        <f aca="false">IFERROR('CashFlow Statement'!L29,0)</f>
        <v>41</v>
      </c>
      <c r="K106" s="54" t="n">
        <f aca="false">IFERROR('CashFlow Statement'!M29,0)</f>
        <v>-72</v>
      </c>
      <c r="L106" s="54" t="n">
        <f aca="false">IFERROR('CashFlow Statement'!N29,0)</f>
        <v>-210</v>
      </c>
    </row>
    <row r="107" customFormat="false" ht="14.25" hidden="false" customHeight="true" outlineLevel="1" collapsed="false">
      <c r="B107" s="64" t="s">
        <v>148</v>
      </c>
      <c r="C107" s="59" t="n">
        <f aca="false">IFERROR(SUM(C100:C106),0)</f>
        <v>-757</v>
      </c>
      <c r="D107" s="59" t="n">
        <f aca="false">IFERROR(SUM(D100:D106),0)</f>
        <v>-1379</v>
      </c>
      <c r="E107" s="59" t="n">
        <f aca="false">IFERROR(SUM(E100:E106),0)</f>
        <v>-1118</v>
      </c>
      <c r="F107" s="59" t="n">
        <f aca="false">IFERROR(SUM(F100:F106),0)</f>
        <v>-2871</v>
      </c>
      <c r="G107" s="59" t="n">
        <f aca="false">IFERROR(SUM(G100:G106),0)</f>
        <v>-650</v>
      </c>
      <c r="H107" s="59" t="n">
        <f aca="false">IFERROR(SUM(H100:H106),0)</f>
        <v>-1808</v>
      </c>
      <c r="I107" s="59" t="n">
        <f aca="false">IFERROR(SUM(I100:I106),0)</f>
        <v>-2141</v>
      </c>
      <c r="J107" s="59" t="n">
        <f aca="false">IFERROR(SUM(J100:J106),0)</f>
        <v>-2983</v>
      </c>
      <c r="K107" s="59" t="n">
        <f aca="false">IFERROR(SUM(K100:K106),0)</f>
        <v>-3753</v>
      </c>
      <c r="L107" s="59" t="n">
        <f aca="false">IFERROR(SUM(L100:L106),0)</f>
        <v>-2376</v>
      </c>
    </row>
    <row r="108" customFormat="false" ht="14.25" hidden="false" customHeight="true" outlineLevel="1" collapsed="false">
      <c r="C108" s="54"/>
      <c r="D108" s="54"/>
      <c r="E108" s="54"/>
      <c r="F108" s="54"/>
      <c r="G108" s="54"/>
      <c r="H108" s="54"/>
      <c r="I108" s="54"/>
      <c r="J108" s="54"/>
      <c r="K108" s="54"/>
      <c r="L108" s="54"/>
    </row>
    <row r="109" customFormat="false" ht="14.25" hidden="false" customHeight="true" outlineLevel="1" collapsed="false">
      <c r="B109" s="64" t="s">
        <v>149</v>
      </c>
      <c r="C109" s="59" t="n">
        <f aca="false">IFERROR(SUM(C107,C97,C84),0)</f>
        <v>90</v>
      </c>
      <c r="D109" s="59" t="n">
        <f aca="false">IFERROR(SUM(D107,D97,D84),0)</f>
        <v>-822</v>
      </c>
      <c r="E109" s="59" t="n">
        <f aca="false">IFERROR(SUM(E107,E97,E84),0)</f>
        <v>433</v>
      </c>
      <c r="F109" s="59" t="n">
        <f aca="false">IFERROR(SUM(F107,F97,F84),0)</f>
        <v>-351</v>
      </c>
      <c r="G109" s="59" t="n">
        <f aca="false">IFERROR(SUM(G107,G97,G84),0)</f>
        <v>2493</v>
      </c>
      <c r="H109" s="59" t="n">
        <f aca="false">IFERROR(SUM(H107,H97,H84),0)</f>
        <v>-1139</v>
      </c>
      <c r="I109" s="59" t="n">
        <f aca="false">IFERROR(SUM(I107,I97,I84),0)</f>
        <v>770</v>
      </c>
      <c r="J109" s="59" t="n">
        <f aca="false">IFERROR(SUM(J107,J97,J84),0)</f>
        <v>572</v>
      </c>
      <c r="K109" s="59" t="n">
        <f aca="false">IFERROR(SUM(K107,K97,K84),0)</f>
        <v>-270</v>
      </c>
      <c r="L109" s="59" t="n">
        <f aca="false">IFERROR(SUM(L107,L97,L84),0)</f>
        <v>3384</v>
      </c>
    </row>
    <row r="111" customFormat="false" ht="10.5" hidden="false" customHeight="true" outlineLevel="0" collapsed="false">
      <c r="B111" s="1"/>
      <c r="C111" s="1"/>
      <c r="D111" s="1"/>
      <c r="E111" s="1"/>
      <c r="F111" s="1"/>
      <c r="G111" s="1"/>
      <c r="H111" s="1"/>
      <c r="I111" s="1"/>
      <c r="J111" s="1"/>
      <c r="K111" s="1"/>
      <c r="L111" s="1"/>
    </row>
  </sheetData>
  <mergeCells count="1">
    <mergeCell ref="B2:L2"/>
  </mergeCells>
  <printOptions headings="false" gridLines="false" gridLinesSet="true" horizontalCentered="false" verticalCentered="false"/>
  <pageMargins left="0.7" right="0.7" top="0.75" bottom="0.75" header="0.511811023622047" footer="0.511811023622047"/>
  <pageSetup paperSize="1" scale="61"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74" man="true" max="16383" min="0"/>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48"/>
  <sheetViews>
    <sheetView showFormulas="false" showGridLines="false" showRowColHeaders="true" showZeros="true" rightToLeft="false" tabSelected="false" showOutlineSymbols="true" defaultGridColor="true" view="normal" topLeftCell="A19" colorId="64" zoomScale="70" zoomScaleNormal="70" zoomScalePageLayoutView="100" workbookViewId="0">
      <selection pane="topLeft" activeCell="Q21" activeCellId="0" sqref="Q21"/>
    </sheetView>
  </sheetViews>
  <sheetFormatPr defaultColWidth="8.6796875" defaultRowHeight="14.25" zeroHeight="false" outlineLevelRow="0" outlineLevelCol="0"/>
  <cols>
    <col collapsed="false" customWidth="true" hidden="false" outlineLevel="0" max="1" min="1" style="0" width="1.88"/>
    <col collapsed="false" customWidth="true" hidden="false" outlineLevel="0" max="2" min="2" style="0" width="23.88"/>
    <col collapsed="false" customWidth="true" hidden="false" outlineLevel="0" max="12" min="3" style="0" width="11"/>
    <col collapsed="false" customWidth="true" hidden="false" outlineLevel="0" max="13" min="13" style="0" width="13.88"/>
    <col collapsed="false" customWidth="true" hidden="false" outlineLevel="0" max="15" min="14" style="0" width="11"/>
  </cols>
  <sheetData>
    <row r="1" customFormat="false" ht="14.25" hidden="false" customHeight="false" outlineLevel="0" collapsed="false">
      <c r="B1" s="68"/>
      <c r="C1" s="68"/>
      <c r="D1" s="68"/>
      <c r="E1" s="68"/>
      <c r="F1" s="68"/>
      <c r="G1" s="68"/>
      <c r="H1" s="68"/>
      <c r="I1" s="68"/>
      <c r="J1" s="68"/>
      <c r="K1" s="68"/>
      <c r="L1" s="68"/>
      <c r="M1" s="68"/>
      <c r="N1" s="68"/>
      <c r="O1" s="68"/>
    </row>
    <row r="2" customFormat="false" ht="45.75" hidden="false" customHeight="true" outlineLevel="0" collapsed="false">
      <c r="B2" s="69" t="str">
        <f aca="false">'Data Sheet'!B1</f>
        <v>ASIAN PAINTS LTD</v>
      </c>
      <c r="J2" s="69"/>
    </row>
    <row r="3" customFormat="false" ht="14.25" hidden="false" customHeight="false" outlineLevel="0" collapsed="false">
      <c r="B3" s="0" t="s">
        <v>150</v>
      </c>
    </row>
    <row r="4" customFormat="false" ht="21" hidden="false" customHeight="true" outlineLevel="0" collapsed="false">
      <c r="B4" s="70" t="str">
        <f aca="false">CONCATENATE("INR "&amp;'Data Sheet'!B8)</f>
        <v>INR 2645.2</v>
      </c>
      <c r="J4" s="70"/>
    </row>
    <row r="5" customFormat="false" ht="14.25" hidden="false" customHeight="false" outlineLevel="0" collapsed="false">
      <c r="B5" s="0" t="s">
        <v>151</v>
      </c>
    </row>
    <row r="6" customFormat="false" ht="15" hidden="false" customHeight="true" outlineLevel="0" collapsed="false">
      <c r="B6" s="71"/>
      <c r="C6" s="71"/>
      <c r="D6" s="71"/>
      <c r="E6" s="71"/>
      <c r="F6" s="71"/>
      <c r="G6" s="71"/>
      <c r="H6" s="71"/>
      <c r="I6" s="71"/>
      <c r="J6" s="71"/>
      <c r="K6" s="71"/>
      <c r="L6" s="71"/>
      <c r="M6" s="71"/>
      <c r="N6" s="71"/>
      <c r="O6" s="71"/>
    </row>
    <row r="8" customFormat="false" ht="14.25" hidden="false" customHeight="false" outlineLevel="0" collapsed="false">
      <c r="B8" s="72" t="str">
        <f aca="false">"Ratio Analysis"&amp;" - "&amp;'Data Sheet'!B1</f>
        <v>Ratio Analysis - ASIAN PAINTS LTD</v>
      </c>
      <c r="C8" s="72"/>
      <c r="D8" s="72"/>
      <c r="E8" s="72"/>
      <c r="F8" s="72"/>
      <c r="G8" s="72"/>
      <c r="H8" s="72"/>
      <c r="I8" s="72"/>
      <c r="J8" s="72"/>
      <c r="K8" s="72"/>
      <c r="L8" s="72"/>
      <c r="M8" s="72"/>
      <c r="N8" s="72"/>
      <c r="O8" s="72"/>
    </row>
    <row r="9" customFormat="false" ht="14.25" hidden="false" customHeight="false" outlineLevel="0" collapsed="false">
      <c r="B9" s="49" t="s">
        <v>73</v>
      </c>
      <c r="C9" s="30" t="n">
        <f aca="false">HistoricalFS!C3</f>
        <v>42825</v>
      </c>
      <c r="D9" s="30" t="n">
        <f aca="false">HistoricalFS!D3</f>
        <v>43190</v>
      </c>
      <c r="E9" s="30" t="n">
        <f aca="false">HistoricalFS!E3</f>
        <v>43555</v>
      </c>
      <c r="F9" s="30" t="n">
        <f aca="false">HistoricalFS!F3</f>
        <v>43921</v>
      </c>
      <c r="G9" s="30" t="n">
        <f aca="false">HistoricalFS!G3</f>
        <v>44286</v>
      </c>
      <c r="H9" s="30" t="n">
        <f aca="false">HistoricalFS!H3</f>
        <v>44651</v>
      </c>
      <c r="I9" s="30" t="n">
        <f aca="false">HistoricalFS!I3</f>
        <v>45016</v>
      </c>
      <c r="J9" s="30" t="n">
        <f aca="false">HistoricalFS!J3</f>
        <v>45382</v>
      </c>
      <c r="K9" s="30" t="n">
        <f aca="false">HistoricalFS!K3</f>
        <v>45747</v>
      </c>
      <c r="L9" s="30" t="n">
        <f aca="false">HistoricalFS!L3</f>
        <v>46112</v>
      </c>
      <c r="M9" s="30" t="s">
        <v>152</v>
      </c>
      <c r="N9" s="73" t="s">
        <v>153</v>
      </c>
      <c r="O9" s="30" t="s">
        <v>154</v>
      </c>
    </row>
    <row r="11" customFormat="false" ht="14.25" hidden="false" customHeight="false" outlineLevel="0" collapsed="false">
      <c r="B11" s="74" t="s">
        <v>76</v>
      </c>
      <c r="C11" s="74"/>
      <c r="D11" s="75" t="n">
        <f aca="false">HistoricalFS!D6/HistoricalFS!C6-1</f>
        <v>0.117020393719555</v>
      </c>
      <c r="E11" s="75" t="n">
        <f aca="false">HistoricalFS!E6/HistoricalFS!D6-1</f>
        <v>0.143574716708619</v>
      </c>
      <c r="F11" s="75" t="n">
        <f aca="false">HistoricalFS!F6/HistoricalFS!E6-1</f>
        <v>0.0504736714356919</v>
      </c>
      <c r="G11" s="75" t="n">
        <f aca="false">HistoricalFS!G6/HistoricalFS!F6-1</f>
        <v>0.0742922877110521</v>
      </c>
      <c r="H11" s="75" t="n">
        <f aca="false">HistoricalFS!H6/HistoricalFS!G6-1</f>
        <v>0.340282847114535</v>
      </c>
      <c r="I11" s="75" t="n">
        <f aca="false">HistoricalFS!I6/HistoricalFS!H6-1</f>
        <v>0.185122784977156</v>
      </c>
      <c r="J11" s="75" t="n">
        <f aca="false">HistoricalFS!J6/HistoricalFS!I6-1</f>
        <v>0.0291731265325723</v>
      </c>
      <c r="K11" s="75" t="n">
        <f aca="false">HistoricalFS!K6/HistoricalFS!J6-1</f>
        <v>-0.0447703081556051</v>
      </c>
      <c r="L11" s="75" t="n">
        <f aca="false">HistoricalFS!L6/HistoricalFS!K6-1</f>
        <v>0.0494879609928973</v>
      </c>
      <c r="M11" s="75"/>
      <c r="N11" s="75" t="n">
        <f aca="false">IFERROR(AVERAGE(D11:L11),0)</f>
        <v>0.104961942337386</v>
      </c>
      <c r="O11" s="75" t="n">
        <f aca="false">IFERROR(MEDIAN(D11:L11),0)</f>
        <v>0.0742922877110521</v>
      </c>
    </row>
    <row r="12" customFormat="false" ht="14.25" hidden="false" customHeight="false" outlineLevel="0" collapsed="false">
      <c r="B12" s="0" t="s">
        <v>155</v>
      </c>
      <c r="D12" s="76" t="n">
        <f aca="false">HistoricalFS!D18/HistoricalFS!C18-1</f>
        <v>0.0702294105071879</v>
      </c>
      <c r="E12" s="76" t="n">
        <f aca="false">HistoricalFS!E18/HistoricalFS!D18-1</f>
        <v>0.175071238853812</v>
      </c>
      <c r="F12" s="76" t="n">
        <f aca="false">HistoricalFS!F18/HistoricalFS!E18-1</f>
        <v>0.10540141409956</v>
      </c>
      <c r="G12" s="76" t="n">
        <f aca="false">HistoricalFS!G18/HistoricalFS!F18-1</f>
        <v>0.166715123613271</v>
      </c>
      <c r="H12" s="76" t="n">
        <f aca="false">HistoricalFS!H18/HistoricalFS!G18-1</f>
        <v>-0.0107072246478302</v>
      </c>
      <c r="I12" s="76" t="n">
        <f aca="false">HistoricalFS!I18/HistoricalFS!H18-1</f>
        <v>0.303153253490603</v>
      </c>
      <c r="J12" s="76" t="n">
        <f aca="false">HistoricalFS!J18/HistoricalFS!I18-1</f>
        <v>0.21168911665474</v>
      </c>
      <c r="K12" s="76" t="n">
        <f aca="false">HistoricalFS!K18/HistoricalFS!J18-1</f>
        <v>-0.208144253511545</v>
      </c>
      <c r="L12" s="76" t="n">
        <f aca="false">HistoricalFS!L18/HistoricalFS!K18-1</f>
        <v>0.115467158157973</v>
      </c>
      <c r="M12" s="76"/>
      <c r="N12" s="76" t="n">
        <f aca="false">IFERROR(AVERAGE(D12:L12),0)</f>
        <v>0.103208359690864</v>
      </c>
      <c r="O12" s="76" t="n">
        <f aca="false">IFERROR(MEDIAN(D12:L12),0)</f>
        <v>0.115467158157973</v>
      </c>
    </row>
    <row r="13" customFormat="false" ht="14.25" hidden="false" customHeight="false" outlineLevel="0" collapsed="false">
      <c r="B13" s="0" t="s">
        <v>156</v>
      </c>
      <c r="D13" s="76" t="n">
        <f aca="false">HistoricalFS!D27/HistoricalFS!C27-1</f>
        <v>0.0610904043218419</v>
      </c>
      <c r="E13" s="76" t="n">
        <f aca="false">HistoricalFS!E27/HistoricalFS!D27-1</f>
        <v>0.0744099749996077</v>
      </c>
      <c r="F13" s="76" t="n">
        <f aca="false">HistoricalFS!F27/HistoricalFS!E27-1</f>
        <v>0.0921391922308041</v>
      </c>
      <c r="G13" s="76" t="n">
        <f aca="false">HistoricalFS!G27/HistoricalFS!F27-1</f>
        <v>0.178114204702295</v>
      </c>
      <c r="H13" s="76" t="n">
        <f aca="false">HistoricalFS!H27/HistoricalFS!G27-1</f>
        <v>-0.0256711813975504</v>
      </c>
      <c r="I13" s="76" t="n">
        <f aca="false">HistoricalFS!I27/HistoricalFS!H27-1</f>
        <v>0.361919904369</v>
      </c>
      <c r="J13" s="76" t="n">
        <f aca="false">HistoricalFS!J27/HistoricalFS!I27-1</f>
        <v>0.294801552471338</v>
      </c>
      <c r="K13" s="76" t="n">
        <f aca="false">HistoricalFS!K27/HistoricalFS!J27-1</f>
        <v>-0.294302615934986</v>
      </c>
      <c r="L13" s="76" t="n">
        <f aca="false">HistoricalFS!L27/HistoricalFS!K27-1</f>
        <v>0.162991619278473</v>
      </c>
      <c r="M13" s="76"/>
      <c r="N13" s="76" t="n">
        <f aca="false">IFERROR(AVERAGE(D13:L13),0)</f>
        <v>0.10061033944898</v>
      </c>
      <c r="O13" s="76" t="n">
        <f aca="false">IFERROR(MEDIAN(D13:L13),0)</f>
        <v>0.0921391922308041</v>
      </c>
    </row>
    <row r="14" customFormat="false" ht="14.25" hidden="false" customHeight="false" outlineLevel="0" collapsed="false">
      <c r="B14" s="0" t="s">
        <v>157</v>
      </c>
      <c r="D14" s="76" t="n">
        <f aca="false">HistoricalFS!D39/HistoricalFS!C39-1</f>
        <v>0.0403075015499064</v>
      </c>
      <c r="E14" s="76" t="n">
        <f aca="false">HistoricalFS!E39/HistoricalFS!D39-1</f>
        <v>0.0526907967504495</v>
      </c>
      <c r="F14" s="76" t="n">
        <f aca="false">HistoricalFS!F39/HistoricalFS!E39-1</f>
        <v>0.256403869495117</v>
      </c>
      <c r="G14" s="76" t="n">
        <f aca="false">HistoricalFS!G39/HistoricalFS!F39-1</f>
        <v>0.155922990134058</v>
      </c>
      <c r="H14" s="76" t="n">
        <f aca="false">HistoricalFS!H39/HistoricalFS!G39-1</f>
        <v>-0.038026038824356</v>
      </c>
      <c r="I14" s="76" t="n">
        <f aca="false">HistoricalFS!I39/HistoricalFS!H39-1</f>
        <v>0.359996239638745</v>
      </c>
      <c r="J14" s="76" t="n">
        <f aca="false">HistoricalFS!J39/HistoricalFS!I39-1</f>
        <v>0.324732500184731</v>
      </c>
      <c r="K14" s="76" t="n">
        <f aca="false">HistoricalFS!K39/HistoricalFS!J39-1</f>
        <v>-0.332508650176602</v>
      </c>
      <c r="L14" s="76" t="n">
        <f aca="false">HistoricalFS!L39/HistoricalFS!K39-1</f>
        <v>0.184645160942499</v>
      </c>
      <c r="M14" s="76"/>
      <c r="N14" s="76" t="n">
        <f aca="false">IFERROR(AVERAGE(D14:L14),0)</f>
        <v>0.11157381885495</v>
      </c>
      <c r="O14" s="76" t="n">
        <f aca="false">IFERROR(MEDIAN(D14:L14),0)</f>
        <v>0.155922990134058</v>
      </c>
    </row>
    <row r="15" customFormat="false" ht="14.25" hidden="false" customHeight="false" outlineLevel="0" collapsed="false">
      <c r="B15" s="77" t="s">
        <v>36</v>
      </c>
      <c r="C15" s="77"/>
      <c r="D15" s="78" t="n">
        <f aca="false">HistoricalFS!D47/HistoricalFS!C47-1</f>
        <v>-0.155347274236321</v>
      </c>
      <c r="E15" s="78" t="n">
        <f aca="false">HistoricalFS!E47/HistoricalFS!D47-1</f>
        <v>0.20690233672858</v>
      </c>
      <c r="F15" s="78" t="n">
        <f aca="false">HistoricalFS!F47/HistoricalFS!E47-1</f>
        <v>0.142857142857143</v>
      </c>
      <c r="G15" s="78" t="n">
        <f aca="false">HistoricalFS!G47/HistoricalFS!F47-1</f>
        <v>0.487498262440923</v>
      </c>
      <c r="H15" s="78" t="n">
        <f aca="false">HistoricalFS!H47/HistoricalFS!G47-1</f>
        <v>0.0728315529415886</v>
      </c>
      <c r="I15" s="78" t="n">
        <f aca="false">HistoricalFS!I47/HistoricalFS!H47-1</f>
        <v>0.339425217897837</v>
      </c>
      <c r="J15" s="78" t="n">
        <f aca="false">HistoricalFS!J47/HistoricalFS!I47-1</f>
        <v>0.298246184485947</v>
      </c>
      <c r="K15" s="78" t="n">
        <f aca="false">HistoricalFS!K47/HistoricalFS!J47-1</f>
        <v>-0.255254935600819</v>
      </c>
      <c r="L15" s="78" t="n">
        <f aca="false">HistoricalFS!L47/HistoricalFS!K47-1</f>
        <v>0.108869103168798</v>
      </c>
      <c r="M15" s="78"/>
      <c r="N15" s="78" t="n">
        <f aca="false">IFERROR(AVERAGE(D15:L15),0)</f>
        <v>0.138447510075964</v>
      </c>
      <c r="O15" s="78" t="n">
        <f aca="false">IFERROR(MEDIAN(D15:L15),0)</f>
        <v>0.142857142857143</v>
      </c>
    </row>
    <row r="17" customFormat="false" ht="14.25" hidden="false" customHeight="false" outlineLevel="0" collapsed="false">
      <c r="B17" s="74" t="s">
        <v>79</v>
      </c>
      <c r="C17" s="75" t="n">
        <f aca="false">HistoricalFS!C13</f>
        <v>0.353826420014885</v>
      </c>
      <c r="D17" s="75" t="n">
        <f aca="false">HistoricalFS!D13</f>
        <v>0.334652635583121</v>
      </c>
      <c r="E17" s="75" t="n">
        <f aca="false">HistoricalFS!E13</f>
        <v>0.329224386737512</v>
      </c>
      <c r="F17" s="75" t="n">
        <f aca="false">HistoricalFS!F13</f>
        <v>0.348975446842724</v>
      </c>
      <c r="G17" s="75" t="n">
        <f aca="false">HistoricalFS!G13</f>
        <v>0.353603567298353</v>
      </c>
      <c r="H17" s="75" t="n">
        <f aca="false">HistoricalFS!H13</f>
        <v>0.292451397326853</v>
      </c>
      <c r="I17" s="75" t="n">
        <f aca="false">HistoricalFS!I13</f>
        <v>0.310882236704951</v>
      </c>
      <c r="J17" s="75" t="n">
        <f aca="false">HistoricalFS!J13</f>
        <v>0.351735032214642</v>
      </c>
      <c r="K17" s="75" t="n">
        <f aca="false">HistoricalFS!K13</f>
        <v>0.329277270257851</v>
      </c>
      <c r="L17" s="75" t="n">
        <f aca="false">HistoricalFS!L13</f>
        <v>0.339873716892698</v>
      </c>
      <c r="M17" s="75"/>
      <c r="N17" s="75" t="n">
        <f aca="false">IFERROR(AVERAGE(C17:L17),0)</f>
        <v>0.334450210987359</v>
      </c>
      <c r="O17" s="75" t="n">
        <f aca="false">IFERROR(MEDIAN(C17:L17),0)</f>
        <v>0.33726317623791</v>
      </c>
    </row>
    <row r="18" customFormat="false" ht="14.25" hidden="false" customHeight="false" outlineLevel="0" collapsed="false">
      <c r="B18" s="0" t="s">
        <v>83</v>
      </c>
      <c r="C18" s="76" t="n">
        <f aca="false">HistoricalFS!C19</f>
        <v>0.19876258050895</v>
      </c>
      <c r="D18" s="76" t="n">
        <f aca="false">HistoricalFS!D19</f>
        <v>0.190436594143677</v>
      </c>
      <c r="E18" s="76" t="n">
        <f aca="false">HistoricalFS!E19</f>
        <v>0.195681630009777</v>
      </c>
      <c r="F18" s="76" t="n">
        <f aca="false">HistoricalFS!F19</f>
        <v>0.205913538252211</v>
      </c>
      <c r="G18" s="76" t="n">
        <f aca="false">HistoricalFS!G19</f>
        <v>0.22362856178317</v>
      </c>
      <c r="H18" s="76" t="n">
        <f aca="false">HistoricalFS!H19</f>
        <v>0.165065247989092</v>
      </c>
      <c r="I18" s="76" t="n">
        <f aca="false">HistoricalFS!I19</f>
        <v>0.181504665745976</v>
      </c>
      <c r="J18" s="76" t="n">
        <f aca="false">HistoricalFS!J19</f>
        <v>0.213693131346541</v>
      </c>
      <c r="K18" s="76" t="n">
        <f aca="false">HistoricalFS!K19</f>
        <v>0.177144968887164</v>
      </c>
      <c r="L18" s="76" t="n">
        <f aca="false">HistoricalFS!L19</f>
        <v>0.188281716771294</v>
      </c>
      <c r="M18" s="76"/>
      <c r="N18" s="76" t="n">
        <f aca="false">IFERROR(AVERAGE(C18:L18),0)</f>
        <v>0.194011263543785</v>
      </c>
      <c r="O18" s="76" t="n">
        <f aca="false">IFERROR(MEDIAN(C18:L18),0)</f>
        <v>0.193059112076727</v>
      </c>
    </row>
    <row r="19" customFormat="false" ht="14.25" hidden="false" customHeight="false" outlineLevel="0" collapsed="false">
      <c r="B19" s="0" t="s">
        <v>89</v>
      </c>
      <c r="C19" s="76" t="n">
        <f aca="false">HistoricalFS!C28</f>
        <v>0.198969060529186</v>
      </c>
      <c r="D19" s="76" t="n">
        <f aca="false">HistoricalFS!D28</f>
        <v>0.189006541036759</v>
      </c>
      <c r="E19" s="76" t="n">
        <f aca="false">HistoricalFS!E28</f>
        <v>0.177575203493947</v>
      </c>
      <c r="F19" s="76" t="n">
        <f aca="false">HistoricalFS!F28</f>
        <v>0.184618467437689</v>
      </c>
      <c r="G19" s="76" t="n">
        <f aca="false">HistoricalFS!G28</f>
        <v>0.202460393159976</v>
      </c>
      <c r="H19" s="76" t="n">
        <f aca="false">HistoricalFS!H28</f>
        <v>0.147180124035781</v>
      </c>
      <c r="I19" s="76" t="n">
        <f aca="false">HistoricalFS!I28</f>
        <v>0.169136517323555</v>
      </c>
      <c r="J19" s="76" t="n">
        <f aca="false">HistoricalFS!J28</f>
        <v>0.212790462133393</v>
      </c>
      <c r="K19" s="76" t="n">
        <f aca="false">HistoricalFS!K28</f>
        <v>0.15720373200667</v>
      </c>
      <c r="L19" s="76" t="n">
        <f aca="false">HistoricalFS!L28</f>
        <v>0.174205545597768</v>
      </c>
      <c r="M19" s="76"/>
      <c r="N19" s="76" t="n">
        <f aca="false">IFERROR(AVERAGE(C19:L19),0)</f>
        <v>0.181314604675473</v>
      </c>
      <c r="O19" s="76" t="n">
        <f aca="false">IFERROR(MEDIAN(C19:L19),0)</f>
        <v>0.181096835465818</v>
      </c>
    </row>
    <row r="20" customFormat="false" ht="14.25" hidden="false" customHeight="false" outlineLevel="0" collapsed="false">
      <c r="B20" s="0" t="s">
        <v>158</v>
      </c>
      <c r="C20" s="76" t="n">
        <f aca="false">HistoricalFS!C34</f>
        <v>0.196490636363455</v>
      </c>
      <c r="D20" s="76" t="n">
        <f aca="false">HistoricalFS!D34</f>
        <v>0.186541690565275</v>
      </c>
      <c r="E20" s="76" t="n">
        <f aca="false">HistoricalFS!E34</f>
        <v>0.171833558297163</v>
      </c>
      <c r="F20" s="76" t="n">
        <f aca="false">HistoricalFS!F34</f>
        <v>0.179555445605789</v>
      </c>
      <c r="G20" s="76" t="n">
        <f aca="false">HistoricalFS!G34</f>
        <v>0.198240299841706</v>
      </c>
      <c r="H20" s="76" t="n">
        <f aca="false">HistoricalFS!H34</f>
        <v>0.143901574088837</v>
      </c>
      <c r="I20" s="76" t="n">
        <f aca="false">HistoricalFS!I34</f>
        <v>0.164948175614022</v>
      </c>
      <c r="J20" s="76" t="n">
        <f aca="false">HistoricalFS!J34</f>
        <v>0.207010167424854</v>
      </c>
      <c r="K20" s="76" t="n">
        <f aca="false">HistoricalFS!K34</f>
        <v>0.150508086859937</v>
      </c>
      <c r="L20" s="76" t="n">
        <f aca="false">HistoricalFS!L34</f>
        <v>0.168713961567624</v>
      </c>
      <c r="M20" s="76"/>
      <c r="N20" s="76" t="n">
        <f aca="false">IFERROR(AVERAGE(C20:L20),0)</f>
        <v>0.176774359622866</v>
      </c>
      <c r="O20" s="76" t="n">
        <f aca="false">IFERROR(MEDIAN(C20:L20),0)</f>
        <v>0.175694501951476</v>
      </c>
    </row>
    <row r="21" customFormat="false" ht="14.25" hidden="false" customHeight="false" outlineLevel="0" collapsed="false">
      <c r="B21" s="77" t="s">
        <v>97</v>
      </c>
      <c r="C21" s="78" t="n">
        <f aca="false">HistoricalFS!C40</f>
        <v>0.133863453633949</v>
      </c>
      <c r="D21" s="78" t="n">
        <f aca="false">HistoricalFS!D40</f>
        <v>0.12467019920295</v>
      </c>
      <c r="E21" s="78" t="n">
        <f aca="false">HistoricalFS!E40</f>
        <v>0.1147622183426</v>
      </c>
      <c r="F21" s="78" t="n">
        <f aca="false">HistoricalFS!F40</f>
        <v>0.137259694477086</v>
      </c>
      <c r="G21" s="78" t="n">
        <f aca="false">HistoricalFS!G40</f>
        <v>0.147689449398258</v>
      </c>
      <c r="H21" s="78" t="n">
        <f aca="false">HistoricalFS!H40</f>
        <v>0.106002553839556</v>
      </c>
      <c r="I21" s="78" t="n">
        <f aca="false">HistoricalFS!I40</f>
        <v>0.121643998783366</v>
      </c>
      <c r="J21" s="78" t="n">
        <f aca="false">HistoricalFS!J40</f>
        <v>0.156577891985655</v>
      </c>
      <c r="K21" s="78" t="n">
        <f aca="false">HistoricalFS!K40</f>
        <v>0.109412834804378</v>
      </c>
      <c r="L21" s="78" t="n">
        <f aca="false">HistoricalFS!L40</f>
        <v>0.12350345131485</v>
      </c>
      <c r="M21" s="78"/>
      <c r="N21" s="78" t="n">
        <f aca="false">IFERROR(AVERAGE(C21:L21),0)</f>
        <v>0.127538574578265</v>
      </c>
      <c r="O21" s="78" t="n">
        <f aca="false">IFERROR(MEDIAN(C21:L21),0)</f>
        <v>0.1240868252589</v>
      </c>
    </row>
    <row r="23" customFormat="false" ht="14.25" hidden="false" customHeight="false" outlineLevel="0" collapsed="false">
      <c r="B23" s="74" t="s">
        <v>159</v>
      </c>
      <c r="C23" s="75" t="n">
        <f aca="false">HistoricalFS!C16</f>
        <v>0.155063839505935</v>
      </c>
      <c r="D23" s="75" t="n">
        <f aca="false">HistoricalFS!D16</f>
        <v>0.144216041439444</v>
      </c>
      <c r="E23" s="75" t="n">
        <f aca="false">HistoricalFS!E16</f>
        <v>0.133542756727735</v>
      </c>
      <c r="F23" s="75" t="n">
        <f aca="false">HistoricalFS!F16</f>
        <v>0.143061908590513</v>
      </c>
      <c r="G23" s="75" t="n">
        <f aca="false">HistoricalFS!G16</f>
        <v>0.129975005515183</v>
      </c>
      <c r="H23" s="75" t="n">
        <f aca="false">HistoricalFS!H16</f>
        <v>0.127386149337761</v>
      </c>
      <c r="I23" s="75" t="n">
        <f aca="false">HistoricalFS!I16</f>
        <v>0.129377570958975</v>
      </c>
      <c r="J23" s="75" t="n">
        <f aca="false">HistoricalFS!J16</f>
        <v>0.138041900868101</v>
      </c>
      <c r="K23" s="75" t="n">
        <f aca="false">HistoricalFS!K16</f>
        <v>0.152132301370687</v>
      </c>
      <c r="L23" s="75" t="n">
        <f aca="false">HistoricalFS!L16</f>
        <v>0.151592000121404</v>
      </c>
      <c r="M23" s="74"/>
      <c r="N23" s="75" t="n">
        <f aca="false">IFERROR(AVERAGE(C23:L23),0)</f>
        <v>0.140438947443574</v>
      </c>
      <c r="O23" s="75" t="n">
        <f aca="false">IFERROR(MEDIAN(C23:L23),0)</f>
        <v>0.140551904729307</v>
      </c>
    </row>
    <row r="24" customFormat="false" ht="14.25" hidden="false" customHeight="false" outlineLevel="0" collapsed="false">
      <c r="B24" s="0" t="s">
        <v>160</v>
      </c>
      <c r="C24" s="76" t="n">
        <f aca="false">HistoricalFS!C25</f>
        <v>0.022227474590011</v>
      </c>
      <c r="D24" s="76" t="n">
        <f aca="false">HistoricalFS!D25</f>
        <v>0.0214252387136655</v>
      </c>
      <c r="E24" s="76" t="n">
        <f aca="false">HistoricalFS!E25</f>
        <v>0.0323355403523781</v>
      </c>
      <c r="F24" s="76" t="n">
        <f aca="false">HistoricalFS!F25</f>
        <v>0.0386171068093265</v>
      </c>
      <c r="G24" s="76" t="n">
        <f aca="false">HistoricalFS!G25</f>
        <v>0.0364425760116503</v>
      </c>
      <c r="H24" s="76" t="n">
        <f aca="false">HistoricalFS!H25</f>
        <v>0.0280523743285519</v>
      </c>
      <c r="I24" s="76" t="n">
        <f aca="false">HistoricalFS!I25</f>
        <v>0.0248783728183727</v>
      </c>
      <c r="J24" s="76" t="n">
        <f aca="false">HistoricalFS!J25</f>
        <v>0.024031736542298</v>
      </c>
      <c r="K24" s="76" t="n">
        <f aca="false">HistoricalFS!K25</f>
        <v>0.0302704979292518</v>
      </c>
      <c r="L24" s="76" t="n">
        <f aca="false">HistoricalFS!L25</f>
        <v>0.0345342256560196</v>
      </c>
      <c r="N24" s="76" t="n">
        <f aca="false">IFERROR(AVERAGE(C24:L24),0)</f>
        <v>0.0292815143751525</v>
      </c>
      <c r="O24" s="76" t="n">
        <f aca="false">IFERROR(MEDIAN(C24:L24),0)</f>
        <v>0.0291614361289019</v>
      </c>
    </row>
    <row r="25" customFormat="false" ht="14.25" hidden="false" customHeight="false" outlineLevel="0" collapsed="false">
      <c r="B25" s="77" t="s">
        <v>161</v>
      </c>
      <c r="C25" s="78" t="n">
        <f aca="false">C19</f>
        <v>0.198969060529186</v>
      </c>
      <c r="D25" s="78" t="n">
        <f aca="false">D19</f>
        <v>0.189006541036759</v>
      </c>
      <c r="E25" s="78" t="n">
        <f aca="false">E19</f>
        <v>0.177575203493947</v>
      </c>
      <c r="F25" s="78" t="n">
        <f aca="false">F19</f>
        <v>0.184618467437689</v>
      </c>
      <c r="G25" s="78" t="n">
        <f aca="false">G19</f>
        <v>0.202460393159976</v>
      </c>
      <c r="H25" s="78" t="n">
        <f aca="false">H19</f>
        <v>0.147180124035781</v>
      </c>
      <c r="I25" s="78" t="n">
        <f aca="false">I19</f>
        <v>0.169136517323555</v>
      </c>
      <c r="J25" s="78" t="n">
        <f aca="false">J19</f>
        <v>0.212790462133393</v>
      </c>
      <c r="K25" s="78" t="n">
        <f aca="false">K19</f>
        <v>0.15720373200667</v>
      </c>
      <c r="L25" s="78" t="n">
        <f aca="false">L19</f>
        <v>0.174205545597768</v>
      </c>
      <c r="M25" s="77"/>
      <c r="N25" s="78" t="n">
        <f aca="false">IFERROR(AVERAGE(C25:L25),0)</f>
        <v>0.181314604675473</v>
      </c>
      <c r="O25" s="78" t="n">
        <f aca="false">IFERROR(MEDIAN(C25:L25),0)</f>
        <v>0.181096835465818</v>
      </c>
    </row>
    <row r="27" customFormat="false" ht="14.25" hidden="false" customHeight="false" outlineLevel="0" collapsed="false">
      <c r="B27" s="74" t="s">
        <v>162</v>
      </c>
      <c r="C27" s="75" t="n">
        <f aca="false">HistoricalFS!C27/SUM(HistoricalFS!C53:C55)</f>
        <v>0.367073196125048</v>
      </c>
      <c r="D27" s="75" t="n">
        <f aca="false">HistoricalFS!D27/SUM(HistoricalFS!D53:D55)</f>
        <v>0.355553542956687</v>
      </c>
      <c r="E27" s="75" t="n">
        <f aca="false">HistoricalFS!E27/SUM(HistoricalFS!E53:E55)</f>
        <v>0.316637859529293</v>
      </c>
      <c r="F27" s="75" t="n">
        <f aca="false">HistoricalFS!F27/SUM(HistoricalFS!F53:F55)</f>
        <v>0.331716844495255</v>
      </c>
      <c r="G27" s="75" t="n">
        <f aca="false">HistoricalFS!G27/SUM(HistoricalFS!G53:G55)</f>
        <v>0.316270978408436</v>
      </c>
      <c r="H27" s="75" t="n">
        <f aca="false">HistoricalFS!H27/SUM(HistoricalFS!H53:H55)</f>
        <v>0.278153501263764</v>
      </c>
      <c r="I27" s="75" t="n">
        <f aca="false">HistoricalFS!I27/SUM(HistoricalFS!I53:I55)</f>
        <v>0.325429780444467</v>
      </c>
      <c r="J27" s="75" t="n">
        <f aca="false">HistoricalFS!J27/SUM(HistoricalFS!J53:J55)</f>
        <v>0.356225722408677</v>
      </c>
      <c r="K27" s="75" t="n">
        <f aca="false">HistoricalFS!K27/SUM(HistoricalFS!K53:K55)</f>
        <v>0.245738378338505</v>
      </c>
      <c r="L27" s="75" t="n">
        <f aca="false">HistoricalFS!L27/SUM(HistoricalFS!L53:L55)</f>
        <v>0.245008798238139</v>
      </c>
      <c r="M27" s="74"/>
      <c r="N27" s="75" t="n">
        <f aca="false">IFERROR(AVERAGE(C27:L27),0)</f>
        <v>0.313780860220827</v>
      </c>
      <c r="O27" s="75" t="n">
        <f aca="false">IFERROR(MEDIAN(C27:L27),0)</f>
        <v>0.32103381998688</v>
      </c>
    </row>
    <row r="28" customFormat="false" ht="14.25" hidden="false" customHeight="false" outlineLevel="0" collapsed="false">
      <c r="B28" s="0" t="s">
        <v>163</v>
      </c>
      <c r="C28" s="76" t="n">
        <f aca="false">HistoricalFS!C50</f>
        <v>0.509991320520769</v>
      </c>
      <c r="D28" s="76" t="n">
        <f aca="false">HistoricalFS!D50</f>
        <v>0.602149204775163</v>
      </c>
      <c r="E28" s="76" t="n">
        <f aca="false">HistoricalFS!E50</f>
        <v>0.543866958931904</v>
      </c>
      <c r="F28" s="76" t="n">
        <f aca="false">HistoricalFS!F50</f>
        <v>0.585089701858921</v>
      </c>
      <c r="G28" s="76" t="n">
        <f aca="false">HistoricalFS!G50</f>
        <v>0.46607312699774</v>
      </c>
      <c r="H28" s="76" t="n">
        <f aca="false">HistoricalFS!H50</f>
        <v>0.404543553735886</v>
      </c>
      <c r="I28" s="76" t="n">
        <f aca="false">HistoricalFS!I50</f>
        <v>0.413550304743607</v>
      </c>
      <c r="J28" s="76" t="n">
        <f aca="false">HistoricalFS!J50</f>
        <v>0.42527560911098</v>
      </c>
      <c r="K28" s="76" t="n">
        <f aca="false">HistoricalFS!K50</f>
        <v>0.35875850133838</v>
      </c>
      <c r="L28" s="76" t="n">
        <f aca="false">HistoricalFS!L50</f>
        <v>0.399775638327164</v>
      </c>
      <c r="N28" s="76" t="n">
        <f aca="false">IFERROR(AVERAGE(C28:L28),0)</f>
        <v>0.470907392034051</v>
      </c>
      <c r="O28" s="76" t="n">
        <f aca="false">IFERROR(MEDIAN(C28:L28),0)</f>
        <v>0.44567436805436</v>
      </c>
    </row>
    <row r="29" customFormat="false" ht="14.25" hidden="false" customHeight="false" outlineLevel="0" collapsed="false">
      <c r="B29" s="0" t="s">
        <v>164</v>
      </c>
      <c r="C29" s="76" t="n">
        <f aca="false">HistoricalFS!C39/SUM(HistoricalFS!C53:C54)</f>
        <v>0.265160332408807</v>
      </c>
      <c r="D29" s="76" t="n">
        <f aca="false">HistoricalFS!D39/SUM(HistoricalFS!D53:D54)</f>
        <v>0.249401027082493</v>
      </c>
      <c r="E29" s="76" t="n">
        <f aca="false">HistoricalFS!E39/SUM(HistoricalFS!E53:E54)</f>
        <v>0.233148022026176</v>
      </c>
      <c r="F29" s="76" t="n">
        <f aca="false">HistoricalFS!F39/SUM(HistoricalFS!F53:F54)</f>
        <v>0.273854509701722</v>
      </c>
      <c r="G29" s="76" t="n">
        <f aca="false">HistoricalFS!G39/SUM(HistoricalFS!G53:G54)</f>
        <v>0.25040429351514</v>
      </c>
      <c r="H29" s="76" t="n">
        <f aca="false">HistoricalFS!H39/SUM(HistoricalFS!H53:H54)</f>
        <v>0.223349860551596</v>
      </c>
      <c r="I29" s="76" t="n">
        <f aca="false">HistoricalFS!I39/SUM(HistoricalFS!I53:I54)</f>
        <v>0.262335521687719</v>
      </c>
      <c r="J29" s="76" t="n">
        <f aca="false">HistoricalFS!J39/SUM(HistoricalFS!J53:J54)</f>
        <v>0.296753576138785</v>
      </c>
      <c r="K29" s="76" t="n">
        <f aca="false">HistoricalFS!K39/SUM(HistoricalFS!K53:K54)</f>
        <v>0.191224037761195</v>
      </c>
      <c r="L29" s="76" t="n">
        <f aca="false">HistoricalFS!L39/SUM(HistoricalFS!L53:L54)</f>
        <v>0.205632337135422</v>
      </c>
      <c r="N29" s="76" t="n">
        <f aca="false">IFERROR(AVERAGE(C29:L29),0)</f>
        <v>0.245126351800906</v>
      </c>
      <c r="O29" s="76" t="n">
        <f aca="false">IFERROR(MEDIAN(C29:L29),0)</f>
        <v>0.249902660298817</v>
      </c>
    </row>
    <row r="30" customFormat="false" ht="14.25" hidden="false" customHeight="false" outlineLevel="0" collapsed="false">
      <c r="B30" s="0" t="s">
        <v>165</v>
      </c>
      <c r="C30" s="76" t="n">
        <f aca="false">C29*C28</f>
        <v>0.135229468074893</v>
      </c>
      <c r="D30" s="76" t="n">
        <f aca="false">D29*D28</f>
        <v>0.150176630127832</v>
      </c>
      <c r="E30" s="76" t="n">
        <f aca="false">E29*E28</f>
        <v>0.126801505720365</v>
      </c>
      <c r="F30" s="76" t="n">
        <f aca="false">F29*F28</f>
        <v>0.160229453434102</v>
      </c>
      <c r="G30" s="76" t="n">
        <f aca="false">G29*G28</f>
        <v>0.116706712092261</v>
      </c>
      <c r="H30" s="76" t="n">
        <f aca="false">H29*H28</f>
        <v>0.0903547463139573</v>
      </c>
      <c r="I30" s="76" t="n">
        <f aca="false">I29*I28</f>
        <v>0.108488934939029</v>
      </c>
      <c r="J30" s="76" t="n">
        <f aca="false">J29*J28</f>
        <v>0.126202057848283</v>
      </c>
      <c r="K30" s="76" t="n">
        <f aca="false">K29*K28</f>
        <v>0.0686032492070801</v>
      </c>
      <c r="L30" s="76" t="n">
        <f aca="false">L29*L28</f>
        <v>0.0822067988390197</v>
      </c>
      <c r="N30" s="76" t="n">
        <f aca="false">IFERROR(AVERAGE(C30:L30),0)</f>
        <v>0.116499955659682</v>
      </c>
      <c r="O30" s="76" t="n">
        <f aca="false">IFERROR(MEDIAN(C30:L30),0)</f>
        <v>0.121454384970272</v>
      </c>
    </row>
    <row r="31" customFormat="false" ht="14.25" hidden="false" customHeight="false" outlineLevel="0" collapsed="false">
      <c r="B31" s="77" t="s">
        <v>166</v>
      </c>
      <c r="C31" s="79" t="n">
        <f aca="false">HistoricalFS!C27/HistoricalFS!C30</f>
        <v>80.280471470667</v>
      </c>
      <c r="D31" s="79" t="n">
        <f aca="false">HistoricalFS!D27/HistoricalFS!D30</f>
        <v>76.6807330600434</v>
      </c>
      <c r="E31" s="79" t="n">
        <f aca="false">HistoricalFS!E27/HistoricalFS!E30</f>
        <v>30.9275821489997</v>
      </c>
      <c r="F31" s="79" t="n">
        <f aca="false">HistoricalFS!F27/HistoricalFS!F30</f>
        <v>36.464086778071</v>
      </c>
      <c r="G31" s="79" t="n">
        <f aca="false">HistoricalFS!G27/HistoricalFS!G30</f>
        <v>47.975335588781</v>
      </c>
      <c r="H31" s="79" t="n">
        <f aca="false">HistoricalFS!H27/HistoricalFS!H30</f>
        <v>44.8918352373965</v>
      </c>
      <c r="I31" s="79" t="n">
        <f aca="false">HistoricalFS!I27/HistoricalFS!I30</f>
        <v>40.3826929733472</v>
      </c>
      <c r="J31" s="79" t="n">
        <f aca="false">HistoricalFS!J27/HistoricalFS!J30</f>
        <v>36.8130818345762</v>
      </c>
      <c r="K31" s="79" t="n">
        <f aca="false">HistoricalFS!K27/HistoricalFS!K30</f>
        <v>23.4785040965554</v>
      </c>
      <c r="L31" s="79" t="n">
        <f aca="false">HistoricalFS!L27/HistoricalFS!L30</f>
        <v>31.7222762397012</v>
      </c>
      <c r="M31" s="77"/>
      <c r="N31" s="79" t="n">
        <f aca="false">IFERROR(AVERAGE(C31:L31),0)</f>
        <v>44.9616599428139</v>
      </c>
      <c r="O31" s="79" t="n">
        <f aca="false">IFERROR(MEDIAN(C31:L31),0)</f>
        <v>38.5978874039617</v>
      </c>
    </row>
    <row r="33" customFormat="false" ht="14.25" hidden="false" customHeight="false" outlineLevel="0" collapsed="false">
      <c r="B33" s="74" t="s">
        <v>167</v>
      </c>
      <c r="C33" s="80" t="n">
        <f aca="false">HistoricalFS!C6/HistoricalFS!C66</f>
        <v>10.4119936402599</v>
      </c>
      <c r="D33" s="80" t="n">
        <f aca="false">HistoricalFS!D6/HistoricalFS!D66</f>
        <v>9.72163316248996</v>
      </c>
      <c r="E33" s="80" t="n">
        <f aca="false">HistoricalFS!E6/HistoricalFS!E66</f>
        <v>10.0874678215097</v>
      </c>
      <c r="F33" s="80" t="n">
        <f aca="false">HistoricalFS!F6/HistoricalFS!F66</f>
        <v>11.2583694477557</v>
      </c>
      <c r="G33" s="80" t="n">
        <f aca="false">HistoricalFS!G6/HistoricalFS!G66</f>
        <v>8.34410895521815</v>
      </c>
      <c r="H33" s="80" t="n">
        <f aca="false">HistoricalFS!H6/HistoricalFS!H66</f>
        <v>7.51691360320708</v>
      </c>
      <c r="I33" s="80" t="n">
        <f aca="false">HistoricalFS!I6/HistoricalFS!I66</f>
        <v>7.43779087070352</v>
      </c>
      <c r="J33" s="80" t="n">
        <f aca="false">HistoricalFS!J6/HistoricalFS!J66</f>
        <v>7.26004643028809</v>
      </c>
      <c r="K33" s="80" t="n">
        <f aca="false">HistoricalFS!K6/HistoricalFS!K66</f>
        <v>7.86007673316101</v>
      </c>
      <c r="L33" s="80" t="n">
        <f aca="false">HistoricalFS!L6/HistoricalFS!L66</f>
        <v>7.97515352548299</v>
      </c>
      <c r="M33" s="74"/>
      <c r="N33" s="80" t="n">
        <f aca="false">IFERROR(AVERAGE(C33:L33),0)</f>
        <v>8.78735541900761</v>
      </c>
      <c r="O33" s="80" t="n">
        <f aca="false">IFERROR(MEDIAN(C33:L33),0)</f>
        <v>8.15963124035057</v>
      </c>
    </row>
    <row r="34" customFormat="false" ht="14.25" hidden="false" customHeight="false" outlineLevel="0" collapsed="false">
      <c r="B34" s="0" t="s">
        <v>168</v>
      </c>
      <c r="C34" s="81" t="n">
        <f aca="false">HistoricalFS!C6/HistoricalFS!C57</f>
        <v>6.49795078431034</v>
      </c>
      <c r="D34" s="81" t="n">
        <f aca="false">HistoricalFS!D6/HistoricalFS!D57</f>
        <v>6.32544683474822</v>
      </c>
      <c r="E34" s="81" t="n">
        <f aca="false">HistoricalFS!E6/HistoricalFS!E57</f>
        <v>6.27800201651717</v>
      </c>
      <c r="F34" s="81" t="n">
        <f aca="false">HistoricalFS!F6/HistoricalFS!F57</f>
        <v>7.34337701785046</v>
      </c>
      <c r="G34" s="81" t="n">
        <f aca="false">HistoricalFS!G6/HistoricalFS!G57</f>
        <v>7.05664087255804</v>
      </c>
      <c r="H34" s="81" t="n">
        <f aca="false">HistoricalFS!H6/HistoricalFS!H57</f>
        <v>8.56930674118593</v>
      </c>
      <c r="I34" s="81" t="n">
        <f aca="false">HistoricalFS!I6/HistoricalFS!I57</f>
        <v>8.17365883947785</v>
      </c>
      <c r="J34" s="81" t="n">
        <f aca="false">HistoricalFS!J6/HistoricalFS!J57</f>
        <v>7.29280329724743</v>
      </c>
      <c r="K34" s="81" t="n">
        <f aca="false">HistoricalFS!K6/HistoricalFS!K57</f>
        <v>7.03852277799114</v>
      </c>
      <c r="L34" s="81" t="n">
        <f aca="false">HistoricalFS!L6/HistoricalFS!L57</f>
        <v>6.64463337709118</v>
      </c>
      <c r="N34" s="81" t="n">
        <f aca="false">IFERROR(AVERAGE(C34:L34),0)</f>
        <v>7.12203425589778</v>
      </c>
      <c r="O34" s="81" t="n">
        <f aca="false">IFERROR(MEDIAN(C34:L34),0)</f>
        <v>7.04758182527459</v>
      </c>
    </row>
    <row r="35" customFormat="false" ht="14.25" hidden="false" customHeight="false" outlineLevel="0" collapsed="false">
      <c r="B35" s="0" t="s">
        <v>169</v>
      </c>
      <c r="C35" s="81" t="n">
        <f aca="false">HistoricalFS!C6/HistoricalFS!C67</f>
        <v>5.73366350202136</v>
      </c>
      <c r="D35" s="81" t="n">
        <f aca="false">HistoricalFS!D6/HistoricalFS!D67</f>
        <v>6.32903987871994</v>
      </c>
      <c r="E35" s="81" t="n">
        <f aca="false">HistoricalFS!E6/HistoricalFS!E67</f>
        <v>6.10824925552247</v>
      </c>
      <c r="F35" s="81" t="n">
        <f aca="false">HistoricalFS!F6/HistoricalFS!F67</f>
        <v>5.96235482224668</v>
      </c>
      <c r="G35" s="81" t="n">
        <f aca="false">HistoricalFS!G6/HistoricalFS!G67</f>
        <v>5.71599799926289</v>
      </c>
      <c r="H35" s="81" t="n">
        <f aca="false">HistoricalFS!H6/HistoricalFS!H67</f>
        <v>4.72962369453501</v>
      </c>
      <c r="I35" s="81" t="n">
        <f aca="false">HistoricalFS!I6/HistoricalFS!I67</f>
        <v>5.55314589156673</v>
      </c>
      <c r="J35" s="81" t="n">
        <f aca="false">HistoricalFS!J6/HistoricalFS!J67</f>
        <v>5.99227978478613</v>
      </c>
      <c r="K35" s="81" t="n">
        <f aca="false">HistoricalFS!K6/HistoricalFS!K67</f>
        <v>5.04602732142033</v>
      </c>
      <c r="L35" s="81" t="n">
        <f aca="false">HistoricalFS!L6/HistoricalFS!L67</f>
        <v>6.1952403420101</v>
      </c>
      <c r="N35" s="81" t="n">
        <f aca="false">IFERROR(AVERAGE(C35:L35),0)</f>
        <v>5.73656224920916</v>
      </c>
      <c r="O35" s="81" t="n">
        <f aca="false">IFERROR(MEDIAN(C35:L35),0)</f>
        <v>5.84800916213402</v>
      </c>
    </row>
    <row r="36" customFormat="false" ht="14.25" hidden="false" customHeight="false" outlineLevel="0" collapsed="false">
      <c r="B36" s="0" t="s">
        <v>170</v>
      </c>
      <c r="C36" s="81" t="n">
        <f aca="false">HistoricalFS!C6/HistoricalFS!C60</f>
        <v>4.5590724451682</v>
      </c>
      <c r="D36" s="81" t="n">
        <f aca="false">HistoricalFS!D6/HistoricalFS!D60</f>
        <v>4.50789606241828</v>
      </c>
      <c r="E36" s="81" t="n">
        <f aca="false">HistoricalFS!E6/HistoricalFS!E60</f>
        <v>2.96158736315835</v>
      </c>
      <c r="F36" s="81" t="n">
        <f aca="false">HistoricalFS!F6/HistoricalFS!F60</f>
        <v>3.22229768617941</v>
      </c>
      <c r="G36" s="81" t="n">
        <f aca="false">HistoricalFS!G6/HistoricalFS!G60</f>
        <v>3.706190300622</v>
      </c>
      <c r="H36" s="81" t="n">
        <f aca="false">HistoricalFS!H6/HistoricalFS!H60</f>
        <v>5.27286893057876</v>
      </c>
      <c r="I36" s="81" t="n">
        <f aca="false">HistoricalFS!I6/HistoricalFS!I60</f>
        <v>5.97674882071793</v>
      </c>
      <c r="J36" s="81" t="n">
        <f aca="false">HistoricalFS!J6/HistoricalFS!J60</f>
        <v>4.96664577100783</v>
      </c>
      <c r="K36" s="81" t="n">
        <f aca="false">HistoricalFS!K6/HistoricalFS!K60</f>
        <v>3.6773592477305</v>
      </c>
      <c r="L36" s="81" t="n">
        <f aca="false">HistoricalFS!L6/HistoricalFS!L60</f>
        <v>3.69113137792678</v>
      </c>
      <c r="N36" s="81" t="n">
        <f aca="false">IFERROR(AVERAGE(C36:L36),0)</f>
        <v>4.25417980055081</v>
      </c>
      <c r="O36" s="81" t="n">
        <f aca="false">IFERROR(MEDIAN(C36:L36),0)</f>
        <v>4.10704318152014</v>
      </c>
    </row>
    <row r="37" customFormat="false" ht="14.25" hidden="false" customHeight="false" outlineLevel="0" collapsed="false">
      <c r="B37" s="77" t="s">
        <v>171</v>
      </c>
      <c r="C37" s="79" t="n">
        <f aca="false">HistoricalFS!C6/SUM(HistoricalFS!C53:C54)</f>
        <v>1.98082691885338</v>
      </c>
      <c r="D37" s="79" t="n">
        <f aca="false">HistoricalFS!D6/SUM(HistoricalFS!D53:D54)</f>
        <v>2.00048631250275</v>
      </c>
      <c r="E37" s="79" t="n">
        <f aca="false">HistoricalFS!E6/SUM(HistoricalFS!E53:E54)</f>
        <v>2.03157472374889</v>
      </c>
      <c r="F37" s="79" t="n">
        <f aca="false">HistoricalFS!F6/SUM(HistoricalFS!F53:F54)</f>
        <v>1.99515604886794</v>
      </c>
      <c r="G37" s="79" t="n">
        <f aca="false">HistoricalFS!G6/SUM(HistoricalFS!G53:G54)</f>
        <v>1.69547854999379</v>
      </c>
      <c r="H37" s="79" t="n">
        <f aca="false">HistoricalFS!H6/SUM(HistoricalFS!H53:H54)</f>
        <v>2.10702339199917</v>
      </c>
      <c r="I37" s="79" t="n">
        <f aca="false">HistoricalFS!I6/SUM(HistoricalFS!I53:I54)</f>
        <v>2.1565841661857</v>
      </c>
      <c r="J37" s="79" t="n">
        <f aca="false">HistoricalFS!J6/SUM(HistoricalFS!J53:J54)</f>
        <v>1.89524569768746</v>
      </c>
      <c r="K37" s="79" t="n">
        <f aca="false">HistoricalFS!K6/SUM(HistoricalFS!K53:K54)</f>
        <v>1.74772948807231</v>
      </c>
      <c r="L37" s="79" t="n">
        <f aca="false">HistoricalFS!L6/SUM(HistoricalFS!L53:L54)</f>
        <v>1.66499263742192</v>
      </c>
      <c r="M37" s="77"/>
      <c r="N37" s="79" t="n">
        <f aca="false">IFERROR(AVERAGE(C37:L37),0)</f>
        <v>1.92750979353333</v>
      </c>
      <c r="O37" s="79" t="n">
        <f aca="false">IFERROR(MEDIAN(C37:L37),0)</f>
        <v>1.98799148386066</v>
      </c>
    </row>
    <row r="39" customFormat="false" ht="14.25" hidden="false" customHeight="false" outlineLevel="0" collapsed="false">
      <c r="B39" s="74" t="s">
        <v>172</v>
      </c>
      <c r="C39" s="82" t="n">
        <f aca="false">(365/C33)</f>
        <v>35.0557263681625</v>
      </c>
      <c r="D39" s="82" t="n">
        <f aca="false">(365/D33)</f>
        <v>37.5451319648965</v>
      </c>
      <c r="E39" s="82" t="n">
        <f aca="false">(365/E33)</f>
        <v>36.1835107143247</v>
      </c>
      <c r="F39" s="82" t="n">
        <f aca="false">(365/F33)</f>
        <v>32.4203253138722</v>
      </c>
      <c r="G39" s="82" t="n">
        <f aca="false">(365/G33)</f>
        <v>43.743436472236</v>
      </c>
      <c r="H39" s="82" t="n">
        <f aca="false">(365/H33)</f>
        <v>48.5571631213472</v>
      </c>
      <c r="I39" s="82" t="n">
        <f aca="false">(365/I33)</f>
        <v>49.0737110447252</v>
      </c>
      <c r="J39" s="82" t="n">
        <f aca="false">(365/J33)</f>
        <v>50.2751605660897</v>
      </c>
      <c r="K39" s="82" t="n">
        <f aca="false">(365/K33)</f>
        <v>46.4372056903841</v>
      </c>
      <c r="L39" s="82" t="n">
        <f aca="false">(365/L33)</f>
        <v>45.767144022208</v>
      </c>
      <c r="M39" s="74"/>
      <c r="N39" s="82" t="n">
        <f aca="false">IFERROR(AVERAGE(C39:L39),0)</f>
        <v>42.5058515278246</v>
      </c>
      <c r="O39" s="82" t="n">
        <f aca="false">IFERROR(MEDIAN(C39:L39),0)</f>
        <v>44.755290247222</v>
      </c>
    </row>
    <row r="40" customFormat="false" ht="14.25" hidden="false" customHeight="false" outlineLevel="0" collapsed="false">
      <c r="B40" s="0" t="s">
        <v>173</v>
      </c>
      <c r="C40" s="83" t="n">
        <f aca="false">365/C34</f>
        <v>56.1715550202862</v>
      </c>
      <c r="D40" s="83" t="n">
        <f aca="false">365/D34</f>
        <v>57.7034333756326</v>
      </c>
      <c r="E40" s="83" t="n">
        <f aca="false">365/E34</f>
        <v>58.1395162090901</v>
      </c>
      <c r="F40" s="83" t="n">
        <f aca="false">365/F34</f>
        <v>49.7046521120663</v>
      </c>
      <c r="G40" s="83" t="n">
        <f aca="false">365/G34</f>
        <v>51.7243269980505</v>
      </c>
      <c r="H40" s="83" t="n">
        <f aca="false">365/H34</f>
        <v>42.5938773139876</v>
      </c>
      <c r="I40" s="83" t="n">
        <f aca="false">365/I34</f>
        <v>44.655644084029</v>
      </c>
      <c r="J40" s="83" t="n">
        <f aca="false">365/J34</f>
        <v>50.049341127542</v>
      </c>
      <c r="K40" s="83" t="n">
        <f aca="false">365/K34</f>
        <v>51.8574723010522</v>
      </c>
      <c r="L40" s="83" t="n">
        <f aca="false">365/L34</f>
        <v>54.931548406932</v>
      </c>
      <c r="N40" s="83" t="n">
        <f aca="false">IFERROR(AVERAGE(C40:L40),0)</f>
        <v>51.7531366948668</v>
      </c>
      <c r="O40" s="83" t="n">
        <f aca="false">IFERROR(MEDIAN(C40:L40),0)</f>
        <v>51.7908996495513</v>
      </c>
    </row>
    <row r="41" customFormat="false" ht="14.25" hidden="false" customHeight="false" outlineLevel="0" collapsed="false">
      <c r="B41" s="0" t="s">
        <v>174</v>
      </c>
      <c r="C41" s="83" t="n">
        <f aca="false">365/C35</f>
        <v>63.6591247238911</v>
      </c>
      <c r="D41" s="83" t="n">
        <f aca="false">365/D35</f>
        <v>57.6706746985804</v>
      </c>
      <c r="E41" s="83" t="n">
        <f aca="false">365/E35</f>
        <v>59.7552563314281</v>
      </c>
      <c r="F41" s="83" t="n">
        <f aca="false">365/F35</f>
        <v>61.2174234646546</v>
      </c>
      <c r="G41" s="83" t="n">
        <f aca="false">365/G35</f>
        <v>63.8558655981106</v>
      </c>
      <c r="H41" s="83" t="n">
        <f aca="false">365/H35</f>
        <v>77.1731587064212</v>
      </c>
      <c r="I41" s="83" t="n">
        <f aca="false">365/I35</f>
        <v>65.7285090518343</v>
      </c>
      <c r="J41" s="83" t="n">
        <f aca="false">365/J35</f>
        <v>60.9117085832178</v>
      </c>
      <c r="K41" s="83" t="n">
        <f aca="false">365/K35</f>
        <v>72.334130742927</v>
      </c>
      <c r="L41" s="83" t="n">
        <f aca="false">365/L35</f>
        <v>58.9161969270061</v>
      </c>
      <c r="N41" s="83" t="n">
        <f aca="false">IFERROR(AVERAGE(C41:L41),0)</f>
        <v>64.1222048828071</v>
      </c>
      <c r="O41" s="83" t="n">
        <f aca="false">IFERROR(MEDIAN(C41:L41),0)</f>
        <v>62.4382740942728</v>
      </c>
    </row>
    <row r="42" customFormat="false" ht="14.25" hidden="false" customHeight="false" outlineLevel="0" collapsed="false">
      <c r="B42" s="77" t="s">
        <v>175</v>
      </c>
      <c r="C42" s="84" t="n">
        <f aca="false">SUM(C39+C41-C40)</f>
        <v>42.5432960717674</v>
      </c>
      <c r="D42" s="84" t="n">
        <f aca="false">SUM(D39+D41-D40)</f>
        <v>37.5123732878443</v>
      </c>
      <c r="E42" s="84" t="n">
        <f aca="false">SUM(E39+E41-E40)</f>
        <v>37.7992508366628</v>
      </c>
      <c r="F42" s="84" t="n">
        <f aca="false">SUM(F39+F41-F40)</f>
        <v>43.9330966664605</v>
      </c>
      <c r="G42" s="84" t="n">
        <f aca="false">SUM(G39+G41-G40)</f>
        <v>55.8749750722961</v>
      </c>
      <c r="H42" s="84" t="n">
        <f aca="false">SUM(H39+H41-H40)</f>
        <v>83.1364445137808</v>
      </c>
      <c r="I42" s="84" t="n">
        <f aca="false">SUM(I39+I41-I40)</f>
        <v>70.1465760125305</v>
      </c>
      <c r="J42" s="84" t="n">
        <f aca="false">SUM(J39+J41-J40)</f>
        <v>61.1375280217655</v>
      </c>
      <c r="K42" s="84" t="n">
        <f aca="false">SUM(K39+K41-K40)</f>
        <v>66.9138641322589</v>
      </c>
      <c r="L42" s="84" t="n">
        <f aca="false">SUM(L39+L41-L40)</f>
        <v>49.7517925422822</v>
      </c>
      <c r="M42" s="77"/>
      <c r="N42" s="84" t="n">
        <f aca="false">IFERROR(AVERAGE(C42:L42),0)</f>
        <v>54.8749197157649</v>
      </c>
      <c r="O42" s="84" t="n">
        <f aca="false">IFERROR(MEDIAN(C42:L42),0)</f>
        <v>52.8133838072891</v>
      </c>
    </row>
    <row r="44" customFormat="false" ht="14.25" hidden="false" customHeight="false" outlineLevel="0" collapsed="false">
      <c r="B44" s="74" t="s">
        <v>176</v>
      </c>
      <c r="C44" s="75" t="n">
        <f aca="false">HistoricalFS!C84/HistoricalFS!C6</f>
        <v>0.101447418302628</v>
      </c>
      <c r="D44" s="75" t="n">
        <f aca="false">HistoricalFS!D84/HistoricalFS!D6</f>
        <v>0.125590283246803</v>
      </c>
      <c r="E44" s="75" t="n">
        <f aca="false">HistoricalFS!E84/HistoricalFS!E6</f>
        <v>0.128325536261969</v>
      </c>
      <c r="F44" s="75" t="n">
        <f aca="false">HistoricalFS!F84/HistoricalFS!F6</f>
        <v>0.150312326056033</v>
      </c>
      <c r="G44" s="75" t="n">
        <f aca="false">HistoricalFS!G84/HistoricalFS!G6</f>
        <v>0.169669581845539</v>
      </c>
      <c r="H44" s="75" t="n">
        <f aca="false">HistoricalFS!H84/HistoricalFS!H6</f>
        <v>0.0338816711842228</v>
      </c>
      <c r="I44" s="75" t="n">
        <f aca="false">HistoricalFS!I84/HistoricalFS!I6</f>
        <v>0.121605435304836</v>
      </c>
      <c r="J44" s="75" t="n">
        <f aca="false">HistoricalFS!J84/HistoricalFS!J6</f>
        <v>0.171969190919328</v>
      </c>
      <c r="K44" s="75" t="n">
        <f aca="false">HistoricalFS!K84/HistoricalFS!K6</f>
        <v>0.130479843754516</v>
      </c>
      <c r="L44" s="75" t="n">
        <f aca="false">HistoricalFS!L84/HistoricalFS!L6</f>
        <v>0.199193222484328</v>
      </c>
      <c r="M44" s="74"/>
      <c r="N44" s="75" t="n">
        <f aca="false">IFERROR(AVERAGE(C44:L44),0)</f>
        <v>0.13324745093602</v>
      </c>
      <c r="O44" s="75" t="n">
        <f aca="false">IFERROR(MEDIAN(C44:L44),0)</f>
        <v>0.129402690008243</v>
      </c>
    </row>
    <row r="45" customFormat="false" ht="14.25" hidden="false" customHeight="false" outlineLevel="0" collapsed="false">
      <c r="B45" s="0" t="s">
        <v>177</v>
      </c>
      <c r="C45" s="76" t="n">
        <f aca="false">HistoricalFS!C84/HistoricalFS!C71</f>
        <v>0.123174252067078</v>
      </c>
      <c r="D45" s="76" t="n">
        <f aca="false">HistoricalFS!D84/HistoricalFS!D71</f>
        <v>0.153522219671188</v>
      </c>
      <c r="E45" s="76" t="n">
        <f aca="false">HistoricalFS!E84/HistoricalFS!E71</f>
        <v>0.151949308381398</v>
      </c>
      <c r="F45" s="76" t="n">
        <f aca="false">HistoricalFS!F84/HistoricalFS!F71</f>
        <v>0.188251682212819</v>
      </c>
      <c r="G45" s="76" t="n">
        <f aca="false">HistoricalFS!G84/HistoricalFS!G71</f>
        <v>0.180984449289474</v>
      </c>
      <c r="H45" s="76" t="n">
        <f aca="false">HistoricalFS!H84/HistoricalFS!H71</f>
        <v>0.0429471875907891</v>
      </c>
      <c r="I45" s="76" t="n">
        <f aca="false">HistoricalFS!I84/HistoricalFS!I71</f>
        <v>0.162688479491127</v>
      </c>
      <c r="J45" s="76" t="n">
        <f aca="false">HistoricalFS!J84/HistoricalFS!J71</f>
        <v>0.204141900024648</v>
      </c>
      <c r="K45" s="76" t="n">
        <f aca="false">HistoricalFS!K84/HistoricalFS!K71</f>
        <v>0.145740852076659</v>
      </c>
      <c r="L45" s="76" t="n">
        <f aca="false">HistoricalFS!L84/HistoricalFS!L71</f>
        <v>0.205337678797755</v>
      </c>
      <c r="N45" s="76" t="n">
        <f aca="false">IFERROR(AVERAGE(C45:L45),0)</f>
        <v>0.155873800960294</v>
      </c>
      <c r="O45" s="76" t="n">
        <f aca="false">IFERROR(MEDIAN(C45:L45),0)</f>
        <v>0.158105349581158</v>
      </c>
    </row>
    <row r="46" customFormat="false" ht="14.25" hidden="false" customHeight="false" outlineLevel="0" collapsed="false">
      <c r="B46" s="77" t="s">
        <v>178</v>
      </c>
      <c r="C46" s="78" t="n">
        <f aca="false">HistoricalFS!C84/HistoricalFS!C55</f>
        <v>2.72691580112075</v>
      </c>
      <c r="D46" s="78" t="n">
        <f aca="false">HistoricalFS!D84/HistoricalFS!D55</f>
        <v>3.96115704028645</v>
      </c>
      <c r="E46" s="78" t="n">
        <f aca="false">HistoricalFS!E84/HistoricalFS!E55</f>
        <v>1.87102152167323</v>
      </c>
      <c r="F46" s="78" t="n">
        <f aca="false">HistoricalFS!F84/HistoricalFS!F55</f>
        <v>2.71613768439875</v>
      </c>
      <c r="G46" s="78" t="n">
        <f aca="false">HistoricalFS!G84/HistoricalFS!G55</f>
        <v>3.37016978922717</v>
      </c>
      <c r="H46" s="78" t="n">
        <f aca="false">HistoricalFS!H84/HistoricalFS!H55</f>
        <v>0.621345029239766</v>
      </c>
      <c r="I46" s="78" t="n">
        <f aca="false">HistoricalFS!I84/HistoricalFS!I55</f>
        <v>2.17011104097029</v>
      </c>
      <c r="J46" s="78" t="n">
        <f aca="false">HistoricalFS!J84/HistoricalFS!J55</f>
        <v>2.46688059230999</v>
      </c>
      <c r="K46" s="78" t="n">
        <f aca="false">HistoricalFS!K84/HistoricalFS!K55</f>
        <v>1.93163311196399</v>
      </c>
      <c r="L46" s="78" t="n">
        <f aca="false">HistoricalFS!L84/HistoricalFS!L55</f>
        <v>1.80405352093318</v>
      </c>
      <c r="M46" s="77"/>
      <c r="N46" s="78" t="n">
        <f aca="false">IFERROR(AVERAGE(C46:L46),0)</f>
        <v>2.36394251321236</v>
      </c>
      <c r="O46" s="78" t="n">
        <f aca="false">IFERROR(MEDIAN(C46:L46),0)</f>
        <v>2.31849581664014</v>
      </c>
    </row>
    <row r="48" customFormat="false" ht="9.75" hidden="false" customHeight="true" outlineLevel="0" collapsed="false">
      <c r="B48" s="1"/>
      <c r="C48" s="1"/>
      <c r="D48" s="1"/>
      <c r="E48" s="1"/>
      <c r="F48" s="1"/>
      <c r="G48" s="1"/>
      <c r="H48" s="1"/>
      <c r="I48" s="1"/>
      <c r="J48" s="1"/>
      <c r="K48" s="1"/>
      <c r="L48" s="1"/>
      <c r="M48" s="1"/>
      <c r="N48" s="1"/>
      <c r="O48" s="1"/>
    </row>
  </sheetData>
  <mergeCells count="1">
    <mergeCell ref="B8:O8"/>
  </mergeCells>
  <printOptions headings="false" gridLines="false" gridLinesSet="true" horizontalCentered="false" verticalCentered="false"/>
  <pageMargins left="0.7" right="0.7" top="0.75" bottom="0.75" header="0.511811023622047" footer="0.511811023622047"/>
  <pageSetup paperSize="1" scale="52"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48"/>
  <sheetViews>
    <sheetView showFormulas="false" showGridLines="false" showRowColHeaders="true" showZeros="true" rightToLeft="false" tabSelected="false" showOutlineSymbols="true" defaultGridColor="true" view="normal" topLeftCell="A25" colorId="64" zoomScale="100" zoomScaleNormal="100" zoomScalePageLayoutView="91" workbookViewId="0">
      <selection pane="topLeft" activeCell="N28" activeCellId="0" sqref="N28"/>
    </sheetView>
  </sheetViews>
  <sheetFormatPr defaultColWidth="8.6796875" defaultRowHeight="14.25" zeroHeight="false" outlineLevelRow="0" outlineLevelCol="0"/>
  <cols>
    <col collapsed="false" customWidth="true" hidden="false" outlineLevel="0" max="1" min="1" style="0" width="1.88"/>
    <col collapsed="false" customWidth="true" hidden="false" outlineLevel="0" max="2" min="2" style="0" width="22"/>
  </cols>
  <sheetData>
    <row r="1" customFormat="false" ht="10.5" hidden="false" customHeight="true" outlineLevel="0" collapsed="false">
      <c r="B1" s="68"/>
      <c r="C1" s="68"/>
      <c r="D1" s="68"/>
      <c r="E1" s="68"/>
      <c r="F1" s="68"/>
      <c r="G1" s="68"/>
      <c r="H1" s="68"/>
      <c r="I1" s="68"/>
      <c r="J1" s="68"/>
      <c r="K1" s="68"/>
      <c r="L1" s="68"/>
    </row>
    <row r="2" customFormat="false" ht="45.75" hidden="false" customHeight="true" outlineLevel="0" collapsed="false">
      <c r="B2" s="69" t="str">
        <f aca="false">'Data Sheet'!B1</f>
        <v>ASIAN PAINTS LTD</v>
      </c>
    </row>
    <row r="3" customFormat="false" ht="14.25" hidden="false" customHeight="false" outlineLevel="0" collapsed="false">
      <c r="B3" s="0" t="s">
        <v>150</v>
      </c>
    </row>
    <row r="4" customFormat="false" ht="21" hidden="false" customHeight="true" outlineLevel="0" collapsed="false">
      <c r="B4" s="70" t="str">
        <f aca="false">CONCATENATE("INR "&amp;'Data Sheet'!B8)</f>
        <v>INR 2645.2</v>
      </c>
    </row>
    <row r="5" customFormat="false" ht="14.25" hidden="false" customHeight="false" outlineLevel="0" collapsed="false">
      <c r="B5" s="0" t="s">
        <v>151</v>
      </c>
    </row>
    <row r="6" customFormat="false" ht="15" hidden="false" customHeight="true" outlineLevel="0" collapsed="false">
      <c r="B6" s="71"/>
      <c r="C6" s="71"/>
      <c r="D6" s="71"/>
      <c r="E6" s="71"/>
      <c r="F6" s="71"/>
      <c r="G6" s="71"/>
      <c r="H6" s="71"/>
    </row>
    <row r="7" customFormat="false" ht="3.75" hidden="false" customHeight="true" outlineLevel="0" collapsed="false">
      <c r="I7" s="85"/>
      <c r="J7" s="85"/>
      <c r="K7" s="85"/>
      <c r="L7" s="85"/>
    </row>
    <row r="8" customFormat="false" ht="14.25" hidden="false" customHeight="false" outlineLevel="0" collapsed="false">
      <c r="B8" s="72" t="str">
        <f aca="false">"Common Size Income Statement"&amp;" - "&amp;'Data Sheet'!B1</f>
        <v>Common Size Income Statement - ASIAN PAINTS LTD</v>
      </c>
      <c r="C8" s="72"/>
      <c r="D8" s="72"/>
      <c r="E8" s="72"/>
      <c r="F8" s="72"/>
      <c r="G8" s="72"/>
      <c r="H8" s="72"/>
      <c r="I8" s="72"/>
      <c r="J8" s="72"/>
      <c r="K8" s="72"/>
      <c r="L8" s="72"/>
    </row>
    <row r="10" customFormat="false" ht="14.25" hidden="false" customHeight="false" outlineLevel="0" collapsed="false">
      <c r="B10" s="86" t="s">
        <v>179</v>
      </c>
      <c r="C10" s="87" t="n">
        <f aca="false">'Data Sheet'!B16</f>
        <v>42825</v>
      </c>
      <c r="D10" s="87" t="n">
        <f aca="false">'Data Sheet'!C16</f>
        <v>43190</v>
      </c>
      <c r="E10" s="87" t="n">
        <f aca="false">'Data Sheet'!D16</f>
        <v>43555</v>
      </c>
      <c r="F10" s="87" t="n">
        <f aca="false">'Data Sheet'!E16</f>
        <v>43921</v>
      </c>
      <c r="G10" s="87" t="n">
        <f aca="false">'Data Sheet'!F16</f>
        <v>44286</v>
      </c>
      <c r="H10" s="87" t="n">
        <f aca="false">'Data Sheet'!G16</f>
        <v>44651</v>
      </c>
      <c r="I10" s="87" t="n">
        <f aca="false">'Data Sheet'!H16</f>
        <v>45016</v>
      </c>
      <c r="J10" s="87" t="n">
        <f aca="false">'Data Sheet'!I16</f>
        <v>45382</v>
      </c>
      <c r="K10" s="87" t="n">
        <f aca="false">'Data Sheet'!J16</f>
        <v>45747</v>
      </c>
      <c r="L10" s="87" t="n">
        <f aca="false">'Data Sheet'!K16</f>
        <v>46112</v>
      </c>
    </row>
    <row r="12" customFormat="false" ht="14.25" hidden="false" customHeight="false" outlineLevel="0" collapsed="false">
      <c r="B12" s="88" t="s">
        <v>75</v>
      </c>
      <c r="C12" s="89" t="n">
        <f aca="false">'Data Sheet'!B17/'Data Sheet'!B$17</f>
        <v>1</v>
      </c>
      <c r="D12" s="89" t="n">
        <f aca="false">'Data Sheet'!C17/'Data Sheet'!C$17</f>
        <v>1</v>
      </c>
      <c r="E12" s="89" t="n">
        <f aca="false">'Data Sheet'!D17/'Data Sheet'!D$17</f>
        <v>1</v>
      </c>
      <c r="F12" s="89" t="n">
        <f aca="false">'Data Sheet'!E17/'Data Sheet'!E$17</f>
        <v>1</v>
      </c>
      <c r="G12" s="89" t="n">
        <f aca="false">'Data Sheet'!F17/'Data Sheet'!F$17</f>
        <v>1</v>
      </c>
      <c r="H12" s="89" t="n">
        <f aca="false">'Data Sheet'!G17/'Data Sheet'!G$17</f>
        <v>1</v>
      </c>
      <c r="I12" s="89" t="n">
        <f aca="false">'Data Sheet'!H17/'Data Sheet'!H$17</f>
        <v>1</v>
      </c>
      <c r="J12" s="89" t="n">
        <f aca="false">'Data Sheet'!I17/'Data Sheet'!I$17</f>
        <v>1</v>
      </c>
      <c r="K12" s="89" t="n">
        <f aca="false">'Data Sheet'!J17/'Data Sheet'!J$17</f>
        <v>1</v>
      </c>
      <c r="L12" s="89" t="n">
        <f aca="false">'Data Sheet'!K17/'Data Sheet'!K$17</f>
        <v>1</v>
      </c>
    </row>
    <row r="13" customFormat="false" ht="14.25" hidden="false" customHeight="false" outlineLevel="0" collapsed="false">
      <c r="B13" s="90" t="s">
        <v>180</v>
      </c>
      <c r="C13" s="76" t="n">
        <f aca="false">'Data Sheet'!B18/'Data Sheet'!B$17</f>
        <v>0.494795176467386</v>
      </c>
      <c r="D13" s="76" t="n">
        <f aca="false">'Data Sheet'!C18/'Data Sheet'!C$17</f>
        <v>0.483113664258479</v>
      </c>
      <c r="E13" s="76" t="n">
        <f aca="false">'Data Sheet'!D18/'Data Sheet'!D$17</f>
        <v>0.518416455606069</v>
      </c>
      <c r="F13" s="76" t="n">
        <f aca="false">'Data Sheet'!E18/'Data Sheet'!E$17</f>
        <v>0.493882862267302</v>
      </c>
      <c r="G13" s="76" t="n">
        <f aca="false">'Data Sheet'!F18/'Data Sheet'!F$17</f>
        <v>0.480157087136199</v>
      </c>
      <c r="H13" s="76" t="n">
        <f aca="false">'Data Sheet'!G18/'Data Sheet'!G$17</f>
        <v>0.588401953453594</v>
      </c>
      <c r="I13" s="76" t="n">
        <f aca="false">'Data Sheet'!H18/'Data Sheet'!H$17</f>
        <v>0.55048727709657</v>
      </c>
      <c r="J13" s="76" t="n">
        <f aca="false">'Data Sheet'!I18/'Data Sheet'!I$17</f>
        <v>0.490519015076323</v>
      </c>
      <c r="K13" s="76" t="n">
        <f aca="false">'Data Sheet'!J18/'Data Sheet'!J$17</f>
        <v>0.516271638743076</v>
      </c>
      <c r="L13" s="76" t="n">
        <f aca="false">'Data Sheet'!K18/'Data Sheet'!K$17</f>
        <v>0.481739871862103</v>
      </c>
    </row>
    <row r="14" customFormat="false" ht="14.25" hidden="false" customHeight="false" outlineLevel="0" collapsed="false">
      <c r="B14" s="90" t="s">
        <v>181</v>
      </c>
      <c r="C14" s="76" t="n">
        <f aca="false">'Data Sheet'!B19/'Data Sheet'!B$17</f>
        <v>0.0350949642112364</v>
      </c>
      <c r="D14" s="76" t="n">
        <f aca="false">'Data Sheet'!C19/'Data Sheet'!C$17</f>
        <v>-0.00844777423467493</v>
      </c>
      <c r="E14" s="76" t="n">
        <f aca="false">'Data Sheet'!D19/'Data Sheet'!D$17</f>
        <v>0.0152421007550365</v>
      </c>
      <c r="F14" s="76" t="n">
        <f aca="false">'Data Sheet'!E19/'Data Sheet'!E$17</f>
        <v>0.0118325190178737</v>
      </c>
      <c r="G14" s="76" t="n">
        <f aca="false">'Data Sheet'!F19/'Data Sheet'!F$17</f>
        <v>0.00425785907752988</v>
      </c>
      <c r="H14" s="76" t="n">
        <f aca="false">'Data Sheet'!G19/'Data Sheet'!G$17</f>
        <v>0.045529612443164</v>
      </c>
      <c r="I14" s="76" t="n">
        <f aca="false">'Data Sheet'!H19/'Data Sheet'!H$17</f>
        <v>0.00898065128206169</v>
      </c>
      <c r="J14" s="76" t="n">
        <f aca="false">'Data Sheet'!I19/'Data Sheet'!I$17</f>
        <v>-0.0102494088559062</v>
      </c>
      <c r="K14" s="76" t="n">
        <f aca="false">'Data Sheet'!J19/'Data Sheet'!J$17</f>
        <v>0.00604619529151804</v>
      </c>
      <c r="L14" s="76" t="n">
        <f aca="false">'Data Sheet'!K19/'Data Sheet'!K$17</f>
        <v>-0.0169651473686991</v>
      </c>
    </row>
    <row r="15" customFormat="false" ht="14.25" hidden="false" customHeight="false" outlineLevel="0" collapsed="false">
      <c r="B15" s="90" t="s">
        <v>182</v>
      </c>
      <c r="C15" s="76" t="n">
        <f aca="false">'Data Sheet'!B20/'Data Sheet'!B$17</f>
        <v>0.00703891052908679</v>
      </c>
      <c r="D15" s="76" t="n">
        <f aca="false">'Data Sheet'!C20/'Data Sheet'!C$17</f>
        <v>0.00655589599721835</v>
      </c>
      <c r="E15" s="76" t="n">
        <f aca="false">'Data Sheet'!D20/'Data Sheet'!D$17</f>
        <v>0.00621773345606293</v>
      </c>
      <c r="F15" s="76" t="n">
        <f aca="false">'Data Sheet'!E20/'Data Sheet'!E$17</f>
        <v>0.00483839445853176</v>
      </c>
      <c r="G15" s="76" t="n">
        <f aca="false">'Data Sheet'!F20/'Data Sheet'!F$17</f>
        <v>0.00396310193208703</v>
      </c>
      <c r="H15" s="76" t="n">
        <f aca="false">'Data Sheet'!G20/'Data Sheet'!G$17</f>
        <v>0.00402834514495582</v>
      </c>
      <c r="I15" s="76" t="n">
        <f aca="false">'Data Sheet'!H20/'Data Sheet'!H$17</f>
        <v>0.00400973191423598</v>
      </c>
      <c r="J15" s="76" t="n">
        <f aca="false">'Data Sheet'!I20/'Data Sheet'!I$17</f>
        <v>0.00375407842234608</v>
      </c>
      <c r="K15" s="76" t="n">
        <f aca="false">'Data Sheet'!J20/'Data Sheet'!J$17</f>
        <v>0.00438216437275</v>
      </c>
      <c r="L15" s="76" t="n">
        <f aca="false">'Data Sheet'!K20/'Data Sheet'!K$17</f>
        <v>0.00469599146122055</v>
      </c>
    </row>
    <row r="16" customFormat="false" ht="14.25" hidden="false" customHeight="false" outlineLevel="0" collapsed="false">
      <c r="B16" s="90" t="s">
        <v>183</v>
      </c>
      <c r="C16" s="76" t="n">
        <f aca="false">'Data Sheet'!B21/'Data Sheet'!B$17</f>
        <v>0.110393779308046</v>
      </c>
      <c r="D16" s="76" t="n">
        <f aca="false">'Data Sheet'!C21/'Data Sheet'!C$17</f>
        <v>0.100548305898226</v>
      </c>
      <c r="E16" s="76" t="n">
        <f aca="false">'Data Sheet'!D21/'Data Sheet'!D$17</f>
        <v>0.0967950840249</v>
      </c>
      <c r="F16" s="76" t="n">
        <f aca="false">'Data Sheet'!E21/'Data Sheet'!E$17</f>
        <v>0.0962889479868885</v>
      </c>
      <c r="G16" s="76" t="n">
        <f aca="false">'Data Sheet'!F21/'Data Sheet'!F$17</f>
        <v>0.0952576799204524</v>
      </c>
      <c r="H16" s="76" t="n">
        <f aca="false">'Data Sheet'!G21/'Data Sheet'!G$17</f>
        <v>0.0989801823150047</v>
      </c>
      <c r="I16" s="76" t="n">
        <f aca="false">'Data Sheet'!H21/'Data Sheet'!H$17</f>
        <v>0.0845555008192565</v>
      </c>
      <c r="J16" s="76" t="n">
        <f aca="false">'Data Sheet'!I21/'Data Sheet'!I$17</f>
        <v>0.0779603056566425</v>
      </c>
      <c r="K16" s="76" t="n">
        <f aca="false">'Data Sheet'!J21/'Data Sheet'!J$17</f>
        <v>0.0792611962264663</v>
      </c>
      <c r="L16" s="76" t="n">
        <f aca="false">'Data Sheet'!K21/'Data Sheet'!K$17</f>
        <v>0.0777637638076481</v>
      </c>
    </row>
    <row r="17" customFormat="false" ht="14.25" hidden="false" customHeight="false" outlineLevel="0" collapsed="false">
      <c r="B17" s="90" t="s">
        <v>184</v>
      </c>
      <c r="C17" s="76" t="n">
        <f aca="false">'Data Sheet'!B22/'Data Sheet'!B$17</f>
        <v>0.0690406778918324</v>
      </c>
      <c r="D17" s="76" t="n">
        <f aca="false">'Data Sheet'!C22/'Data Sheet'!C$17</f>
        <v>0.0666817240282801</v>
      </c>
      <c r="E17" s="76" t="n">
        <f aca="false">'Data Sheet'!D22/'Data Sheet'!D$17</f>
        <v>0.0645884409304927</v>
      </c>
      <c r="F17" s="76" t="n">
        <f aca="false">'Data Sheet'!E22/'Data Sheet'!E$17</f>
        <v>0.0678468674624281</v>
      </c>
      <c r="G17" s="76" t="n">
        <f aca="false">'Data Sheet'!F22/'Data Sheet'!F$17</f>
        <v>0.0712764227904383</v>
      </c>
      <c r="H17" s="76" t="n">
        <f aca="false">'Data Sheet'!G22/'Data Sheet'!G$17</f>
        <v>0.0616677342027567</v>
      </c>
      <c r="I17" s="76" t="n">
        <f aca="false">'Data Sheet'!H22/'Data Sheet'!H$17</f>
        <v>0.0590459047470482</v>
      </c>
      <c r="J17" s="76" t="n">
        <f aca="false">'Data Sheet'!I22/'Data Sheet'!I$17</f>
        <v>0.0657821597741411</v>
      </c>
      <c r="K17" s="76" t="n">
        <f aca="false">'Data Sheet'!J22/'Data Sheet'!J$17</f>
        <v>0.0768539256913751</v>
      </c>
      <c r="L17" s="76" t="n">
        <f aca="false">'Data Sheet'!K22/'Data Sheet'!K$17</f>
        <v>0.0789615086076315</v>
      </c>
    </row>
    <row r="18" customFormat="false" ht="14.25" hidden="false" customHeight="false" outlineLevel="0" collapsed="false">
      <c r="B18" s="90" t="s">
        <v>185</v>
      </c>
      <c r="C18" s="76" t="n">
        <f aca="false">'Data Sheet'!B23/'Data Sheet'!B$17</f>
        <v>0.289738606917147</v>
      </c>
      <c r="D18" s="76" t="n">
        <f aca="false">'Data Sheet'!C23/'Data Sheet'!C$17</f>
        <v>0.134025575721193</v>
      </c>
      <c r="E18" s="76" t="n">
        <f aca="false">'Data Sheet'!D23/'Data Sheet'!D$17</f>
        <v>0.123017360069812</v>
      </c>
      <c r="F18" s="76" t="n">
        <f aca="false">'Data Sheet'!E23/'Data Sheet'!E$17</f>
        <v>0.114367493351475</v>
      </c>
      <c r="G18" s="76" t="n">
        <f aca="false">'Data Sheet'!F23/'Data Sheet'!F$17</f>
        <v>0.103427058429617</v>
      </c>
      <c r="H18" s="76" t="n">
        <f aca="false">'Data Sheet'!G23/'Data Sheet'!G$17</f>
        <v>0.101094522302799</v>
      </c>
      <c r="I18" s="76" t="n">
        <f aca="false">'Data Sheet'!H23/'Data Sheet'!H$17</f>
        <v>0.101507194118403</v>
      </c>
      <c r="J18" s="76" t="n">
        <f aca="false">'Data Sheet'!I23/'Data Sheet'!I$17</f>
        <v>0.107392280487836</v>
      </c>
      <c r="K18" s="76" t="n">
        <f aca="false">'Data Sheet'!J23/'Data Sheet'!J$17</f>
        <v>0.114286068209341</v>
      </c>
      <c r="L18" s="76" t="n">
        <f aca="false">'Data Sheet'!K23/'Data Sheet'!K$17</f>
        <v>0.115561015008625</v>
      </c>
    </row>
    <row r="19" customFormat="false" ht="14.25" hidden="false" customHeight="false" outlineLevel="0" collapsed="false">
      <c r="B19" s="90" t="s">
        <v>186</v>
      </c>
      <c r="C19" s="76" t="n">
        <f aca="false">'Data Sheet'!B24/'Data Sheet'!B$17</f>
        <v>-0.134674767411212</v>
      </c>
      <c r="D19" s="76" t="n">
        <f aca="false">'Data Sheet'!C24/'Data Sheet'!C$17</f>
        <v>0.010190465718251</v>
      </c>
      <c r="E19" s="76" t="n">
        <f aca="false">'Data Sheet'!D24/'Data Sheet'!D$17</f>
        <v>0.0105253966579228</v>
      </c>
      <c r="F19" s="76" t="n">
        <f aca="false">'Data Sheet'!E24/'Data Sheet'!E$17</f>
        <v>0.0286944152390377</v>
      </c>
      <c r="G19" s="76" t="n">
        <f aca="false">'Data Sheet'!F24/'Data Sheet'!F$17</f>
        <v>0.0265479470855657</v>
      </c>
      <c r="H19" s="76" t="n">
        <f aca="false">'Data Sheet'!G24/'Data Sheet'!G$17</f>
        <v>0.026291627034962</v>
      </c>
      <c r="I19" s="76" t="n">
        <f aca="false">'Data Sheet'!H24/'Data Sheet'!H$17</f>
        <v>0.0278703768405725</v>
      </c>
      <c r="J19" s="76" t="n">
        <f aca="false">'Data Sheet'!I24/'Data Sheet'!I$17</f>
        <v>0.0306496203802649</v>
      </c>
      <c r="K19" s="76" t="n">
        <f aca="false">'Data Sheet'!J24/'Data Sheet'!J$17</f>
        <v>0.0378462331613461</v>
      </c>
      <c r="L19" s="76" t="n">
        <f aca="false">'Data Sheet'!K24/'Data Sheet'!K$17</f>
        <v>0.0360309851127797</v>
      </c>
    </row>
    <row r="20" customFormat="false" ht="14.25" hidden="false" customHeight="false" outlineLevel="0" collapsed="false">
      <c r="B20" s="90" t="s">
        <v>84</v>
      </c>
      <c r="C20" s="76" t="n">
        <f aca="false">'Data Sheet'!B25/'Data Sheet'!B$17</f>
        <v>0.0224339546102474</v>
      </c>
      <c r="D20" s="76" t="n">
        <f aca="false">'Data Sheet'!C25/'Data Sheet'!C$17</f>
        <v>0.0199951856067473</v>
      </c>
      <c r="E20" s="76" t="n">
        <f aca="false">'Data Sheet'!D25/'Data Sheet'!D$17</f>
        <v>0.0142291138365489</v>
      </c>
      <c r="F20" s="76" t="n">
        <f aca="false">'Data Sheet'!E25/'Data Sheet'!E$17</f>
        <v>0.0173220359948049</v>
      </c>
      <c r="G20" s="76" t="n">
        <f aca="false">'Data Sheet'!F25/'Data Sheet'!F$17</f>
        <v>0.0152744073884563</v>
      </c>
      <c r="H20" s="76" t="n">
        <f aca="false">'Data Sheet'!G25/'Data Sheet'!G$17</f>
        <v>0.0101672503752412</v>
      </c>
      <c r="I20" s="76" t="n">
        <f aca="false">'Data Sheet'!H25/'Data Sheet'!H$17</f>
        <v>0.0125102243959524</v>
      </c>
      <c r="J20" s="76" t="n">
        <f aca="false">'Data Sheet'!I25/'Data Sheet'!I$17</f>
        <v>0.02312906732915</v>
      </c>
      <c r="K20" s="76" t="n">
        <f aca="false">'Data Sheet'!J25/'Data Sheet'!J$17</f>
        <v>0.0103292610487583</v>
      </c>
      <c r="L20" s="76" t="n">
        <f aca="false">'Data Sheet'!K25/'Data Sheet'!K$17</f>
        <v>0.0204580544824939</v>
      </c>
    </row>
    <row r="21" customFormat="false" ht="14.25" hidden="false" customHeight="false" outlineLevel="0" collapsed="false">
      <c r="B21" s="90" t="s">
        <v>86</v>
      </c>
      <c r="C21" s="76" t="n">
        <f aca="false">'Data Sheet'!B26/'Data Sheet'!B$17</f>
        <v>0.022227474590011</v>
      </c>
      <c r="D21" s="76" t="n">
        <f aca="false">'Data Sheet'!C26/'Data Sheet'!C$17</f>
        <v>0.0214252387136655</v>
      </c>
      <c r="E21" s="76" t="n">
        <f aca="false">'Data Sheet'!D26/'Data Sheet'!D$17</f>
        <v>0.0323355403523781</v>
      </c>
      <c r="F21" s="76" t="n">
        <f aca="false">'Data Sheet'!E26/'Data Sheet'!E$17</f>
        <v>0.0386171068093265</v>
      </c>
      <c r="G21" s="76" t="n">
        <f aca="false">'Data Sheet'!F26/'Data Sheet'!F$17</f>
        <v>0.0364425760116503</v>
      </c>
      <c r="H21" s="76" t="n">
        <f aca="false">'Data Sheet'!G26/'Data Sheet'!G$17</f>
        <v>0.0280523743285519</v>
      </c>
      <c r="I21" s="76" t="n">
        <f aca="false">'Data Sheet'!H26/'Data Sheet'!H$17</f>
        <v>0.0248783728183727</v>
      </c>
      <c r="J21" s="76" t="n">
        <f aca="false">'Data Sheet'!I26/'Data Sheet'!I$17</f>
        <v>0.024031736542298</v>
      </c>
      <c r="K21" s="76" t="n">
        <f aca="false">'Data Sheet'!J26/'Data Sheet'!J$17</f>
        <v>0.0302704979292518</v>
      </c>
      <c r="L21" s="76" t="n">
        <f aca="false">'Data Sheet'!K26/'Data Sheet'!K$17</f>
        <v>0.0345342256560196</v>
      </c>
    </row>
    <row r="22" customFormat="false" ht="14.25" hidden="false" customHeight="false" outlineLevel="0" collapsed="false">
      <c r="B22" s="90" t="s">
        <v>90</v>
      </c>
      <c r="C22" s="76" t="n">
        <f aca="false">'Data Sheet'!B27/'Data Sheet'!B$17</f>
        <v>0.00247842416573109</v>
      </c>
      <c r="D22" s="76" t="n">
        <f aca="false">'Data Sheet'!C27/'Data Sheet'!C$17</f>
        <v>0.00246485047148364</v>
      </c>
      <c r="E22" s="76" t="n">
        <f aca="false">'Data Sheet'!D27/'Data Sheet'!D$17</f>
        <v>0.00574164519678401</v>
      </c>
      <c r="F22" s="76" t="n">
        <f aca="false">'Data Sheet'!E27/'Data Sheet'!E$17</f>
        <v>0.00506302183190055</v>
      </c>
      <c r="G22" s="76" t="n">
        <f aca="false">'Data Sheet'!F27/'Data Sheet'!F$17</f>
        <v>0.00422009331827002</v>
      </c>
      <c r="H22" s="76" t="n">
        <f aca="false">'Data Sheet'!G27/'Data Sheet'!G$17</f>
        <v>0.00327854994694391</v>
      </c>
      <c r="I22" s="76" t="n">
        <f aca="false">'Data Sheet'!H27/'Data Sheet'!H$17</f>
        <v>0.0041883417095335</v>
      </c>
      <c r="J22" s="76" t="n">
        <f aca="false">'Data Sheet'!I27/'Data Sheet'!I$17</f>
        <v>0.00578029470853842</v>
      </c>
      <c r="K22" s="76" t="n">
        <f aca="false">'Data Sheet'!J27/'Data Sheet'!J$17</f>
        <v>0.00669564514673379</v>
      </c>
      <c r="L22" s="76" t="n">
        <f aca="false">'Data Sheet'!K27/'Data Sheet'!K$17</f>
        <v>0.00549158403014427</v>
      </c>
    </row>
    <row r="23" customFormat="false" ht="14.25" hidden="false" customHeight="false" outlineLevel="0" collapsed="false">
      <c r="B23" s="90" t="s">
        <v>187</v>
      </c>
      <c r="C23" s="76" t="n">
        <f aca="false">'Data Sheet'!B28/'Data Sheet'!B$17</f>
        <v>0.196490636363455</v>
      </c>
      <c r="D23" s="76" t="n">
        <f aca="false">'Data Sheet'!C28/'Data Sheet'!C$17</f>
        <v>0.186541690565275</v>
      </c>
      <c r="E23" s="76" t="n">
        <f aca="false">'Data Sheet'!D28/'Data Sheet'!D$17</f>
        <v>0.171833558297163</v>
      </c>
      <c r="F23" s="76" t="n">
        <f aca="false">'Data Sheet'!E28/'Data Sheet'!E$17</f>
        <v>0.179555445605789</v>
      </c>
      <c r="G23" s="76" t="n">
        <f aca="false">'Data Sheet'!F28/'Data Sheet'!F$17</f>
        <v>0.198240299841706</v>
      </c>
      <c r="H23" s="76" t="n">
        <f aca="false">'Data Sheet'!G28/'Data Sheet'!G$17</f>
        <v>0.143901574088837</v>
      </c>
      <c r="I23" s="76" t="n">
        <f aca="false">'Data Sheet'!H28/'Data Sheet'!H$17</f>
        <v>0.164948175614022</v>
      </c>
      <c r="J23" s="76" t="n">
        <f aca="false">'Data Sheet'!I28/'Data Sheet'!I$17</f>
        <v>0.207010167424854</v>
      </c>
      <c r="K23" s="76" t="n">
        <f aca="false">'Data Sheet'!J28/'Data Sheet'!J$17</f>
        <v>0.150508086859936</v>
      </c>
      <c r="L23" s="76" t="n">
        <f aca="false">'Data Sheet'!K28/'Data Sheet'!K$17</f>
        <v>0.168713961567624</v>
      </c>
    </row>
    <row r="24" customFormat="false" ht="14.25" hidden="false" customHeight="false" outlineLevel="0" collapsed="false">
      <c r="B24" s="90" t="s">
        <v>94</v>
      </c>
      <c r="C24" s="76" t="n">
        <f aca="false">'Data Sheet'!B29/'Data Sheet'!B$17</f>
        <v>0.0626271827295065</v>
      </c>
      <c r="D24" s="76" t="n">
        <f aca="false">'Data Sheet'!C29/'Data Sheet'!C$17</f>
        <v>0.0618714913623247</v>
      </c>
      <c r="E24" s="76" t="n">
        <f aca="false">'Data Sheet'!D29/'Data Sheet'!D$17</f>
        <v>0.0570713399545637</v>
      </c>
      <c r="F24" s="76" t="n">
        <f aca="false">'Data Sheet'!E29/'Data Sheet'!E$17</f>
        <v>0.0422957511287031</v>
      </c>
      <c r="G24" s="76" t="n">
        <f aca="false">'Data Sheet'!F29/'Data Sheet'!F$17</f>
        <v>0.0505508504434483</v>
      </c>
      <c r="H24" s="76" t="n">
        <f aca="false">'Data Sheet'!G29/'Data Sheet'!G$17</f>
        <v>0.0378990202492811</v>
      </c>
      <c r="I24" s="76" t="n">
        <f aca="false">'Data Sheet'!H29/'Data Sheet'!H$17</f>
        <v>0.0433041768306562</v>
      </c>
      <c r="J24" s="76" t="n">
        <f aca="false">'Data Sheet'!I29/'Data Sheet'!I$17</f>
        <v>0.050432275439199</v>
      </c>
      <c r="K24" s="76" t="n">
        <f aca="false">'Data Sheet'!J29/'Data Sheet'!J$17</f>
        <v>0.0410952520555589</v>
      </c>
      <c r="L24" s="76" t="n">
        <f aca="false">'Data Sheet'!K29/'Data Sheet'!K$17</f>
        <v>0.0452105102527742</v>
      </c>
    </row>
    <row r="25" customFormat="false" ht="14.25" hidden="false" customHeight="false" outlineLevel="0" collapsed="false">
      <c r="B25" s="90" t="s">
        <v>188</v>
      </c>
      <c r="C25" s="76" t="n">
        <f aca="false">'Data Sheet'!B30/'Data Sheet'!B$17</f>
        <v>0.128763197957242</v>
      </c>
      <c r="D25" s="76" t="n">
        <f aca="false">'Data Sheet'!C30/'Data Sheet'!C$17</f>
        <v>0.121187788083485</v>
      </c>
      <c r="E25" s="76" t="n">
        <f aca="false">'Data Sheet'!D30/'Data Sheet'!D$17</f>
        <v>0.112053296937183</v>
      </c>
      <c r="F25" s="76" t="n">
        <f aca="false">'Data Sheet'!E30/'Data Sheet'!E$17</f>
        <v>0.13384476467314</v>
      </c>
      <c r="G25" s="76" t="n">
        <f aca="false">'Data Sheet'!F30/'Data Sheet'!F$17</f>
        <v>0.144582524862074</v>
      </c>
      <c r="H25" s="76" t="n">
        <f aca="false">'Data Sheet'!G30/'Data Sheet'!G$17</f>
        <v>0.104138718296927</v>
      </c>
      <c r="I25" s="76" t="n">
        <f aca="false">'Data Sheet'!H30/'Data Sheet'!H$17</f>
        <v>0.119066914594073</v>
      </c>
      <c r="J25" s="76" t="n">
        <f aca="false">'Data Sheet'!I30/'Data Sheet'!I$17</f>
        <v>0.153832132263015</v>
      </c>
      <c r="K25" s="76" t="n">
        <f aca="false">'Data Sheet'!J30/'Data Sheet'!J$17</f>
        <v>0.108159945165433</v>
      </c>
      <c r="L25" s="76" t="n">
        <f aca="false">'Data Sheet'!K30/'Data Sheet'!K$17</f>
        <v>0.121554797527171</v>
      </c>
    </row>
    <row r="26" customFormat="false" ht="14.25" hidden="false" customHeight="false" outlineLevel="0" collapsed="false">
      <c r="B26" s="90" t="s">
        <v>189</v>
      </c>
      <c r="C26" s="76" t="n">
        <f aca="false">'Data Sheet'!B31/'Data Sheet'!B$17</f>
        <v>0.0655942541457005</v>
      </c>
      <c r="D26" s="76" t="n">
        <f aca="false">'Data Sheet'!C31/'Data Sheet'!C$17</f>
        <v>0.0496001378937327</v>
      </c>
      <c r="E26" s="76" t="n">
        <f aca="false">'Data Sheet'!D31/'Data Sheet'!D$17</f>
        <v>0.0523468396523308</v>
      </c>
      <c r="F26" s="76" t="n">
        <f aca="false">'Data Sheet'!E31/'Data Sheet'!E$17</f>
        <v>0.0569504607582411</v>
      </c>
      <c r="G26" s="76" t="n">
        <f aca="false">'Data Sheet'!F31/'Data Sheet'!F$17</f>
        <v>0.0788553658926375</v>
      </c>
      <c r="H26" s="76" t="n">
        <f aca="false">'Data Sheet'!G31/'Data Sheet'!G$17</f>
        <v>0.0631199040042225</v>
      </c>
      <c r="I26" s="76" t="n">
        <f aca="false">'Data Sheet'!H31/'Data Sheet'!H$17</f>
        <v>0.0713380860162738</v>
      </c>
      <c r="J26" s="76" t="n">
        <f aca="false">'Data Sheet'!I31/'Data Sheet'!I$17</f>
        <v>0.0899891335981426</v>
      </c>
      <c r="K26" s="76" t="n">
        <f aca="false">'Data Sheet'!J31/'Data Sheet'!J$17</f>
        <v>0.0701600501627754</v>
      </c>
      <c r="L26" s="76" t="n">
        <f aca="false">'Data Sheet'!K31/'Data Sheet'!K$17</f>
        <v>0.0741297802298479</v>
      </c>
    </row>
    <row r="27" customFormat="false" ht="14.25" hidden="false" customHeight="false" outlineLevel="0" collapsed="false">
      <c r="B27" s="90" t="s">
        <v>82</v>
      </c>
      <c r="C27" s="76" t="n">
        <f aca="false">HistoricalFS!C18/'Data Sheet'!B$17</f>
        <v>0.19876258050895</v>
      </c>
      <c r="D27" s="76" t="n">
        <f aca="false">HistoricalFS!D18/'Data Sheet'!C$17</f>
        <v>0.190436594143677</v>
      </c>
      <c r="E27" s="76" t="n">
        <f aca="false">HistoricalFS!E18/'Data Sheet'!D$17</f>
        <v>0.195681630009777</v>
      </c>
      <c r="F27" s="76" t="n">
        <f aca="false">HistoricalFS!F18/'Data Sheet'!E$17</f>
        <v>0.205913538252211</v>
      </c>
      <c r="G27" s="76" t="n">
        <f aca="false">HistoricalFS!G18/'Data Sheet'!F$17</f>
        <v>0.22362856178317</v>
      </c>
      <c r="H27" s="76" t="n">
        <f aca="false">HistoricalFS!H18/'Data Sheet'!G$17</f>
        <v>0.165065247989092</v>
      </c>
      <c r="I27" s="76" t="n">
        <f aca="false">HistoricalFS!I18/'Data Sheet'!H$17</f>
        <v>0.181504665745976</v>
      </c>
      <c r="J27" s="76" t="n">
        <f aca="false">HistoricalFS!J18/'Data Sheet'!I$17</f>
        <v>0.213693131346541</v>
      </c>
      <c r="K27" s="76" t="n">
        <f aca="false">HistoricalFS!K18/'Data Sheet'!J$17</f>
        <v>0.177144968887164</v>
      </c>
      <c r="L27" s="76" t="n">
        <f aca="false">HistoricalFS!L18/'Data Sheet'!K$17</f>
        <v>0.188281716771294</v>
      </c>
    </row>
    <row r="28" customFormat="false" ht="14.25" hidden="false" customHeight="false" outlineLevel="0" collapsed="false">
      <c r="B28" s="90"/>
    </row>
    <row r="29" customFormat="false" ht="14.25" hidden="false" customHeight="false" outlineLevel="0" collapsed="false">
      <c r="B29" s="72" t="str">
        <f aca="false">"Common Size Balance Sheet"&amp;" - "&amp;'Data Sheet'!B1</f>
        <v>Common Size Balance Sheet - ASIAN PAINTS LTD</v>
      </c>
      <c r="C29" s="72"/>
      <c r="D29" s="72"/>
      <c r="E29" s="72"/>
      <c r="F29" s="72"/>
      <c r="G29" s="72"/>
      <c r="H29" s="72"/>
      <c r="I29" s="72"/>
      <c r="J29" s="72"/>
      <c r="K29" s="72"/>
      <c r="L29" s="72"/>
    </row>
    <row r="30" customFormat="false" ht="14.25" hidden="false" customHeight="false" outlineLevel="0" collapsed="false">
      <c r="B30" s="90"/>
    </row>
    <row r="31" customFormat="false" ht="14.25" hidden="false" customHeight="false" outlineLevel="0" collapsed="false">
      <c r="B31" s="86" t="s">
        <v>179</v>
      </c>
      <c r="C31" s="87" t="n">
        <f aca="false">C10</f>
        <v>42825</v>
      </c>
      <c r="D31" s="87" t="n">
        <f aca="false">D10</f>
        <v>43190</v>
      </c>
      <c r="E31" s="87" t="n">
        <f aca="false">E10</f>
        <v>43555</v>
      </c>
      <c r="F31" s="87" t="n">
        <f aca="false">F10</f>
        <v>43921</v>
      </c>
      <c r="G31" s="87" t="n">
        <f aca="false">G10</f>
        <v>44286</v>
      </c>
      <c r="H31" s="87" t="n">
        <f aca="false">H10</f>
        <v>44651</v>
      </c>
      <c r="I31" s="87" t="n">
        <f aca="false">I10</f>
        <v>45016</v>
      </c>
      <c r="J31" s="87" t="n">
        <f aca="false">J10</f>
        <v>45382</v>
      </c>
      <c r="K31" s="87" t="n">
        <f aca="false">K10</f>
        <v>45747</v>
      </c>
      <c r="L31" s="87" t="n">
        <f aca="false">L10</f>
        <v>46112</v>
      </c>
    </row>
    <row r="32" customFormat="false" ht="14.25" hidden="false" customHeight="false" outlineLevel="0" collapsed="false">
      <c r="B32" s="65"/>
      <c r="C32" s="91"/>
      <c r="D32" s="91"/>
      <c r="E32" s="91"/>
      <c r="F32" s="91"/>
      <c r="G32" s="91"/>
      <c r="H32" s="91"/>
      <c r="I32" s="91"/>
      <c r="J32" s="91"/>
      <c r="K32" s="91"/>
      <c r="L32" s="91"/>
    </row>
    <row r="33" customFormat="false" ht="14.25" hidden="false" customHeight="false" outlineLevel="0" collapsed="false">
      <c r="B33" s="88" t="s">
        <v>109</v>
      </c>
      <c r="C33" s="89" t="n">
        <f aca="false">'Data Sheet'!B61/'Data Sheet'!B$61</f>
        <v>1</v>
      </c>
      <c r="D33" s="89" t="n">
        <f aca="false">'Data Sheet'!C61/'Data Sheet'!C$61</f>
        <v>1</v>
      </c>
      <c r="E33" s="89" t="n">
        <f aca="false">'Data Sheet'!D61/'Data Sheet'!D$61</f>
        <v>1</v>
      </c>
      <c r="F33" s="89" t="n">
        <f aca="false">'Data Sheet'!E61/'Data Sheet'!E$61</f>
        <v>1</v>
      </c>
      <c r="G33" s="89" t="n">
        <f aca="false">'Data Sheet'!F61/'Data Sheet'!F$61</f>
        <v>1</v>
      </c>
      <c r="H33" s="89" t="n">
        <f aca="false">'Data Sheet'!G61/'Data Sheet'!G$61</f>
        <v>1</v>
      </c>
      <c r="I33" s="89" t="n">
        <f aca="false">'Data Sheet'!H61/'Data Sheet'!H$61</f>
        <v>1</v>
      </c>
      <c r="J33" s="89" t="n">
        <f aca="false">'Data Sheet'!I61/'Data Sheet'!I$61</f>
        <v>1</v>
      </c>
      <c r="K33" s="89" t="n">
        <f aca="false">'Data Sheet'!J61/'Data Sheet'!J$61</f>
        <v>1</v>
      </c>
      <c r="L33" s="89" t="n">
        <f aca="false">'Data Sheet'!K61/'Data Sheet'!K$61</f>
        <v>1</v>
      </c>
    </row>
    <row r="34" customFormat="false" ht="14.25" hidden="false" customHeight="false" outlineLevel="0" collapsed="false">
      <c r="B34" s="90" t="s">
        <v>104</v>
      </c>
      <c r="C34" s="76" t="n">
        <f aca="false">'Data Sheet'!B57/'Data Sheet'!B$61</f>
        <v>0.00773224755122654</v>
      </c>
      <c r="D34" s="76" t="n">
        <f aca="false">'Data Sheet'!C57/'Data Sheet'!C$61</f>
        <v>0.00696916768142941</v>
      </c>
      <c r="E34" s="76" t="n">
        <f aca="false">'Data Sheet'!D57/'Data Sheet'!D$61</f>
        <v>0.00590319062776174</v>
      </c>
      <c r="F34" s="76" t="n">
        <f aca="false">'Data Sheet'!E57/'Data Sheet'!E$61</f>
        <v>0.00594374633240736</v>
      </c>
      <c r="G34" s="76" t="n">
        <f aca="false">'Data Sheet'!F57/'Data Sheet'!F$61</f>
        <v>0.00471227697498543</v>
      </c>
      <c r="H34" s="76" t="n">
        <f aca="false">'Data Sheet'!G57/'Data Sheet'!G$61</f>
        <v>0.0041779860382439</v>
      </c>
      <c r="I34" s="76" t="n">
        <f aca="false">'Data Sheet'!H57/'Data Sheet'!H$61</f>
        <v>0.00372081043223389</v>
      </c>
      <c r="J34" s="76" t="n">
        <f aca="false">'Data Sheet'!I57/'Data Sheet'!I$61</f>
        <v>0.00320794414324447</v>
      </c>
      <c r="K34" s="76" t="n">
        <f aca="false">'Data Sheet'!J57/'Data Sheet'!J$61</f>
        <v>0.0031599146770328</v>
      </c>
      <c r="L34" s="76" t="n">
        <f aca="false">'Data Sheet'!K57/'Data Sheet'!K$61</f>
        <v>0.00277877964874163</v>
      </c>
    </row>
    <row r="35" customFormat="false" ht="14.25" hidden="false" customHeight="false" outlineLevel="0" collapsed="false">
      <c r="B35" s="90" t="s">
        <v>105</v>
      </c>
      <c r="C35" s="76" t="n">
        <f aca="false">'Data Sheet'!B58/'Data Sheet'!B$61</f>
        <v>0.605228134353444</v>
      </c>
      <c r="D35" s="76" t="n">
        <f aca="false">'Data Sheet'!C58/'Data Sheet'!C$61</f>
        <v>0.604084868071156</v>
      </c>
      <c r="E35" s="76" t="n">
        <f aca="false">'Data Sheet'!D58/'Data Sheet'!D$61</f>
        <v>0.576941492438845</v>
      </c>
      <c r="F35" s="76" t="n">
        <f aca="false">'Data Sheet'!E58/'Data Sheet'!E$61</f>
        <v>0.621778327757457</v>
      </c>
      <c r="G35" s="76" t="n">
        <f aca="false">'Data Sheet'!F58/'Data Sheet'!F$61</f>
        <v>0.624424352528624</v>
      </c>
      <c r="H35" s="76" t="n">
        <f aca="false">'Data Sheet'!G58/'Data Sheet'!G$61</f>
        <v>0.597411931042323</v>
      </c>
      <c r="I35" s="76" t="n">
        <f aca="false">'Data Sheet'!H58/'Data Sheet'!H$61</f>
        <v>0.616630067577396</v>
      </c>
      <c r="J35" s="76" t="n">
        <f aca="false">'Data Sheet'!I58/'Data Sheet'!I$61</f>
        <v>0.623140474308856</v>
      </c>
      <c r="K35" s="76" t="n">
        <f aca="false">'Data Sheet'!J58/'Data Sheet'!J$61</f>
        <v>0.635932499320546</v>
      </c>
      <c r="L35" s="76" t="n">
        <f aca="false">'Data Sheet'!K58/'Data Sheet'!K$61</f>
        <v>0.616351113525258</v>
      </c>
    </row>
    <row r="36" customFormat="false" ht="14.25" hidden="false" customHeight="false" outlineLevel="0" collapsed="false">
      <c r="B36" s="90" t="s">
        <v>106</v>
      </c>
      <c r="C36" s="76" t="n">
        <f aca="false">'Data Sheet'!B59/'Data Sheet'!B$61</f>
        <v>0.0451698039288395</v>
      </c>
      <c r="D36" s="76" t="n">
        <f aca="false">'Data Sheet'!C59/'Data Sheet'!C$61</f>
        <v>0.038756913222528</v>
      </c>
      <c r="E36" s="76" t="n">
        <f aca="false">'Data Sheet'!D59/'Data Sheet'!D$61</f>
        <v>0.0812119511300499</v>
      </c>
      <c r="F36" s="76" t="n">
        <f aca="false">'Data Sheet'!E59/'Data Sheet'!E$61</f>
        <v>0.0693085933360887</v>
      </c>
      <c r="G36" s="76" t="n">
        <f aca="false">'Data Sheet'!F59/'Data Sheet'!F$61</f>
        <v>0.0537018787207681</v>
      </c>
      <c r="H36" s="76" t="n">
        <f aca="false">'Data Sheet'!G59/'Data Sheet'!G$61</f>
        <v>0.0691197089696465</v>
      </c>
      <c r="I36" s="76" t="n">
        <f aca="false">'Data Sheet'!H59/'Data Sheet'!H$61</f>
        <v>0.0749678133605489</v>
      </c>
      <c r="J36" s="76" t="n">
        <f aca="false">'Data Sheet'!I59/'Data Sheet'!I$61</f>
        <v>0.0827530528478029</v>
      </c>
      <c r="K36" s="76" t="n">
        <f aca="false">'Data Sheet'!J59/'Data Sheet'!J$61</f>
        <v>0.0754495515602738</v>
      </c>
      <c r="L36" s="76" t="n">
        <f aca="false">'Data Sheet'!K59/'Data Sheet'!K$61</f>
        <v>0.113820170197357</v>
      </c>
    </row>
    <row r="37" customFormat="false" ht="14.25" hidden="false" customHeight="false" outlineLevel="0" collapsed="false">
      <c r="B37" s="90" t="s">
        <v>108</v>
      </c>
      <c r="C37" s="76" t="n">
        <f aca="false">'Data Sheet'!B60/'Data Sheet'!B$61</f>
        <v>0.34186981416649</v>
      </c>
      <c r="D37" s="76" t="n">
        <f aca="false">'Data Sheet'!C60/'Data Sheet'!C$61</f>
        <v>0.350189051024886</v>
      </c>
      <c r="E37" s="76" t="n">
        <f aca="false">'Data Sheet'!D60/'Data Sheet'!D$61</f>
        <v>0.335943365803344</v>
      </c>
      <c r="F37" s="76" t="n">
        <f aca="false">'Data Sheet'!E60/'Data Sheet'!E$61</f>
        <v>0.302969332574047</v>
      </c>
      <c r="G37" s="76" t="n">
        <f aca="false">'Data Sheet'!F60/'Data Sheet'!F$61</f>
        <v>0.317161491775623</v>
      </c>
      <c r="H37" s="76" t="n">
        <f aca="false">'Data Sheet'!G60/'Data Sheet'!G$61</f>
        <v>0.329290373949787</v>
      </c>
      <c r="I37" s="76" t="n">
        <f aca="false">'Data Sheet'!H60/'Data Sheet'!H$61</f>
        <v>0.304681308629821</v>
      </c>
      <c r="J37" s="76" t="n">
        <f aca="false">'Data Sheet'!I60/'Data Sheet'!I$61</f>
        <v>0.290898528700097</v>
      </c>
      <c r="K37" s="76" t="n">
        <f aca="false">'Data Sheet'!J60/'Data Sheet'!J$61</f>
        <v>0.285458034442148</v>
      </c>
      <c r="L37" s="76" t="n">
        <f aca="false">'Data Sheet'!K60/'Data Sheet'!K$61</f>
        <v>0.267049936628644</v>
      </c>
    </row>
    <row r="38" customFormat="false" ht="14.25" hidden="false" customHeight="false" outlineLevel="0" collapsed="false">
      <c r="B38" s="90"/>
    </row>
    <row r="39" customFormat="false" ht="14.25" hidden="false" customHeight="false" outlineLevel="0" collapsed="false">
      <c r="B39" s="88" t="s">
        <v>119</v>
      </c>
      <c r="C39" s="89" t="n">
        <f aca="false">'Data Sheet'!B66/'Data Sheet'!B$66</f>
        <v>1</v>
      </c>
      <c r="D39" s="89" t="n">
        <f aca="false">'Data Sheet'!C66/'Data Sheet'!C$66</f>
        <v>1</v>
      </c>
      <c r="E39" s="89" t="n">
        <f aca="false">'Data Sheet'!D66/'Data Sheet'!D$66</f>
        <v>1</v>
      </c>
      <c r="F39" s="89" t="n">
        <f aca="false">'Data Sheet'!E66/'Data Sheet'!E$66</f>
        <v>1</v>
      </c>
      <c r="G39" s="89" t="n">
        <f aca="false">'Data Sheet'!F66/'Data Sheet'!F$66</f>
        <v>1</v>
      </c>
      <c r="H39" s="89" t="n">
        <f aca="false">'Data Sheet'!G66/'Data Sheet'!G$66</f>
        <v>1</v>
      </c>
      <c r="I39" s="89" t="n">
        <f aca="false">'Data Sheet'!H66/'Data Sheet'!H$66</f>
        <v>1</v>
      </c>
      <c r="J39" s="89" t="n">
        <f aca="false">'Data Sheet'!I66/'Data Sheet'!I$66</f>
        <v>1</v>
      </c>
      <c r="K39" s="89" t="n">
        <f aca="false">'Data Sheet'!J66/'Data Sheet'!J$66</f>
        <v>1</v>
      </c>
      <c r="L39" s="89" t="n">
        <f aca="false">'Data Sheet'!K66/'Data Sheet'!K$66</f>
        <v>1</v>
      </c>
    </row>
    <row r="40" customFormat="false" ht="14.25" hidden="false" customHeight="false" outlineLevel="0" collapsed="false">
      <c r="B40" s="90" t="s">
        <v>190</v>
      </c>
      <c r="C40" s="76" t="n">
        <f aca="false">'Data Sheet'!B62/'Data Sheet'!B$66</f>
        <v>0.266319177699011</v>
      </c>
      <c r="D40" s="76" t="n">
        <f aca="false">'Data Sheet'!C62/'Data Sheet'!C$66</f>
        <v>0.271169791360906</v>
      </c>
      <c r="E40" s="76" t="n">
        <f aca="false">'Data Sheet'!D62/'Data Sheet'!D$66</f>
        <v>0.39981684846426</v>
      </c>
      <c r="F40" s="76" t="n">
        <f aca="false">'Data Sheet'!E62/'Data Sheet'!E$66</f>
        <v>0.388667843601147</v>
      </c>
      <c r="G40" s="76" t="n">
        <f aca="false">'Data Sheet'!F62/'Data Sheet'!F$66</f>
        <v>0.28781243644174</v>
      </c>
      <c r="H40" s="76" t="n">
        <f aca="false">'Data Sheet'!G62/'Data Sheet'!G$66</f>
        <v>0.240393615765538</v>
      </c>
      <c r="I40" s="76" t="n">
        <f aca="false">'Data Sheet'!H62/'Data Sheet'!H$66</f>
        <v>0.223840573048252</v>
      </c>
      <c r="J40" s="76" t="n">
        <f aca="false">'Data Sheet'!I62/'Data Sheet'!I$66</f>
        <v>0.23901123616549</v>
      </c>
      <c r="K40" s="76" t="n">
        <f aca="false">'Data Sheet'!J62/'Data Sheet'!J$66</f>
        <v>0.303739880251357</v>
      </c>
      <c r="L40" s="76" t="n">
        <f aca="false">'Data Sheet'!K62/'Data Sheet'!K$66</f>
        <v>0.279276625022633</v>
      </c>
    </row>
    <row r="41" customFormat="false" ht="14.25" hidden="false" customHeight="false" outlineLevel="0" collapsed="false">
      <c r="B41" s="90" t="s">
        <v>111</v>
      </c>
      <c r="C41" s="76" t="n">
        <f aca="false">'Data Sheet'!B63/'Data Sheet'!B$66</f>
        <v>0.0207606654956514</v>
      </c>
      <c r="D41" s="76" t="n">
        <f aca="false">'Data Sheet'!C63/'Data Sheet'!C$66</f>
        <v>0.102089733119821</v>
      </c>
      <c r="E41" s="76" t="n">
        <f aca="false">'Data Sheet'!D63/'Data Sheet'!D$66</f>
        <v>0.0129036903557423</v>
      </c>
      <c r="F41" s="76" t="n">
        <f aca="false">'Data Sheet'!E63/'Data Sheet'!E$66</f>
        <v>0.00869006448766481</v>
      </c>
      <c r="G41" s="76" t="n">
        <f aca="false">'Data Sheet'!F63/'Data Sheet'!F$66</f>
        <v>0.00898928733197284</v>
      </c>
      <c r="H41" s="76" t="n">
        <f aca="false">'Data Sheet'!G63/'Data Sheet'!G$66</f>
        <v>0.0185740052782355</v>
      </c>
      <c r="I41" s="76" t="n">
        <f aca="false">'Data Sheet'!H63/'Data Sheet'!H$66</f>
        <v>0.0395506787802476</v>
      </c>
      <c r="J41" s="76" t="n">
        <f aca="false">'Data Sheet'!I63/'Data Sheet'!I$66</f>
        <v>0.0902441642807192</v>
      </c>
      <c r="K41" s="76" t="n">
        <f aca="false">'Data Sheet'!J63/'Data Sheet'!J$66</f>
        <v>0.0413269533276781</v>
      </c>
      <c r="L41" s="76" t="n">
        <f aca="false">'Data Sheet'!K63/'Data Sheet'!K$66</f>
        <v>0.0535555314140865</v>
      </c>
    </row>
    <row r="42" customFormat="false" ht="14.25" hidden="false" customHeight="false" outlineLevel="0" collapsed="false">
      <c r="B42" s="90" t="s">
        <v>112</v>
      </c>
      <c r="C42" s="76" t="n">
        <f aca="false">'Data Sheet'!B64/'Data Sheet'!B$66</f>
        <v>0.213780683729955</v>
      </c>
      <c r="D42" s="76" t="n">
        <f aca="false">'Data Sheet'!C64/'Data Sheet'!C$66</f>
        <v>0.155534792072935</v>
      </c>
      <c r="E42" s="76" t="n">
        <f aca="false">'Data Sheet'!D64/'Data Sheet'!D$66</f>
        <v>0.15807774585755</v>
      </c>
      <c r="F42" s="76" t="n">
        <f aca="false">'Data Sheet'!E64/'Data Sheet'!E$66</f>
        <v>0.12509937743099</v>
      </c>
      <c r="G42" s="76" t="n">
        <f aca="false">'Data Sheet'!F64/'Data Sheet'!F$66</f>
        <v>0.232705521008246</v>
      </c>
      <c r="H42" s="76" t="n">
        <f aca="false">'Data Sheet'!G64/'Data Sheet'!G$66</f>
        <v>0.141452616751233</v>
      </c>
      <c r="I42" s="76" t="n">
        <f aca="false">'Data Sheet'!H64/'Data Sheet'!H$66</f>
        <v>0.165315002368176</v>
      </c>
      <c r="J42" s="76" t="n">
        <f aca="false">'Data Sheet'!I64/'Data Sheet'!I$66</f>
        <v>0.153438189049981</v>
      </c>
      <c r="K42" s="76" t="n">
        <f aca="false">'Data Sheet'!J64/'Data Sheet'!J$66</f>
        <v>0.155648528672964</v>
      </c>
      <c r="L42" s="76" t="n">
        <f aca="false">'Data Sheet'!K64/'Data Sheet'!K$66</f>
        <v>0.204576932826362</v>
      </c>
    </row>
    <row r="43" customFormat="false" ht="14.25" hidden="false" customHeight="false" outlineLevel="0" collapsed="false">
      <c r="B43" s="90" t="s">
        <v>113</v>
      </c>
      <c r="C43" s="76" t="n">
        <f aca="false">'Data Sheet'!B75/'Data Sheet'!B$66</f>
        <v>0.106178946070153</v>
      </c>
      <c r="D43" s="76" t="n">
        <f aca="false">'Data Sheet'!C75/'Data Sheet'!C$66</f>
        <v>0.122922400439424</v>
      </c>
      <c r="E43" s="76" t="n">
        <f aca="false">'Data Sheet'!D75/'Data Sheet'!D$66</f>
        <v>0.090588620479985</v>
      </c>
      <c r="F43" s="76" t="n">
        <f aca="false">'Data Sheet'!E75/'Data Sheet'!E$66</f>
        <v>0.107740316780859</v>
      </c>
      <c r="G43" s="76" t="n">
        <f aca="false">'Data Sheet'!F75/'Data Sheet'!F$66</f>
        <v>0.126036705847213</v>
      </c>
      <c r="H43" s="76" t="n">
        <f aca="false">'Data Sheet'!G75/'Data Sheet'!G$66</f>
        <v>0.125298637581054</v>
      </c>
      <c r="I43" s="76" t="n">
        <f aca="false">'Data Sheet'!H75/'Data Sheet'!H$66</f>
        <v>0.11777536499203</v>
      </c>
      <c r="J43" s="76" t="n">
        <f aca="false">'Data Sheet'!I75/'Data Sheet'!I$66</f>
        <v>0.119441405689553</v>
      </c>
      <c r="K43" s="76" t="n">
        <f aca="false">'Data Sheet'!J75/'Data Sheet'!J$66</f>
        <v>0.110063662793092</v>
      </c>
      <c r="L43" s="76" t="n">
        <f aca="false">'Data Sheet'!K75/'Data Sheet'!K$66</f>
        <v>0.135836031142495</v>
      </c>
    </row>
    <row r="44" customFormat="false" ht="14.25" hidden="false" customHeight="false" outlineLevel="0" collapsed="false">
      <c r="B44" s="90" t="s">
        <v>115</v>
      </c>
      <c r="C44" s="76" t="n">
        <f aca="false">'Data Sheet'!B67/'Data Sheet'!B$66</f>
        <v>0.116612482356175</v>
      </c>
      <c r="D44" s="76" t="n">
        <f aca="false">'Data Sheet'!C67/'Data Sheet'!C$66</f>
        <v>0.125740728362304</v>
      </c>
      <c r="E44" s="76" t="n">
        <f aca="false">'Data Sheet'!D67/'Data Sheet'!D$66</f>
        <v>0.117382533153136</v>
      </c>
      <c r="F44" s="76" t="n">
        <f aca="false">'Data Sheet'!E67/'Data Sheet'!E$66</f>
        <v>0.111241996360137</v>
      </c>
      <c r="G44" s="76" t="n">
        <f aca="false">'Data Sheet'!F67/'Data Sheet'!F$66</f>
        <v>0.127837216180128</v>
      </c>
      <c r="H44" s="76" t="n">
        <f aca="false">'Data Sheet'!G67/'Data Sheet'!G$66</f>
        <v>0.168628255503534</v>
      </c>
      <c r="I44" s="76" t="n">
        <f aca="false">'Data Sheet'!H67/'Data Sheet'!H$66</f>
        <v>0.179870462110536</v>
      </c>
      <c r="J44" s="76" t="n">
        <f aca="false">'Data Sheet'!I67/'Data Sheet'!I$66</f>
        <v>0.163509167155227</v>
      </c>
      <c r="K44" s="76" t="n">
        <f aca="false">'Data Sheet'!J67/'Data Sheet'!J$66</f>
        <v>0.142105566582387</v>
      </c>
      <c r="L44" s="76" t="n">
        <f aca="false">'Data Sheet'!K67/'Data Sheet'!K$66</f>
        <v>0.129257287705957</v>
      </c>
    </row>
    <row r="45" customFormat="false" ht="14.25" hidden="false" customHeight="false" outlineLevel="0" collapsed="false">
      <c r="B45" s="90" t="s">
        <v>116</v>
      </c>
      <c r="C45" s="76" t="n">
        <f aca="false">'Data Sheet'!B68/'Data Sheet'!B$66</f>
        <v>0.211761367621133</v>
      </c>
      <c r="D45" s="76" t="n">
        <f aca="false">'Data Sheet'!C68/'Data Sheet'!C$66</f>
        <v>0.193142286689122</v>
      </c>
      <c r="E45" s="76" t="n">
        <f aca="false">'Data Sheet'!D68/'Data Sheet'!D$66</f>
        <v>0.193851376467489</v>
      </c>
      <c r="F45" s="76" t="n">
        <f aca="false">'Data Sheet'!E68/'Data Sheet'!E$66</f>
        <v>0.210051821883422</v>
      </c>
      <c r="G45" s="76" t="n">
        <f aca="false">'Data Sheet'!F68/'Data Sheet'!F$66</f>
        <v>0.186614421571931</v>
      </c>
      <c r="H45" s="76" t="n">
        <f aca="false">'Data Sheet'!G68/'Data Sheet'!G$66</f>
        <v>0.268005259941555</v>
      </c>
      <c r="I45" s="76" t="n">
        <f aca="false">'Data Sheet'!H68/'Data Sheet'!H$66</f>
        <v>0.240915493148969</v>
      </c>
      <c r="J45" s="76" t="n">
        <f aca="false">'Data Sheet'!I68/'Data Sheet'!I$66</f>
        <v>0.198102256229522</v>
      </c>
      <c r="K45" s="76" t="n">
        <f aca="false">'Data Sheet'!J68/'Data Sheet'!J$66</f>
        <v>0.221354460925211</v>
      </c>
      <c r="L45" s="76" t="n">
        <f aca="false">'Data Sheet'!K68/'Data Sheet'!K$66</f>
        <v>0.166393336954554</v>
      </c>
    </row>
    <row r="46" customFormat="false" ht="14.25" hidden="false" customHeight="false" outlineLevel="0" collapsed="false">
      <c r="B46" s="90" t="s">
        <v>117</v>
      </c>
      <c r="C46" s="76" t="n">
        <f aca="false">'Data Sheet'!B69/'Data Sheet'!B$66</f>
        <v>0.0645866770279214</v>
      </c>
      <c r="D46" s="76" t="n">
        <f aca="false">'Data Sheet'!C69/'Data Sheet'!C$66</f>
        <v>0.029400267955488</v>
      </c>
      <c r="E46" s="76" t="n">
        <f aca="false">'Data Sheet'!D69/'Data Sheet'!D$66</f>
        <v>0.0273791852218374</v>
      </c>
      <c r="F46" s="76" t="n">
        <f aca="false">'Data Sheet'!E69/'Data Sheet'!E$66</f>
        <v>0.0485085794557804</v>
      </c>
      <c r="G46" s="76" t="n">
        <f aca="false">'Data Sheet'!F69/'Data Sheet'!F$66</f>
        <v>0.0300044116187693</v>
      </c>
      <c r="H46" s="76" t="n">
        <f aca="false">'Data Sheet'!G69/'Data Sheet'!G$66</f>
        <v>0.0376476091788507</v>
      </c>
      <c r="I46" s="76" t="n">
        <f aca="false">'Data Sheet'!H69/'Data Sheet'!H$66</f>
        <v>0.032732425551789</v>
      </c>
      <c r="J46" s="76" t="n">
        <f aca="false">'Data Sheet'!I69/'Data Sheet'!I$66</f>
        <v>0.0362535814295083</v>
      </c>
      <c r="K46" s="76" t="n">
        <f aca="false">'Data Sheet'!J69/'Data Sheet'!J$66</f>
        <v>0.0257609474473114</v>
      </c>
      <c r="L46" s="76" t="n">
        <f aca="false">'Data Sheet'!K69/'Data Sheet'!K$66</f>
        <v>0.0311042549339127</v>
      </c>
    </row>
    <row r="48" customFormat="false" ht="10.5" hidden="false" customHeight="true" outlineLevel="0" collapsed="false">
      <c r="B48" s="1"/>
      <c r="C48" s="1"/>
      <c r="D48" s="1"/>
      <c r="E48" s="1"/>
      <c r="F48" s="1"/>
      <c r="G48" s="1"/>
      <c r="H48" s="1"/>
      <c r="I48" s="1"/>
      <c r="J48" s="1"/>
      <c r="K48" s="1"/>
      <c r="L48" s="1"/>
    </row>
  </sheetData>
  <mergeCells count="2">
    <mergeCell ref="B8:L8"/>
    <mergeCell ref="B29:L29"/>
  </mergeCells>
  <printOptions headings="false" gridLines="false" gridLinesSet="true" horizontalCentered="false" verticalCentered="false"/>
  <pageMargins left="0.7" right="0.7" top="0.75" bottom="0.75" header="0.511811023622047" footer="0.511811023622047"/>
  <pageSetup paperSize="1" scale="8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9"/>
  <sheetViews>
    <sheetView showFormulas="false" showGridLines="false" showRowColHeaders="true" showZeros="true" rightToLeft="false" tabSelected="false" showOutlineSymbols="true" defaultGridColor="true" view="normal" topLeftCell="A20" colorId="64" zoomScale="50" zoomScaleNormal="50" zoomScalePageLayoutView="70" workbookViewId="0">
      <selection pane="topLeft" activeCell="O9" activeCellId="0" sqref="O9"/>
    </sheetView>
  </sheetViews>
  <sheetFormatPr defaultColWidth="8.66796875" defaultRowHeight="14.25" zeroHeight="false" outlineLevelRow="1" outlineLevelCol="0"/>
  <cols>
    <col collapsed="false" customWidth="true" hidden="false" outlineLevel="0" max="1" min="1" style="0" width="1.88"/>
    <col collapsed="false" customWidth="true" hidden="false" outlineLevel="0" max="2" min="2" style="0" width="25.56"/>
    <col collapsed="false" customWidth="true" hidden="false" outlineLevel="0" max="13" min="3" style="0" width="15.88"/>
  </cols>
  <sheetData>
    <row r="1" customFormat="false" ht="14.25" hidden="false" customHeight="false" outlineLevel="0" collapsed="false">
      <c r="B1" s="68"/>
      <c r="C1" s="68"/>
      <c r="D1" s="68"/>
      <c r="E1" s="68"/>
      <c r="F1" s="68"/>
      <c r="G1" s="68"/>
      <c r="H1" s="68"/>
      <c r="I1" s="68"/>
      <c r="J1" s="68"/>
      <c r="K1" s="68"/>
      <c r="L1" s="68"/>
      <c r="M1" s="68"/>
    </row>
    <row r="2" customFormat="false" ht="45.75" hidden="false" customHeight="true" outlineLevel="0" collapsed="false">
      <c r="B2" s="69" t="str">
        <f aca="false">'Data Sheet'!B1</f>
        <v>ASIAN PAINTS LTD</v>
      </c>
      <c r="J2" s="69"/>
    </row>
    <row r="3" customFormat="false" ht="14.25" hidden="false" customHeight="false" outlineLevel="0" collapsed="false">
      <c r="B3" s="0" t="s">
        <v>150</v>
      </c>
    </row>
    <row r="4" customFormat="false" ht="21" hidden="false" customHeight="true" outlineLevel="0" collapsed="false">
      <c r="B4" s="70" t="str">
        <f aca="false">CONCATENATE("INR "&amp;'Data Sheet'!B8)</f>
        <v>INR 2645.2</v>
      </c>
      <c r="J4" s="70"/>
    </row>
    <row r="5" customFormat="false" ht="14.25" hidden="false" customHeight="false" outlineLevel="0" collapsed="false">
      <c r="B5" s="0" t="s">
        <v>151</v>
      </c>
    </row>
    <row r="6" customFormat="false" ht="15" hidden="false" customHeight="true" outlineLevel="0" collapsed="false">
      <c r="B6" s="71"/>
      <c r="C6" s="71"/>
      <c r="D6" s="71"/>
      <c r="E6" s="71"/>
      <c r="F6" s="71"/>
      <c r="G6" s="71"/>
      <c r="H6" s="71"/>
      <c r="I6" s="71"/>
      <c r="J6" s="71"/>
      <c r="K6" s="71"/>
      <c r="L6" s="71"/>
      <c r="M6" s="71"/>
    </row>
    <row r="7" customFormat="false" ht="6" hidden="false" customHeight="true" outlineLevel="0" collapsed="false"/>
    <row r="8" customFormat="false" ht="15" hidden="false" customHeight="true" outlineLevel="0" collapsed="false">
      <c r="B8" s="22" t="str">
        <f aca="false">"Assumption Sheet"&amp;" - "&amp;'Data Sheet'!B1</f>
        <v>Assumption Sheet - ASIAN PAINTS LTD</v>
      </c>
      <c r="C8" s="22"/>
      <c r="D8" s="22"/>
      <c r="E8" s="22"/>
      <c r="F8" s="22"/>
      <c r="G8" s="22"/>
      <c r="H8" s="22"/>
      <c r="I8" s="22"/>
      <c r="J8" s="22"/>
      <c r="K8" s="22"/>
      <c r="L8" s="22"/>
      <c r="M8" s="22"/>
    </row>
    <row r="9" customFormat="false" ht="14.25" hidden="false" customHeight="true" outlineLevel="0" collapsed="false">
      <c r="C9" s="92"/>
      <c r="D9" s="92"/>
      <c r="E9" s="92"/>
      <c r="F9" s="92"/>
      <c r="G9" s="92"/>
      <c r="H9" s="92"/>
      <c r="I9" s="92"/>
      <c r="J9" s="92"/>
      <c r="K9" s="92"/>
      <c r="L9" s="92"/>
    </row>
    <row r="10" customFormat="false" ht="15" hidden="false" customHeight="true" outlineLevel="0" collapsed="false">
      <c r="A10" s="0" t="s">
        <v>74</v>
      </c>
      <c r="B10" s="20" t="s">
        <v>191</v>
      </c>
      <c r="C10" s="93"/>
      <c r="D10" s="93"/>
      <c r="E10" s="93"/>
      <c r="F10" s="93"/>
      <c r="G10" s="93"/>
      <c r="H10" s="93"/>
      <c r="I10" s="93"/>
      <c r="J10" s="93"/>
      <c r="K10" s="93"/>
      <c r="L10" s="93"/>
      <c r="M10" s="93"/>
    </row>
    <row r="11" customFormat="false" ht="14.25" hidden="false" customHeight="true" outlineLevel="1" collapsed="false">
      <c r="B11" s="52" t="s">
        <v>192</v>
      </c>
      <c r="C11" s="94" t="n">
        <f aca="false">IFERROR(HistoricalFS!G3,0)</f>
        <v>44286</v>
      </c>
      <c r="D11" s="94" t="n">
        <f aca="false">IFERROR(HistoricalFS!H3,0)</f>
        <v>44651</v>
      </c>
      <c r="E11" s="94" t="n">
        <f aca="false">IFERROR(HistoricalFS!I3,0)</f>
        <v>45016</v>
      </c>
      <c r="F11" s="94" t="n">
        <f aca="false">IFERROR(HistoricalFS!J3,0)</f>
        <v>45382</v>
      </c>
      <c r="G11" s="94" t="n">
        <f aca="false">IFERROR(HistoricalFS!K3,0)</f>
        <v>45747</v>
      </c>
      <c r="H11" s="94" t="n">
        <f aca="false">IFERROR(HistoricalFS!L3,0)</f>
        <v>46112</v>
      </c>
      <c r="I11" s="95" t="n">
        <f aca="false">H11+365</f>
        <v>46477</v>
      </c>
      <c r="J11" s="95" t="n">
        <f aca="false">I11+365</f>
        <v>46842</v>
      </c>
      <c r="K11" s="95" t="n">
        <f aca="false">J11+365</f>
        <v>47207</v>
      </c>
      <c r="L11" s="95" t="n">
        <f aca="false">K11+365</f>
        <v>47572</v>
      </c>
      <c r="M11" s="95" t="n">
        <f aca="false">L11+365</f>
        <v>47937</v>
      </c>
    </row>
    <row r="12" customFormat="false" ht="14.25" hidden="false" customHeight="true" outlineLevel="1" collapsed="false">
      <c r="B12" s="0" t="s">
        <v>193</v>
      </c>
      <c r="C12" s="28" t="n">
        <f aca="false">IFERROR(HistoricalFS!G7,0)</f>
        <v>0.0742922877110521</v>
      </c>
      <c r="D12" s="28" t="n">
        <f aca="false">IFERROR(HistoricalFS!H7,0)</f>
        <v>0.340282847114535</v>
      </c>
      <c r="E12" s="28" t="n">
        <f aca="false">IFERROR(HistoricalFS!I7,0)</f>
        <v>0.185122784977156</v>
      </c>
      <c r="F12" s="28" t="n">
        <f aca="false">IFERROR(HistoricalFS!J7,0)</f>
        <v>0.0291731265325723</v>
      </c>
      <c r="G12" s="28" t="n">
        <f aca="false">IFERROR(HistoricalFS!K7,0)</f>
        <v>-0.0447703081556051</v>
      </c>
      <c r="H12" s="28" t="n">
        <f aca="false">IFERROR(HistoricalFS!L7,0)</f>
        <v>0.0494879609928973</v>
      </c>
      <c r="I12" s="96" t="n">
        <f aca="false">IF($C$55="Bull Case",I58,I57)</f>
        <v>0.07</v>
      </c>
      <c r="J12" s="96" t="n">
        <f aca="false">IF($C$55="Bull Case",J58,J57)</f>
        <v>0.07</v>
      </c>
      <c r="K12" s="96" t="n">
        <f aca="false">IF($C$55="Bull Case",K58,K57)</f>
        <v>0.075</v>
      </c>
      <c r="L12" s="96" t="n">
        <f aca="false">IF($C$55="Bull Case",L58,L57)</f>
        <v>0.075</v>
      </c>
      <c r="M12" s="96" t="n">
        <f aca="false">IF($C$55="Bull Case",M58,M57)</f>
        <v>0.08</v>
      </c>
    </row>
    <row r="13" customFormat="false" ht="14.25" hidden="false" customHeight="true" outlineLevel="1" collapsed="false">
      <c r="B13" s="0" t="s">
        <v>78</v>
      </c>
      <c r="C13" s="28" t="n">
        <f aca="false">IFERROR(HistoricalFS!G10,0)</f>
        <v>0.646396432701647</v>
      </c>
      <c r="D13" s="28" t="n">
        <f aca="false">IFERROR(HistoricalFS!H10,0)</f>
        <v>0.707548602673147</v>
      </c>
      <c r="E13" s="28" t="n">
        <f aca="false">IFERROR(HistoricalFS!I10,0)</f>
        <v>0.689117763295049</v>
      </c>
      <c r="F13" s="28" t="n">
        <f aca="false">IFERROR(HistoricalFS!J10,0)</f>
        <v>0.648264967785359</v>
      </c>
      <c r="G13" s="28" t="n">
        <f aca="false">IFERROR(HistoricalFS!K10,0)</f>
        <v>0.670722729742149</v>
      </c>
      <c r="H13" s="28" t="n">
        <f aca="false">IFERROR(HistoricalFS!L10,0)</f>
        <v>0.660126283107302</v>
      </c>
      <c r="I13" s="96" t="n">
        <f aca="false">IF($C$55="Bull Case",I60,I59)</f>
        <v>0.66</v>
      </c>
      <c r="J13" s="96" t="n">
        <f aca="false">IF($C$55="Bull Case",J60,J59)</f>
        <v>0.66</v>
      </c>
      <c r="K13" s="96" t="n">
        <f aca="false">IF($C$55="Bull Case",K60,K59)</f>
        <v>0.655</v>
      </c>
      <c r="L13" s="96" t="n">
        <f aca="false">IF($C$55="Bull Case",L60,L59)</f>
        <v>0.655</v>
      </c>
      <c r="M13" s="96" t="n">
        <f aca="false">IF($C$55="Bull Case",M60,M59)</f>
        <v>0.65</v>
      </c>
    </row>
    <row r="14" customFormat="false" ht="14.25" hidden="false" customHeight="true" outlineLevel="1" collapsed="false">
      <c r="B14" s="0" t="s">
        <v>194</v>
      </c>
      <c r="C14" s="28" t="n">
        <f aca="false">1-C13</f>
        <v>0.353603567298353</v>
      </c>
      <c r="D14" s="28" t="n">
        <f aca="false">1-D13</f>
        <v>0.292451397326853</v>
      </c>
      <c r="E14" s="28" t="n">
        <f aca="false">1-E13</f>
        <v>0.310882236704951</v>
      </c>
      <c r="F14" s="28" t="n">
        <f aca="false">1-F13</f>
        <v>0.351735032214641</v>
      </c>
      <c r="G14" s="28" t="n">
        <f aca="false">1-G13</f>
        <v>0.329277270257851</v>
      </c>
      <c r="H14" s="28" t="n">
        <f aca="false">1-H13</f>
        <v>0.339873716892698</v>
      </c>
      <c r="I14" s="28" t="n">
        <f aca="false">1-I13</f>
        <v>0.34</v>
      </c>
      <c r="J14" s="28" t="n">
        <f aca="false">1-J13</f>
        <v>0.34</v>
      </c>
      <c r="K14" s="28" t="n">
        <f aca="false">1-K13</f>
        <v>0.345</v>
      </c>
      <c r="L14" s="28" t="n">
        <f aca="false">1-L13</f>
        <v>0.345</v>
      </c>
      <c r="M14" s="28" t="n">
        <f aca="false">1-M13</f>
        <v>0.35</v>
      </c>
    </row>
    <row r="15" customFormat="false" ht="14.25" hidden="false" customHeight="true" outlineLevel="1" collapsed="false">
      <c r="B15" s="0" t="s">
        <v>195</v>
      </c>
      <c r="C15" s="28" t="n">
        <f aca="false">IFERROR(HistoricalFS!G16,0)</f>
        <v>0.129975005515183</v>
      </c>
      <c r="D15" s="28" t="n">
        <f aca="false">IFERROR(HistoricalFS!H16,0)</f>
        <v>0.127386149337761</v>
      </c>
      <c r="E15" s="28" t="n">
        <f aca="false">IFERROR(HistoricalFS!I16,0)</f>
        <v>0.129377570958975</v>
      </c>
      <c r="F15" s="28" t="n">
        <f aca="false">IFERROR(HistoricalFS!J16,0)</f>
        <v>0.138041900868101</v>
      </c>
      <c r="G15" s="28" t="n">
        <f aca="false">IFERROR(HistoricalFS!K16,0)</f>
        <v>0.152132301370687</v>
      </c>
      <c r="H15" s="28" t="n">
        <f aca="false">IFERROR(HistoricalFS!L16,0)</f>
        <v>0.151592000121404</v>
      </c>
      <c r="I15" s="96" t="n">
        <f aca="false">IF($C$55="Bull Case",I62,I61)</f>
        <v>0.15</v>
      </c>
      <c r="J15" s="96" t="n">
        <f aca="false">IF($C$55="Bull Case",J62,J61)</f>
        <v>0.15</v>
      </c>
      <c r="K15" s="96" t="n">
        <f aca="false">IF($C$55="Bull Case",K62,K61)</f>
        <v>0.15</v>
      </c>
      <c r="L15" s="96" t="n">
        <f aca="false">IF($C$55="Bull Case",L62,L61)</f>
        <v>0.15</v>
      </c>
      <c r="M15" s="96" t="n">
        <f aca="false">IF($C$55="Bull Case",M62,M61)</f>
        <v>0.15</v>
      </c>
    </row>
    <row r="16" customFormat="false" ht="14.25" hidden="false" customHeight="true" outlineLevel="1" collapsed="false">
      <c r="B16" s="0" t="s">
        <v>196</v>
      </c>
      <c r="C16" s="28" t="n">
        <f aca="false">IFERROR(HistoricalFS!G19,0)</f>
        <v>0.22362856178317</v>
      </c>
      <c r="D16" s="28" t="n">
        <f aca="false">IFERROR(HistoricalFS!H19,0)</f>
        <v>0.165065247989092</v>
      </c>
      <c r="E16" s="28" t="n">
        <f aca="false">IFERROR(HistoricalFS!I19,0)</f>
        <v>0.181504665745976</v>
      </c>
      <c r="F16" s="28" t="n">
        <f aca="false">IFERROR(HistoricalFS!J19,0)</f>
        <v>0.213693131346541</v>
      </c>
      <c r="G16" s="28" t="n">
        <f aca="false">IFERROR(HistoricalFS!K19,0)</f>
        <v>0.177144968887164</v>
      </c>
      <c r="H16" s="28" t="n">
        <f aca="false">IFERROR(HistoricalFS!L19,0)</f>
        <v>0.188281716771294</v>
      </c>
      <c r="I16" s="28" t="n">
        <f aca="false">I14-I15</f>
        <v>0.19</v>
      </c>
      <c r="J16" s="28" t="n">
        <f aca="false">J14-J15</f>
        <v>0.19</v>
      </c>
      <c r="K16" s="28" t="n">
        <f aca="false">K14-K15</f>
        <v>0.195</v>
      </c>
      <c r="L16" s="28" t="n">
        <f aca="false">L14-L15</f>
        <v>0.195</v>
      </c>
      <c r="M16" s="28" t="n">
        <f aca="false">M14-M15</f>
        <v>0.2</v>
      </c>
    </row>
    <row r="17" customFormat="false" ht="14.25" hidden="false" customHeight="true" outlineLevel="1" collapsed="false">
      <c r="B17" s="0" t="s">
        <v>197</v>
      </c>
      <c r="C17" s="54" t="n">
        <f aca="false">IFERROR(HistoricalFS!G24,0)</f>
        <v>791.27</v>
      </c>
      <c r="D17" s="54" t="n">
        <f aca="false">IFERROR(HistoricalFS!H24,0)</f>
        <v>816.36</v>
      </c>
      <c r="E17" s="54" t="n">
        <f aca="false">IFERROR(HistoricalFS!I24,0)</f>
        <v>858.02</v>
      </c>
      <c r="F17" s="54" t="n">
        <f aca="false">IFERROR(HistoricalFS!J24,0)</f>
        <v>853</v>
      </c>
      <c r="G17" s="54" t="n">
        <f aca="false">IFERROR(HistoricalFS!K24,0)</f>
        <v>1026.34</v>
      </c>
      <c r="H17" s="54" t="n">
        <f aca="false">IFERROR(HistoricalFS!L24,0)</f>
        <v>1228.85</v>
      </c>
      <c r="I17" s="97" t="n">
        <v>1350</v>
      </c>
      <c r="J17" s="97" t="n">
        <v>1450</v>
      </c>
      <c r="K17" s="97" t="n">
        <v>1550</v>
      </c>
      <c r="L17" s="97" t="n">
        <v>1650</v>
      </c>
      <c r="M17" s="97" t="n">
        <v>1750</v>
      </c>
    </row>
    <row r="18" customFormat="false" ht="14.25" hidden="false" customHeight="true" outlineLevel="1" collapsed="false">
      <c r="B18" s="0" t="s">
        <v>198</v>
      </c>
      <c r="C18" s="54" t="n">
        <f aca="false">IFERROR(HistoricalFS!G30,0)</f>
        <v>91.63</v>
      </c>
      <c r="D18" s="54" t="n">
        <f aca="false">IFERROR(HistoricalFS!H30,0)</f>
        <v>95.41</v>
      </c>
      <c r="E18" s="54" t="n">
        <f aca="false">IFERROR(HistoricalFS!I30,0)</f>
        <v>144.45</v>
      </c>
      <c r="F18" s="54" t="n">
        <f aca="false">IFERROR(HistoricalFS!J30,0)</f>
        <v>205.17</v>
      </c>
      <c r="G18" s="54" t="n">
        <f aca="false">IFERROR(HistoricalFS!K30,0)</f>
        <v>227.02</v>
      </c>
      <c r="H18" s="54" t="n">
        <f aca="false">IFERROR(HistoricalFS!L30,0)</f>
        <v>195.41</v>
      </c>
      <c r="I18" s="97" t="n">
        <v>210</v>
      </c>
      <c r="J18" s="97" t="n">
        <v>220</v>
      </c>
      <c r="K18" s="97" t="n">
        <v>230</v>
      </c>
      <c r="L18" s="97" t="n">
        <v>240</v>
      </c>
      <c r="M18" s="97" t="n">
        <v>250</v>
      </c>
    </row>
    <row r="19" customFormat="false" ht="14.25" hidden="false" customHeight="true" outlineLevel="1" collapsed="false">
      <c r="B19" s="0" t="s">
        <v>199</v>
      </c>
      <c r="C19" s="28" t="n">
        <f aca="false">IFERROR(HistoricalFS!G37,0)</f>
        <v>0.254997851011186</v>
      </c>
      <c r="D19" s="28" t="n">
        <f aca="false">IFERROR(HistoricalFS!H37,0)</f>
        <v>0.263367655908227</v>
      </c>
      <c r="E19" s="28" t="n">
        <f aca="false">IFERROR(HistoricalFS!I37,0)</f>
        <v>0.262532014491557</v>
      </c>
      <c r="F19" s="28" t="n">
        <f aca="false">IFERROR(HistoricalFS!J37,0)</f>
        <v>0.243622214631106</v>
      </c>
      <c r="G19" s="28" t="n">
        <f aca="false">IFERROR(HistoricalFS!K37,0)</f>
        <v>0.273043481668877</v>
      </c>
      <c r="H19" s="28" t="n">
        <f aca="false">IFERROR(HistoricalFS!L37,0)</f>
        <v>0.267971363085164</v>
      </c>
      <c r="I19" s="96" t="n">
        <v>0.26</v>
      </c>
      <c r="J19" s="96" t="n">
        <v>0.26</v>
      </c>
      <c r="K19" s="96" t="n">
        <v>0.26</v>
      </c>
      <c r="L19" s="96" t="n">
        <v>0.26</v>
      </c>
      <c r="M19" s="96" t="n">
        <v>0.26</v>
      </c>
    </row>
    <row r="20" customFormat="false" ht="14.25" hidden="false" customHeight="true" outlineLevel="1" collapsed="false">
      <c r="B20" s="0" t="s">
        <v>200</v>
      </c>
      <c r="C20" s="54" t="n">
        <f aca="false">IFERROR(HistoricalFS!G21,0)</f>
        <v>331.65</v>
      </c>
      <c r="D20" s="54" t="n">
        <f aca="false">IFERROR(HistoricalFS!H21,0)</f>
        <v>295.88</v>
      </c>
      <c r="E20" s="54" t="n">
        <f aca="false">IFERROR(HistoricalFS!I21,0)</f>
        <v>431.46</v>
      </c>
      <c r="F20" s="54" t="n">
        <f aca="false">IFERROR(HistoricalFS!J21,0)</f>
        <v>820.96</v>
      </c>
      <c r="G20" s="54" t="n">
        <f aca="false">IFERROR(HistoricalFS!K21,0)</f>
        <v>350.22</v>
      </c>
      <c r="H20" s="54" t="n">
        <f aca="false">IFERROR(HistoricalFS!L21,0)</f>
        <v>727.97</v>
      </c>
      <c r="I20" s="97" t="n">
        <v>500</v>
      </c>
      <c r="J20" s="97" t="n">
        <v>500</v>
      </c>
      <c r="K20" s="97" t="n">
        <v>500</v>
      </c>
      <c r="L20" s="97" t="n">
        <v>500</v>
      </c>
      <c r="M20" s="97" t="n">
        <v>500</v>
      </c>
    </row>
    <row r="21" customFormat="false" ht="14.25" hidden="false" customHeight="true" outlineLevel="1" collapsed="false">
      <c r="B21" s="0" t="s">
        <v>102</v>
      </c>
      <c r="C21" s="28" t="n">
        <f aca="false">IFERROR(HistoricalFS!G48,0)</f>
        <v>0.53392687300226</v>
      </c>
      <c r="D21" s="28" t="n">
        <f aca="false">IFERROR(HistoricalFS!H48,0)</f>
        <v>0.595456446264114</v>
      </c>
      <c r="E21" s="28" t="n">
        <f aca="false">IFERROR(HistoricalFS!I48,0)</f>
        <v>0.586449695256393</v>
      </c>
      <c r="F21" s="28" t="n">
        <f aca="false">IFERROR(HistoricalFS!J48,0)</f>
        <v>0.57472439088902</v>
      </c>
      <c r="G21" s="28" t="n">
        <f aca="false">IFERROR(HistoricalFS!K48,0)</f>
        <v>0.64124149866162</v>
      </c>
      <c r="H21" s="28" t="n">
        <f aca="false">IFERROR(HistoricalFS!L48,0)</f>
        <v>0.600224361672836</v>
      </c>
      <c r="I21" s="96" t="n">
        <v>0.6</v>
      </c>
      <c r="J21" s="96" t="n">
        <v>0.6</v>
      </c>
      <c r="K21" s="96" t="n">
        <v>0.6</v>
      </c>
      <c r="L21" s="96" t="n">
        <v>0.6</v>
      </c>
      <c r="M21" s="96" t="n">
        <v>0.6</v>
      </c>
    </row>
    <row r="22" customFormat="false" ht="14.25" hidden="false" customHeight="true" outlineLevel="0" collapsed="false">
      <c r="G22" s="98"/>
      <c r="H22" s="28"/>
      <c r="M22" s="28"/>
    </row>
    <row r="23" customFormat="false" ht="15" hidden="false" customHeight="true" outlineLevel="0" collapsed="false">
      <c r="A23" s="0" t="s">
        <v>74</v>
      </c>
      <c r="B23" s="20" t="s">
        <v>201</v>
      </c>
      <c r="C23" s="93"/>
      <c r="D23" s="93"/>
      <c r="E23" s="93"/>
      <c r="F23" s="93"/>
      <c r="G23" s="93"/>
      <c r="H23" s="93"/>
      <c r="I23" s="93"/>
      <c r="J23" s="93"/>
      <c r="K23" s="93"/>
      <c r="L23" s="93"/>
      <c r="M23" s="93"/>
    </row>
    <row r="24" customFormat="false" ht="14.25" hidden="false" customHeight="true" outlineLevel="1" collapsed="false">
      <c r="B24" s="52" t="s">
        <v>192</v>
      </c>
      <c r="C24" s="94" t="n">
        <f aca="false">IFERROR(HistoricalFS!G3,0)</f>
        <v>44286</v>
      </c>
      <c r="D24" s="94" t="n">
        <f aca="false">IFERROR(HistoricalFS!H3,0)</f>
        <v>44651</v>
      </c>
      <c r="E24" s="94" t="n">
        <f aca="false">IFERROR(HistoricalFS!I3,0)</f>
        <v>45016</v>
      </c>
      <c r="F24" s="94" t="n">
        <f aca="false">IFERROR(HistoricalFS!J3,0)</f>
        <v>45382</v>
      </c>
      <c r="G24" s="94" t="n">
        <f aca="false">IFERROR(HistoricalFS!K3,0)</f>
        <v>45747</v>
      </c>
      <c r="H24" s="94" t="n">
        <f aca="false">IFERROR(HistoricalFS!L3,0)</f>
        <v>46112</v>
      </c>
      <c r="I24" s="95" t="n">
        <f aca="false">H24+365</f>
        <v>46477</v>
      </c>
      <c r="J24" s="95" t="n">
        <f aca="false">I24+365</f>
        <v>46842</v>
      </c>
      <c r="K24" s="95" t="n">
        <f aca="false">J24+365</f>
        <v>47207</v>
      </c>
      <c r="L24" s="95" t="n">
        <f aca="false">K24+365</f>
        <v>47572</v>
      </c>
      <c r="M24" s="95" t="n">
        <f aca="false">L24+365</f>
        <v>47937</v>
      </c>
      <c r="P24" s="38" t="s">
        <v>202</v>
      </c>
    </row>
    <row r="25" customFormat="false" ht="14.25" hidden="false" customHeight="true" outlineLevel="1" collapsed="false">
      <c r="B25" s="0" t="s">
        <v>172</v>
      </c>
      <c r="C25" s="99" t="n">
        <f aca="false">IFERROR((HistoricalFS!G66/HistoricalFS!G6)*365,0)</f>
        <v>43.743436472236</v>
      </c>
      <c r="D25" s="99" t="n">
        <f aca="false">IFERROR((HistoricalFS!H66/HistoricalFS!H6)*365,0)</f>
        <v>48.5571631213472</v>
      </c>
      <c r="E25" s="99" t="n">
        <f aca="false">IFERROR((HistoricalFS!I66/HistoricalFS!I6)*365,0)</f>
        <v>49.0737110447252</v>
      </c>
      <c r="F25" s="99" t="n">
        <f aca="false">IFERROR((HistoricalFS!J66/HistoricalFS!J6)*365,0)</f>
        <v>50.2751605660897</v>
      </c>
      <c r="G25" s="99" t="n">
        <f aca="false">IFERROR((HistoricalFS!K66/HistoricalFS!K6)*365,0)</f>
        <v>46.4372056903841</v>
      </c>
      <c r="H25" s="99" t="n">
        <f aca="false">IFERROR((HistoricalFS!L66/HistoricalFS!L6)*365,0)</f>
        <v>45.767144022208</v>
      </c>
      <c r="I25" s="100" t="n">
        <v>46</v>
      </c>
      <c r="J25" s="100" t="n">
        <v>46</v>
      </c>
      <c r="K25" s="100" t="n">
        <v>45</v>
      </c>
      <c r="L25" s="100" t="n">
        <v>45</v>
      </c>
      <c r="M25" s="100" t="n">
        <v>44</v>
      </c>
    </row>
    <row r="26" customFormat="false" ht="14.25" hidden="false" customHeight="true" outlineLevel="1" collapsed="false">
      <c r="B26" s="0" t="s">
        <v>174</v>
      </c>
      <c r="C26" s="99" t="n">
        <f aca="false">IFERROR((HistoricalFS!G67/HistoricalFS!G9)*365,0)</f>
        <v>98.7874659691758</v>
      </c>
      <c r="D26" s="99" t="n">
        <f aca="false">IFERROR((HistoricalFS!H67/HistoricalFS!H9)*365,0)</f>
        <v>109.071176757127</v>
      </c>
      <c r="E26" s="99" t="n">
        <f aca="false">IFERROR((HistoricalFS!I67/HistoricalFS!I9)*365,0)</f>
        <v>95.3806628602204</v>
      </c>
      <c r="F26" s="99" t="n">
        <f aca="false">IFERROR((HistoricalFS!J67/HistoricalFS!J9)*365,0)</f>
        <v>93.9611294920163</v>
      </c>
      <c r="G26" s="99" t="n">
        <f aca="false">IFERROR((HistoricalFS!K67/HistoricalFS!K9)*365,0)</f>
        <v>107.84505658655</v>
      </c>
      <c r="H26" s="99" t="n">
        <f aca="false">IFERROR((HistoricalFS!L67/HistoricalFS!L9)*365,0)</f>
        <v>89.2498881421291</v>
      </c>
      <c r="I26" s="100" t="n">
        <v>90</v>
      </c>
      <c r="J26" s="100" t="n">
        <v>88</v>
      </c>
      <c r="K26" s="100" t="n">
        <v>86</v>
      </c>
      <c r="L26" s="100" t="n">
        <v>85</v>
      </c>
      <c r="M26" s="100" t="n">
        <v>83</v>
      </c>
    </row>
    <row r="27" customFormat="false" ht="14.25" hidden="false" customHeight="true" outlineLevel="1" collapsed="false">
      <c r="B27" s="0" t="s">
        <v>203</v>
      </c>
      <c r="C27" s="99" t="n">
        <f aca="false">IFERROR(('Data Sheet'!F74/HistoricalFS!G9)*365,0)</f>
        <v>87.8752296924775</v>
      </c>
      <c r="D27" s="99" t="n">
        <f aca="false">IFERROR(('Data Sheet'!G74/HistoricalFS!H9)*365,0)</f>
        <v>73.8134009888993</v>
      </c>
      <c r="E27" s="99" t="n">
        <f aca="false">IFERROR(('Data Sheet'!H74/HistoricalFS!I9)*365,0)</f>
        <v>55.8249567672416</v>
      </c>
      <c r="F27" s="99" t="n">
        <f aca="false">IFERROR(('Data Sheet'!I74/HistoricalFS!J9)*365,0)</f>
        <v>60.7699090699301</v>
      </c>
      <c r="G27" s="99" t="n">
        <f aca="false">IFERROR(('Data Sheet'!J74/HistoricalFS!K9)*365,0)</f>
        <v>61.7608427321781</v>
      </c>
      <c r="H27" s="99" t="n">
        <f aca="false">IFERROR(('Data Sheet'!K74/HistoricalFS!L9)*365,0)</f>
        <v>60.0262754245171</v>
      </c>
      <c r="I27" s="100" t="n">
        <v>60</v>
      </c>
      <c r="J27" s="100" t="n">
        <v>60</v>
      </c>
      <c r="K27" s="100" t="n">
        <v>60</v>
      </c>
      <c r="L27" s="100" t="n">
        <v>62</v>
      </c>
      <c r="M27" s="100" t="n">
        <v>62</v>
      </c>
    </row>
    <row r="29" customFormat="false" ht="15" hidden="false" customHeight="true" outlineLevel="0" collapsed="false">
      <c r="A29" s="0" t="s">
        <v>74</v>
      </c>
      <c r="B29" s="20" t="s">
        <v>204</v>
      </c>
      <c r="C29" s="93"/>
      <c r="D29" s="93"/>
      <c r="E29" s="93"/>
      <c r="F29" s="93"/>
      <c r="G29" s="93"/>
      <c r="H29" s="93"/>
      <c r="I29" s="93"/>
      <c r="J29" s="93"/>
      <c r="K29" s="93"/>
      <c r="L29" s="93"/>
      <c r="M29" s="93"/>
    </row>
    <row r="30" customFormat="false" ht="14.25" hidden="false" customHeight="true" outlineLevel="1" collapsed="false">
      <c r="B30" s="52" t="s">
        <v>192</v>
      </c>
      <c r="C30" s="94" t="n">
        <f aca="false">IFERROR('Assumption Sheet'!C24,0)</f>
        <v>44286</v>
      </c>
      <c r="D30" s="94" t="n">
        <f aca="false">IFERROR('Assumption Sheet'!D24,0)</f>
        <v>44651</v>
      </c>
      <c r="E30" s="94" t="n">
        <f aca="false">IFERROR('Assumption Sheet'!E24,0)</f>
        <v>45016</v>
      </c>
      <c r="F30" s="94" t="n">
        <f aca="false">IFERROR('Assumption Sheet'!F24,0)</f>
        <v>45382</v>
      </c>
      <c r="G30" s="94" t="n">
        <f aca="false">IFERROR('Assumption Sheet'!G24,0)</f>
        <v>45747</v>
      </c>
      <c r="H30" s="94" t="n">
        <f aca="false">IFERROR('Assumption Sheet'!H24,0)</f>
        <v>46112</v>
      </c>
      <c r="I30" s="95" t="n">
        <f aca="false">H30+365</f>
        <v>46477</v>
      </c>
      <c r="J30" s="95" t="n">
        <f aca="false">I30+365</f>
        <v>46842</v>
      </c>
      <c r="K30" s="95" t="n">
        <f aca="false">J30+365</f>
        <v>47207</v>
      </c>
      <c r="L30" s="95" t="n">
        <f aca="false">K30+365</f>
        <v>47572</v>
      </c>
      <c r="M30" s="95" t="n">
        <f aca="false">L30+365</f>
        <v>47937</v>
      </c>
    </row>
    <row r="31" customFormat="false" ht="14.25" hidden="false" customHeight="true" outlineLevel="1" collapsed="false">
      <c r="B31" s="0" t="s">
        <v>205</v>
      </c>
      <c r="C31" s="54" t="n">
        <f aca="false">ABS(HistoricalFS!G87)</f>
        <v>289</v>
      </c>
      <c r="D31" s="54" t="n">
        <f aca="false">ABS(HistoricalFS!H87)</f>
        <v>551</v>
      </c>
      <c r="E31" s="54" t="n">
        <f aca="false">ABS(HistoricalFS!I87)</f>
        <v>1446</v>
      </c>
      <c r="F31" s="54" t="n">
        <f aca="false">ABS(HistoricalFS!J87)</f>
        <v>2496</v>
      </c>
      <c r="G31" s="54" t="n">
        <f aca="false">ABS(HistoricalFS!K87)</f>
        <v>1830</v>
      </c>
      <c r="H31" s="54" t="n">
        <f aca="false">ABS(HistoricalFS!L87)</f>
        <v>1487</v>
      </c>
      <c r="I31" s="97" t="n">
        <f aca="false">IF($C$55="Bull Case",I64,ForecastFS!H6*I63)</f>
        <v>1903.71939</v>
      </c>
      <c r="J31" s="97" t="n">
        <f aca="false">IF($C$55="Bull Case",J64,ForecastFS!I6*J63)</f>
        <v>2036.9797473</v>
      </c>
      <c r="K31" s="97" t="n">
        <f aca="false">IF($C$55="Bull Case",K64,ForecastFS!J6*K63)</f>
        <v>2189.7532283475</v>
      </c>
      <c r="L31" s="97" t="n">
        <f aca="false">IF($C$55="Bull Case",L64,ForecastFS!K6*L63)</f>
        <v>2353.98472047356</v>
      </c>
      <c r="M31" s="97" t="n">
        <f aca="false">IF($C$55="Bull Case",M64,ForecastFS!L6*M63)</f>
        <v>2542.30349811145</v>
      </c>
    </row>
    <row r="32" customFormat="false" ht="14.25" hidden="false" customHeight="true" outlineLevel="1" collapsed="false">
      <c r="B32" s="0" t="s">
        <v>206</v>
      </c>
      <c r="C32" s="28" t="n">
        <f aca="false">IFERROR(C31/HistoricalFS!G6,0)</f>
        <v>0.0133101273489036</v>
      </c>
      <c r="D32" s="28" t="n">
        <f aca="false">IFERROR(D31/HistoricalFS!H6,0)</f>
        <v>0.0189338750735363</v>
      </c>
      <c r="E32" s="28" t="n">
        <f aca="false">IFERROR(E31/HistoricalFS!I6,0)</f>
        <v>0.0419269097402938</v>
      </c>
      <c r="F32" s="28" t="n">
        <f aca="false">IFERROR(F31/HistoricalFS!J6,0)</f>
        <v>0.0703202982527265</v>
      </c>
      <c r="G32" s="28" t="n">
        <f aca="false">IFERROR(G31/HistoricalFS!K6,0)</f>
        <v>0.0539733530901367</v>
      </c>
      <c r="H32" s="28" t="n">
        <f aca="false">IFERROR(H31/HistoricalFS!L6,0)</f>
        <v>0.0417889844574205</v>
      </c>
      <c r="I32" s="28" t="n">
        <f aca="false">IFERROR(I31/ForecastFS!H6,0)</f>
        <v>0.05</v>
      </c>
      <c r="J32" s="28" t="n">
        <f aca="false">IFERROR(J31/ForecastFS!I6,0)</f>
        <v>0.05</v>
      </c>
      <c r="K32" s="28" t="n">
        <f aca="false">IFERROR(K31/ForecastFS!J6,0)</f>
        <v>0.05</v>
      </c>
      <c r="L32" s="28" t="n">
        <f aca="false">IFERROR(L31/ForecastFS!K6,0)</f>
        <v>0.05</v>
      </c>
      <c r="M32" s="28" t="n">
        <f aca="false">IFERROR(M31/ForecastFS!L6,0)</f>
        <v>0.05</v>
      </c>
    </row>
    <row r="33" customFormat="false" ht="27" hidden="true" customHeight="true" outlineLevel="1" collapsed="false">
      <c r="B33" s="101" t="s">
        <v>207</v>
      </c>
      <c r="C33" s="102"/>
      <c r="D33" s="102"/>
      <c r="E33" s="102"/>
      <c r="F33" s="102"/>
      <c r="G33" s="102"/>
      <c r="H33" s="102"/>
      <c r="I33" s="103" t="s">
        <v>208</v>
      </c>
      <c r="J33" s="103"/>
      <c r="K33" s="103"/>
      <c r="L33" s="103"/>
      <c r="M33" s="103"/>
    </row>
    <row r="34" customFormat="false" ht="27" hidden="true" customHeight="true" outlineLevel="1" collapsed="false">
      <c r="B34" s="0" t="s">
        <v>209</v>
      </c>
    </row>
    <row r="35" customFormat="false" ht="27" hidden="true" customHeight="true" outlineLevel="1" collapsed="false">
      <c r="B35" s="0" t="s">
        <v>210</v>
      </c>
    </row>
    <row r="36" customFormat="false" ht="27" hidden="true" customHeight="true" outlineLevel="1" collapsed="false">
      <c r="B36" s="0" t="s">
        <v>211</v>
      </c>
    </row>
    <row r="37" customFormat="false" ht="27" hidden="true" customHeight="true" outlineLevel="1" collapsed="false">
      <c r="B37" s="0" t="s">
        <v>212</v>
      </c>
    </row>
    <row r="38" customFormat="false" ht="27" hidden="true" customHeight="true" outlineLevel="1" collapsed="false">
      <c r="B38" s="0" t="s">
        <v>213</v>
      </c>
    </row>
    <row r="39" customFormat="false" ht="27" hidden="true" customHeight="true" outlineLevel="1" collapsed="false">
      <c r="B39" s="0" t="s">
        <v>214</v>
      </c>
    </row>
    <row r="40" customFormat="false" ht="27" hidden="true" customHeight="true" outlineLevel="1" collapsed="false">
      <c r="B40" s="0" t="s">
        <v>215</v>
      </c>
    </row>
    <row r="41" customFormat="false" ht="27" hidden="true" customHeight="true" outlineLevel="1" collapsed="false">
      <c r="B41" s="0" t="s">
        <v>216</v>
      </c>
    </row>
    <row r="42" customFormat="false" ht="27" hidden="true" customHeight="true" outlineLevel="1" collapsed="false">
      <c r="B42" s="0" t="s">
        <v>217</v>
      </c>
    </row>
    <row r="43" customFormat="false" ht="27" hidden="true" customHeight="true" outlineLevel="1" collapsed="false">
      <c r="B43" s="0" t="s">
        <v>218</v>
      </c>
    </row>
    <row r="44" customFormat="false" ht="27" hidden="true" customHeight="true" outlineLevel="1" collapsed="false">
      <c r="B44" s="0" t="s">
        <v>219</v>
      </c>
    </row>
    <row r="46" customFormat="false" ht="15" hidden="false" customHeight="true" outlineLevel="0" collapsed="false">
      <c r="A46" s="0" t="s">
        <v>74</v>
      </c>
      <c r="B46" s="20" t="s">
        <v>220</v>
      </c>
      <c r="C46" s="1"/>
      <c r="D46" s="1"/>
      <c r="E46" s="1"/>
      <c r="F46" s="1"/>
      <c r="G46" s="1"/>
      <c r="H46" s="1"/>
      <c r="I46" s="1"/>
      <c r="J46" s="1"/>
      <c r="K46" s="1"/>
      <c r="L46" s="1"/>
      <c r="M46" s="1"/>
    </row>
    <row r="47" customFormat="false" ht="14.25" hidden="false" customHeight="true" outlineLevel="1" collapsed="false">
      <c r="B47" s="52" t="s">
        <v>192</v>
      </c>
      <c r="C47" s="94" t="n">
        <f aca="false">IFERROR('Assumption Sheet'!C24,0)</f>
        <v>44286</v>
      </c>
      <c r="D47" s="94" t="n">
        <f aca="false">IFERROR('Assumption Sheet'!D24,0)</f>
        <v>44651</v>
      </c>
      <c r="E47" s="94" t="n">
        <f aca="false">IFERROR('Assumption Sheet'!E24,0)</f>
        <v>45016</v>
      </c>
      <c r="F47" s="94" t="n">
        <f aca="false">IFERROR('Assumption Sheet'!F24,0)</f>
        <v>45382</v>
      </c>
      <c r="G47" s="94" t="n">
        <f aca="false">IFERROR('Assumption Sheet'!G24,0)</f>
        <v>45747</v>
      </c>
      <c r="H47" s="94" t="n">
        <f aca="false">IFERROR('Assumption Sheet'!H24,0)</f>
        <v>46112</v>
      </c>
      <c r="I47" s="95" t="n">
        <f aca="false">IFERROR('Assumption Sheet'!I24,0)</f>
        <v>46477</v>
      </c>
      <c r="J47" s="95" t="n">
        <f aca="false">IFERROR('Assumption Sheet'!J24,0)</f>
        <v>46842</v>
      </c>
      <c r="K47" s="95" t="n">
        <f aca="false">IFERROR('Assumption Sheet'!K24,0)</f>
        <v>47207</v>
      </c>
      <c r="L47" s="95" t="n">
        <f aca="false">IFERROR('Assumption Sheet'!L24,0)</f>
        <v>47572</v>
      </c>
      <c r="M47" s="95" t="n">
        <f aca="false">IFERROR('Assumption Sheet'!M24,0)</f>
        <v>47937</v>
      </c>
    </row>
    <row r="48" customFormat="false" ht="14.25" hidden="false" customHeight="true" outlineLevel="1" collapsed="false">
      <c r="B48" s="0" t="s">
        <v>221</v>
      </c>
      <c r="C48" s="28" t="n">
        <f aca="false">IFERROR(HistoricalFS!G57/HistoricalFS!G6,0)</f>
        <v>0.141710484926166</v>
      </c>
      <c r="D48" s="28" t="n">
        <f aca="false">IFERROR(HistoricalFS!H57/HistoricalFS!H6,0)</f>
        <v>0.116695554284897</v>
      </c>
      <c r="E48" s="28" t="n">
        <f aca="false">IFERROR(HistoricalFS!I57/HistoricalFS!I6,0)</f>
        <v>0.122344230367203</v>
      </c>
      <c r="F48" s="28" t="n">
        <f aca="false">IFERROR(HistoricalFS!J57/HistoricalFS!J6,0)</f>
        <v>0.137121482541211</v>
      </c>
      <c r="G48" s="28" t="n">
        <f aca="false">IFERROR(HistoricalFS!K57/HistoricalFS!K6,0)</f>
        <v>0.142075266578225</v>
      </c>
      <c r="H48" s="28" t="n">
        <f aca="false">IFERROR(HistoricalFS!L57/HistoricalFS!L6,0)</f>
        <v>0.150497392895704</v>
      </c>
      <c r="I48" s="96" t="n">
        <f aca="false">$H$48</f>
        <v>0.150497392895704</v>
      </c>
      <c r="J48" s="96" t="n">
        <f aca="false">$H$48</f>
        <v>0.150497392895704</v>
      </c>
      <c r="K48" s="96" t="n">
        <f aca="false">$H$48</f>
        <v>0.150497392895704</v>
      </c>
      <c r="L48" s="96" t="n">
        <f aca="false">$H$48</f>
        <v>0.150497392895704</v>
      </c>
      <c r="M48" s="96" t="n">
        <f aca="false">$H$48</f>
        <v>0.150497392895704</v>
      </c>
    </row>
    <row r="49" customFormat="false" ht="14.25" hidden="false" customHeight="true" outlineLevel="1" collapsed="false">
      <c r="B49" s="0" t="s">
        <v>222</v>
      </c>
      <c r="C49" s="28" t="n">
        <f aca="false">IFERROR(HistoricalFS!G63/HistoricalFS!G6,0)</f>
        <v>0.118157086215083</v>
      </c>
      <c r="D49" s="28" t="n">
        <f aca="false">IFERROR(HistoricalFS!H63/HistoricalFS!H6,0)</f>
        <v>0.0988499474937185</v>
      </c>
      <c r="E49" s="28" t="n">
        <f aca="false">IFERROR(HistoricalFS!I63/HistoricalFS!I6,0)</f>
        <v>0.0880340425630622</v>
      </c>
      <c r="F49" s="28" t="n">
        <f aca="false">IFERROR(HistoricalFS!J63/HistoricalFS!J6,0)</f>
        <v>0.100617471945835</v>
      </c>
      <c r="G49" s="28" t="n">
        <f aca="false">IFERROR(HistoricalFS!K63/HistoricalFS!K6,0)</f>
        <v>0.0985385313703156</v>
      </c>
      <c r="H49" s="28" t="n">
        <f aca="false">IFERROR(HistoricalFS!L63/HistoricalFS!L6,0)</f>
        <v>0.13177131898625</v>
      </c>
      <c r="I49" s="96" t="n">
        <f aca="false">$H$49</f>
        <v>0.13177131898625</v>
      </c>
      <c r="J49" s="96" t="n">
        <f aca="false">$H$49</f>
        <v>0.13177131898625</v>
      </c>
      <c r="K49" s="96" t="n">
        <f aca="false">$H$49</f>
        <v>0.13177131898625</v>
      </c>
      <c r="L49" s="96" t="n">
        <f aca="false">$H$49</f>
        <v>0.13177131898625</v>
      </c>
      <c r="M49" s="96" t="n">
        <f aca="false">$H$49</f>
        <v>0.13177131898625</v>
      </c>
    </row>
    <row r="50" customFormat="false" ht="14.25" hidden="false" customHeight="true" outlineLevel="1" collapsed="false">
      <c r="B50" s="0" t="s">
        <v>223</v>
      </c>
      <c r="C50" s="54" t="n">
        <f aca="false">IFERROR(HistoricalFS!G61,0)</f>
        <v>182.98</v>
      </c>
      <c r="D50" s="54" t="n">
        <f aca="false">IFERROR(HistoricalFS!H61,0)</f>
        <v>426.43</v>
      </c>
      <c r="E50" s="54" t="n">
        <f aca="false">IFERROR(HistoricalFS!I61,0)</f>
        <v>1019.59</v>
      </c>
      <c r="F50" s="54" t="n">
        <f aca="false">IFERROR(HistoricalFS!J61,0)</f>
        <v>2698.37</v>
      </c>
      <c r="G50" s="54" t="n">
        <f aca="false">IFERROR(HistoricalFS!K61,0)</f>
        <v>1254.49</v>
      </c>
      <c r="H50" s="54" t="n">
        <f aca="false">IFERROR(HistoricalFS!L61,0)</f>
        <v>1848.67</v>
      </c>
      <c r="I50" s="97" t="n">
        <f aca="false">$H$50</f>
        <v>1848.67</v>
      </c>
      <c r="J50" s="97" t="n">
        <f aca="false">$H$50</f>
        <v>1848.67</v>
      </c>
      <c r="K50" s="97" t="n">
        <f aca="false">$H$50</f>
        <v>1848.67</v>
      </c>
      <c r="L50" s="97" t="n">
        <f aca="false">$H$50</f>
        <v>1848.67</v>
      </c>
      <c r="M50" s="97" t="n">
        <f aca="false">$H$50</f>
        <v>1848.67</v>
      </c>
    </row>
    <row r="51" customFormat="false" ht="14.25" hidden="false" customHeight="true" outlineLevel="1" collapsed="false">
      <c r="B51" s="0" t="s">
        <v>224</v>
      </c>
      <c r="C51" s="54" t="n">
        <f aca="false">IFERROR(HistoricalFS!G62,0)</f>
        <v>4736.8</v>
      </c>
      <c r="D51" s="54" t="n">
        <f aca="false">IFERROR(HistoricalFS!H62,0)</f>
        <v>3247.53</v>
      </c>
      <c r="E51" s="54" t="n">
        <f aca="false">IFERROR(HistoricalFS!I62,0)</f>
        <v>4261.71</v>
      </c>
      <c r="F51" s="54" t="n">
        <f aca="false">IFERROR(HistoricalFS!J62,0)</f>
        <v>4587.92</v>
      </c>
      <c r="G51" s="54" t="n">
        <f aca="false">IFERROR(HistoricalFS!K62,0)</f>
        <v>4724.75</v>
      </c>
      <c r="H51" s="54" t="n">
        <f aca="false">IFERROR(HistoricalFS!L62,0)</f>
        <v>7061.74</v>
      </c>
      <c r="I51" s="97" t="n">
        <f aca="false">$H$51</f>
        <v>7061.74</v>
      </c>
      <c r="J51" s="97" t="n">
        <f aca="false">$H$51</f>
        <v>7061.74</v>
      </c>
      <c r="K51" s="97" t="n">
        <f aca="false">$H$51</f>
        <v>7061.74</v>
      </c>
      <c r="L51" s="97" t="n">
        <f aca="false">$H$51</f>
        <v>7061.74</v>
      </c>
      <c r="M51" s="97" t="n">
        <f aca="false">$H$51</f>
        <v>7061.74</v>
      </c>
    </row>
    <row r="52" customFormat="false" ht="14.25" hidden="false" customHeight="true" outlineLevel="1" collapsed="false">
      <c r="B52" s="0" t="s">
        <v>225</v>
      </c>
      <c r="C52" s="54" t="n">
        <f aca="false">IFERROR(HistoricalFS!G55,0)</f>
        <v>1093.12</v>
      </c>
      <c r="D52" s="54" t="n">
        <f aca="false">IFERROR(HistoricalFS!H55,0)</f>
        <v>1586.88</v>
      </c>
      <c r="E52" s="54" t="n">
        <f aca="false">IFERROR(HistoricalFS!I55,0)</f>
        <v>1932.62</v>
      </c>
      <c r="F52" s="54" t="n">
        <f aca="false">IFERROR(HistoricalFS!J55,0)</f>
        <v>2474.38</v>
      </c>
      <c r="G52" s="54" t="n">
        <f aca="false">IFERROR(HistoricalFS!K55,0)</f>
        <v>2290.29</v>
      </c>
      <c r="H52" s="54" t="n">
        <f aca="false">IFERROR(HistoricalFS!L55,0)</f>
        <v>3928.93</v>
      </c>
      <c r="I52" s="97" t="n">
        <f aca="false">$H$52</f>
        <v>3928.93</v>
      </c>
      <c r="J52" s="97" t="n">
        <f aca="false">$H$52</f>
        <v>3928.93</v>
      </c>
      <c r="K52" s="97" t="n">
        <f aca="false">$H$52</f>
        <v>3928.93</v>
      </c>
      <c r="L52" s="97" t="n">
        <f aca="false">$H$52</f>
        <v>3928.93</v>
      </c>
      <c r="M52" s="97" t="n">
        <f aca="false">$H$52</f>
        <v>3928.93</v>
      </c>
    </row>
    <row r="54" customFormat="false" ht="15" hidden="false" customHeight="true" outlineLevel="0" collapsed="false">
      <c r="A54" s="0" t="s">
        <v>74</v>
      </c>
      <c r="B54" s="20" t="s">
        <v>226</v>
      </c>
      <c r="C54" s="1"/>
      <c r="D54" s="1"/>
      <c r="E54" s="1"/>
      <c r="F54" s="1"/>
      <c r="G54" s="1"/>
      <c r="H54" s="1"/>
      <c r="I54" s="1"/>
      <c r="J54" s="1"/>
      <c r="K54" s="1"/>
      <c r="L54" s="1"/>
      <c r="M54" s="1"/>
    </row>
    <row r="55" customFormat="false" ht="14.25" hidden="false" customHeight="true" outlineLevel="1" collapsed="false">
      <c r="B55" s="0" t="s">
        <v>227</v>
      </c>
      <c r="C55" s="104" t="s">
        <v>228</v>
      </c>
    </row>
    <row r="56" customFormat="false" ht="14.25" hidden="false" customHeight="true" outlineLevel="1" collapsed="false"/>
    <row r="57" customFormat="false" ht="14.25" hidden="false" customHeight="true" outlineLevel="1" collapsed="false">
      <c r="B57" s="0" t="s">
        <v>229</v>
      </c>
      <c r="I57" s="96" t="n">
        <v>0.07</v>
      </c>
      <c r="J57" s="96" t="n">
        <v>0.07</v>
      </c>
      <c r="K57" s="96" t="n">
        <v>0.075</v>
      </c>
      <c r="L57" s="96" t="n">
        <v>0.075</v>
      </c>
      <c r="M57" s="96" t="n">
        <v>0.08</v>
      </c>
    </row>
    <row r="58" customFormat="false" ht="14.25" hidden="false" customHeight="true" outlineLevel="1" collapsed="false">
      <c r="B58" s="0" t="s">
        <v>230</v>
      </c>
      <c r="I58" s="96" t="n">
        <v>0.08</v>
      </c>
      <c r="J58" s="96" t="n">
        <v>0.09</v>
      </c>
      <c r="K58" s="96" t="n">
        <v>0.09</v>
      </c>
      <c r="L58" s="96" t="n">
        <v>0.09</v>
      </c>
      <c r="M58" s="96" t="n">
        <v>0.1</v>
      </c>
    </row>
    <row r="59" customFormat="false" ht="14.25" hidden="false" customHeight="true" outlineLevel="1" collapsed="false">
      <c r="B59" s="0" t="s">
        <v>231</v>
      </c>
      <c r="I59" s="96" t="n">
        <v>0.66</v>
      </c>
      <c r="J59" s="96" t="n">
        <v>0.66</v>
      </c>
      <c r="K59" s="96" t="n">
        <v>0.655</v>
      </c>
      <c r="L59" s="96" t="n">
        <v>0.655</v>
      </c>
      <c r="M59" s="96" t="n">
        <v>0.65</v>
      </c>
    </row>
    <row r="60" customFormat="false" ht="14.25" hidden="false" customHeight="true" outlineLevel="1" collapsed="false">
      <c r="B60" s="0" t="s">
        <v>232</v>
      </c>
      <c r="I60" s="96" t="n">
        <v>0.655</v>
      </c>
      <c r="J60" s="96" t="n">
        <v>0.655</v>
      </c>
      <c r="K60" s="96" t="n">
        <v>0.645</v>
      </c>
      <c r="L60" s="96" t="n">
        <v>0.645</v>
      </c>
      <c r="M60" s="96" t="n">
        <v>0.64</v>
      </c>
    </row>
    <row r="61" customFormat="false" ht="14.25" hidden="false" customHeight="true" outlineLevel="1" collapsed="false">
      <c r="B61" s="0" t="s">
        <v>233</v>
      </c>
      <c r="I61" s="96" t="n">
        <v>0.15</v>
      </c>
      <c r="J61" s="96" t="n">
        <v>0.15</v>
      </c>
      <c r="K61" s="96" t="n">
        <v>0.15</v>
      </c>
      <c r="L61" s="96" t="n">
        <v>0.15</v>
      </c>
      <c r="M61" s="96" t="n">
        <v>0.15</v>
      </c>
    </row>
    <row r="62" customFormat="false" ht="14.25" hidden="false" customHeight="true" outlineLevel="1" collapsed="false">
      <c r="B62" s="0" t="s">
        <v>234</v>
      </c>
      <c r="I62" s="96" t="n">
        <v>0.15</v>
      </c>
      <c r="J62" s="96" t="n">
        <v>0.148</v>
      </c>
      <c r="K62" s="96" t="n">
        <v>0.145</v>
      </c>
      <c r="L62" s="96" t="n">
        <v>0.143</v>
      </c>
      <c r="M62" s="96" t="n">
        <v>0.14</v>
      </c>
    </row>
    <row r="63" customFormat="false" ht="14.25" hidden="false" customHeight="true" outlineLevel="1" collapsed="false">
      <c r="B63" s="0" t="s">
        <v>235</v>
      </c>
      <c r="I63" s="96" t="n">
        <v>0.05</v>
      </c>
      <c r="J63" s="96" t="n">
        <v>0.05</v>
      </c>
      <c r="K63" s="96" t="n">
        <v>0.05</v>
      </c>
      <c r="L63" s="96" t="n">
        <v>0.05</v>
      </c>
      <c r="M63" s="96" t="n">
        <v>0.05</v>
      </c>
    </row>
    <row r="64" customFormat="false" ht="14.25" hidden="false" customHeight="true" outlineLevel="1" collapsed="false">
      <c r="B64" s="0" t="s">
        <v>236</v>
      </c>
      <c r="I64" s="97" t="n">
        <v>1600</v>
      </c>
      <c r="J64" s="97" t="n">
        <v>1500</v>
      </c>
      <c r="K64" s="97" t="n">
        <v>1400</v>
      </c>
      <c r="L64" s="97" t="n">
        <v>1300</v>
      </c>
      <c r="M64" s="97" t="n">
        <v>1200</v>
      </c>
    </row>
    <row r="65" customFormat="false" ht="14.25" hidden="false" customHeight="true" outlineLevel="1" collapsed="false"/>
    <row r="66" customFormat="false" ht="14.25" hidden="false" customHeight="true" outlineLevel="1" collapsed="false">
      <c r="B66" s="0" t="s">
        <v>237</v>
      </c>
      <c r="I66" s="28" t="n">
        <f aca="false">1-I59-I61</f>
        <v>0.19</v>
      </c>
      <c r="J66" s="28" t="n">
        <f aca="false">1-J59-J61</f>
        <v>0.19</v>
      </c>
      <c r="K66" s="28" t="n">
        <f aca="false">1-K59-K61</f>
        <v>0.195</v>
      </c>
      <c r="L66" s="28" t="n">
        <f aca="false">1-L59-L61</f>
        <v>0.195</v>
      </c>
      <c r="M66" s="28" t="n">
        <f aca="false">1-M59-M61</f>
        <v>0.2</v>
      </c>
    </row>
    <row r="67" customFormat="false" ht="13.5" hidden="false" customHeight="true" outlineLevel="1" collapsed="false">
      <c r="B67" s="0" t="s">
        <v>238</v>
      </c>
      <c r="I67" s="28" t="n">
        <f aca="false">1-I60-I62</f>
        <v>0.195</v>
      </c>
      <c r="J67" s="28" t="n">
        <f aca="false">1-J60-J62</f>
        <v>0.197</v>
      </c>
      <c r="K67" s="28" t="n">
        <f aca="false">1-K60-K62</f>
        <v>0.21</v>
      </c>
      <c r="L67" s="28" t="n">
        <f aca="false">1-L60-L62</f>
        <v>0.212</v>
      </c>
      <c r="M67" s="28" t="n">
        <f aca="false">1-M60-M62</f>
        <v>0.22</v>
      </c>
    </row>
    <row r="69" customFormat="false" ht="12" hidden="false" customHeight="true" outlineLevel="0" collapsed="false">
      <c r="B69" s="1"/>
      <c r="C69" s="1"/>
      <c r="D69" s="1"/>
      <c r="E69" s="1"/>
      <c r="F69" s="1"/>
      <c r="G69" s="1"/>
      <c r="H69" s="1"/>
      <c r="I69" s="1"/>
      <c r="J69" s="1"/>
      <c r="K69" s="1"/>
      <c r="L69" s="1"/>
      <c r="M69" s="1"/>
    </row>
  </sheetData>
  <mergeCells count="2">
    <mergeCell ref="B8:M8"/>
    <mergeCell ref="I33:M33"/>
  </mergeCells>
  <dataValidations count="1">
    <dataValidation allowBlank="false" errorStyle="stop" operator="between" showDropDown="false" showErrorMessage="false" showInputMessage="false" sqref="C55" type="list">
      <formula1>"Base Case,Bull Case"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44"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O96"/>
  <sheetViews>
    <sheetView showFormulas="false" showGridLines="false" showRowColHeaders="true" showZeros="true" rightToLeft="false" tabSelected="false" showOutlineSymbols="true" defaultGridColor="true" view="normal" topLeftCell="A33" colorId="64" zoomScale="80" zoomScaleNormal="80" zoomScalePageLayoutView="100" workbookViewId="0">
      <selection pane="topLeft" activeCell="L58" activeCellId="0" sqref="L58"/>
    </sheetView>
  </sheetViews>
  <sheetFormatPr defaultColWidth="8.66796875" defaultRowHeight="14.25" zeroHeight="false" outlineLevelRow="1" outlineLevelCol="0"/>
  <cols>
    <col collapsed="false" customWidth="true" hidden="false" outlineLevel="0" max="1" min="1" style="0" width="1.88"/>
    <col collapsed="false" customWidth="true" hidden="false" outlineLevel="0" max="2" min="2" style="0" width="33.44"/>
    <col collapsed="false" customWidth="true" hidden="false" outlineLevel="0" max="12" min="3" style="0" width="12.11"/>
    <col collapsed="false" customWidth="true" hidden="false" outlineLevel="0" max="15" min="14" style="0" width="9.44"/>
  </cols>
  <sheetData>
    <row r="2" customFormat="false" ht="15" hidden="false" customHeight="true" outlineLevel="0" collapsed="false">
      <c r="B2" s="105" t="str">
        <f aca="false">"Forecasted Financial Statement"&amp;" - "&amp;'Data Sheet'!B1</f>
        <v>Forecasted Financial Statement - ASIAN PAINTS LTD</v>
      </c>
      <c r="C2" s="105"/>
      <c r="D2" s="105"/>
      <c r="E2" s="105"/>
      <c r="F2" s="105"/>
      <c r="G2" s="105"/>
      <c r="H2" s="105"/>
      <c r="I2" s="105"/>
      <c r="J2" s="105"/>
      <c r="K2" s="105"/>
      <c r="L2" s="105"/>
    </row>
    <row r="4" customFormat="false" ht="15" hidden="false" customHeight="true" outlineLevel="0" collapsed="false">
      <c r="A4" s="0" t="s">
        <v>74</v>
      </c>
      <c r="B4" s="20" t="str">
        <f aca="false">"Income Statement"&amp;" - "&amp;'Data Sheet'!B1</f>
        <v>Income Statement - ASIAN PAINTS LTD</v>
      </c>
      <c r="C4" s="93"/>
      <c r="D4" s="93"/>
      <c r="E4" s="93"/>
      <c r="F4" s="93"/>
      <c r="G4" s="93"/>
      <c r="H4" s="93"/>
      <c r="I4" s="93"/>
      <c r="J4" s="93"/>
      <c r="K4" s="93"/>
      <c r="L4" s="93"/>
    </row>
    <row r="5" customFormat="false" ht="14.25" hidden="false" customHeight="true" outlineLevel="1" collapsed="false">
      <c r="B5" s="52" t="s">
        <v>179</v>
      </c>
      <c r="C5" s="94" t="n">
        <f aca="false">IFERROR('Assumption Sheet'!D11,0)</f>
        <v>44651</v>
      </c>
      <c r="D5" s="94" t="n">
        <f aca="false">IFERROR('Assumption Sheet'!E11,0)</f>
        <v>45016</v>
      </c>
      <c r="E5" s="94" t="n">
        <f aca="false">IFERROR('Assumption Sheet'!F11,0)</f>
        <v>45382</v>
      </c>
      <c r="F5" s="94" t="n">
        <f aca="false">IFERROR('Assumption Sheet'!G11,0)</f>
        <v>45747</v>
      </c>
      <c r="G5" s="94" t="n">
        <f aca="false">IFERROR('Assumption Sheet'!H11,0)</f>
        <v>46112</v>
      </c>
      <c r="H5" s="95" t="n">
        <f aca="false">IFERROR('Assumption Sheet'!I11,0)</f>
        <v>46477</v>
      </c>
      <c r="I5" s="95" t="n">
        <f aca="false">IFERROR('Assumption Sheet'!J11,0)</f>
        <v>46842</v>
      </c>
      <c r="J5" s="95" t="n">
        <f aca="false">IFERROR('Assumption Sheet'!K11,0)</f>
        <v>47207</v>
      </c>
      <c r="K5" s="95" t="n">
        <f aca="false">IFERROR('Assumption Sheet'!L11,0)</f>
        <v>47572</v>
      </c>
      <c r="L5" s="95" t="n">
        <f aca="false">IFERROR('Assumption Sheet'!M11,0)</f>
        <v>47937</v>
      </c>
      <c r="M5" s="106"/>
    </row>
    <row r="6" customFormat="false" ht="14.25" hidden="false" customHeight="true" outlineLevel="1" collapsed="false">
      <c r="B6" s="65" t="s">
        <v>75</v>
      </c>
      <c r="C6" s="107" t="n">
        <f aca="false">IFERROR(HistoricalFS!H6,0)</f>
        <v>29101.28</v>
      </c>
      <c r="D6" s="107" t="n">
        <f aca="false">IFERROR(HistoricalFS!I6,0)</f>
        <v>34488.59</v>
      </c>
      <c r="E6" s="107" t="n">
        <f aca="false">IFERROR(HistoricalFS!J6,0)</f>
        <v>35494.73</v>
      </c>
      <c r="F6" s="107" t="n">
        <f aca="false">IFERROR(HistoricalFS!K6,0)</f>
        <v>33905.62</v>
      </c>
      <c r="G6" s="107" t="n">
        <f aca="false">IFERROR(HistoricalFS!L6,0)</f>
        <v>35583.54</v>
      </c>
      <c r="H6" s="108" t="n">
        <f aca="false">G6*(1+H7)</f>
        <v>38074.3878</v>
      </c>
      <c r="I6" s="108" t="n">
        <f aca="false">H6*(1+I7)</f>
        <v>40739.594946</v>
      </c>
      <c r="J6" s="108" t="n">
        <f aca="false">I6*(1+J7)</f>
        <v>43795.06456695</v>
      </c>
      <c r="K6" s="108" t="n">
        <f aca="false">J6*(1+K7)</f>
        <v>47079.6944094713</v>
      </c>
      <c r="L6" s="108" t="n">
        <f aca="false">K6*(1+L7)</f>
        <v>50846.069962229</v>
      </c>
    </row>
    <row r="7" customFormat="false" ht="14.25" hidden="false" customHeight="true" outlineLevel="1" collapsed="false">
      <c r="B7" s="0" t="s">
        <v>239</v>
      </c>
      <c r="C7" s="28" t="n">
        <f aca="false">IFERROR(HistoricalFS!H7,0)</f>
        <v>0.340282847114535</v>
      </c>
      <c r="D7" s="28" t="n">
        <f aca="false">IFERROR(HistoricalFS!I7,0)</f>
        <v>0.185122784977156</v>
      </c>
      <c r="E7" s="28" t="n">
        <f aca="false">IFERROR(HistoricalFS!J7,0)</f>
        <v>0.0291731265325723</v>
      </c>
      <c r="F7" s="28" t="n">
        <f aca="false">IFERROR(HistoricalFS!K7,0)</f>
        <v>-0.0447703081556051</v>
      </c>
      <c r="G7" s="28" t="n">
        <f aca="false">IFERROR(HistoricalFS!L7,0)</f>
        <v>0.0494879609928973</v>
      </c>
      <c r="H7" s="109" t="n">
        <f aca="false">IFERROR('Assumption Sheet'!I12,0)</f>
        <v>0.07</v>
      </c>
      <c r="I7" s="109" t="n">
        <f aca="false">IFERROR('Assumption Sheet'!J12,0)</f>
        <v>0.07</v>
      </c>
      <c r="J7" s="109" t="n">
        <f aca="false">IFERROR('Assumption Sheet'!K12,0)</f>
        <v>0.075</v>
      </c>
      <c r="K7" s="109" t="n">
        <f aca="false">IFERROR('Assumption Sheet'!L12,0)</f>
        <v>0.075</v>
      </c>
      <c r="L7" s="109" t="n">
        <f aca="false">IFERROR('Assumption Sheet'!M12,0)</f>
        <v>0.08</v>
      </c>
    </row>
    <row r="8" customFormat="false" ht="14.25" hidden="false" customHeight="true" outlineLevel="1" collapsed="false">
      <c r="O8" s="0" t="s">
        <v>240</v>
      </c>
    </row>
    <row r="9" customFormat="false" ht="14.25" hidden="false" customHeight="true" outlineLevel="1" collapsed="false">
      <c r="B9" s="0" t="s">
        <v>77</v>
      </c>
      <c r="C9" s="54" t="n">
        <f aca="false">IFERROR(HistoricalFS!H9,0)</f>
        <v>20590.57</v>
      </c>
      <c r="D9" s="54" t="n">
        <f aca="false">IFERROR(HistoricalFS!I9,0)</f>
        <v>23766.7</v>
      </c>
      <c r="E9" s="54" t="n">
        <f aca="false">IFERROR(HistoricalFS!J9,0)</f>
        <v>23009.99</v>
      </c>
      <c r="F9" s="54" t="n">
        <f aca="false">IFERROR(HistoricalFS!K9,0)</f>
        <v>22741.27</v>
      </c>
      <c r="G9" s="54" t="n">
        <f aca="false">IFERROR(HistoricalFS!L9,0)</f>
        <v>23489.63</v>
      </c>
      <c r="H9" s="110" t="n">
        <f aca="false">H6*H10</f>
        <v>25129.095948</v>
      </c>
      <c r="I9" s="110" t="n">
        <f aca="false">I6*I10</f>
        <v>26888.13266436</v>
      </c>
      <c r="J9" s="110" t="n">
        <f aca="false">J6*J10</f>
        <v>28685.7672913523</v>
      </c>
      <c r="K9" s="110" t="n">
        <f aca="false">K6*K10</f>
        <v>30837.1998382037</v>
      </c>
      <c r="L9" s="110" t="n">
        <f aca="false">L6*L10</f>
        <v>33049.9454754488</v>
      </c>
    </row>
    <row r="10" customFormat="false" ht="14.25" hidden="false" customHeight="true" outlineLevel="1" collapsed="false">
      <c r="B10" s="0" t="s">
        <v>78</v>
      </c>
      <c r="C10" s="28" t="n">
        <f aca="false">IFERROR(HistoricalFS!H10,0)</f>
        <v>0.707548602673147</v>
      </c>
      <c r="D10" s="28" t="n">
        <f aca="false">IFERROR(HistoricalFS!I10,0)</f>
        <v>0.689117763295049</v>
      </c>
      <c r="E10" s="28" t="n">
        <f aca="false">IFERROR(HistoricalFS!J10,0)</f>
        <v>0.648264967785359</v>
      </c>
      <c r="F10" s="28" t="n">
        <f aca="false">IFERROR(HistoricalFS!K10,0)</f>
        <v>0.670722729742149</v>
      </c>
      <c r="G10" s="28" t="n">
        <f aca="false">IFERROR(HistoricalFS!L10,0)</f>
        <v>0.660126283107302</v>
      </c>
      <c r="H10" s="109" t="n">
        <f aca="false">IFERROR('Assumption Sheet'!I13,0)</f>
        <v>0.66</v>
      </c>
      <c r="I10" s="109" t="n">
        <f aca="false">IFERROR('Assumption Sheet'!J13,0)</f>
        <v>0.66</v>
      </c>
      <c r="J10" s="109" t="n">
        <f aca="false">IFERROR('Assumption Sheet'!K13,0)</f>
        <v>0.655</v>
      </c>
      <c r="K10" s="109" t="n">
        <f aca="false">IFERROR('Assumption Sheet'!L13,0)</f>
        <v>0.655</v>
      </c>
      <c r="L10" s="109" t="n">
        <f aca="false">IFERROR('Assumption Sheet'!M13,0)</f>
        <v>0.65</v>
      </c>
    </row>
    <row r="11" customFormat="false" ht="15" hidden="false" customHeight="true" outlineLevel="1" collapsed="false"/>
    <row r="12" customFormat="false" ht="14.25" hidden="false" customHeight="true" outlineLevel="1" collapsed="false">
      <c r="B12" s="111" t="s">
        <v>28</v>
      </c>
      <c r="C12" s="112" t="n">
        <f aca="false">C6-C9</f>
        <v>8510.71</v>
      </c>
      <c r="D12" s="112" t="n">
        <f aca="false">D6-D9</f>
        <v>10721.89</v>
      </c>
      <c r="E12" s="112" t="n">
        <f aca="false">E6-E9</f>
        <v>12484.74</v>
      </c>
      <c r="F12" s="112" t="n">
        <f aca="false">F6-F9</f>
        <v>11164.35</v>
      </c>
      <c r="G12" s="112" t="n">
        <f aca="false">G6-G9</f>
        <v>12093.91</v>
      </c>
      <c r="H12" s="113" t="n">
        <f aca="false">H6-H9</f>
        <v>12945.291852</v>
      </c>
      <c r="I12" s="113" t="n">
        <f aca="false">I6-I9</f>
        <v>13851.46228164</v>
      </c>
      <c r="J12" s="113" t="n">
        <f aca="false">J6-J9</f>
        <v>15109.2972755978</v>
      </c>
      <c r="K12" s="113" t="n">
        <f aca="false">K6-K9</f>
        <v>16242.4945712676</v>
      </c>
      <c r="L12" s="113" t="n">
        <f aca="false">L6-L9</f>
        <v>17796.1244867801</v>
      </c>
    </row>
    <row r="13" customFormat="false" ht="14.25" hidden="false" customHeight="true" outlineLevel="1" collapsed="false">
      <c r="B13" s="0" t="s">
        <v>194</v>
      </c>
      <c r="C13" s="28" t="n">
        <f aca="false">IFERROR(HistoricalFS!H13,0)</f>
        <v>0.292451397326853</v>
      </c>
      <c r="D13" s="28" t="n">
        <f aca="false">IFERROR(HistoricalFS!I13,0)</f>
        <v>0.310882236704951</v>
      </c>
      <c r="E13" s="28" t="n">
        <f aca="false">IFERROR(HistoricalFS!J13,0)</f>
        <v>0.351735032214642</v>
      </c>
      <c r="F13" s="28" t="n">
        <f aca="false">IFERROR(HistoricalFS!K13,0)</f>
        <v>0.329277270257851</v>
      </c>
      <c r="G13" s="28" t="n">
        <f aca="false">IFERROR(HistoricalFS!L13,0)</f>
        <v>0.339873716892698</v>
      </c>
      <c r="H13" s="109" t="n">
        <f aca="false">IFERROR('Assumption Sheet'!I14,0)</f>
        <v>0.34</v>
      </c>
      <c r="I13" s="109" t="n">
        <f aca="false">IFERROR('Assumption Sheet'!J14,0)</f>
        <v>0.34</v>
      </c>
      <c r="J13" s="109" t="n">
        <f aca="false">IFERROR('Assumption Sheet'!K14,0)</f>
        <v>0.345</v>
      </c>
      <c r="K13" s="109" t="n">
        <f aca="false">IFERROR('Assumption Sheet'!L14,0)</f>
        <v>0.345</v>
      </c>
      <c r="L13" s="109" t="n">
        <f aca="false">IFERROR('Assumption Sheet'!M14,0)</f>
        <v>0.35</v>
      </c>
    </row>
    <row r="14" customFormat="false" ht="14.25" hidden="false" customHeight="true" outlineLevel="1" collapsed="false"/>
    <row r="15" customFormat="false" ht="14.25" hidden="false" customHeight="true" outlineLevel="1" collapsed="false">
      <c r="B15" s="0" t="s">
        <v>241</v>
      </c>
      <c r="C15" s="54" t="n">
        <f aca="false">IFERROR(HistoricalFS!H15,0)</f>
        <v>3707.1</v>
      </c>
      <c r="D15" s="54" t="n">
        <f aca="false">IFERROR(HistoricalFS!I15,0)</f>
        <v>4462.05</v>
      </c>
      <c r="E15" s="54" t="n">
        <f aca="false">IFERROR(HistoricalFS!J15,0)</f>
        <v>4899.76</v>
      </c>
      <c r="F15" s="54" t="n">
        <f aca="false">IFERROR(HistoricalFS!K15,0)</f>
        <v>5158.14</v>
      </c>
      <c r="G15" s="54" t="n">
        <f aca="false">IFERROR(HistoricalFS!L15,0)</f>
        <v>5394.18</v>
      </c>
      <c r="H15" s="110" t="n">
        <f aca="false">H6*H16</f>
        <v>5711.15817</v>
      </c>
      <c r="I15" s="110" t="n">
        <f aca="false">I6*I16</f>
        <v>6110.9392419</v>
      </c>
      <c r="J15" s="110" t="n">
        <f aca="false">J6*J16</f>
        <v>6569.2596850425</v>
      </c>
      <c r="K15" s="110" t="n">
        <f aca="false">K6*K16</f>
        <v>7061.95416142069</v>
      </c>
      <c r="L15" s="110" t="n">
        <f aca="false">L6*L16</f>
        <v>7626.91049433434</v>
      </c>
    </row>
    <row r="16" customFormat="false" ht="14.25" hidden="false" customHeight="true" outlineLevel="1" collapsed="false">
      <c r="B16" s="0" t="s">
        <v>242</v>
      </c>
      <c r="C16" s="28" t="n">
        <f aca="false">IFERROR(HistoricalFS!H16,0)</f>
        <v>0.127386149337761</v>
      </c>
      <c r="D16" s="28" t="n">
        <f aca="false">IFERROR(HistoricalFS!I16,0)</f>
        <v>0.129377570958975</v>
      </c>
      <c r="E16" s="28" t="n">
        <f aca="false">IFERROR(HistoricalFS!J16,0)</f>
        <v>0.138041900868101</v>
      </c>
      <c r="F16" s="28" t="n">
        <f aca="false">IFERROR(HistoricalFS!K16,0)</f>
        <v>0.152132301370687</v>
      </c>
      <c r="G16" s="28" t="n">
        <f aca="false">IFERROR(HistoricalFS!L16,0)</f>
        <v>0.151592000121404</v>
      </c>
      <c r="H16" s="109" t="n">
        <f aca="false">IFERROR('Assumption Sheet'!I15,0)</f>
        <v>0.15</v>
      </c>
      <c r="I16" s="109" t="n">
        <f aca="false">IFERROR('Assumption Sheet'!J15,0)</f>
        <v>0.15</v>
      </c>
      <c r="J16" s="109" t="n">
        <f aca="false">IFERROR('Assumption Sheet'!K15,0)</f>
        <v>0.15</v>
      </c>
      <c r="K16" s="109" t="n">
        <f aca="false">IFERROR('Assumption Sheet'!L15,0)</f>
        <v>0.15</v>
      </c>
      <c r="L16" s="109" t="n">
        <f aca="false">IFERROR('Assumption Sheet'!M15,0)</f>
        <v>0.15</v>
      </c>
    </row>
    <row r="17" customFormat="false" ht="15" hidden="false" customHeight="true" outlineLevel="1" collapsed="false"/>
    <row r="18" customFormat="false" ht="14.25" hidden="false" customHeight="true" outlineLevel="1" collapsed="false">
      <c r="B18" s="111" t="s">
        <v>82</v>
      </c>
      <c r="C18" s="112" t="n">
        <f aca="false">C12-C15</f>
        <v>4803.61</v>
      </c>
      <c r="D18" s="112" t="n">
        <f aca="false">D12-D15</f>
        <v>6259.84</v>
      </c>
      <c r="E18" s="112" t="n">
        <f aca="false">E12-E15</f>
        <v>7584.98</v>
      </c>
      <c r="F18" s="112" t="n">
        <f aca="false">F12-F15</f>
        <v>6006.21000000001</v>
      </c>
      <c r="G18" s="112" t="n">
        <f aca="false">G12-G15</f>
        <v>6699.73</v>
      </c>
      <c r="H18" s="113" t="n">
        <f aca="false">H12-H15</f>
        <v>7234.133682</v>
      </c>
      <c r="I18" s="113" t="n">
        <f aca="false">I12-I15</f>
        <v>7740.52303974</v>
      </c>
      <c r="J18" s="113" t="n">
        <f aca="false">J12-J15</f>
        <v>8540.03759055525</v>
      </c>
      <c r="K18" s="113" t="n">
        <f aca="false">K12-K15</f>
        <v>9180.54040984689</v>
      </c>
      <c r="L18" s="113" t="n">
        <f aca="false">L12-L15</f>
        <v>10169.2139924458</v>
      </c>
    </row>
    <row r="19" customFormat="false" ht="14.25" hidden="false" customHeight="true" outlineLevel="1" collapsed="false">
      <c r="B19" s="0" t="s">
        <v>196</v>
      </c>
      <c r="C19" s="28" t="n">
        <f aca="false">IFERROR(C18/C6,0)</f>
        <v>0.165065247989092</v>
      </c>
      <c r="D19" s="28" t="n">
        <f aca="false">IFERROR(D18/D6,0)</f>
        <v>0.181504665745976</v>
      </c>
      <c r="E19" s="28" t="n">
        <f aca="false">IFERROR(E18/E6,0)</f>
        <v>0.213693131346541</v>
      </c>
      <c r="F19" s="28" t="n">
        <f aca="false">IFERROR(F18/F6,0)</f>
        <v>0.177144968887164</v>
      </c>
      <c r="G19" s="28" t="n">
        <f aca="false">IFERROR(G18/G6,0)</f>
        <v>0.188281716771294</v>
      </c>
      <c r="H19" s="109" t="n">
        <f aca="false">IFERROR(H18/H6,0)</f>
        <v>0.19</v>
      </c>
      <c r="I19" s="109" t="n">
        <f aca="false">IFERROR(I18/I6,0)</f>
        <v>0.19</v>
      </c>
      <c r="J19" s="109" t="n">
        <f aca="false">IFERROR(J18/J6,0)</f>
        <v>0.195</v>
      </c>
      <c r="K19" s="109" t="n">
        <f aca="false">IFERROR(K18/K6,0)</f>
        <v>0.195</v>
      </c>
      <c r="L19" s="109" t="n">
        <f aca="false">IFERROR(L18/L6,0)</f>
        <v>0.2</v>
      </c>
    </row>
    <row r="20" customFormat="false" ht="14.25" hidden="false" customHeight="true" outlineLevel="1" collapsed="false">
      <c r="C20" s="28"/>
      <c r="D20" s="28"/>
      <c r="E20" s="28"/>
      <c r="F20" s="28"/>
      <c r="G20" s="28"/>
    </row>
    <row r="21" customFormat="false" ht="14.25" hidden="false" customHeight="true" outlineLevel="1" collapsed="false">
      <c r="B21" s="0" t="s">
        <v>84</v>
      </c>
      <c r="C21" s="54" t="n">
        <f aca="false">IFERROR(HistoricalFS!H21,0)</f>
        <v>295.88</v>
      </c>
      <c r="D21" s="54" t="n">
        <f aca="false">IFERROR(HistoricalFS!I21,0)</f>
        <v>431.46</v>
      </c>
      <c r="E21" s="54" t="n">
        <f aca="false">IFERROR(HistoricalFS!J21,0)</f>
        <v>820.96</v>
      </c>
      <c r="F21" s="54" t="n">
        <f aca="false">IFERROR(HistoricalFS!K21,0)</f>
        <v>350.22</v>
      </c>
      <c r="G21" s="54" t="n">
        <f aca="false">IFERROR(HistoricalFS!L21,0)</f>
        <v>727.97</v>
      </c>
      <c r="H21" s="110" t="n">
        <f aca="false">IFERROR('Assumption Sheet'!I20,0)</f>
        <v>500</v>
      </c>
      <c r="I21" s="110" t="n">
        <f aca="false">IFERROR('Assumption Sheet'!J20,0)</f>
        <v>500</v>
      </c>
      <c r="J21" s="110" t="n">
        <f aca="false">IFERROR('Assumption Sheet'!K20,0)</f>
        <v>500</v>
      </c>
      <c r="K21" s="110" t="n">
        <f aca="false">IFERROR('Assumption Sheet'!L20,0)</f>
        <v>500</v>
      </c>
      <c r="L21" s="110" t="n">
        <f aca="false">IFERROR('Assumption Sheet'!M20,0)</f>
        <v>500</v>
      </c>
    </row>
    <row r="22" customFormat="false" ht="14.25" hidden="false" customHeight="true" outlineLevel="1" collapsed="false">
      <c r="B22" s="0" t="s">
        <v>86</v>
      </c>
      <c r="C22" s="54" t="n">
        <f aca="false">IFERROR(HistoricalFS!H24,0)</f>
        <v>816.36</v>
      </c>
      <c r="D22" s="54" t="n">
        <f aca="false">IFERROR(HistoricalFS!I24,0)</f>
        <v>858.02</v>
      </c>
      <c r="E22" s="54" t="n">
        <f aca="false">IFERROR(HistoricalFS!J24,0)</f>
        <v>853</v>
      </c>
      <c r="F22" s="54" t="n">
        <f aca="false">IFERROR(HistoricalFS!K24,0)</f>
        <v>1026.34</v>
      </c>
      <c r="G22" s="54" t="n">
        <f aca="false">IFERROR(HistoricalFS!L24,0)</f>
        <v>1228.85</v>
      </c>
      <c r="H22" s="110" t="n">
        <f aca="false">IFERROR('Assumption Sheet'!I17,0)</f>
        <v>1350</v>
      </c>
      <c r="I22" s="110" t="n">
        <f aca="false">IFERROR('Assumption Sheet'!J17,0)</f>
        <v>1450</v>
      </c>
      <c r="J22" s="110" t="n">
        <f aca="false">IFERROR('Assumption Sheet'!K17,0)</f>
        <v>1550</v>
      </c>
      <c r="K22" s="110" t="n">
        <f aca="false">IFERROR('Assumption Sheet'!L17,0)</f>
        <v>1650</v>
      </c>
      <c r="L22" s="110" t="n">
        <f aca="false">IFERROR('Assumption Sheet'!M17,0)</f>
        <v>1750</v>
      </c>
    </row>
    <row r="23" customFormat="false" ht="15" hidden="false" customHeight="true" outlineLevel="1" collapsed="false"/>
    <row r="24" customFormat="false" ht="14.25" hidden="false" customHeight="true" outlineLevel="1" collapsed="false">
      <c r="B24" s="111" t="s">
        <v>243</v>
      </c>
      <c r="C24" s="112" t="n">
        <f aca="false">IFERROR(HistoricalFS!H27,0)</f>
        <v>4283.13</v>
      </c>
      <c r="D24" s="112" t="n">
        <f aca="false">IFERROR(HistoricalFS!I27,0)</f>
        <v>5833.28</v>
      </c>
      <c r="E24" s="112" t="n">
        <f aca="false">IFERROR(HistoricalFS!J27,0)</f>
        <v>7552.94</v>
      </c>
      <c r="F24" s="112" t="n">
        <f aca="false">IFERROR(HistoricalFS!K27,0)</f>
        <v>5330.09000000001</v>
      </c>
      <c r="G24" s="112" t="n">
        <f aca="false">IFERROR(HistoricalFS!L27,0)</f>
        <v>6198.85</v>
      </c>
      <c r="H24" s="113" t="n">
        <f aca="false">(H18+H21)-H22</f>
        <v>6384.133682</v>
      </c>
      <c r="I24" s="113" t="n">
        <f aca="false">(I18+I21)-I22</f>
        <v>6790.52303974</v>
      </c>
      <c r="J24" s="113" t="n">
        <f aca="false">(J18+J21)-J22</f>
        <v>7490.03759055525</v>
      </c>
      <c r="K24" s="113" t="n">
        <f aca="false">(K18+K21)-K22</f>
        <v>8030.54040984689</v>
      </c>
      <c r="L24" s="113" t="n">
        <f aca="false">(L18+L21)-L22</f>
        <v>8919.21399244579</v>
      </c>
    </row>
    <row r="25" customFormat="false" ht="14.25" hidden="false" customHeight="true" outlineLevel="1" collapsed="false">
      <c r="B25" s="0" t="s">
        <v>244</v>
      </c>
      <c r="C25" s="28" t="n">
        <f aca="false">IFERROR(C24/C6,0)</f>
        <v>0.147180124035781</v>
      </c>
      <c r="D25" s="28" t="n">
        <f aca="false">IFERROR(D24/D6,0)</f>
        <v>0.169136517323555</v>
      </c>
      <c r="E25" s="28" t="n">
        <f aca="false">IFERROR(E24/E6,0)</f>
        <v>0.212790462133393</v>
      </c>
      <c r="F25" s="28" t="n">
        <f aca="false">IFERROR(F24/F6,0)</f>
        <v>0.15720373200667</v>
      </c>
      <c r="G25" s="28" t="n">
        <f aca="false">IFERROR(G24/G6,0)</f>
        <v>0.174205545597768</v>
      </c>
      <c r="H25" s="109" t="n">
        <f aca="false">IFERROR(H24/H6,0)</f>
        <v>0.167675281229341</v>
      </c>
      <c r="I25" s="109" t="n">
        <f aca="false">IFERROR(I24/I6,0)</f>
        <v>0.166681162361599</v>
      </c>
      <c r="J25" s="109" t="n">
        <f aca="false">IFERROR(J24/J6,0)</f>
        <v>0.171024695696136</v>
      </c>
      <c r="K25" s="109" t="n">
        <f aca="false">IFERROR(K24/K6,0)</f>
        <v>0.170573333378123</v>
      </c>
      <c r="L25" s="109" t="n">
        <f aca="false">IFERROR(L24/L6,0)</f>
        <v>0.175415995750929</v>
      </c>
    </row>
    <row r="26" customFormat="false" ht="14.25" hidden="false" customHeight="true" outlineLevel="1" collapsed="false">
      <c r="C26" s="28"/>
      <c r="D26" s="28"/>
      <c r="E26" s="28"/>
      <c r="F26" s="28"/>
      <c r="G26" s="28"/>
      <c r="H26" s="28"/>
      <c r="I26" s="28"/>
      <c r="J26" s="28"/>
      <c r="K26" s="28"/>
      <c r="L26" s="28"/>
    </row>
    <row r="27" customFormat="false" ht="14.25" hidden="false" customHeight="true" outlineLevel="1" collapsed="false">
      <c r="B27" s="0" t="s">
        <v>245</v>
      </c>
      <c r="C27" s="54" t="n">
        <f aca="false">IFERROR(HistoricalFS!H30,0)</f>
        <v>95.41</v>
      </c>
      <c r="D27" s="54" t="n">
        <f aca="false">IFERROR(HistoricalFS!I30,0)</f>
        <v>144.45</v>
      </c>
      <c r="E27" s="54" t="n">
        <f aca="false">IFERROR(HistoricalFS!J30,0)</f>
        <v>205.17</v>
      </c>
      <c r="F27" s="54" t="n">
        <f aca="false">IFERROR(HistoricalFS!K30,0)</f>
        <v>227.02</v>
      </c>
      <c r="G27" s="54" t="n">
        <f aca="false">IFERROR(HistoricalFS!L30,0)</f>
        <v>195.41</v>
      </c>
      <c r="H27" s="110" t="n">
        <f aca="false">IFERROR('Assumption Sheet'!I18,0)</f>
        <v>210</v>
      </c>
      <c r="I27" s="110" t="n">
        <f aca="false">IFERROR('Assumption Sheet'!J18,0)</f>
        <v>220</v>
      </c>
      <c r="J27" s="110" t="n">
        <f aca="false">IFERROR('Assumption Sheet'!K18,0)</f>
        <v>230</v>
      </c>
      <c r="K27" s="110" t="n">
        <f aca="false">IFERROR('Assumption Sheet'!L18,0)</f>
        <v>240</v>
      </c>
      <c r="L27" s="110" t="n">
        <f aca="false">IFERROR('Assumption Sheet'!M18,0)</f>
        <v>250</v>
      </c>
    </row>
    <row r="28" customFormat="false" ht="15" hidden="false" customHeight="true" outlineLevel="1" collapsed="false"/>
    <row r="29" customFormat="false" ht="14.25" hidden="false" customHeight="true" outlineLevel="1" collapsed="false">
      <c r="B29" s="111" t="s">
        <v>92</v>
      </c>
      <c r="C29" s="112" t="n">
        <f aca="false">C24-C27</f>
        <v>4187.72</v>
      </c>
      <c r="D29" s="112" t="n">
        <f aca="false">D24-D27</f>
        <v>5688.83</v>
      </c>
      <c r="E29" s="112" t="n">
        <f aca="false">E24-E27</f>
        <v>7347.77</v>
      </c>
      <c r="F29" s="112" t="n">
        <f aca="false">F24-F27</f>
        <v>5103.07000000001</v>
      </c>
      <c r="G29" s="112" t="n">
        <f aca="false">G24-G27</f>
        <v>6003.44</v>
      </c>
      <c r="H29" s="113" t="n">
        <f aca="false">H24-H27</f>
        <v>6174.133682</v>
      </c>
      <c r="I29" s="113" t="n">
        <f aca="false">I24-I27</f>
        <v>6570.52303974</v>
      </c>
      <c r="J29" s="113" t="n">
        <f aca="false">J24-J27</f>
        <v>7260.03759055525</v>
      </c>
      <c r="K29" s="113" t="n">
        <f aca="false">K24-K27</f>
        <v>7790.54040984689</v>
      </c>
      <c r="L29" s="113" t="n">
        <f aca="false">L24-L27</f>
        <v>8669.21399244579</v>
      </c>
    </row>
    <row r="30" customFormat="false" ht="14.25" hidden="false" customHeight="true" outlineLevel="1" collapsed="false"/>
    <row r="31" customFormat="false" ht="14.25" hidden="false" customHeight="true" outlineLevel="1" collapsed="false">
      <c r="B31" s="0" t="s">
        <v>94</v>
      </c>
      <c r="C31" s="54" t="n">
        <f aca="false">IFERROR(HistoricalFS!H36,0)</f>
        <v>1102.91</v>
      </c>
      <c r="D31" s="54" t="n">
        <f aca="false">IFERROR(HistoricalFS!I36,0)</f>
        <v>1493.5</v>
      </c>
      <c r="E31" s="54" t="n">
        <f aca="false">IFERROR(HistoricalFS!J36,0)</f>
        <v>1790.08</v>
      </c>
      <c r="F31" s="54" t="n">
        <f aca="false">IFERROR(HistoricalFS!K36,0)</f>
        <v>1393.36</v>
      </c>
      <c r="G31" s="54" t="n">
        <f aca="false">IFERROR(HistoricalFS!L36,0)</f>
        <v>1608.75</v>
      </c>
      <c r="H31" s="110" t="n">
        <f aca="false">H29*H32</f>
        <v>1605.27475732</v>
      </c>
      <c r="I31" s="110" t="n">
        <f aca="false">I29*I32</f>
        <v>1708.3359903324</v>
      </c>
      <c r="J31" s="110" t="n">
        <f aca="false">J29*J32</f>
        <v>1887.60977354437</v>
      </c>
      <c r="K31" s="110" t="n">
        <f aca="false">K29*K32</f>
        <v>2025.54050656019</v>
      </c>
      <c r="L31" s="110" t="n">
        <f aca="false">L29*L32</f>
        <v>2253.99563803591</v>
      </c>
    </row>
    <row r="32" customFormat="false" ht="14.25" hidden="false" customHeight="true" outlineLevel="1" collapsed="false">
      <c r="B32" s="0" t="s">
        <v>95</v>
      </c>
      <c r="C32" s="28" t="n">
        <f aca="false">IFERROR(HistoricalFS!H37,0)</f>
        <v>0.263367655908227</v>
      </c>
      <c r="D32" s="28" t="n">
        <f aca="false">IFERROR(HistoricalFS!I37,0)</f>
        <v>0.262532014491557</v>
      </c>
      <c r="E32" s="28" t="n">
        <f aca="false">IFERROR(HistoricalFS!J37,0)</f>
        <v>0.243622214631106</v>
      </c>
      <c r="F32" s="28" t="n">
        <f aca="false">IFERROR(HistoricalFS!K37,0)</f>
        <v>0.273043481668877</v>
      </c>
      <c r="G32" s="28" t="n">
        <f aca="false">IFERROR(HistoricalFS!L37,0)</f>
        <v>0.267971363085164</v>
      </c>
      <c r="H32" s="109" t="n">
        <f aca="false">IFERROR('Assumption Sheet'!I19,0)</f>
        <v>0.26</v>
      </c>
      <c r="I32" s="109" t="n">
        <f aca="false">IFERROR('Assumption Sheet'!J19,0)</f>
        <v>0.26</v>
      </c>
      <c r="J32" s="109" t="n">
        <f aca="false">IFERROR('Assumption Sheet'!K19,0)</f>
        <v>0.26</v>
      </c>
      <c r="K32" s="109" t="n">
        <f aca="false">IFERROR('Assumption Sheet'!L19,0)</f>
        <v>0.26</v>
      </c>
      <c r="L32" s="109" t="n">
        <f aca="false">IFERROR('Assumption Sheet'!M19,0)</f>
        <v>0.26</v>
      </c>
    </row>
    <row r="33" customFormat="false" ht="15" hidden="false" customHeight="true" outlineLevel="1" collapsed="false"/>
    <row r="34" customFormat="false" ht="15" hidden="false" customHeight="true" outlineLevel="1" collapsed="false">
      <c r="B34" s="114" t="s">
        <v>96</v>
      </c>
      <c r="C34" s="115" t="n">
        <f aca="false">C29-C31</f>
        <v>3084.81</v>
      </c>
      <c r="D34" s="115" t="n">
        <f aca="false">D29-D31</f>
        <v>4195.33</v>
      </c>
      <c r="E34" s="115" t="n">
        <f aca="false">E29-E31</f>
        <v>5557.69</v>
      </c>
      <c r="F34" s="115" t="n">
        <f aca="false">F29-F31</f>
        <v>3709.71000000001</v>
      </c>
      <c r="G34" s="115" t="n">
        <f aca="false">G29-G31</f>
        <v>4394.69</v>
      </c>
      <c r="H34" s="116" t="n">
        <f aca="false">H29-H31</f>
        <v>4568.85892468</v>
      </c>
      <c r="I34" s="116" t="n">
        <f aca="false">I29-I31</f>
        <v>4862.1870494076</v>
      </c>
      <c r="J34" s="116" t="n">
        <f aca="false">J29-J31</f>
        <v>5372.42781701089</v>
      </c>
      <c r="K34" s="116" t="n">
        <f aca="false">K29-K31</f>
        <v>5764.9999032867</v>
      </c>
      <c r="L34" s="116" t="n">
        <f aca="false">L29-L31</f>
        <v>6415.21835440989</v>
      </c>
    </row>
    <row r="35" customFormat="false" ht="15" hidden="false" customHeight="true" outlineLevel="0" collapsed="false">
      <c r="B35" s="65"/>
      <c r="C35" s="107"/>
      <c r="D35" s="107"/>
      <c r="E35" s="107"/>
      <c r="F35" s="107"/>
      <c r="G35" s="107"/>
    </row>
    <row r="36" customFormat="false" ht="15" hidden="false" customHeight="true" outlineLevel="0" collapsed="false">
      <c r="A36" s="0" t="s">
        <v>74</v>
      </c>
      <c r="B36" s="20" t="str">
        <f aca="false">"Balance Sheet"&amp;" - "&amp;'Data Sheet'!B1</f>
        <v>Balance Sheet - ASIAN PAINTS LTD</v>
      </c>
      <c r="C36" s="1"/>
      <c r="D36" s="1"/>
      <c r="E36" s="1"/>
      <c r="F36" s="1"/>
      <c r="G36" s="1"/>
      <c r="H36" s="1"/>
      <c r="I36" s="1"/>
      <c r="J36" s="1"/>
      <c r="K36" s="1"/>
      <c r="L36" s="1"/>
    </row>
    <row r="37" customFormat="false" ht="14.25" hidden="false" customHeight="true" outlineLevel="1" collapsed="false">
      <c r="B37" s="52" t="s">
        <v>179</v>
      </c>
      <c r="C37" s="94" t="n">
        <f aca="false">IFERROR(C5,0)</f>
        <v>44651</v>
      </c>
      <c r="D37" s="94" t="n">
        <f aca="false">IFERROR(D5,0)</f>
        <v>45016</v>
      </c>
      <c r="E37" s="94" t="n">
        <f aca="false">IFERROR(E5,0)</f>
        <v>45382</v>
      </c>
      <c r="F37" s="94" t="n">
        <f aca="false">IFERROR(F5,0)</f>
        <v>45747</v>
      </c>
      <c r="G37" s="94" t="n">
        <f aca="false">IFERROR(G5,0)</f>
        <v>46112</v>
      </c>
      <c r="H37" s="95" t="n">
        <f aca="false">IFERROR(H5,0)</f>
        <v>46477</v>
      </c>
      <c r="I37" s="95" t="n">
        <f aca="false">IFERROR(I5,0)</f>
        <v>46842</v>
      </c>
      <c r="J37" s="95" t="n">
        <f aca="false">IFERROR(J5,0)</f>
        <v>47207</v>
      </c>
      <c r="K37" s="95" t="n">
        <f aca="false">IFERROR(K5,0)</f>
        <v>47572</v>
      </c>
      <c r="L37" s="95" t="n">
        <f aca="false">IFERROR(L5,0)</f>
        <v>47937</v>
      </c>
    </row>
    <row r="38" customFormat="false" ht="14.25" hidden="false" customHeight="true" outlineLevel="1" collapsed="false">
      <c r="B38" s="0" t="str">
        <f aca="false">IFERROR(HistoricalFS!B53,0)</f>
        <v>Equity Share Capital</v>
      </c>
      <c r="C38" s="54" t="n">
        <f aca="false">IFERROR(HistoricalFS!H53,0)</f>
        <v>95.92</v>
      </c>
      <c r="D38" s="54" t="n">
        <f aca="false">IFERROR(HistoricalFS!I53,0)</f>
        <v>95.92</v>
      </c>
      <c r="E38" s="54" t="n">
        <f aca="false">IFERROR(HistoricalFS!J53,0)</f>
        <v>95.92</v>
      </c>
      <c r="F38" s="54" t="n">
        <f aca="false">IFERROR(HistoricalFS!K53,0)</f>
        <v>95.92</v>
      </c>
      <c r="G38" s="54" t="n">
        <f aca="false">IFERROR(HistoricalFS!L53,0)</f>
        <v>95.92</v>
      </c>
      <c r="H38" s="97" t="n">
        <v>95.92</v>
      </c>
      <c r="I38" s="97" t="n">
        <v>95.92</v>
      </c>
      <c r="J38" s="97" t="n">
        <v>95.92</v>
      </c>
      <c r="K38" s="97" t="n">
        <v>95.92</v>
      </c>
      <c r="L38" s="97" t="n">
        <v>95.92</v>
      </c>
    </row>
    <row r="39" customFormat="false" ht="14.25" hidden="false" customHeight="true" outlineLevel="1" collapsed="false">
      <c r="B39" s="0" t="str">
        <f aca="false">IFERROR(HistoricalFS!B54,0)</f>
        <v>Reserves</v>
      </c>
      <c r="C39" s="54" t="n">
        <f aca="false">IFERROR(HistoricalFS!H54,0)</f>
        <v>13715.64</v>
      </c>
      <c r="D39" s="54" t="n">
        <f aca="false">IFERROR(HistoricalFS!I54,0)</f>
        <v>15896.31</v>
      </c>
      <c r="E39" s="54" t="n">
        <f aca="false">IFERROR(HistoricalFS!J54,0)</f>
        <v>18632.38</v>
      </c>
      <c r="F39" s="54" t="n">
        <f aca="false">IFERROR(HistoricalFS!K54,0)</f>
        <v>19303.89</v>
      </c>
      <c r="G39" s="54" t="n">
        <f aca="false">IFERROR(HistoricalFS!L54,0)</f>
        <v>21275.67</v>
      </c>
      <c r="H39" s="54" t="n">
        <f aca="false">G39+H34*(1-'Assumption Sheet'!I21)</f>
        <v>23103.213569872</v>
      </c>
      <c r="I39" s="54" t="n">
        <f aca="false">H39+I34*(1-'Assumption Sheet'!J21)</f>
        <v>25048.088389635</v>
      </c>
      <c r="J39" s="54" t="n">
        <f aca="false">I39+J34*(1-'Assumption Sheet'!K21)</f>
        <v>27197.0595164394</v>
      </c>
      <c r="K39" s="54" t="n">
        <f aca="false">J39+K34*(1-'Assumption Sheet'!L21)</f>
        <v>29503.0594777541</v>
      </c>
      <c r="L39" s="54" t="n">
        <f aca="false">K39+L34*(1-'Assumption Sheet'!M21)</f>
        <v>32069.146819518</v>
      </c>
      <c r="N39" s="38" t="s">
        <v>240</v>
      </c>
    </row>
    <row r="40" customFormat="false" ht="14.25" hidden="false" customHeight="true" outlineLevel="1" collapsed="false">
      <c r="B40" s="0" t="str">
        <f aca="false">IFERROR(HistoricalFS!B55,0)</f>
        <v>Borrowings</v>
      </c>
      <c r="C40" s="54" t="n">
        <f aca="false">IFERROR(HistoricalFS!H55,0)</f>
        <v>1586.88</v>
      </c>
      <c r="D40" s="54" t="n">
        <f aca="false">IFERROR(HistoricalFS!I55,0)</f>
        <v>1932.62</v>
      </c>
      <c r="E40" s="54" t="n">
        <f aca="false">IFERROR(HistoricalFS!J55,0)</f>
        <v>2474.38</v>
      </c>
      <c r="F40" s="54" t="n">
        <f aca="false">IFERROR(HistoricalFS!K55,0)</f>
        <v>2290.29</v>
      </c>
      <c r="G40" s="54" t="n">
        <f aca="false">IFERROR(HistoricalFS!L55,0)</f>
        <v>3928.93</v>
      </c>
      <c r="H40" s="54" t="n">
        <f aca="false">IFERROR('Assumption Sheet'!I52,0)</f>
        <v>3928.93</v>
      </c>
      <c r="I40" s="54" t="n">
        <f aca="false">IFERROR('Assumption Sheet'!J52,0)</f>
        <v>3928.93</v>
      </c>
      <c r="J40" s="54" t="n">
        <f aca="false">IFERROR('Assumption Sheet'!K52,0)</f>
        <v>3928.93</v>
      </c>
      <c r="K40" s="54" t="n">
        <f aca="false">IFERROR('Assumption Sheet'!L52,0)</f>
        <v>3928.93</v>
      </c>
      <c r="L40" s="54" t="n">
        <f aca="false">IFERROR('Assumption Sheet'!M52,0)</f>
        <v>3928.93</v>
      </c>
    </row>
    <row r="41" customFormat="false" ht="14.25" hidden="false" customHeight="true" outlineLevel="1" collapsed="false">
      <c r="B41" s="0" t="str">
        <f aca="false">IFERROR(HistoricalFS!B56,0)</f>
        <v>Trade Payables</v>
      </c>
      <c r="C41" s="54" t="n">
        <f aca="false">IFERROR(HistoricalFS!H56,0)</f>
        <v>4164</v>
      </c>
      <c r="D41" s="54" t="n">
        <f aca="false">IFERROR(HistoricalFS!I56,0)</f>
        <v>3635</v>
      </c>
      <c r="E41" s="54" t="n">
        <f aca="false">IFERROR(HistoricalFS!J56,0)</f>
        <v>3831</v>
      </c>
      <c r="F41" s="54" t="n">
        <f aca="false">IFERROR(HistoricalFS!K56,0)</f>
        <v>3848</v>
      </c>
      <c r="G41" s="54" t="n">
        <f aca="false">IFERROR(HistoricalFS!L56,0)</f>
        <v>3863</v>
      </c>
      <c r="H41" s="54" t="n">
        <f aca="false">IFERROR('Assumption Sheet'!I27*(ForecastFS!H9/365),0)</f>
        <v>4130.81029282192</v>
      </c>
      <c r="I41" s="54" t="n">
        <f aca="false">IFERROR('Assumption Sheet'!J27*(ForecastFS!I9/365),0)</f>
        <v>4419.96701331945</v>
      </c>
      <c r="J41" s="54" t="n">
        <f aca="false">IFERROR('Assumption Sheet'!K27*(ForecastFS!J9/365),0)</f>
        <v>4715.46859583873</v>
      </c>
      <c r="K41" s="54" t="n">
        <f aca="false">IFERROR('Assumption Sheet'!L27*(ForecastFS!K9/365),0)</f>
        <v>5238.09969854419</v>
      </c>
      <c r="L41" s="54" t="n">
        <f aca="false">IFERROR('Assumption Sheet'!M27*(ForecastFS!L9/365),0)</f>
        <v>5613.96334103514</v>
      </c>
    </row>
    <row r="42" customFormat="false" ht="15" hidden="false" customHeight="true" outlineLevel="1" collapsed="false">
      <c r="B42" s="0" t="str">
        <f aca="false">IFERROR(HistoricalFS!B57,0)</f>
        <v>Other Liabilities</v>
      </c>
      <c r="C42" s="54" t="n">
        <f aca="false">IFERROR(HistoricalFS!H57,0)</f>
        <v>3395.99</v>
      </c>
      <c r="D42" s="54" t="n">
        <f aca="false">IFERROR(HistoricalFS!I57,0)</f>
        <v>4219.48</v>
      </c>
      <c r="E42" s="54" t="n">
        <f aca="false">IFERROR(HistoricalFS!J57,0)</f>
        <v>4867.09</v>
      </c>
      <c r="F42" s="54" t="n">
        <f aca="false">IFERROR(HistoricalFS!K57,0)</f>
        <v>4817.15</v>
      </c>
      <c r="G42" s="54" t="n">
        <f aca="false">IFERROR(HistoricalFS!L57,0)</f>
        <v>5355.23</v>
      </c>
      <c r="H42" s="54" t="n">
        <f aca="false">H6*IFERROR('Assumption Sheet'!I48,0)</f>
        <v>5730.0961</v>
      </c>
      <c r="I42" s="54" t="n">
        <f aca="false">I6*IFERROR('Assumption Sheet'!J48,0)</f>
        <v>6131.202827</v>
      </c>
      <c r="J42" s="54" t="n">
        <f aca="false">J6*IFERROR('Assumption Sheet'!K48,0)</f>
        <v>6591.043039025</v>
      </c>
      <c r="K42" s="54" t="n">
        <f aca="false">K6*IFERROR('Assumption Sheet'!L48,0)</f>
        <v>7085.37126695188</v>
      </c>
      <c r="L42" s="54" t="n">
        <f aca="false">L6*IFERROR('Assumption Sheet'!M48,0)</f>
        <v>7652.20096830803</v>
      </c>
    </row>
    <row r="43" customFormat="false" ht="15" hidden="false" customHeight="true" outlineLevel="1" collapsed="false">
      <c r="B43" s="117" t="str">
        <f aca="false">IFERROR(HistoricalFS!B58,0)</f>
        <v>Total Liabilities</v>
      </c>
      <c r="C43" s="118" t="n">
        <f aca="false">IFERROR(HistoricalFS!H58,0)</f>
        <v>22958.43</v>
      </c>
      <c r="D43" s="118" t="n">
        <f aca="false">IFERROR(HistoricalFS!I58,0)</f>
        <v>25779.33</v>
      </c>
      <c r="E43" s="118" t="n">
        <f aca="false">IFERROR(HistoricalFS!J58,0)</f>
        <v>29900.77</v>
      </c>
      <c r="F43" s="118" t="n">
        <f aca="false">IFERROR(HistoricalFS!K58,0)</f>
        <v>30355.25</v>
      </c>
      <c r="G43" s="118" t="n">
        <f aca="false">IFERROR(HistoricalFS!L58,0)</f>
        <v>34518.75</v>
      </c>
      <c r="H43" s="118" t="n">
        <f aca="false">SUM(H38:H42)</f>
        <v>36988.9699626939</v>
      </c>
      <c r="I43" s="118" t="n">
        <f aca="false">SUM(I38:I42)</f>
        <v>39624.1082299545</v>
      </c>
      <c r="J43" s="118" t="n">
        <f aca="false">SUM(J38:J42)</f>
        <v>42528.4211513031</v>
      </c>
      <c r="K43" s="118" t="n">
        <f aca="false">SUM(K38:K42)</f>
        <v>45851.3804432501</v>
      </c>
      <c r="L43" s="118" t="n">
        <f aca="false">SUM(L38:L42)</f>
        <v>49360.1611288612</v>
      </c>
    </row>
    <row r="44" customFormat="false" ht="14.25" hidden="false" customHeight="true" outlineLevel="1" collapsed="false">
      <c r="C44" s="54"/>
      <c r="D44" s="54"/>
      <c r="E44" s="54"/>
      <c r="F44" s="54"/>
      <c r="G44" s="54"/>
    </row>
    <row r="45" customFormat="false" ht="14.25" hidden="false" customHeight="true" outlineLevel="1" collapsed="false">
      <c r="B45" s="0" t="str">
        <f aca="false">IFERROR(HistoricalFS!B60,0)</f>
        <v>Fixed Assets Net Block</v>
      </c>
      <c r="C45" s="54" t="n">
        <f aca="false">IFERROR(HistoricalFS!H60,0)</f>
        <v>5519.06</v>
      </c>
      <c r="D45" s="54" t="n">
        <f aca="false">IFERROR(HistoricalFS!I60,0)</f>
        <v>5770.46</v>
      </c>
      <c r="E45" s="54" t="n">
        <f aca="false">IFERROR(HistoricalFS!J60,0)</f>
        <v>7146.62</v>
      </c>
      <c r="F45" s="54" t="n">
        <f aca="false">IFERROR(HistoricalFS!K60,0)</f>
        <v>9220.1</v>
      </c>
      <c r="G45" s="54" t="n">
        <f aca="false">IFERROR(HistoricalFS!L60,0)</f>
        <v>9640.28</v>
      </c>
      <c r="H45" s="54" t="n">
        <f aca="false">G45+'Assumption Sheet'!I31-H22</f>
        <v>10193.99939</v>
      </c>
      <c r="I45" s="54" t="n">
        <f aca="false">H45+'Assumption Sheet'!J31-I22</f>
        <v>10780.9791373</v>
      </c>
      <c r="J45" s="54" t="n">
        <f aca="false">I45+'Assumption Sheet'!K31-J22</f>
        <v>11420.7323656475</v>
      </c>
      <c r="K45" s="54" t="n">
        <f aca="false">J45+'Assumption Sheet'!L31-K22</f>
        <v>12124.7170861211</v>
      </c>
      <c r="L45" s="54" t="n">
        <f aca="false">K45+'Assumption Sheet'!M31-L22</f>
        <v>12917.0205842325</v>
      </c>
    </row>
    <row r="46" customFormat="false" ht="14.25" hidden="false" customHeight="true" outlineLevel="1" collapsed="false">
      <c r="B46" s="0" t="str">
        <f aca="false">IFERROR(HistoricalFS!B61,0)</f>
        <v>Capital Work in Progress</v>
      </c>
      <c r="C46" s="54" t="n">
        <f aca="false">IFERROR(HistoricalFS!H61,0)</f>
        <v>426.43</v>
      </c>
      <c r="D46" s="54" t="n">
        <f aca="false">IFERROR(HistoricalFS!I61,0)</f>
        <v>1019.59</v>
      </c>
      <c r="E46" s="54" t="n">
        <f aca="false">IFERROR(HistoricalFS!J61,0)</f>
        <v>2698.37</v>
      </c>
      <c r="F46" s="54" t="n">
        <f aca="false">IFERROR(HistoricalFS!K61,0)</f>
        <v>1254.49</v>
      </c>
      <c r="G46" s="54" t="n">
        <f aca="false">IFERROR(HistoricalFS!L61,0)</f>
        <v>1848.67</v>
      </c>
      <c r="H46" s="54" t="n">
        <f aca="false">IFERROR('Assumption Sheet'!I50,0)</f>
        <v>1848.67</v>
      </c>
      <c r="I46" s="54" t="n">
        <f aca="false">IFERROR('Assumption Sheet'!J50,0)</f>
        <v>1848.67</v>
      </c>
      <c r="J46" s="54" t="n">
        <f aca="false">IFERROR('Assumption Sheet'!K50,0)</f>
        <v>1848.67</v>
      </c>
      <c r="K46" s="54" t="n">
        <f aca="false">IFERROR('Assumption Sheet'!L50,0)</f>
        <v>1848.67</v>
      </c>
      <c r="L46" s="54" t="n">
        <f aca="false">IFERROR('Assumption Sheet'!M50,0)</f>
        <v>1848.67</v>
      </c>
    </row>
    <row r="47" customFormat="false" ht="14.25" hidden="false" customHeight="true" outlineLevel="1" collapsed="false">
      <c r="B47" s="0" t="str">
        <f aca="false">IFERROR(HistoricalFS!B62,0)</f>
        <v>Investments</v>
      </c>
      <c r="C47" s="54" t="n">
        <f aca="false">IFERROR(HistoricalFS!H62,0)</f>
        <v>3247.53</v>
      </c>
      <c r="D47" s="54" t="n">
        <f aca="false">IFERROR(HistoricalFS!I62,0)</f>
        <v>4261.71</v>
      </c>
      <c r="E47" s="54" t="n">
        <f aca="false">IFERROR(HistoricalFS!J62,0)</f>
        <v>4587.92</v>
      </c>
      <c r="F47" s="54" t="n">
        <f aca="false">IFERROR(HistoricalFS!K62,0)</f>
        <v>4724.75</v>
      </c>
      <c r="G47" s="54" t="n">
        <f aca="false">IFERROR(HistoricalFS!L62,0)</f>
        <v>7061.74</v>
      </c>
      <c r="H47" s="54" t="n">
        <f aca="false">IFERROR('Assumption Sheet'!I51,0)</f>
        <v>7061.74</v>
      </c>
      <c r="I47" s="54" t="n">
        <f aca="false">IFERROR('Assumption Sheet'!J51,0)</f>
        <v>7061.74</v>
      </c>
      <c r="J47" s="54" t="n">
        <f aca="false">IFERROR('Assumption Sheet'!K51,0)</f>
        <v>7061.74</v>
      </c>
      <c r="K47" s="54" t="n">
        <f aca="false">IFERROR('Assumption Sheet'!L51,0)</f>
        <v>7061.74</v>
      </c>
      <c r="L47" s="54" t="n">
        <f aca="false">IFERROR('Assumption Sheet'!M51,0)</f>
        <v>7061.74</v>
      </c>
    </row>
    <row r="48" customFormat="false" ht="15" hidden="false" customHeight="true" outlineLevel="1" collapsed="false">
      <c r="B48" s="0" t="str">
        <f aca="false">IFERROR(HistoricalFS!B63,0)</f>
        <v>Other Assets</v>
      </c>
      <c r="C48" s="54" t="n">
        <f aca="false">IFERROR(HistoricalFS!H63,0)</f>
        <v>2876.66</v>
      </c>
      <c r="D48" s="54" t="n">
        <f aca="false">IFERROR(HistoricalFS!I63,0)</f>
        <v>3036.17</v>
      </c>
      <c r="E48" s="54" t="n">
        <f aca="false">IFERROR(HistoricalFS!J63,0)</f>
        <v>3571.39</v>
      </c>
      <c r="F48" s="54" t="n">
        <f aca="false">IFERROR(HistoricalFS!K63,0)</f>
        <v>3341.01</v>
      </c>
      <c r="G48" s="54" t="n">
        <f aca="false">IFERROR(HistoricalFS!L63,0)</f>
        <v>4688.89</v>
      </c>
      <c r="H48" s="54" t="n">
        <f aca="false">H6*IFERROR('Assumption Sheet'!I49,0)</f>
        <v>5017.1123</v>
      </c>
      <c r="I48" s="54" t="n">
        <f aca="false">I6*IFERROR('Assumption Sheet'!J49,0)</f>
        <v>5368.310161</v>
      </c>
      <c r="J48" s="54" t="n">
        <f aca="false">J6*IFERROR('Assumption Sheet'!K49,0)</f>
        <v>5770.933423075</v>
      </c>
      <c r="K48" s="54" t="n">
        <f aca="false">K6*IFERROR('Assumption Sheet'!L49,0)</f>
        <v>6203.75342980562</v>
      </c>
      <c r="L48" s="54" t="n">
        <f aca="false">L6*IFERROR('Assumption Sheet'!M49,0)</f>
        <v>6700.05370419007</v>
      </c>
    </row>
    <row r="49" customFormat="false" ht="15" hidden="false" customHeight="true" outlineLevel="1" collapsed="false">
      <c r="B49" s="117" t="str">
        <f aca="false">IFERROR(HistoricalFS!B64,0)</f>
        <v>Total Current Assets</v>
      </c>
      <c r="C49" s="118" t="n">
        <f aca="false">IFERROR(HistoricalFS!H64,0)</f>
        <v>12069.68</v>
      </c>
      <c r="D49" s="118" t="n">
        <f aca="false">IFERROR(HistoricalFS!I64,0)</f>
        <v>14087.93</v>
      </c>
      <c r="E49" s="118" t="n">
        <f aca="false">IFERROR(HistoricalFS!J64,0)</f>
        <v>18004.3</v>
      </c>
      <c r="F49" s="118" t="n">
        <f aca="false">IFERROR(HistoricalFS!K64,0)</f>
        <v>18540.35</v>
      </c>
      <c r="G49" s="118" t="n">
        <f aca="false">IFERROR(HistoricalFS!L64,0)</f>
        <v>23239.58</v>
      </c>
      <c r="H49" s="118" t="n">
        <f aca="false">SUM(H45:H48)</f>
        <v>24121.52169</v>
      </c>
      <c r="I49" s="118" t="n">
        <f aca="false">SUM(I45:I48)</f>
        <v>25059.6992983</v>
      </c>
      <c r="J49" s="118" t="n">
        <f aca="false">SUM(J45:J48)</f>
        <v>26102.0757887225</v>
      </c>
      <c r="K49" s="118" t="n">
        <f aca="false">SUM(K45:K48)</f>
        <v>27238.8805159267</v>
      </c>
      <c r="L49" s="118" t="n">
        <f aca="false">SUM(L45:L48)</f>
        <v>28527.4842884226</v>
      </c>
    </row>
    <row r="50" customFormat="false" ht="14.25" hidden="false" customHeight="true" outlineLevel="1" collapsed="false">
      <c r="C50" s="54"/>
      <c r="D50" s="54"/>
      <c r="E50" s="54"/>
      <c r="F50" s="54"/>
      <c r="G50" s="54"/>
    </row>
    <row r="51" customFormat="false" ht="14.25" hidden="false" customHeight="true" outlineLevel="1" collapsed="false">
      <c r="B51" s="0" t="str">
        <f aca="false">IFERROR(HistoricalFS!B66,0)</f>
        <v>Receivables</v>
      </c>
      <c r="C51" s="54" t="n">
        <f aca="false">IFERROR(HistoricalFS!H66,0)</f>
        <v>3871.44</v>
      </c>
      <c r="D51" s="54" t="n">
        <f aca="false">IFERROR(HistoricalFS!I66,0)</f>
        <v>4636.94</v>
      </c>
      <c r="E51" s="54" t="n">
        <f aca="false">IFERROR(HistoricalFS!J66,0)</f>
        <v>4889.05</v>
      </c>
      <c r="F51" s="54" t="n">
        <f aca="false">IFERROR(HistoricalFS!K66,0)</f>
        <v>4313.65</v>
      </c>
      <c r="G51" s="54" t="n">
        <f aca="false">IFERROR(HistoricalFS!L66,0)</f>
        <v>4461.8</v>
      </c>
      <c r="H51" s="54" t="n">
        <f aca="false">IFERROR('Assumption Sheet'!I25*(ForecastFS!H6/365),0)</f>
        <v>4798.41599671233</v>
      </c>
      <c r="I51" s="54" t="n">
        <f aca="false">IFERROR('Assumption Sheet'!J25*(ForecastFS!I6/365),0)</f>
        <v>5134.30511648219</v>
      </c>
      <c r="J51" s="54" t="n">
        <f aca="false">IFERROR('Assumption Sheet'!K25*(ForecastFS!J6/365),0)</f>
        <v>5399.39152195274</v>
      </c>
      <c r="K51" s="54" t="n">
        <f aca="false">IFERROR('Assumption Sheet'!L25*(ForecastFS!K6/365),0)</f>
        <v>5804.3458860992</v>
      </c>
      <c r="L51" s="54" t="n">
        <f aca="false">IFERROR('Assumption Sheet'!M25*(ForecastFS!L6/365),0)</f>
        <v>6129.38925572075</v>
      </c>
    </row>
    <row r="52" customFormat="false" ht="14.25" hidden="false" customHeight="true" outlineLevel="1" collapsed="false">
      <c r="B52" s="0" t="str">
        <f aca="false">IFERROR(HistoricalFS!B67,0)</f>
        <v>Inventory</v>
      </c>
      <c r="C52" s="54" t="n">
        <f aca="false">IFERROR(HistoricalFS!H67,0)</f>
        <v>6152.98</v>
      </c>
      <c r="D52" s="54" t="n">
        <f aca="false">IFERROR(HistoricalFS!I67,0)</f>
        <v>6210.64</v>
      </c>
      <c r="E52" s="54" t="n">
        <f aca="false">IFERROR(HistoricalFS!J67,0)</f>
        <v>5923.41</v>
      </c>
      <c r="F52" s="54" t="n">
        <f aca="false">IFERROR(HistoricalFS!K67,0)</f>
        <v>6719.27</v>
      </c>
      <c r="G52" s="54" t="n">
        <f aca="false">IFERROR(HistoricalFS!L67,0)</f>
        <v>5743.69</v>
      </c>
      <c r="H52" s="54" t="n">
        <f aca="false">IFERROR('Assumption Sheet'!I26*(ForecastFS!H9/365),0)</f>
        <v>6196.21543923288</v>
      </c>
      <c r="I52" s="54" t="n">
        <f aca="false">IFERROR('Assumption Sheet'!J26*(ForecastFS!I9/365),0)</f>
        <v>6482.61828620186</v>
      </c>
      <c r="J52" s="54" t="n">
        <f aca="false">IFERROR('Assumption Sheet'!K26*(ForecastFS!J9/365),0)</f>
        <v>6758.83832070217</v>
      </c>
      <c r="K52" s="54" t="n">
        <f aca="false">IFERROR('Assumption Sheet'!L26*(ForecastFS!K9/365),0)</f>
        <v>7181.26571574606</v>
      </c>
      <c r="L52" s="54" t="n">
        <f aca="false">IFERROR('Assumption Sheet'!M26*(ForecastFS!L9/365),0)</f>
        <v>7515.46705332124</v>
      </c>
    </row>
    <row r="53" customFormat="false" ht="15" hidden="false" customHeight="true" outlineLevel="1" collapsed="false">
      <c r="B53" s="0" t="str">
        <f aca="false">IFERROR(HistoricalFS!B68,0)</f>
        <v>Cash &amp; Bank</v>
      </c>
      <c r="C53" s="54" t="n">
        <f aca="false">IFERROR(HistoricalFS!H68,0)</f>
        <v>864.33</v>
      </c>
      <c r="D53" s="54" t="n">
        <f aca="false">IFERROR(HistoricalFS!I68,0)</f>
        <v>843.82</v>
      </c>
      <c r="E53" s="54" t="n">
        <f aca="false">IFERROR(HistoricalFS!J68,0)</f>
        <v>1084.01</v>
      </c>
      <c r="F53" s="54" t="n">
        <f aca="false">IFERROR(HistoricalFS!K68,0)</f>
        <v>781.98</v>
      </c>
      <c r="G53" s="54" t="n">
        <f aca="false">IFERROR(HistoricalFS!L68,0)</f>
        <v>1073.68</v>
      </c>
      <c r="H53" s="54" t="n">
        <f aca="false">H87</f>
        <v>1872.81683674871</v>
      </c>
      <c r="I53" s="54" t="n">
        <f aca="false">I87</f>
        <v>2947.48552897044</v>
      </c>
      <c r="J53" s="54" t="n">
        <f aca="false">J87</f>
        <v>4268.11551992571</v>
      </c>
      <c r="K53" s="54" t="n">
        <f aca="false">K87</f>
        <v>5626.88832547819</v>
      </c>
      <c r="L53" s="54" t="n">
        <f aca="false">L87</f>
        <v>7187.82053139662</v>
      </c>
    </row>
    <row r="54" customFormat="false" ht="15" hidden="false" customHeight="true" outlineLevel="1" collapsed="false">
      <c r="B54" s="117" t="str">
        <f aca="false">IFERROR(HistoricalFS!B69,0)</f>
        <v>Total Non Current Assets</v>
      </c>
      <c r="C54" s="118" t="n">
        <f aca="false">IFERROR(HistoricalFS!H69,0)</f>
        <v>10888.75</v>
      </c>
      <c r="D54" s="118" t="n">
        <f aca="false">IFERROR(HistoricalFS!I69,0)</f>
        <v>11691.4</v>
      </c>
      <c r="E54" s="118" t="n">
        <f aca="false">IFERROR(HistoricalFS!J69,0)</f>
        <v>11896.47</v>
      </c>
      <c r="F54" s="118" t="n">
        <f aca="false">IFERROR(HistoricalFS!K69,0)</f>
        <v>11814.9</v>
      </c>
      <c r="G54" s="118" t="n">
        <f aca="false">IFERROR(HistoricalFS!L69,0)</f>
        <v>11279.17</v>
      </c>
      <c r="H54" s="118" t="n">
        <f aca="false">SUM(H51:H53)</f>
        <v>12867.4482726939</v>
      </c>
      <c r="I54" s="118" t="n">
        <f aca="false">SUM(I51:I53)</f>
        <v>14564.4089316545</v>
      </c>
      <c r="J54" s="118" t="n">
        <f aca="false">SUM(J51:J53)</f>
        <v>16426.3453625806</v>
      </c>
      <c r="K54" s="118" t="n">
        <f aca="false">SUM(K51:K53)</f>
        <v>18612.4999273234</v>
      </c>
      <c r="L54" s="118" t="n">
        <f aca="false">SUM(L51:L53)</f>
        <v>20832.6768404386</v>
      </c>
    </row>
    <row r="55" customFormat="false" ht="15" hidden="false" customHeight="true" outlineLevel="1" collapsed="false">
      <c r="C55" s="54"/>
      <c r="D55" s="54"/>
      <c r="E55" s="54"/>
      <c r="F55" s="54"/>
      <c r="G55" s="54"/>
    </row>
    <row r="56" customFormat="false" ht="15" hidden="false" customHeight="true" outlineLevel="1" collapsed="false">
      <c r="B56" s="117" t="str">
        <f aca="false">IFERROR(HistoricalFS!B71,0)</f>
        <v>Total Assets</v>
      </c>
      <c r="C56" s="118" t="n">
        <f aca="false">IFERROR(HistoricalFS!H71,0)</f>
        <v>22958.43</v>
      </c>
      <c r="D56" s="118" t="n">
        <f aca="false">IFERROR(HistoricalFS!I71,0)</f>
        <v>25779.33</v>
      </c>
      <c r="E56" s="118" t="n">
        <f aca="false">IFERROR(HistoricalFS!J71,0)</f>
        <v>29900.77</v>
      </c>
      <c r="F56" s="118" t="n">
        <f aca="false">IFERROR(HistoricalFS!K71,0)</f>
        <v>30355.25</v>
      </c>
      <c r="G56" s="118" t="n">
        <f aca="false">IFERROR(HistoricalFS!L71,0)</f>
        <v>34518.75</v>
      </c>
      <c r="H56" s="118" t="n">
        <f aca="false">SUM(H54,H49)</f>
        <v>36988.9699626939</v>
      </c>
      <c r="I56" s="118" t="n">
        <f aca="false">SUM(I54,I49)</f>
        <v>39624.1082299545</v>
      </c>
      <c r="J56" s="118" t="n">
        <f aca="false">SUM(J54,J49)</f>
        <v>42528.4211513031</v>
      </c>
      <c r="K56" s="118" t="n">
        <f aca="false">SUM(K54,K49)</f>
        <v>45851.3804432501</v>
      </c>
      <c r="L56" s="118" t="n">
        <f aca="false">SUM(L54,L49)</f>
        <v>49360.1611288612</v>
      </c>
    </row>
    <row r="57" customFormat="false" ht="15" hidden="false" customHeight="true" outlineLevel="1" collapsed="false"/>
    <row r="58" customFormat="false" ht="15" hidden="false" customHeight="true" outlineLevel="1" collapsed="false">
      <c r="B58" s="119" t="str">
        <f aca="false">IFERROR(HistoricalFS!B73,0)</f>
        <v>Check</v>
      </c>
      <c r="C58" s="120" t="b">
        <f aca="false">IFERROR(C56=C43,0)</f>
        <v>1</v>
      </c>
      <c r="D58" s="120" t="b">
        <f aca="false">IFERROR(D56=D43,0)</f>
        <v>1</v>
      </c>
      <c r="E58" s="120" t="b">
        <f aca="false">IFERROR(E56=E43,0)</f>
        <v>1</v>
      </c>
      <c r="F58" s="120" t="b">
        <f aca="false">IFERROR(F56=F43,0)</f>
        <v>1</v>
      </c>
      <c r="G58" s="120" t="b">
        <f aca="false">IFERROR(G56=G43,0)</f>
        <v>1</v>
      </c>
      <c r="H58" s="120" t="b">
        <f aca="false">IFERROR(H56=H43,0)</f>
        <v>1</v>
      </c>
      <c r="I58" s="120" t="b">
        <f aca="false">IFERROR(I56=I43,0)</f>
        <v>1</v>
      </c>
      <c r="J58" s="120" t="b">
        <f aca="false">IFERROR(J56=J43,0)</f>
        <v>1</v>
      </c>
      <c r="K58" s="120" t="b">
        <f aca="false">IFERROR(K56=K43,0)</f>
        <v>1</v>
      </c>
      <c r="L58" s="120" t="b">
        <f aca="false">IFERROR(L56=L43,0)</f>
        <v>1</v>
      </c>
    </row>
    <row r="60" customFormat="false" ht="15" hidden="false" customHeight="true" outlineLevel="0" collapsed="false">
      <c r="A60" s="0" t="s">
        <v>74</v>
      </c>
      <c r="B60" s="20" t="str">
        <f aca="false">"Cash Flow Statement"&amp;" - "&amp;'Data Sheet'!B1</f>
        <v>Cash Flow Statement - ASIAN PAINTS LTD</v>
      </c>
      <c r="C60" s="1"/>
      <c r="D60" s="1"/>
      <c r="E60" s="1"/>
      <c r="F60" s="1"/>
      <c r="G60" s="1"/>
      <c r="H60" s="1"/>
      <c r="I60" s="1"/>
      <c r="J60" s="1"/>
      <c r="K60" s="1"/>
      <c r="L60" s="1"/>
    </row>
    <row r="61" customFormat="false" ht="14.25" hidden="false" customHeight="true" outlineLevel="1" collapsed="false">
      <c r="B61" s="52" t="s">
        <v>179</v>
      </c>
      <c r="C61" s="94" t="n">
        <f aca="false">IFERROR(C5,0)</f>
        <v>44651</v>
      </c>
      <c r="D61" s="94" t="n">
        <f aca="false">IFERROR(D5,0)</f>
        <v>45016</v>
      </c>
      <c r="E61" s="94" t="n">
        <f aca="false">IFERROR(E5,0)</f>
        <v>45382</v>
      </c>
      <c r="F61" s="94" t="n">
        <f aca="false">IFERROR(F5,0)</f>
        <v>45747</v>
      </c>
      <c r="G61" s="94" t="n">
        <f aca="false">IFERROR(G5,0)</f>
        <v>46112</v>
      </c>
      <c r="H61" s="95" t="n">
        <f aca="false">IFERROR(H5,0)</f>
        <v>46477</v>
      </c>
      <c r="I61" s="95" t="n">
        <f aca="false">IFERROR(I5,0)</f>
        <v>46842</v>
      </c>
      <c r="J61" s="95" t="n">
        <f aca="false">IFERROR(J5,0)</f>
        <v>47207</v>
      </c>
      <c r="K61" s="95" t="n">
        <f aca="false">IFERROR(K5,0)</f>
        <v>47572</v>
      </c>
      <c r="L61" s="95" t="n">
        <f aca="false">IFERROR(L5,0)</f>
        <v>47937</v>
      </c>
    </row>
    <row r="62" customFormat="false" ht="14.25" hidden="false" customHeight="true" outlineLevel="1" collapsed="false">
      <c r="A62" s="0" t="s">
        <v>202</v>
      </c>
      <c r="B62" s="65" t="s">
        <v>246</v>
      </c>
    </row>
    <row r="63" customFormat="false" ht="14.25" hidden="false" customHeight="true" outlineLevel="1" collapsed="false">
      <c r="B63" s="0" t="s">
        <v>247</v>
      </c>
      <c r="C63" s="54" t="n">
        <f aca="false">C34</f>
        <v>3084.81</v>
      </c>
      <c r="D63" s="54" t="n">
        <f aca="false">D34</f>
        <v>4195.33</v>
      </c>
      <c r="E63" s="54" t="n">
        <f aca="false">E34</f>
        <v>5557.69</v>
      </c>
      <c r="F63" s="54" t="n">
        <f aca="false">F34</f>
        <v>3709.71000000001</v>
      </c>
      <c r="G63" s="54" t="n">
        <f aca="false">G34</f>
        <v>4394.69</v>
      </c>
      <c r="H63" s="54" t="n">
        <f aca="false">H34</f>
        <v>4568.85892468</v>
      </c>
      <c r="I63" s="54" t="n">
        <f aca="false">I34</f>
        <v>4862.1870494076</v>
      </c>
      <c r="J63" s="54" t="n">
        <f aca="false">J34</f>
        <v>5372.42781701089</v>
      </c>
      <c r="K63" s="54" t="n">
        <f aca="false">K34</f>
        <v>5764.9999032867</v>
      </c>
      <c r="L63" s="54" t="n">
        <f aca="false">L34</f>
        <v>6415.21835440989</v>
      </c>
    </row>
    <row r="64" customFormat="false" ht="14.25" hidden="false" customHeight="true" outlineLevel="1" collapsed="false">
      <c r="B64" s="0" t="s">
        <v>248</v>
      </c>
      <c r="C64" s="54" t="n">
        <f aca="false">'Assumption Sheet'!D17</f>
        <v>816.36</v>
      </c>
      <c r="D64" s="54" t="n">
        <f aca="false">'Assumption Sheet'!E17</f>
        <v>858.02</v>
      </c>
      <c r="E64" s="54" t="n">
        <f aca="false">'Assumption Sheet'!F17</f>
        <v>853</v>
      </c>
      <c r="F64" s="54" t="n">
        <f aca="false">'Assumption Sheet'!G17</f>
        <v>1026.34</v>
      </c>
      <c r="G64" s="54" t="n">
        <f aca="false">'Assumption Sheet'!H17</f>
        <v>1228.85</v>
      </c>
      <c r="H64" s="54" t="n">
        <f aca="false">'Assumption Sheet'!I17</f>
        <v>1350</v>
      </c>
      <c r="I64" s="54" t="n">
        <f aca="false">'Assumption Sheet'!J17</f>
        <v>1450</v>
      </c>
      <c r="J64" s="54" t="n">
        <f aca="false">'Assumption Sheet'!K17</f>
        <v>1550</v>
      </c>
      <c r="K64" s="54" t="n">
        <f aca="false">'Assumption Sheet'!L17</f>
        <v>1650</v>
      </c>
      <c r="L64" s="54" t="n">
        <f aca="false">'Assumption Sheet'!M17</f>
        <v>1750</v>
      </c>
    </row>
    <row r="65" customFormat="false" ht="14.25" hidden="false" customHeight="true" outlineLevel="1" collapsed="false">
      <c r="C65" s="54"/>
      <c r="D65" s="54"/>
      <c r="E65" s="54"/>
      <c r="F65" s="54"/>
      <c r="G65" s="54"/>
      <c r="H65" s="54"/>
      <c r="I65" s="54"/>
      <c r="J65" s="54"/>
      <c r="K65" s="54"/>
      <c r="L65" s="54"/>
    </row>
    <row r="66" customFormat="false" ht="14.25" hidden="false" customHeight="true" outlineLevel="1" collapsed="false">
      <c r="B66" s="65" t="s">
        <v>249</v>
      </c>
      <c r="C66" s="54"/>
      <c r="D66" s="54"/>
      <c r="E66" s="54"/>
      <c r="F66" s="54"/>
      <c r="G66" s="54"/>
      <c r="H66" s="54"/>
      <c r="I66" s="54"/>
      <c r="J66" s="54"/>
      <c r="K66" s="54"/>
      <c r="L66" s="54"/>
    </row>
    <row r="67" customFormat="false" ht="14.25" hidden="false" customHeight="true" outlineLevel="1" collapsed="false">
      <c r="B67" s="0" t="s">
        <v>250</v>
      </c>
      <c r="C67" s="54"/>
      <c r="D67" s="54" t="n">
        <f aca="false">-(C51-D51)</f>
        <v>765.5</v>
      </c>
      <c r="E67" s="54" t="n">
        <f aca="false">-(D51-E51)</f>
        <v>252.110000000001</v>
      </c>
      <c r="F67" s="54" t="n">
        <f aca="false">-(E51-F51)</f>
        <v>-575.400000000001</v>
      </c>
      <c r="G67" s="54" t="n">
        <f aca="false">-(F51-G51)</f>
        <v>148.150000000001</v>
      </c>
      <c r="H67" s="54" t="n">
        <f aca="false">-(H51-G51)</f>
        <v>-336.615996712329</v>
      </c>
      <c r="I67" s="54" t="n">
        <f aca="false">-(I51-H51)</f>
        <v>-335.889119769863</v>
      </c>
      <c r="J67" s="54" t="n">
        <f aca="false">-(J51-I51)</f>
        <v>-265.086405470547</v>
      </c>
      <c r="K67" s="54" t="n">
        <f aca="false">-(K51-J51)</f>
        <v>-404.954364146456</v>
      </c>
      <c r="L67" s="54" t="n">
        <f aca="false">-(L51-K51)</f>
        <v>-325.043369621554</v>
      </c>
    </row>
    <row r="68" customFormat="false" ht="14.25" hidden="false" customHeight="true" outlineLevel="1" collapsed="false">
      <c r="B68" s="0" t="s">
        <v>251</v>
      </c>
      <c r="C68" s="54"/>
      <c r="D68" s="54" t="n">
        <f aca="false">-(C52-D52)</f>
        <v>57.6600000000008</v>
      </c>
      <c r="E68" s="54" t="n">
        <f aca="false">-(D52-E52)</f>
        <v>-287.230000000001</v>
      </c>
      <c r="F68" s="54" t="n">
        <f aca="false">-(E52-F52)</f>
        <v>795.860000000001</v>
      </c>
      <c r="G68" s="54" t="n">
        <f aca="false">-(F52-G52)</f>
        <v>-975.580000000001</v>
      </c>
      <c r="H68" s="54" t="n">
        <f aca="false">-(H52-G52)</f>
        <v>-452.525439232879</v>
      </c>
      <c r="I68" s="54" t="n">
        <f aca="false">-(I52-H52)</f>
        <v>-286.402846968985</v>
      </c>
      <c r="J68" s="54" t="n">
        <f aca="false">-(J52-I52)</f>
        <v>-276.22003450031</v>
      </c>
      <c r="K68" s="54" t="n">
        <f aca="false">-(K52-J52)</f>
        <v>-422.427395043887</v>
      </c>
      <c r="L68" s="54" t="n">
        <f aca="false">-(L52-K52)</f>
        <v>-334.201337575178</v>
      </c>
    </row>
    <row r="69" customFormat="false" ht="14.25" hidden="false" customHeight="true" outlineLevel="1" collapsed="false">
      <c r="B69" s="0" t="s">
        <v>252</v>
      </c>
      <c r="C69" s="54"/>
      <c r="D69" s="54" t="n">
        <f aca="false">D41-C41</f>
        <v>-529</v>
      </c>
      <c r="E69" s="54" t="n">
        <f aca="false">E41-D41</f>
        <v>196</v>
      </c>
      <c r="F69" s="54" t="n">
        <f aca="false">F41-E41</f>
        <v>17</v>
      </c>
      <c r="G69" s="54" t="n">
        <f aca="false">G41-F41</f>
        <v>15</v>
      </c>
      <c r="H69" s="54" t="n">
        <f aca="false">H41-G41</f>
        <v>267.810292821919</v>
      </c>
      <c r="I69" s="54" t="n">
        <f aca="false">I41-H41</f>
        <v>289.156720497534</v>
      </c>
      <c r="J69" s="54" t="n">
        <f aca="false">J41-I41</f>
        <v>295.501582519274</v>
      </c>
      <c r="K69" s="54" t="n">
        <f aca="false">K41-J41</f>
        <v>522.63110270546</v>
      </c>
      <c r="L69" s="54" t="n">
        <f aca="false">L41-K41</f>
        <v>375.863642490956</v>
      </c>
    </row>
    <row r="70" customFormat="false" ht="14.25" hidden="false" customHeight="true" outlineLevel="1" collapsed="false">
      <c r="B70" s="0" t="s">
        <v>253</v>
      </c>
      <c r="C70" s="54"/>
      <c r="D70" s="54" t="n">
        <f aca="false">(D42-C42)-(D48-C48)</f>
        <v>663.98</v>
      </c>
      <c r="E70" s="54" t="n">
        <f aca="false">(E42-D42)-(E48-D48)</f>
        <v>112.389999999999</v>
      </c>
      <c r="F70" s="54" t="n">
        <f aca="false">(F42-E42)-(F48-E48)</f>
        <v>180.440000000001</v>
      </c>
      <c r="G70" s="54" t="n">
        <f aca="false">(G42-F42)-(G48-F48)</f>
        <v>-809.799999999999</v>
      </c>
      <c r="H70" s="54" t="n">
        <f aca="false">(H42-G42)-(H48-G48)</f>
        <v>46.6438000000007</v>
      </c>
      <c r="I70" s="54" t="n">
        <f aca="false">(I42-H42)-(I48-H48)</f>
        <v>49.9088659999998</v>
      </c>
      <c r="J70" s="54" t="n">
        <f aca="false">(J42-I42)-(J48-I48)</f>
        <v>57.2169499499996</v>
      </c>
      <c r="K70" s="54" t="n">
        <f aca="false">(K42-J42)-(K48-J48)</f>
        <v>61.5082211962508</v>
      </c>
      <c r="L70" s="54" t="n">
        <f aca="false">(L42-K42)-(L48-K48)</f>
        <v>70.5294269716997</v>
      </c>
    </row>
    <row r="71" customFormat="false" ht="14.25" hidden="false" customHeight="true" outlineLevel="1" collapsed="false">
      <c r="B71" s="0" t="s">
        <v>254</v>
      </c>
      <c r="C71" s="54" t="n">
        <f aca="false">-C31</f>
        <v>-1102.91</v>
      </c>
      <c r="D71" s="54" t="n">
        <f aca="false">-D31</f>
        <v>-1493.5</v>
      </c>
      <c r="E71" s="54" t="n">
        <f aca="false">-E31</f>
        <v>-1790.08</v>
      </c>
      <c r="F71" s="54" t="n">
        <f aca="false">-F31</f>
        <v>-1393.36</v>
      </c>
      <c r="G71" s="54" t="n">
        <f aca="false">-G31</f>
        <v>-1608.75</v>
      </c>
      <c r="H71" s="54" t="n">
        <f aca="false">-H31</f>
        <v>-1605.27475732</v>
      </c>
      <c r="I71" s="54" t="n">
        <f aca="false">-I31</f>
        <v>-1708.3359903324</v>
      </c>
      <c r="J71" s="54" t="n">
        <f aca="false">-J31</f>
        <v>-1887.60977354437</v>
      </c>
      <c r="K71" s="54" t="n">
        <f aca="false">-K31</f>
        <v>-2025.54050656019</v>
      </c>
      <c r="L71" s="54" t="n">
        <f aca="false">-L31</f>
        <v>-2253.99563803591</v>
      </c>
    </row>
    <row r="72" customFormat="false" ht="14.25" hidden="false" customHeight="true" outlineLevel="1" collapsed="false">
      <c r="B72" s="117" t="s">
        <v>57</v>
      </c>
      <c r="C72" s="118"/>
      <c r="D72" s="118" t="n">
        <f aca="false">SUM(D67:D70,D63:D64,D71)</f>
        <v>4517.99</v>
      </c>
      <c r="E72" s="118" t="n">
        <f aca="false">SUM(E67:E70,E63:E64,E71)</f>
        <v>4893.88</v>
      </c>
      <c r="F72" s="118" t="n">
        <f aca="false">SUM(F67:F70,F63:F64,F71)</f>
        <v>3760.59000000001</v>
      </c>
      <c r="G72" s="118" t="n">
        <f aca="false">SUM(G67:G70,G63:G64,G71)</f>
        <v>2392.56</v>
      </c>
      <c r="H72" s="118" t="n">
        <f aca="false">SUM(H67:H70,H63:H64)</f>
        <v>5444.17158155671</v>
      </c>
      <c r="I72" s="118" t="n">
        <f aca="false">SUM(I67:I70,I63:I64)</f>
        <v>6028.96066916629</v>
      </c>
      <c r="J72" s="118" t="n">
        <f aca="false">SUM(J67:J70,J63:J64)</f>
        <v>6733.8399095093</v>
      </c>
      <c r="K72" s="118" t="n">
        <f aca="false">SUM(K67:K70,K63:K64)</f>
        <v>7171.75746799807</v>
      </c>
      <c r="L72" s="118" t="n">
        <f aca="false">SUM(L67:L70,L63:L64)</f>
        <v>7952.36671667581</v>
      </c>
    </row>
    <row r="73" customFormat="false" ht="14.25" hidden="false" customHeight="true" outlineLevel="1" collapsed="false">
      <c r="B73" s="65"/>
      <c r="C73" s="54"/>
      <c r="D73" s="54"/>
      <c r="E73" s="54"/>
      <c r="F73" s="54"/>
      <c r="G73" s="54"/>
      <c r="H73" s="54"/>
      <c r="I73" s="54"/>
      <c r="J73" s="54"/>
      <c r="K73" s="54"/>
      <c r="L73" s="54"/>
    </row>
    <row r="74" customFormat="false" ht="14.25" hidden="false" customHeight="true" outlineLevel="1" collapsed="false">
      <c r="B74" s="65" t="s">
        <v>255</v>
      </c>
      <c r="C74" s="107"/>
      <c r="D74" s="107"/>
      <c r="E74" s="107"/>
      <c r="F74" s="107"/>
      <c r="G74" s="107"/>
      <c r="H74" s="107"/>
      <c r="I74" s="107"/>
      <c r="J74" s="107"/>
      <c r="K74" s="107"/>
      <c r="L74" s="107"/>
    </row>
    <row r="75" customFormat="false" ht="14.25" hidden="false" customHeight="true" outlineLevel="1" collapsed="false">
      <c r="A75" s="0" t="s">
        <v>202</v>
      </c>
      <c r="B75" s="0" t="s">
        <v>256</v>
      </c>
      <c r="C75" s="54" t="n">
        <f aca="false">-'Assumption Sheet'!D31</f>
        <v>-551</v>
      </c>
      <c r="D75" s="54" t="n">
        <f aca="false">-'Assumption Sheet'!E31</f>
        <v>-1446</v>
      </c>
      <c r="E75" s="54" t="n">
        <f aca="false">-'Assumption Sheet'!F31</f>
        <v>-2496</v>
      </c>
      <c r="F75" s="54" t="n">
        <f aca="false">-'Assumption Sheet'!G31</f>
        <v>-1830</v>
      </c>
      <c r="G75" s="54" t="n">
        <f aca="false">-'Assumption Sheet'!H31</f>
        <v>-1487</v>
      </c>
      <c r="H75" s="54" t="n">
        <f aca="false">-'Assumption Sheet'!I31</f>
        <v>-1903.71939</v>
      </c>
      <c r="I75" s="54" t="n">
        <f aca="false">-'Assumption Sheet'!J31</f>
        <v>-2036.9797473</v>
      </c>
      <c r="J75" s="54" t="n">
        <f aca="false">-'Assumption Sheet'!K31</f>
        <v>-2189.7532283475</v>
      </c>
      <c r="K75" s="54" t="n">
        <f aca="false">-'Assumption Sheet'!L31</f>
        <v>-2353.98472047356</v>
      </c>
      <c r="L75" s="54" t="n">
        <f aca="false">-'Assumption Sheet'!M31</f>
        <v>-2542.30349811145</v>
      </c>
    </row>
    <row r="76" customFormat="false" ht="14.25" hidden="false" customHeight="true" outlineLevel="1" collapsed="false">
      <c r="B76" s="65" t="s">
        <v>257</v>
      </c>
      <c r="C76" s="107"/>
      <c r="D76" s="107" t="n">
        <f aca="false">-(D47-C47)</f>
        <v>-1014.18</v>
      </c>
      <c r="E76" s="107" t="n">
        <f aca="false">-(E47-D47)</f>
        <v>-326.21</v>
      </c>
      <c r="F76" s="107" t="n">
        <f aca="false">-(F47-E47)</f>
        <v>-136.83</v>
      </c>
      <c r="G76" s="107" t="n">
        <f aca="false">-(G47-F47)</f>
        <v>-2336.99</v>
      </c>
      <c r="H76" s="107" t="n">
        <f aca="false">-(H47-G47)</f>
        <v>-0</v>
      </c>
      <c r="I76" s="107" t="n">
        <f aca="false">-(I47-H47)</f>
        <v>-0</v>
      </c>
      <c r="J76" s="107" t="n">
        <f aca="false">-(J47-I47)</f>
        <v>-0</v>
      </c>
      <c r="K76" s="107" t="n">
        <f aca="false">-(K47-J47)</f>
        <v>-0</v>
      </c>
      <c r="L76" s="107" t="n">
        <f aca="false">-(L47-K47)</f>
        <v>-0</v>
      </c>
    </row>
    <row r="77" customFormat="false" ht="14.25" hidden="false" customHeight="true" outlineLevel="1" collapsed="false">
      <c r="B77" s="0" t="s">
        <v>258</v>
      </c>
      <c r="C77" s="54"/>
      <c r="D77" s="54" t="n">
        <f aca="false">-(D46-C46)</f>
        <v>-593.16</v>
      </c>
      <c r="E77" s="54" t="n">
        <f aca="false">-(E46-D46)</f>
        <v>-1678.78</v>
      </c>
      <c r="F77" s="54" t="n">
        <f aca="false">-(F46-E46)</f>
        <v>1443.88</v>
      </c>
      <c r="G77" s="54" t="n">
        <f aca="false">-(G46-F46)</f>
        <v>-594.18</v>
      </c>
      <c r="H77" s="54" t="n">
        <f aca="false">-(H46-G46)</f>
        <v>-0</v>
      </c>
      <c r="I77" s="54" t="n">
        <f aca="false">-(I46-H46)</f>
        <v>-0</v>
      </c>
      <c r="J77" s="54" t="n">
        <f aca="false">-(J46-I46)</f>
        <v>-0</v>
      </c>
      <c r="K77" s="54" t="n">
        <f aca="false">-(K46-J46)</f>
        <v>-0</v>
      </c>
      <c r="L77" s="54" t="n">
        <f aca="false">-(L46-K46)</f>
        <v>-0</v>
      </c>
    </row>
    <row r="78" customFormat="false" ht="14.25" hidden="false" customHeight="true" outlineLevel="1" collapsed="false">
      <c r="B78" s="117" t="s">
        <v>259</v>
      </c>
      <c r="C78" s="121"/>
      <c r="D78" s="118" t="n">
        <f aca="false">SUM(D75:D77)</f>
        <v>-3053.34</v>
      </c>
      <c r="E78" s="118" t="n">
        <f aca="false">SUM(E75:E77)</f>
        <v>-4500.99</v>
      </c>
      <c r="F78" s="118" t="n">
        <f aca="false">SUM(F75:F77)</f>
        <v>-522.95</v>
      </c>
      <c r="G78" s="118" t="n">
        <f aca="false">SUM(G75:G77)</f>
        <v>-4418.17</v>
      </c>
      <c r="H78" s="118" t="n">
        <f aca="false">SUM(H75:H77)</f>
        <v>-1903.71939</v>
      </c>
      <c r="I78" s="118" t="n">
        <f aca="false">SUM(I75:I77)</f>
        <v>-2036.9797473</v>
      </c>
      <c r="J78" s="118" t="n">
        <f aca="false">SUM(J75:J77)</f>
        <v>-2189.7532283475</v>
      </c>
      <c r="K78" s="118" t="n">
        <f aca="false">SUM(K75:K77)</f>
        <v>-2353.98472047356</v>
      </c>
      <c r="L78" s="118" t="n">
        <f aca="false">SUM(L75:L77)</f>
        <v>-2542.30349811145</v>
      </c>
    </row>
    <row r="79" customFormat="false" ht="14.25" hidden="false" customHeight="true" outlineLevel="1" collapsed="false">
      <c r="C79" s="54"/>
      <c r="D79" s="54"/>
      <c r="E79" s="54"/>
      <c r="F79" s="54"/>
      <c r="G79" s="54"/>
      <c r="H79" s="54"/>
      <c r="I79" s="54"/>
      <c r="J79" s="54"/>
      <c r="K79" s="54"/>
      <c r="L79" s="54"/>
    </row>
    <row r="80" customFormat="false" ht="14.25" hidden="false" customHeight="true" outlineLevel="1" collapsed="false">
      <c r="B80" s="65" t="s">
        <v>260</v>
      </c>
      <c r="C80" s="54"/>
      <c r="D80" s="54"/>
      <c r="E80" s="54"/>
      <c r="F80" s="54"/>
      <c r="G80" s="54"/>
      <c r="H80" s="54"/>
      <c r="I80" s="54"/>
      <c r="J80" s="54"/>
      <c r="K80" s="54"/>
      <c r="L80" s="54"/>
    </row>
    <row r="81" customFormat="false" ht="14.25" hidden="false" customHeight="true" outlineLevel="1" collapsed="false">
      <c r="B81" s="0" t="s">
        <v>261</v>
      </c>
      <c r="C81" s="54" t="n">
        <f aca="false">-(C34*'Assumption Sheet'!D21)</f>
        <v>-1836.87</v>
      </c>
      <c r="D81" s="54" t="n">
        <f aca="false">-(D34*'Assumption Sheet'!E21)</f>
        <v>-2460.35</v>
      </c>
      <c r="E81" s="54" t="n">
        <f aca="false">-(E34*'Assumption Sheet'!F21)</f>
        <v>-3194.14</v>
      </c>
      <c r="F81" s="54" t="n">
        <f aca="false">-(F34*'Assumption Sheet'!G21)</f>
        <v>-2378.82</v>
      </c>
      <c r="G81" s="54" t="n">
        <f aca="false">-(G34*'Assumption Sheet'!H21)</f>
        <v>-2637.8</v>
      </c>
      <c r="H81" s="54" t="n">
        <f aca="false">-(H34*'Assumption Sheet'!I21)</f>
        <v>-2741.315354808</v>
      </c>
      <c r="I81" s="54" t="n">
        <f aca="false">-(I34*'Assumption Sheet'!J21)</f>
        <v>-2917.31222964456</v>
      </c>
      <c r="J81" s="54" t="n">
        <f aca="false">-(J34*'Assumption Sheet'!K21)</f>
        <v>-3223.45669020653</v>
      </c>
      <c r="K81" s="54" t="n">
        <f aca="false">-(K34*'Assumption Sheet'!L21)</f>
        <v>-3458.99994197202</v>
      </c>
      <c r="L81" s="54" t="n">
        <f aca="false">-(L34*'Assumption Sheet'!M21)</f>
        <v>-3849.13101264593</v>
      </c>
    </row>
    <row r="82" customFormat="false" ht="14.25" hidden="false" customHeight="true" outlineLevel="1" collapsed="false">
      <c r="B82" s="0" t="s">
        <v>262</v>
      </c>
      <c r="C82" s="54"/>
      <c r="D82" s="54" t="n">
        <f aca="false">D40-C40</f>
        <v>345.74</v>
      </c>
      <c r="E82" s="54" t="n">
        <f aca="false">E40-D40</f>
        <v>541.76</v>
      </c>
      <c r="F82" s="54" t="n">
        <f aca="false">F40-E40</f>
        <v>-184.09</v>
      </c>
      <c r="G82" s="54" t="n">
        <f aca="false">G40-F40</f>
        <v>1638.64</v>
      </c>
      <c r="H82" s="54" t="n">
        <f aca="false">H40-G40</f>
        <v>0</v>
      </c>
      <c r="I82" s="54" t="n">
        <f aca="false">I40-H40</f>
        <v>0</v>
      </c>
      <c r="J82" s="54" t="n">
        <f aca="false">J40-I40</f>
        <v>0</v>
      </c>
      <c r="K82" s="54" t="n">
        <f aca="false">K40-J40</f>
        <v>0</v>
      </c>
      <c r="L82" s="54" t="n">
        <f aca="false">L40-K40</f>
        <v>0</v>
      </c>
    </row>
    <row r="83" customFormat="false" ht="14.25" hidden="false" customHeight="true" outlineLevel="1" collapsed="false">
      <c r="B83" s="117" t="s">
        <v>263</v>
      </c>
      <c r="C83" s="118" t="n">
        <f aca="false">SUM(C81:C82)</f>
        <v>-1836.87</v>
      </c>
      <c r="D83" s="118" t="n">
        <f aca="false">SUM(D81:D82)</f>
        <v>-2114.61</v>
      </c>
      <c r="E83" s="118" t="n">
        <f aca="false">SUM(E81:E82)</f>
        <v>-2652.38</v>
      </c>
      <c r="F83" s="118" t="n">
        <f aca="false">SUM(F81:F82)</f>
        <v>-2562.91</v>
      </c>
      <c r="G83" s="118" t="n">
        <f aca="false">SUM(G81:G82)</f>
        <v>-999.16</v>
      </c>
      <c r="H83" s="118" t="n">
        <f aca="false">SUM(H81:H82)</f>
        <v>-2741.315354808</v>
      </c>
      <c r="I83" s="118" t="n">
        <f aca="false">SUM(I81:I82)</f>
        <v>-2917.31222964456</v>
      </c>
      <c r="J83" s="118" t="n">
        <f aca="false">SUM(J81:J82)</f>
        <v>-3223.45669020653</v>
      </c>
      <c r="K83" s="118" t="n">
        <f aca="false">SUM(K81:K82)</f>
        <v>-3458.99994197202</v>
      </c>
      <c r="L83" s="118" t="n">
        <f aca="false">SUM(L81:L82)</f>
        <v>-3849.13101264593</v>
      </c>
      <c r="O83" s="122"/>
    </row>
    <row r="84" customFormat="false" ht="14.25" hidden="false" customHeight="true" outlineLevel="1" collapsed="false">
      <c r="B84" s="65"/>
      <c r="C84" s="54"/>
      <c r="D84" s="107"/>
      <c r="E84" s="107"/>
      <c r="F84" s="107"/>
      <c r="G84" s="107"/>
      <c r="H84" s="107"/>
      <c r="I84" s="107"/>
      <c r="J84" s="107"/>
      <c r="K84" s="107"/>
      <c r="L84" s="107"/>
    </row>
    <row r="85" customFormat="false" ht="14.25" hidden="false" customHeight="true" outlineLevel="1" collapsed="false">
      <c r="B85" s="111" t="s">
        <v>264</v>
      </c>
      <c r="C85" s="123" t="n">
        <f aca="false">SUM(C83,C78,C72)</f>
        <v>-1836.87</v>
      </c>
      <c r="D85" s="112" t="n">
        <f aca="false">SUM(D83,D78,D72)</f>
        <v>-649.960000000005</v>
      </c>
      <c r="E85" s="112" t="n">
        <f aca="false">SUM(E83,E78,E72)</f>
        <v>-2259.49</v>
      </c>
      <c r="F85" s="112" t="n">
        <f aca="false">SUM(F83,F78,F72)</f>
        <v>674.730000000005</v>
      </c>
      <c r="G85" s="112" t="n">
        <f aca="false">SUM(G83,G78,G72)</f>
        <v>-3024.77</v>
      </c>
      <c r="H85" s="112" t="n">
        <f aca="false">SUM(H83,H78,H72)</f>
        <v>799.13683674871</v>
      </c>
      <c r="I85" s="112" t="n">
        <f aca="false">SUM(I83,I78,I72)</f>
        <v>1074.66869222173</v>
      </c>
      <c r="J85" s="112" t="n">
        <f aca="false">SUM(J83,J78,J72)</f>
        <v>1320.62999095527</v>
      </c>
      <c r="K85" s="112" t="n">
        <f aca="false">SUM(K83,K78,K72)</f>
        <v>1358.77280555249</v>
      </c>
      <c r="L85" s="112" t="n">
        <f aca="false">SUM(L83,L78,L72)</f>
        <v>1560.93220591843</v>
      </c>
      <c r="N85" s="122"/>
    </row>
    <row r="86" customFormat="false" ht="14.25" hidden="false" customHeight="true" outlineLevel="0" collapsed="false">
      <c r="B86" s="65" t="s">
        <v>265</v>
      </c>
      <c r="C86" s="54"/>
      <c r="D86" s="107" t="n">
        <f aca="false">C53</f>
        <v>864.33</v>
      </c>
      <c r="E86" s="107" t="n">
        <f aca="false">D53</f>
        <v>843.82</v>
      </c>
      <c r="F86" s="107" t="n">
        <f aca="false">E53</f>
        <v>1084.01</v>
      </c>
      <c r="G86" s="107" t="n">
        <f aca="false">F53</f>
        <v>781.98</v>
      </c>
      <c r="H86" s="107" t="n">
        <f aca="false">G53</f>
        <v>1073.68</v>
      </c>
      <c r="I86" s="107" t="n">
        <f aca="false">H53</f>
        <v>1872.81683674871</v>
      </c>
      <c r="J86" s="107" t="n">
        <f aca="false">I53</f>
        <v>2947.48552897044</v>
      </c>
      <c r="K86" s="107" t="n">
        <f aca="false">J53</f>
        <v>4268.11551992571</v>
      </c>
      <c r="L86" s="107" t="n">
        <f aca="false">K53</f>
        <v>5626.88832547819</v>
      </c>
    </row>
    <row r="87" customFormat="false" ht="15" hidden="false" customHeight="true" outlineLevel="0" collapsed="false">
      <c r="B87" s="124" t="s">
        <v>266</v>
      </c>
      <c r="C87" s="125" t="n">
        <f aca="false">SUM(C85:C86)</f>
        <v>-1836.87</v>
      </c>
      <c r="D87" s="126" t="n">
        <f aca="false">SUM(D85:D86)</f>
        <v>214.369999999995</v>
      </c>
      <c r="E87" s="126" t="n">
        <f aca="false">SUM(E85:E86)</f>
        <v>-1415.67</v>
      </c>
      <c r="F87" s="126" t="n">
        <f aca="false">SUM(F85:F86)</f>
        <v>1758.74000000001</v>
      </c>
      <c r="G87" s="126" t="n">
        <f aca="false">SUM(G85:G86)</f>
        <v>-2242.79</v>
      </c>
      <c r="H87" s="126" t="n">
        <f aca="false">SUM(H85:H86)</f>
        <v>1872.81683674871</v>
      </c>
      <c r="I87" s="126" t="n">
        <f aca="false">SUM(I85:I86)</f>
        <v>2947.48552897044</v>
      </c>
      <c r="J87" s="126" t="n">
        <f aca="false">SUM(J85:J86)</f>
        <v>4268.11551992571</v>
      </c>
      <c r="K87" s="126" t="n">
        <f aca="false">SUM(K85:K86)</f>
        <v>5626.88832547819</v>
      </c>
      <c r="L87" s="126" t="n">
        <f aca="false">SUM(L85:L86)</f>
        <v>7187.82053139662</v>
      </c>
    </row>
    <row r="88" customFormat="false" ht="13.5" hidden="false" customHeight="true" outlineLevel="0" collapsed="false">
      <c r="B88" s="65"/>
      <c r="C88" s="54"/>
      <c r="D88" s="127"/>
      <c r="E88" s="127"/>
      <c r="F88" s="127"/>
      <c r="G88" s="127"/>
      <c r="H88" s="128"/>
      <c r="I88" s="128"/>
      <c r="J88" s="128"/>
      <c r="K88" s="128"/>
      <c r="L88" s="128"/>
    </row>
    <row r="89" customFormat="false" ht="10.5" hidden="false" customHeight="true" outlineLevel="0" collapsed="false">
      <c r="B89" s="1"/>
      <c r="C89" s="1"/>
      <c r="D89" s="1"/>
      <c r="E89" s="1"/>
      <c r="F89" s="1"/>
      <c r="G89" s="1"/>
      <c r="H89" s="1"/>
      <c r="I89" s="1"/>
      <c r="J89" s="1"/>
      <c r="K89" s="1"/>
      <c r="L89" s="1"/>
    </row>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sheetData>
  <mergeCells count="1">
    <mergeCell ref="B2:L2"/>
  </mergeCells>
  <conditionalFormatting sqref="C58:L58">
    <cfRule type="cellIs" priority="2" operator="equal" aboveAverage="0" equalAverage="0" bottom="0" percent="0" rank="0" text="" dxfId="0">
      <formula>1</formula>
    </cfRule>
    <cfRule type="cellIs" priority="3" operator="equal" aboveAverage="0" equalAverage="0" bottom="0" percent="0" rank="0" text="" dxfId="1">
      <formula>0</formula>
    </cfRule>
  </conditionalFormatting>
  <printOptions headings="false" gridLines="false" gridLinesSet="true" horizontalCentered="false" verticalCentered="false"/>
  <pageMargins left="0.7" right="0.7" top="0.75" bottom="0.75" header="0.511811023622047" footer="0.511811023622047"/>
  <pageSetup paperSize="9" scale="55"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D133"/>
  <sheetViews>
    <sheetView showFormulas="false" showGridLines="false" showRowColHeaders="true" showZeros="true" rightToLeft="false" tabSelected="false" showOutlineSymbols="true" defaultGridColor="true" view="normal" topLeftCell="A1" colorId="64" zoomScale="50" zoomScaleNormal="50" zoomScalePageLayoutView="54" workbookViewId="0">
      <selection pane="topLeft" activeCell="N6" activeCellId="0" sqref="N6"/>
    </sheetView>
  </sheetViews>
  <sheetFormatPr defaultColWidth="8.66796875" defaultRowHeight="14.25" zeroHeight="false" outlineLevelRow="0" outlineLevelCol="0"/>
  <cols>
    <col collapsed="false" customWidth="true" hidden="false" outlineLevel="0" max="1" min="1" style="0" width="1.88"/>
    <col collapsed="false" customWidth="true" hidden="false" outlineLevel="0" max="2" min="2" style="0" width="12.33"/>
    <col collapsed="false" customWidth="true" hidden="false" outlineLevel="0" max="3" min="3" style="0" width="11.67"/>
    <col collapsed="false" customWidth="true" hidden="false" outlineLevel="0" max="4" min="4" style="0" width="17.88"/>
    <col collapsed="false" customWidth="true" hidden="false" outlineLevel="0" max="5" min="5" style="0" width="2.88"/>
    <col collapsed="false" customWidth="true" hidden="false" outlineLevel="0" max="6" min="6" style="0" width="12.44"/>
    <col collapsed="false" customWidth="true" hidden="false" outlineLevel="0" max="7" min="7" style="0" width="9.56"/>
    <col collapsed="false" customWidth="true" hidden="false" outlineLevel="0" max="8" min="8" style="0" width="17.56"/>
    <col collapsed="false" customWidth="true" hidden="false" outlineLevel="0" max="9" min="9" style="0" width="3.34"/>
    <col collapsed="false" customWidth="true" hidden="false" outlineLevel="0" max="11" min="11" style="0" width="11.22"/>
    <col collapsed="false" customWidth="true" hidden="false" outlineLevel="0" max="16" min="16" style="0" width="13.88"/>
    <col collapsed="false" customWidth="true" hidden="false" outlineLevel="0" max="17" min="17" style="0" width="13.34"/>
    <col collapsed="false" customWidth="true" hidden="false" outlineLevel="0" max="18" min="18" style="0" width="17.77"/>
    <col collapsed="false" customWidth="true" hidden="false" outlineLevel="0" max="19" min="19" style="0" width="2.88"/>
    <col collapsed="false" customWidth="true" hidden="false" outlineLevel="0" max="20" min="20" style="0" width="12.67"/>
    <col collapsed="false" customWidth="true" hidden="false" outlineLevel="0" max="21" min="21" style="0" width="7.77"/>
    <col collapsed="false" customWidth="true" hidden="false" outlineLevel="0" max="22" min="22" style="0" width="17.77"/>
    <col collapsed="false" customWidth="true" hidden="false" outlineLevel="0" max="24" min="24" style="0" width="13"/>
    <col collapsed="false" customWidth="true" hidden="false" outlineLevel="0" max="25" min="25" style="0" width="11"/>
    <col collapsed="false" customWidth="true" hidden="false" outlineLevel="0" max="26" min="26" style="0" width="17.77"/>
    <col collapsed="false" customWidth="true" hidden="false" outlineLevel="0" max="28" min="28" style="0" width="13.67"/>
    <col collapsed="false" customWidth="true" hidden="false" outlineLevel="0" max="29" min="29" style="0" width="9.21"/>
    <col collapsed="false" customWidth="true" hidden="false" outlineLevel="0" max="30" min="30" style="0" width="17.67"/>
    <col collapsed="false" customWidth="true" hidden="false" outlineLevel="0" max="32" min="32" style="0" width="11.89"/>
    <col collapsed="false" customWidth="true" hidden="false" outlineLevel="0" max="33" min="33" style="0" width="8.11"/>
    <col collapsed="false" customWidth="true" hidden="false" outlineLevel="0" max="34" min="34" style="0" width="17.67"/>
  </cols>
  <sheetData>
    <row r="2" customFormat="false" ht="14.25" hidden="false" customHeight="true" outlineLevel="0" collapsed="false">
      <c r="B2" s="48" t="s">
        <v>267</v>
      </c>
      <c r="C2" s="48"/>
      <c r="D2" s="48"/>
      <c r="E2" s="48"/>
      <c r="F2" s="48"/>
      <c r="G2" s="48"/>
      <c r="H2" s="48"/>
    </row>
    <row r="3" customFormat="false" ht="14.25" hidden="false" customHeight="false" outlineLevel="0" collapsed="false">
      <c r="T3" s="129" t="s">
        <v>210</v>
      </c>
      <c r="U3" s="130" t="n">
        <f aca="false">SLOPE($V$8:$V$67,$H$8:$H$67)</f>
        <v>1.13081760187732</v>
      </c>
      <c r="X3" s="129" t="s">
        <v>210</v>
      </c>
      <c r="Y3" s="130" t="n">
        <f aca="false">SLOPE($Z$8:$Z$67,$H$8:$H$67)</f>
        <v>1.34189241381316</v>
      </c>
      <c r="AB3" s="129" t="s">
        <v>210</v>
      </c>
      <c r="AC3" s="130" t="n">
        <f aca="false">SLOPE($AD$8:$AD$67,$H$8:$H$67)</f>
        <v>1.15115672223774</v>
      </c>
    </row>
    <row r="4" customFormat="false" ht="14.25" hidden="false" customHeight="true" outlineLevel="0" collapsed="false">
      <c r="B4" s="48" t="str">
        <f aca="false">'Data Sheet'!B1</f>
        <v>ASIAN PAINTS LTD</v>
      </c>
      <c r="C4" s="48"/>
      <c r="D4" s="48"/>
      <c r="F4" s="48" t="s">
        <v>268</v>
      </c>
      <c r="G4" s="48"/>
      <c r="H4" s="48"/>
      <c r="T4" s="131" t="str">
        <f aca="false">WACC!B17</f>
        <v>Berger Paints</v>
      </c>
      <c r="U4" s="131"/>
      <c r="V4" s="131"/>
      <c r="X4" s="131" t="str">
        <f aca="false">WACC!B19</f>
        <v>Indigo Paints</v>
      </c>
      <c r="Y4" s="131"/>
      <c r="Z4" s="131"/>
      <c r="AB4" s="48" t="str">
        <f aca="false">WACC!B18</f>
        <v>Kansai Nerolac</v>
      </c>
      <c r="AC4" s="48"/>
      <c r="AD4" s="48"/>
    </row>
    <row r="5" customFormat="false" ht="15" hidden="false" customHeight="true" outlineLevel="0" collapsed="false"/>
    <row r="6" customFormat="false" ht="14.25" hidden="false" customHeight="true" outlineLevel="0" collapsed="false">
      <c r="B6" s="132" t="s">
        <v>269</v>
      </c>
      <c r="C6" s="133" t="s">
        <v>270</v>
      </c>
      <c r="D6" s="134" t="s">
        <v>271</v>
      </c>
      <c r="F6" s="135" t="s">
        <v>269</v>
      </c>
      <c r="G6" s="133" t="s">
        <v>270</v>
      </c>
      <c r="H6" s="134" t="s">
        <v>271</v>
      </c>
      <c r="J6" s="136" t="s">
        <v>272</v>
      </c>
      <c r="K6" s="136"/>
      <c r="L6" s="136"/>
      <c r="N6" s="129" t="s">
        <v>210</v>
      </c>
      <c r="O6" s="130" t="n">
        <f aca="false">K33</f>
        <v>1.08812402513907</v>
      </c>
      <c r="T6" s="132" t="s">
        <v>269</v>
      </c>
      <c r="U6" s="133" t="s">
        <v>270</v>
      </c>
      <c r="V6" s="134" t="s">
        <v>271</v>
      </c>
      <c r="X6" s="132" t="s">
        <v>269</v>
      </c>
      <c r="Y6" s="133" t="s">
        <v>270</v>
      </c>
      <c r="Z6" s="134" t="s">
        <v>271</v>
      </c>
      <c r="AB6" s="132" t="s">
        <v>269</v>
      </c>
      <c r="AC6" s="133" t="s">
        <v>270</v>
      </c>
      <c r="AD6" s="134" t="s">
        <v>271</v>
      </c>
    </row>
    <row r="7" customFormat="false" ht="14.25" hidden="false" customHeight="true" outlineLevel="0" collapsed="false">
      <c r="B7" s="137" t="s">
        <v>273</v>
      </c>
      <c r="C7" s="0" t="n">
        <v>2737.8</v>
      </c>
      <c r="D7" s="138"/>
      <c r="F7" s="137" t="s">
        <v>273</v>
      </c>
      <c r="G7" s="0" t="n">
        <v>24270.85</v>
      </c>
      <c r="H7" s="138"/>
      <c r="J7" s="137"/>
      <c r="L7" s="138"/>
      <c r="T7" s="137" t="s">
        <v>273</v>
      </c>
      <c r="U7" s="0" t="n">
        <v>519.45</v>
      </c>
      <c r="V7" s="138"/>
      <c r="X7" s="137" t="s">
        <v>273</v>
      </c>
      <c r="Y7" s="0" t="n">
        <v>1065.9</v>
      </c>
      <c r="Z7" s="138"/>
      <c r="AB7" s="137" t="s">
        <v>273</v>
      </c>
      <c r="AC7" s="0" t="n">
        <v>211.83</v>
      </c>
      <c r="AD7" s="138"/>
    </row>
    <row r="8" customFormat="false" ht="14.25" hidden="false" customHeight="true" outlineLevel="0" collapsed="false">
      <c r="B8" s="137" t="s">
        <v>274</v>
      </c>
      <c r="C8" s="0" t="n">
        <v>2744.5</v>
      </c>
      <c r="D8" s="139" t="n">
        <f aca="false">C8/C7-1</f>
        <v>0.00244722039593825</v>
      </c>
      <c r="F8" s="137" t="s">
        <v>274</v>
      </c>
      <c r="G8" s="0" t="n">
        <v>24175.7</v>
      </c>
      <c r="H8" s="139" t="n">
        <f aca="false">G8/G7-1</f>
        <v>-0.00392034065556002</v>
      </c>
      <c r="J8" s="137" t="s">
        <v>275</v>
      </c>
      <c r="L8" s="140" t="n">
        <f aca="false">O6</f>
        <v>1.08812402513907</v>
      </c>
      <c r="T8" s="137" t="s">
        <v>274</v>
      </c>
      <c r="U8" s="0" t="n">
        <v>520.75</v>
      </c>
      <c r="V8" s="139" t="n">
        <f aca="false">U8/U7-1</f>
        <v>0.00250264703051295</v>
      </c>
      <c r="X8" s="137" t="s">
        <v>274</v>
      </c>
      <c r="Y8" s="0" t="n">
        <v>1077.1</v>
      </c>
      <c r="Z8" s="139" t="n">
        <f aca="false">Y8/Y7-1</f>
        <v>0.0105075523032179</v>
      </c>
      <c r="AB8" s="137" t="s">
        <v>274</v>
      </c>
      <c r="AC8" s="0" t="n">
        <v>212.56</v>
      </c>
      <c r="AD8" s="139" t="n">
        <f aca="false">AC8/AC7-1</f>
        <v>0.00344615965632822</v>
      </c>
    </row>
    <row r="9" customFormat="false" ht="15" hidden="false" customHeight="true" outlineLevel="0" collapsed="false">
      <c r="B9" s="137" t="s">
        <v>276</v>
      </c>
      <c r="C9" s="0" t="n">
        <v>2635.7</v>
      </c>
      <c r="D9" s="139" t="n">
        <f aca="false">C9/C8-1</f>
        <v>-0.0396429222080525</v>
      </c>
      <c r="F9" s="137" t="s">
        <v>276</v>
      </c>
      <c r="G9" s="0" t="n">
        <v>23865.75</v>
      </c>
      <c r="H9" s="139" t="n">
        <f aca="false">G9/G8-1</f>
        <v>-0.0128207249428145</v>
      </c>
      <c r="J9" s="137" t="s">
        <v>277</v>
      </c>
      <c r="L9" s="139" t="n">
        <v>0.75</v>
      </c>
      <c r="T9" s="137" t="s">
        <v>276</v>
      </c>
      <c r="U9" s="0" t="n">
        <v>510.1</v>
      </c>
      <c r="V9" s="139" t="n">
        <f aca="false">U9/U8-1</f>
        <v>-0.0204512722035525</v>
      </c>
      <c r="X9" s="137" t="s">
        <v>276</v>
      </c>
      <c r="Y9" s="0" t="n">
        <v>1015.25</v>
      </c>
      <c r="Z9" s="139" t="n">
        <f aca="false">Y9/Y8-1</f>
        <v>-0.0574227091263577</v>
      </c>
      <c r="AB9" s="137" t="s">
        <v>276</v>
      </c>
      <c r="AC9" s="0" t="n">
        <v>204.06</v>
      </c>
      <c r="AD9" s="139" t="n">
        <f aca="false">AC9/AC8-1</f>
        <v>-0.0399887090703801</v>
      </c>
    </row>
    <row r="10" customFormat="false" ht="14.25" hidden="false" customHeight="true" outlineLevel="0" collapsed="false">
      <c r="B10" s="137" t="s">
        <v>278</v>
      </c>
      <c r="C10" s="0" t="n">
        <v>2648.62</v>
      </c>
      <c r="D10" s="139" t="n">
        <f aca="false">C10/C9-1</f>
        <v>0.00490192358766173</v>
      </c>
      <c r="F10" s="137" t="s">
        <v>278</v>
      </c>
      <c r="G10" s="0" t="n">
        <v>23547.75</v>
      </c>
      <c r="H10" s="139" t="n">
        <f aca="false">G10/G9-1</f>
        <v>-0.0133245341126929</v>
      </c>
      <c r="J10" s="137"/>
      <c r="L10" s="138"/>
      <c r="T10" s="137" t="s">
        <v>278</v>
      </c>
      <c r="U10" s="0" t="n">
        <v>500.6</v>
      </c>
      <c r="V10" s="139" t="n">
        <f aca="false">U10/U9-1</f>
        <v>-0.018623799255048</v>
      </c>
      <c r="X10" s="137" t="s">
        <v>278</v>
      </c>
      <c r="Y10" s="0" t="n">
        <v>990.9</v>
      </c>
      <c r="Z10" s="139" t="n">
        <f aca="false">Y10/Y9-1</f>
        <v>-0.0239842403348929</v>
      </c>
      <c r="AB10" s="137" t="s">
        <v>278</v>
      </c>
      <c r="AC10" s="0" t="n">
        <v>215.49</v>
      </c>
      <c r="AD10" s="139" t="n">
        <f aca="false">AC10/AC9-1</f>
        <v>0.0560129373713614</v>
      </c>
    </row>
    <row r="11" customFormat="false" ht="15" hidden="false" customHeight="true" outlineLevel="0" collapsed="false">
      <c r="B11" s="137" t="s">
        <v>279</v>
      </c>
      <c r="C11" s="0" t="n">
        <v>2423.47</v>
      </c>
      <c r="D11" s="139" t="n">
        <f aca="false">C11/C10-1</f>
        <v>-0.0850065317033021</v>
      </c>
      <c r="F11" s="137" t="s">
        <v>279</v>
      </c>
      <c r="G11" s="0" t="n">
        <v>23997.55</v>
      </c>
      <c r="H11" s="139" t="n">
        <f aca="false">G11/G10-1</f>
        <v>0.0191016126806169</v>
      </c>
      <c r="J11" s="137" t="s">
        <v>280</v>
      </c>
      <c r="L11" s="140" t="n">
        <v>1</v>
      </c>
      <c r="T11" s="137" t="s">
        <v>279</v>
      </c>
      <c r="U11" s="0" t="n">
        <v>473.1</v>
      </c>
      <c r="V11" s="139" t="n">
        <f aca="false">U11/U10-1</f>
        <v>-0.0549340791050739</v>
      </c>
      <c r="X11" s="137" t="s">
        <v>279</v>
      </c>
      <c r="Y11" s="0" t="n">
        <v>860.2</v>
      </c>
      <c r="Z11" s="139" t="n">
        <f aca="false">Y11/Y10-1</f>
        <v>-0.131900292663235</v>
      </c>
      <c r="AB11" s="137" t="s">
        <v>279</v>
      </c>
      <c r="AC11" s="0" t="n">
        <v>194.87</v>
      </c>
      <c r="AD11" s="139" t="n">
        <f aca="false">AC11/AC10-1</f>
        <v>-0.0956888950763377</v>
      </c>
    </row>
    <row r="12" customFormat="false" ht="14.25" hidden="false" customHeight="true" outlineLevel="0" collapsed="false">
      <c r="B12" s="137" t="s">
        <v>281</v>
      </c>
      <c r="C12" s="0" t="n">
        <v>2146.58</v>
      </c>
      <c r="D12" s="139" t="n">
        <f aca="false">C12/C11-1</f>
        <v>-0.114253529030687</v>
      </c>
      <c r="F12" s="137" t="s">
        <v>281</v>
      </c>
      <c r="G12" s="0" t="n">
        <v>22331.4</v>
      </c>
      <c r="H12" s="139" t="n">
        <f aca="false">G12/G11-1</f>
        <v>-0.0694300043129402</v>
      </c>
      <c r="J12" s="137" t="s">
        <v>282</v>
      </c>
      <c r="L12" s="139" t="n">
        <v>0.25</v>
      </c>
      <c r="T12" s="137" t="s">
        <v>281</v>
      </c>
      <c r="U12" s="0" t="n">
        <v>410</v>
      </c>
      <c r="V12" s="139" t="n">
        <f aca="false">U12/U11-1</f>
        <v>-0.133375607693934</v>
      </c>
      <c r="X12" s="137" t="s">
        <v>281</v>
      </c>
      <c r="Y12" s="0" t="n">
        <v>710.8</v>
      </c>
      <c r="Z12" s="139" t="n">
        <f aca="false">Y12/Y11-1</f>
        <v>-0.17368053940944</v>
      </c>
      <c r="AB12" s="137" t="s">
        <v>281</v>
      </c>
      <c r="AC12" s="0" t="n">
        <v>165.25</v>
      </c>
      <c r="AD12" s="139" t="n">
        <f aca="false">AC12/AC11-1</f>
        <v>-0.151998768409709</v>
      </c>
    </row>
    <row r="13" customFormat="false" ht="15" hidden="false" customHeight="true" outlineLevel="0" collapsed="false">
      <c r="B13" s="137" t="s">
        <v>283</v>
      </c>
      <c r="C13" s="0" t="n">
        <v>2355.76</v>
      </c>
      <c r="D13" s="139" t="n">
        <f aca="false">C13/C12-1</f>
        <v>0.0974480336162642</v>
      </c>
      <c r="F13" s="137" t="s">
        <v>283</v>
      </c>
      <c r="G13" s="0" t="n">
        <v>25178.65</v>
      </c>
      <c r="H13" s="139" t="n">
        <f aca="false">G13/G12-1</f>
        <v>0.127499843270015</v>
      </c>
      <c r="J13" s="137"/>
      <c r="L13" s="138"/>
      <c r="T13" s="137" t="s">
        <v>283</v>
      </c>
      <c r="U13" s="0" t="n">
        <v>456.1</v>
      </c>
      <c r="V13" s="139" t="n">
        <f aca="false">U13/U12-1</f>
        <v>0.112439024390244</v>
      </c>
      <c r="X13" s="137" t="s">
        <v>283</v>
      </c>
      <c r="Y13" s="0" t="n">
        <v>936.8</v>
      </c>
      <c r="Z13" s="139" t="n">
        <f aca="false">Y13/Y12-1</f>
        <v>0.317951603826674</v>
      </c>
      <c r="AB13" s="137" t="s">
        <v>283</v>
      </c>
      <c r="AC13" s="0" t="n">
        <v>201.11</v>
      </c>
      <c r="AD13" s="139" t="n">
        <f aca="false">AC13/AC12-1</f>
        <v>0.217004538577912</v>
      </c>
    </row>
    <row r="14" customFormat="false" ht="14.25" hidden="false" customHeight="true" outlineLevel="0" collapsed="false">
      <c r="B14" s="137" t="s">
        <v>284</v>
      </c>
      <c r="C14" s="0" t="n">
        <v>2407.41</v>
      </c>
      <c r="D14" s="139" t="n">
        <f aca="false">C14/C13-1</f>
        <v>0.0219249838693243</v>
      </c>
      <c r="F14" s="137" t="s">
        <v>284</v>
      </c>
      <c r="G14" s="0" t="n">
        <v>25320.65</v>
      </c>
      <c r="H14" s="139" t="n">
        <f aca="false">G14/G13-1</f>
        <v>0.00563969871299697</v>
      </c>
      <c r="J14" s="141" t="s">
        <v>285</v>
      </c>
      <c r="K14" s="142"/>
      <c r="L14" s="143" t="n">
        <f aca="false">(L8*L9)+(L11*L12)</f>
        <v>1.0660930188543</v>
      </c>
      <c r="T14" s="137" t="s">
        <v>284</v>
      </c>
      <c r="U14" s="0" t="n">
        <v>462.9</v>
      </c>
      <c r="V14" s="139" t="n">
        <f aca="false">U14/U13-1</f>
        <v>0.0149090111817582</v>
      </c>
      <c r="X14" s="137" t="s">
        <v>284</v>
      </c>
      <c r="Y14" s="0" t="n">
        <v>1044.4</v>
      </c>
      <c r="Z14" s="139" t="n">
        <f aca="false">Y14/Y13-1</f>
        <v>0.114859094790777</v>
      </c>
      <c r="AB14" s="137" t="s">
        <v>284</v>
      </c>
      <c r="AC14" s="0" t="n">
        <v>227.48</v>
      </c>
      <c r="AD14" s="139" t="n">
        <f aca="false">AC14/AC13-1</f>
        <v>0.131122271393765</v>
      </c>
    </row>
    <row r="15" customFormat="false" ht="15" hidden="false" customHeight="true" outlineLevel="0" collapsed="false">
      <c r="B15" s="137" t="s">
        <v>286</v>
      </c>
      <c r="C15" s="0" t="n">
        <v>2745.68</v>
      </c>
      <c r="D15" s="139" t="n">
        <f aca="false">C15/C14-1</f>
        <v>0.140512002525536</v>
      </c>
      <c r="F15" s="137" t="s">
        <v>286</v>
      </c>
      <c r="G15" s="0" t="n">
        <v>26129.6</v>
      </c>
      <c r="H15" s="139" t="n">
        <f aca="false">G15/G14-1</f>
        <v>0.0319482319766671</v>
      </c>
      <c r="T15" s="137" t="s">
        <v>286</v>
      </c>
      <c r="U15" s="0" t="n">
        <v>536.55</v>
      </c>
      <c r="V15" s="139" t="n">
        <f aca="false">U15/U14-1</f>
        <v>0.159105638366818</v>
      </c>
      <c r="X15" s="137" t="s">
        <v>286</v>
      </c>
      <c r="Y15" s="0" t="n">
        <v>1143.8</v>
      </c>
      <c r="Z15" s="139" t="n">
        <f aca="false">Y15/Y14-1</f>
        <v>0.0951742627345844</v>
      </c>
      <c r="AB15" s="137" t="s">
        <v>286</v>
      </c>
      <c r="AC15" s="0" t="n">
        <v>232.68</v>
      </c>
      <c r="AD15" s="139" t="n">
        <f aca="false">AC15/AC14-1</f>
        <v>0.0228591524529629</v>
      </c>
    </row>
    <row r="16" customFormat="false" ht="14.25" hidden="false" customHeight="true" outlineLevel="0" collapsed="false">
      <c r="B16" s="137" t="s">
        <v>287</v>
      </c>
      <c r="C16" s="0" t="n">
        <v>2849.68</v>
      </c>
      <c r="D16" s="139" t="n">
        <f aca="false">C16/C15-1</f>
        <v>0.0378776842166604</v>
      </c>
      <c r="F16" s="137" t="s">
        <v>287</v>
      </c>
      <c r="G16" s="0" t="n">
        <v>26202.95</v>
      </c>
      <c r="H16" s="139" t="n">
        <f aca="false">G16/G15-1</f>
        <v>0.00280716122711411</v>
      </c>
      <c r="J16" s="38" t="s">
        <v>288</v>
      </c>
      <c r="T16" s="137" t="s">
        <v>287</v>
      </c>
      <c r="U16" s="0" t="n">
        <v>564.6</v>
      </c>
      <c r="V16" s="139" t="n">
        <f aca="false">U16/U15-1</f>
        <v>0.0522784456248253</v>
      </c>
      <c r="X16" s="137" t="s">
        <v>287</v>
      </c>
      <c r="Y16" s="0" t="n">
        <v>1283.65</v>
      </c>
      <c r="Z16" s="139" t="n">
        <f aca="false">Y16/Y15-1</f>
        <v>0.122267878999825</v>
      </c>
      <c r="AB16" s="137" t="s">
        <v>287</v>
      </c>
      <c r="AC16" s="0" t="n">
        <v>233.71</v>
      </c>
      <c r="AD16" s="139" t="n">
        <f aca="false">AC16/AC15-1</f>
        <v>0.00442668041946015</v>
      </c>
    </row>
    <row r="17" customFormat="false" ht="15" hidden="false" customHeight="true" outlineLevel="0" collapsed="false">
      <c r="B17" s="137" t="s">
        <v>289</v>
      </c>
      <c r="C17" s="0" t="n">
        <v>2485.32</v>
      </c>
      <c r="D17" s="139" t="n">
        <f aca="false">C17/C16-1</f>
        <v>-0.127859970242273</v>
      </c>
      <c r="F17" s="137" t="s">
        <v>289</v>
      </c>
      <c r="G17" s="0" t="n">
        <v>25722.1</v>
      </c>
      <c r="H17" s="139" t="n">
        <f aca="false">G17/G16-1</f>
        <v>-0.0183509871980064</v>
      </c>
      <c r="T17" s="137" t="s">
        <v>289</v>
      </c>
      <c r="U17" s="0" t="n">
        <v>542.1</v>
      </c>
      <c r="V17" s="139" t="n">
        <f aca="false">U17/U16-1</f>
        <v>-0.0398512221041445</v>
      </c>
      <c r="X17" s="137" t="s">
        <v>289</v>
      </c>
      <c r="Y17" s="0" t="n">
        <v>999.9</v>
      </c>
      <c r="Z17" s="139" t="n">
        <f aca="false">Y17/Y16-1</f>
        <v>-0.221049351458731</v>
      </c>
      <c r="AB17" s="137" t="s">
        <v>289</v>
      </c>
      <c r="AC17" s="0" t="n">
        <v>245.04</v>
      </c>
      <c r="AD17" s="139" t="n">
        <f aca="false">AC17/AC16-1</f>
        <v>0.0484788840871164</v>
      </c>
    </row>
    <row r="18" customFormat="false" ht="15" hidden="false" customHeight="true" outlineLevel="0" collapsed="false">
      <c r="B18" s="137" t="s">
        <v>290</v>
      </c>
      <c r="C18" s="0" t="n">
        <v>2326.16</v>
      </c>
      <c r="D18" s="139" t="n">
        <f aca="false">C18/C17-1</f>
        <v>-0.0640400431332787</v>
      </c>
      <c r="F18" s="137" t="s">
        <v>290</v>
      </c>
      <c r="G18" s="0" t="n">
        <v>24611.1</v>
      </c>
      <c r="H18" s="139" t="n">
        <f aca="false">G18/G17-1</f>
        <v>-0.0431924298560382</v>
      </c>
      <c r="J18" s="144" t="s">
        <v>291</v>
      </c>
      <c r="K18" s="144"/>
      <c r="T18" s="137" t="s">
        <v>290</v>
      </c>
      <c r="U18" s="0" t="n">
        <v>515.2</v>
      </c>
      <c r="V18" s="139" t="n">
        <f aca="false">U18/U17-1</f>
        <v>-0.0496218409887474</v>
      </c>
      <c r="X18" s="137" t="s">
        <v>290</v>
      </c>
      <c r="Y18" s="0" t="n">
        <v>1052.2</v>
      </c>
      <c r="Z18" s="139" t="n">
        <f aca="false">Y18/Y17-1</f>
        <v>0.0523052305230525</v>
      </c>
      <c r="AB18" s="137" t="s">
        <v>290</v>
      </c>
      <c r="AC18" s="0" t="n">
        <v>244.47</v>
      </c>
      <c r="AD18" s="139" t="n">
        <f aca="false">AC18/AC17-1</f>
        <v>-0.00232615083251708</v>
      </c>
    </row>
    <row r="19" customFormat="false" ht="14.25" hidden="false" customHeight="true" outlineLevel="0" collapsed="false">
      <c r="B19" s="137" t="s">
        <v>292</v>
      </c>
      <c r="C19" s="0" t="n">
        <v>2493.05</v>
      </c>
      <c r="D19" s="139" t="n">
        <f aca="false">C19/C18-1</f>
        <v>0.0717448498813498</v>
      </c>
      <c r="F19" s="137" t="s">
        <v>292</v>
      </c>
      <c r="G19" s="0" t="n">
        <v>24426.85</v>
      </c>
      <c r="H19" s="139" t="n">
        <f aca="false">G19/G18-1</f>
        <v>-0.00748645936183268</v>
      </c>
      <c r="J19" s="38" t="s">
        <v>293</v>
      </c>
      <c r="K19" s="0" t="n">
        <v>0.564442960803599</v>
      </c>
      <c r="T19" s="137" t="s">
        <v>292</v>
      </c>
      <c r="U19" s="0" t="n">
        <v>533</v>
      </c>
      <c r="V19" s="139" t="n">
        <f aca="false">U19/U18-1</f>
        <v>0.0345496894409938</v>
      </c>
      <c r="X19" s="137" t="s">
        <v>292</v>
      </c>
      <c r="Y19" s="0" t="n">
        <v>1099.7</v>
      </c>
      <c r="Z19" s="139" t="n">
        <f aca="false">Y19/Y18-1</f>
        <v>0.0451435088386238</v>
      </c>
      <c r="AB19" s="137" t="s">
        <v>292</v>
      </c>
      <c r="AC19" s="0" t="n">
        <v>237.17</v>
      </c>
      <c r="AD19" s="139" t="n">
        <f aca="false">AC19/AC18-1</f>
        <v>-0.0298605145825664</v>
      </c>
    </row>
    <row r="20" customFormat="false" ht="14.25" hidden="false" customHeight="true" outlineLevel="0" collapsed="false">
      <c r="B20" s="137" t="s">
        <v>294</v>
      </c>
      <c r="C20" s="0" t="n">
        <v>2371.79</v>
      </c>
      <c r="D20" s="139" t="n">
        <f aca="false">C20/C19-1</f>
        <v>-0.048639217023325</v>
      </c>
      <c r="F20" s="137" t="s">
        <v>294</v>
      </c>
      <c r="G20" s="0" t="n">
        <v>24768.35</v>
      </c>
      <c r="H20" s="139" t="n">
        <f aca="false">G20/G19-1</f>
        <v>0.0139805173405494</v>
      </c>
      <c r="J20" s="38" t="s">
        <v>295</v>
      </c>
      <c r="K20" s="0" t="n">
        <v>0.318595856000733</v>
      </c>
      <c r="T20" s="137" t="s">
        <v>294</v>
      </c>
      <c r="U20" s="0" t="n">
        <v>561.13</v>
      </c>
      <c r="V20" s="139" t="n">
        <f aca="false">U20/U19-1</f>
        <v>0.0527767354596622</v>
      </c>
      <c r="X20" s="137" t="s">
        <v>294</v>
      </c>
      <c r="Y20" s="0" t="n">
        <v>1196.31</v>
      </c>
      <c r="Z20" s="139" t="n">
        <f aca="false">Y20/Y19-1</f>
        <v>0.0878512321542238</v>
      </c>
      <c r="AB20" s="137" t="s">
        <v>294</v>
      </c>
      <c r="AC20" s="0" t="n">
        <v>242.02</v>
      </c>
      <c r="AD20" s="139" t="n">
        <f aca="false">AC20/AC19-1</f>
        <v>0.0204494666273138</v>
      </c>
    </row>
    <row r="21" customFormat="false" ht="15" hidden="false" customHeight="true" outlineLevel="0" collapsed="false">
      <c r="B21" s="137" t="s">
        <v>296</v>
      </c>
      <c r="C21" s="0" t="n">
        <v>2317.35</v>
      </c>
      <c r="D21" s="139" t="n">
        <f aca="false">C21/C20-1</f>
        <v>-0.0229531282280472</v>
      </c>
      <c r="F21" s="137" t="s">
        <v>296</v>
      </c>
      <c r="G21" s="0" t="n">
        <v>25517.05</v>
      </c>
      <c r="H21" s="139" t="n">
        <f aca="false">G21/G20-1</f>
        <v>0.0302280935145054</v>
      </c>
      <c r="J21" s="38" t="s">
        <v>297</v>
      </c>
      <c r="K21" s="0" t="n">
        <v>0.3068475086904</v>
      </c>
      <c r="T21" s="137" t="s">
        <v>296</v>
      </c>
      <c r="U21" s="0" t="n">
        <v>588.7</v>
      </c>
      <c r="V21" s="139" t="n">
        <f aca="false">U21/U20-1</f>
        <v>0.0491329994831857</v>
      </c>
      <c r="X21" s="137" t="s">
        <v>296</v>
      </c>
      <c r="Y21" s="0" t="n">
        <v>1158.63</v>
      </c>
      <c r="Z21" s="139" t="n">
        <f aca="false">Y21/Y20-1</f>
        <v>-0.0314968528224289</v>
      </c>
      <c r="AB21" s="137" t="s">
        <v>296</v>
      </c>
      <c r="AC21" s="0" t="n">
        <v>249.18</v>
      </c>
      <c r="AD21" s="139" t="n">
        <f aca="false">AC21/AC20-1</f>
        <v>0.0295843318733988</v>
      </c>
    </row>
    <row r="22" customFormat="false" ht="15" hidden="false" customHeight="true" outlineLevel="0" collapsed="false">
      <c r="B22" s="137" t="s">
        <v>298</v>
      </c>
      <c r="C22" s="0" t="n">
        <v>2215.74</v>
      </c>
      <c r="D22" s="139" t="n">
        <f aca="false">C22/C21-1</f>
        <v>-0.0438474982199496</v>
      </c>
      <c r="F22" s="137" t="s">
        <v>298</v>
      </c>
      <c r="G22" s="0" t="n">
        <v>24750.7</v>
      </c>
      <c r="H22" s="139" t="n">
        <f aca="false">G22/G21-1</f>
        <v>-0.0300328603815879</v>
      </c>
      <c r="J22" s="38" t="s">
        <v>299</v>
      </c>
      <c r="K22" s="0" t="n">
        <v>0.0608997348423992</v>
      </c>
      <c r="T22" s="137" t="s">
        <v>298</v>
      </c>
      <c r="U22" s="0" t="n">
        <v>564.51</v>
      </c>
      <c r="V22" s="139" t="n">
        <f aca="false">U22/U21-1</f>
        <v>-0.0410905384746052</v>
      </c>
      <c r="X22" s="137" t="s">
        <v>298</v>
      </c>
      <c r="Y22" s="0" t="n">
        <v>1076.13</v>
      </c>
      <c r="Z22" s="139" t="n">
        <f aca="false">Y22/Y21-1</f>
        <v>-0.0712047849615494</v>
      </c>
      <c r="AB22" s="137" t="s">
        <v>298</v>
      </c>
      <c r="AC22" s="0" t="n">
        <v>246.79</v>
      </c>
      <c r="AD22" s="139" t="n">
        <f aca="false">AC22/AC21-1</f>
        <v>-0.00959145998876321</v>
      </c>
    </row>
    <row r="23" customFormat="false" ht="14.25" hidden="false" customHeight="true" outlineLevel="0" collapsed="false">
      <c r="B23" s="137" t="s">
        <v>300</v>
      </c>
      <c r="C23" s="0" t="n">
        <v>2379.14</v>
      </c>
      <c r="D23" s="139" t="n">
        <f aca="false">C23/C22-1</f>
        <v>0.0737451144989936</v>
      </c>
      <c r="F23" s="137" t="s">
        <v>300</v>
      </c>
      <c r="G23" s="0" t="n">
        <v>24334.2</v>
      </c>
      <c r="H23" s="139" t="n">
        <f aca="false">G23/G22-1</f>
        <v>-0.0168278068903102</v>
      </c>
      <c r="J23" s="145" t="s">
        <v>301</v>
      </c>
      <c r="K23" s="145" t="n">
        <v>60</v>
      </c>
      <c r="T23" s="137" t="s">
        <v>300</v>
      </c>
      <c r="U23" s="0" t="n">
        <v>540.57</v>
      </c>
      <c r="V23" s="139" t="n">
        <f aca="false">U23/U22-1</f>
        <v>-0.0424084604347131</v>
      </c>
      <c r="X23" s="137" t="s">
        <v>300</v>
      </c>
      <c r="Y23" s="0" t="n">
        <v>971.75</v>
      </c>
      <c r="Z23" s="139" t="n">
        <f aca="false">Y23/Y22-1</f>
        <v>-0.0969957161309508</v>
      </c>
      <c r="AB23" s="137" t="s">
        <v>300</v>
      </c>
      <c r="AC23" s="0" t="n">
        <v>250.17</v>
      </c>
      <c r="AD23" s="139" t="n">
        <f aca="false">AC23/AC22-1</f>
        <v>0.013695854775315</v>
      </c>
    </row>
    <row r="24" customFormat="false" ht="14.25" hidden="false" customHeight="true" outlineLevel="0" collapsed="false">
      <c r="B24" s="137" t="s">
        <v>302</v>
      </c>
      <c r="C24" s="0" t="n">
        <v>2295.72</v>
      </c>
      <c r="D24" s="139" t="n">
        <f aca="false">C24/C23-1</f>
        <v>-0.0350630900241264</v>
      </c>
      <c r="F24" s="137" t="s">
        <v>302</v>
      </c>
      <c r="G24" s="0" t="n">
        <v>23519.35</v>
      </c>
      <c r="H24" s="139" t="n">
        <f aca="false">G24/G23-1</f>
        <v>-0.0334857936566644</v>
      </c>
      <c r="T24" s="137" t="s">
        <v>302</v>
      </c>
      <c r="U24" s="0" t="n">
        <v>496.87</v>
      </c>
      <c r="V24" s="139" t="n">
        <f aca="false">U24/U23-1</f>
        <v>-0.0808405941876168</v>
      </c>
      <c r="X24" s="137" t="s">
        <v>302</v>
      </c>
      <c r="Y24" s="0" t="n">
        <v>939.8</v>
      </c>
      <c r="Z24" s="139" t="n">
        <f aca="false">Y24/Y23-1</f>
        <v>-0.03287882685876</v>
      </c>
      <c r="AB24" s="137" t="s">
        <v>302</v>
      </c>
      <c r="AC24" s="0" t="n">
        <v>226.56</v>
      </c>
      <c r="AD24" s="139" t="n">
        <f aca="false">AC24/AC23-1</f>
        <v>-0.0943758244393812</v>
      </c>
    </row>
    <row r="25" customFormat="false" ht="15" hidden="false" customHeight="true" outlineLevel="0" collapsed="false">
      <c r="B25" s="137" t="s">
        <v>303</v>
      </c>
      <c r="C25" s="0" t="n">
        <v>2137.91</v>
      </c>
      <c r="D25" s="139" t="n">
        <f aca="false">C25/C24-1</f>
        <v>-0.0687409614412907</v>
      </c>
      <c r="F25" s="137" t="s">
        <v>303</v>
      </c>
      <c r="G25" s="0" t="n">
        <v>22124.7</v>
      </c>
      <c r="H25" s="139" t="n">
        <f aca="false">G25/G24-1</f>
        <v>-0.0592979822996809</v>
      </c>
      <c r="J25" s="38" t="s">
        <v>304</v>
      </c>
      <c r="T25" s="137" t="s">
        <v>303</v>
      </c>
      <c r="U25" s="0" t="n">
        <v>485.29</v>
      </c>
      <c r="V25" s="139" t="n">
        <f aca="false">U25/U24-1</f>
        <v>-0.023305894902087</v>
      </c>
      <c r="X25" s="137" t="s">
        <v>303</v>
      </c>
      <c r="Y25" s="0" t="n">
        <v>1016.72</v>
      </c>
      <c r="Z25" s="139" t="n">
        <f aca="false">Y25/Y24-1</f>
        <v>0.0818472015322409</v>
      </c>
      <c r="AB25" s="137" t="s">
        <v>303</v>
      </c>
      <c r="AC25" s="0" t="n">
        <v>220.49</v>
      </c>
      <c r="AD25" s="139" t="n">
        <f aca="false">AC25/AC24-1</f>
        <v>-0.0267920197740112</v>
      </c>
    </row>
    <row r="26" customFormat="false" ht="14.25" hidden="false" customHeight="true" outlineLevel="0" collapsed="false">
      <c r="B26" s="137" t="s">
        <v>305</v>
      </c>
      <c r="C26" s="0" t="n">
        <v>2256.64</v>
      </c>
      <c r="D26" s="139" t="n">
        <f aca="false">C26/C25-1</f>
        <v>0.0555355463981178</v>
      </c>
      <c r="F26" s="137" t="s">
        <v>305</v>
      </c>
      <c r="G26" s="0" t="n">
        <v>23508.4</v>
      </c>
      <c r="H26" s="139" t="n">
        <f aca="false">G26/G25-1</f>
        <v>0.0625409610073808</v>
      </c>
      <c r="J26" s="144"/>
      <c r="K26" s="144" t="s">
        <v>306</v>
      </c>
      <c r="L26" s="144" t="s">
        <v>307</v>
      </c>
      <c r="M26" s="144" t="s">
        <v>308</v>
      </c>
      <c r="N26" s="144" t="s">
        <v>309</v>
      </c>
      <c r="O26" s="144" t="s">
        <v>310</v>
      </c>
      <c r="T26" s="137" t="s">
        <v>305</v>
      </c>
      <c r="U26" s="0" t="n">
        <v>469.6</v>
      </c>
      <c r="V26" s="139" t="n">
        <f aca="false">U26/U25-1</f>
        <v>-0.0323311834161018</v>
      </c>
      <c r="X26" s="137" t="s">
        <v>305</v>
      </c>
      <c r="Y26" s="0" t="n">
        <v>1263.31</v>
      </c>
      <c r="Z26" s="139" t="n">
        <f aca="false">Y26/Y25-1</f>
        <v>0.242534817845621</v>
      </c>
      <c r="AB26" s="137" t="s">
        <v>305</v>
      </c>
      <c r="AC26" s="0" t="n">
        <v>226.75</v>
      </c>
      <c r="AD26" s="139" t="n">
        <f aca="false">AC26/AC25-1</f>
        <v>0.0283913102635041</v>
      </c>
    </row>
    <row r="27" customFormat="false" ht="14.25" hidden="false" customHeight="true" outlineLevel="0" collapsed="false">
      <c r="B27" s="137" t="s">
        <v>311</v>
      </c>
      <c r="C27" s="0" t="n">
        <v>2237.56</v>
      </c>
      <c r="D27" s="139" t="n">
        <f aca="false">C27/C26-1</f>
        <v>-0.00845504821327281</v>
      </c>
      <c r="F27" s="137" t="s">
        <v>311</v>
      </c>
      <c r="G27" s="0" t="n">
        <v>23644.8</v>
      </c>
      <c r="H27" s="139" t="n">
        <f aca="false">G27/G26-1</f>
        <v>0.00580218134794364</v>
      </c>
      <c r="J27" s="38" t="s">
        <v>312</v>
      </c>
      <c r="K27" s="0" t="n">
        <v>1</v>
      </c>
      <c r="L27" s="0" t="n">
        <v>0.100575951329185</v>
      </c>
      <c r="M27" s="0" t="n">
        <v>0.100575951329185</v>
      </c>
      <c r="N27" s="0" t="n">
        <v>27.1183552532994</v>
      </c>
      <c r="O27" s="0" t="n">
        <v>2.63717986337062E-006</v>
      </c>
      <c r="T27" s="137" t="s">
        <v>311</v>
      </c>
      <c r="U27" s="0" t="n">
        <v>445.56</v>
      </c>
      <c r="V27" s="139" t="n">
        <f aca="false">U27/U26-1</f>
        <v>-0.0511925042589438</v>
      </c>
      <c r="X27" s="137" t="s">
        <v>311</v>
      </c>
      <c r="Y27" s="0" t="n">
        <v>1397.74</v>
      </c>
      <c r="Z27" s="139" t="n">
        <f aca="false">Y27/Y26-1</f>
        <v>0.106410936349748</v>
      </c>
      <c r="AB27" s="137" t="s">
        <v>311</v>
      </c>
      <c r="AC27" s="0" t="n">
        <v>257.79</v>
      </c>
      <c r="AD27" s="139" t="n">
        <f aca="false">AC27/AC26-1</f>
        <v>0.136890848952591</v>
      </c>
    </row>
    <row r="28" customFormat="false" ht="14.25" hidden="false" customHeight="true" outlineLevel="0" collapsed="false">
      <c r="B28" s="137" t="s">
        <v>313</v>
      </c>
      <c r="C28" s="0" t="n">
        <v>2432</v>
      </c>
      <c r="D28" s="139" t="n">
        <f aca="false">C28/C27-1</f>
        <v>0.0868982284273943</v>
      </c>
      <c r="F28" s="137" t="s">
        <v>313</v>
      </c>
      <c r="G28" s="0" t="n">
        <v>24131.1</v>
      </c>
      <c r="H28" s="139" t="n">
        <f aca="false">G28/G27-1</f>
        <v>0.0205668899715794</v>
      </c>
      <c r="J28" s="38" t="s">
        <v>314</v>
      </c>
      <c r="K28" s="0" t="n">
        <v>58</v>
      </c>
      <c r="L28" s="0" t="n">
        <v>0.215109106824723</v>
      </c>
      <c r="M28" s="0" t="n">
        <v>0.00370877770387453</v>
      </c>
      <c r="T28" s="137" t="s">
        <v>313</v>
      </c>
      <c r="U28" s="0" t="n">
        <v>490.41</v>
      </c>
      <c r="V28" s="139" t="n">
        <f aca="false">U28/U27-1</f>
        <v>0.100659843792082</v>
      </c>
      <c r="X28" s="137" t="s">
        <v>313</v>
      </c>
      <c r="Y28" s="0" t="n">
        <v>1429.15</v>
      </c>
      <c r="Z28" s="139" t="n">
        <f aca="false">Y28/Y27-1</f>
        <v>0.0224719904989483</v>
      </c>
      <c r="AB28" s="137" t="s">
        <v>313</v>
      </c>
      <c r="AC28" s="0" t="n">
        <v>273.3</v>
      </c>
      <c r="AD28" s="139" t="n">
        <f aca="false">AC28/AC27-1</f>
        <v>0.060165250785523</v>
      </c>
    </row>
    <row r="29" customFormat="false" ht="14.25" hidden="false" customHeight="true" outlineLevel="0" collapsed="false">
      <c r="B29" s="137" t="s">
        <v>315</v>
      </c>
      <c r="C29" s="0" t="n">
        <v>2874.37</v>
      </c>
      <c r="D29" s="139" t="n">
        <f aca="false">C29/C28-1</f>
        <v>0.181895559210526</v>
      </c>
      <c r="F29" s="137" t="s">
        <v>315</v>
      </c>
      <c r="G29" s="0" t="n">
        <v>24205.35</v>
      </c>
      <c r="H29" s="139" t="n">
        <f aca="false">G29/G28-1</f>
        <v>0.00307694220321486</v>
      </c>
      <c r="J29" s="145" t="s">
        <v>316</v>
      </c>
      <c r="K29" s="145" t="n">
        <v>59</v>
      </c>
      <c r="L29" s="145" t="n">
        <v>0.315685058153908</v>
      </c>
      <c r="M29" s="145"/>
      <c r="N29" s="145"/>
      <c r="O29" s="145"/>
      <c r="T29" s="137" t="s">
        <v>315</v>
      </c>
      <c r="U29" s="0" t="n">
        <v>533.22</v>
      </c>
      <c r="V29" s="139" t="n">
        <f aca="false">U29/U28-1</f>
        <v>0.0872943047654005</v>
      </c>
      <c r="X29" s="137" t="s">
        <v>315</v>
      </c>
      <c r="Y29" s="0" t="n">
        <v>1640.34</v>
      </c>
      <c r="Z29" s="139" t="n">
        <f aca="false">Y29/Y28-1</f>
        <v>0.147773151873491</v>
      </c>
      <c r="AB29" s="137" t="s">
        <v>315</v>
      </c>
      <c r="AC29" s="0" t="n">
        <v>277.34</v>
      </c>
      <c r="AD29" s="139" t="n">
        <f aca="false">AC29/AC28-1</f>
        <v>0.0147822905232344</v>
      </c>
    </row>
    <row r="30" customFormat="false" ht="14.25" hidden="false" customHeight="true" outlineLevel="0" collapsed="false">
      <c r="B30" s="137" t="s">
        <v>317</v>
      </c>
      <c r="C30" s="0" t="n">
        <v>3259.61</v>
      </c>
      <c r="D30" s="139" t="n">
        <f aca="false">C30/C29-1</f>
        <v>0.134025890890874</v>
      </c>
      <c r="F30" s="137" t="s">
        <v>317</v>
      </c>
      <c r="G30" s="0" t="n">
        <v>25810.85</v>
      </c>
      <c r="H30" s="139" t="n">
        <f aca="false">G30/G29-1</f>
        <v>0.0663283117162115</v>
      </c>
      <c r="T30" s="137" t="s">
        <v>317</v>
      </c>
      <c r="U30" s="0" t="n">
        <v>618.15</v>
      </c>
      <c r="V30" s="139" t="n">
        <f aca="false">U30/U29-1</f>
        <v>0.159277596489254</v>
      </c>
      <c r="X30" s="137" t="s">
        <v>317</v>
      </c>
      <c r="Y30" s="0" t="n">
        <v>1454.72</v>
      </c>
      <c r="Z30" s="139" t="n">
        <f aca="false">Y30/Y29-1</f>
        <v>-0.113159466939781</v>
      </c>
      <c r="AB30" s="137" t="s">
        <v>317</v>
      </c>
      <c r="AC30" s="0" t="n">
        <v>301.07</v>
      </c>
      <c r="AD30" s="139" t="n">
        <f aca="false">AC30/AC29-1</f>
        <v>0.0855628470469461</v>
      </c>
    </row>
    <row r="31" customFormat="false" ht="14.25" hidden="false" customHeight="true" outlineLevel="0" collapsed="false">
      <c r="B31" s="137" t="s">
        <v>318</v>
      </c>
      <c r="C31" s="0" t="n">
        <v>3061.53</v>
      </c>
      <c r="D31" s="139" t="n">
        <f aca="false">C31/C30-1</f>
        <v>-0.0607680059884465</v>
      </c>
      <c r="F31" s="137" t="s">
        <v>318</v>
      </c>
      <c r="G31" s="0" t="n">
        <v>25235.9</v>
      </c>
      <c r="H31" s="139" t="n">
        <f aca="false">G31/G30-1</f>
        <v>-0.0222755159167558</v>
      </c>
      <c r="J31" s="144"/>
      <c r="K31" s="144" t="s">
        <v>319</v>
      </c>
      <c r="L31" s="144" t="s">
        <v>299</v>
      </c>
      <c r="M31" s="144" t="s">
        <v>320</v>
      </c>
      <c r="N31" s="144" t="s">
        <v>321</v>
      </c>
      <c r="O31" s="144" t="s">
        <v>322</v>
      </c>
      <c r="P31" s="144" t="s">
        <v>323</v>
      </c>
      <c r="Q31" s="144" t="s">
        <v>324</v>
      </c>
      <c r="R31" s="144" t="s">
        <v>325</v>
      </c>
      <c r="T31" s="137" t="s">
        <v>318</v>
      </c>
      <c r="U31" s="0" t="n">
        <v>567.24</v>
      </c>
      <c r="V31" s="139" t="n">
        <f aca="false">U31/U30-1</f>
        <v>-0.0823586508129094</v>
      </c>
      <c r="X31" s="137" t="s">
        <v>318</v>
      </c>
      <c r="Y31" s="0" t="n">
        <v>1446.04</v>
      </c>
      <c r="Z31" s="139" t="n">
        <f aca="false">Y31/Y30-1</f>
        <v>-0.00596678398592176</v>
      </c>
      <c r="AB31" s="137" t="s">
        <v>318</v>
      </c>
      <c r="AC31" s="0" t="n">
        <v>288.43</v>
      </c>
      <c r="AD31" s="139" t="n">
        <f aca="false">AC31/AC30-1</f>
        <v>-0.0419835918557145</v>
      </c>
    </row>
    <row r="32" customFormat="false" ht="14.25" hidden="false" customHeight="true" outlineLevel="0" collapsed="false">
      <c r="B32" s="137" t="s">
        <v>326</v>
      </c>
      <c r="C32" s="0" t="n">
        <v>3020.07</v>
      </c>
      <c r="D32" s="139" t="n">
        <f aca="false">C32/C31-1</f>
        <v>-0.0135422484836013</v>
      </c>
      <c r="F32" s="137" t="s">
        <v>326</v>
      </c>
      <c r="G32" s="0" t="n">
        <v>24951.15</v>
      </c>
      <c r="H32" s="139" t="n">
        <f aca="false">G32/G31-1</f>
        <v>-0.0112835286239048</v>
      </c>
      <c r="J32" s="38" t="s">
        <v>327</v>
      </c>
      <c r="K32" s="0" t="n">
        <v>0.00996483283612264</v>
      </c>
      <c r="L32" s="0" t="n">
        <v>0.00793361854243507</v>
      </c>
      <c r="M32" s="0" t="n">
        <v>1.25602621084226</v>
      </c>
      <c r="N32" s="0" t="n">
        <v>0.214142458629826</v>
      </c>
      <c r="O32" s="0" t="n">
        <v>-0.00591603011280847</v>
      </c>
      <c r="P32" s="0" t="n">
        <v>0.0258456957850538</v>
      </c>
      <c r="Q32" s="0" t="n">
        <v>-0.00591603011280847</v>
      </c>
      <c r="R32" s="0" t="n">
        <v>0.0258456957850538</v>
      </c>
      <c r="T32" s="137" t="s">
        <v>326</v>
      </c>
      <c r="U32" s="0" t="n">
        <v>547.69</v>
      </c>
      <c r="V32" s="139" t="n">
        <f aca="false">U32/U31-1</f>
        <v>-0.0344651293984909</v>
      </c>
      <c r="X32" s="137" t="s">
        <v>326</v>
      </c>
      <c r="Y32" s="0" t="n">
        <v>1490.86</v>
      </c>
      <c r="Z32" s="139" t="n">
        <f aca="false">Y32/Y31-1</f>
        <v>0.0309949932228708</v>
      </c>
      <c r="AB32" s="137" t="s">
        <v>326</v>
      </c>
      <c r="AC32" s="0" t="n">
        <v>298.84</v>
      </c>
      <c r="AD32" s="139" t="n">
        <f aca="false">AC32/AC31-1</f>
        <v>0.0360919460527682</v>
      </c>
    </row>
    <row r="33" customFormat="false" ht="14.25" hidden="false" customHeight="true" outlineLevel="0" collapsed="false">
      <c r="B33" s="137" t="s">
        <v>328</v>
      </c>
      <c r="C33" s="0" t="n">
        <v>2856.16</v>
      </c>
      <c r="D33" s="139" t="n">
        <f aca="false">C33/C32-1</f>
        <v>-0.0542735764402813</v>
      </c>
      <c r="F33" s="137" t="s">
        <v>328</v>
      </c>
      <c r="G33" s="0" t="n">
        <v>24010.6</v>
      </c>
      <c r="H33" s="139" t="n">
        <f aca="false">G33/G32-1</f>
        <v>-0.0376956573143924</v>
      </c>
      <c r="J33" s="145" t="s">
        <v>329</v>
      </c>
      <c r="K33" s="145" t="n">
        <v>1.08812402513907</v>
      </c>
      <c r="L33" s="145" t="n">
        <v>0.20895209339774</v>
      </c>
      <c r="M33" s="145" t="n">
        <v>5.20752870883103</v>
      </c>
      <c r="N33" s="145" t="n">
        <v>2.63717986337065E-006</v>
      </c>
      <c r="O33" s="145" t="n">
        <v>0.669860966436068</v>
      </c>
      <c r="P33" s="145" t="n">
        <v>1.50638708384208</v>
      </c>
      <c r="Q33" s="145" t="n">
        <v>0.669860966436068</v>
      </c>
      <c r="R33" s="145" t="n">
        <v>1.50638708384208</v>
      </c>
      <c r="T33" s="137" t="s">
        <v>328</v>
      </c>
      <c r="U33" s="0" t="n">
        <v>497.65</v>
      </c>
      <c r="V33" s="139" t="n">
        <f aca="false">U33/U32-1</f>
        <v>-0.0913655535065459</v>
      </c>
      <c r="X33" s="137" t="s">
        <v>328</v>
      </c>
      <c r="Y33" s="0" t="n">
        <v>1365.59</v>
      </c>
      <c r="Z33" s="139" t="n">
        <f aca="false">Y33/Y32-1</f>
        <v>-0.0840253276632279</v>
      </c>
      <c r="AB33" s="137" t="s">
        <v>328</v>
      </c>
      <c r="AC33" s="0" t="n">
        <v>262.75</v>
      </c>
      <c r="AD33" s="139" t="n">
        <f aca="false">AC33/AC32-1</f>
        <v>-0.120766965600321</v>
      </c>
    </row>
    <row r="34" customFormat="false" ht="14.25" hidden="false" customHeight="true" outlineLevel="0" collapsed="false">
      <c r="B34" s="137" t="s">
        <v>330</v>
      </c>
      <c r="C34" s="0" t="n">
        <v>2794.03</v>
      </c>
      <c r="D34" s="139" t="n">
        <f aca="false">C34/C33-1</f>
        <v>-0.0217529830261609</v>
      </c>
      <c r="F34" s="137" t="s">
        <v>330</v>
      </c>
      <c r="G34" s="0" t="n">
        <v>22530.7</v>
      </c>
      <c r="H34" s="139" t="n">
        <f aca="false">G34/G33-1</f>
        <v>-0.061635277752326</v>
      </c>
      <c r="T34" s="137" t="s">
        <v>330</v>
      </c>
      <c r="U34" s="0" t="n">
        <v>454.03</v>
      </c>
      <c r="V34" s="139" t="n">
        <f aca="false">U34/U33-1</f>
        <v>-0.0876519642318899</v>
      </c>
      <c r="X34" s="137" t="s">
        <v>330</v>
      </c>
      <c r="Y34" s="0" t="n">
        <v>1333.07</v>
      </c>
      <c r="Z34" s="139" t="n">
        <f aca="false">Y34/Y33-1</f>
        <v>-0.0238138826441319</v>
      </c>
      <c r="AB34" s="137" t="s">
        <v>330</v>
      </c>
      <c r="AC34" s="0" t="n">
        <v>258.79</v>
      </c>
      <c r="AD34" s="139" t="n">
        <f aca="false">AC34/AC33-1</f>
        <v>-0.0150713606089438</v>
      </c>
    </row>
    <row r="35" customFormat="false" ht="14.25" hidden="false" customHeight="true" outlineLevel="0" collapsed="false">
      <c r="B35" s="137" t="s">
        <v>331</v>
      </c>
      <c r="C35" s="0" t="n">
        <v>2788.89</v>
      </c>
      <c r="D35" s="139" t="n">
        <f aca="false">C35/C34-1</f>
        <v>-0.00183963665386566</v>
      </c>
      <c r="F35" s="137" t="s">
        <v>331</v>
      </c>
      <c r="G35" s="0" t="n">
        <v>22604.85</v>
      </c>
      <c r="H35" s="139" t="n">
        <f aca="false">G35/G34-1</f>
        <v>0.00329106508009058</v>
      </c>
      <c r="T35" s="137" t="s">
        <v>331</v>
      </c>
      <c r="U35" s="0" t="n">
        <v>501.95</v>
      </c>
      <c r="V35" s="139" t="n">
        <f aca="false">U35/U34-1</f>
        <v>0.105543686540537</v>
      </c>
      <c r="X35" s="137" t="s">
        <v>331</v>
      </c>
      <c r="Y35" s="0" t="n">
        <v>1366.54</v>
      </c>
      <c r="Z35" s="139" t="n">
        <f aca="false">Y35/Y34-1</f>
        <v>0.0251074587230979</v>
      </c>
      <c r="AB35" s="137" t="s">
        <v>331</v>
      </c>
      <c r="AC35" s="0" t="n">
        <v>268.53</v>
      </c>
      <c r="AD35" s="139" t="n">
        <f aca="false">AC35/AC34-1</f>
        <v>0.0376366938444297</v>
      </c>
    </row>
    <row r="36" customFormat="false" ht="14.25" hidden="false" customHeight="true" outlineLevel="0" collapsed="false">
      <c r="B36" s="137" t="s">
        <v>332</v>
      </c>
      <c r="C36" s="0" t="n">
        <v>2760.62</v>
      </c>
      <c r="D36" s="139" t="n">
        <f aca="false">C36/C35-1</f>
        <v>-0.0101366493479484</v>
      </c>
      <c r="F36" s="137" t="s">
        <v>332</v>
      </c>
      <c r="G36" s="0" t="n">
        <v>22326.9</v>
      </c>
      <c r="H36" s="139" t="n">
        <f aca="false">G36/G35-1</f>
        <v>-0.0122960338157518</v>
      </c>
      <c r="T36" s="137" t="s">
        <v>332</v>
      </c>
      <c r="U36" s="0" t="n">
        <v>565.61</v>
      </c>
      <c r="V36" s="139" t="n">
        <f aca="false">U36/U35-1</f>
        <v>0.126825381014045</v>
      </c>
      <c r="X36" s="137" t="s">
        <v>332</v>
      </c>
      <c r="Y36" s="0" t="n">
        <v>1249.82</v>
      </c>
      <c r="Z36" s="139" t="n">
        <f aca="false">Y36/Y35-1</f>
        <v>-0.0854127943565501</v>
      </c>
      <c r="AB36" s="137" t="s">
        <v>332</v>
      </c>
      <c r="AC36" s="0" t="n">
        <v>251.73</v>
      </c>
      <c r="AD36" s="139" t="n">
        <f aca="false">AC36/AC35-1</f>
        <v>-0.0625628421405429</v>
      </c>
    </row>
    <row r="37" customFormat="false" ht="14.25" hidden="false" customHeight="true" outlineLevel="0" collapsed="false">
      <c r="B37" s="137" t="s">
        <v>333</v>
      </c>
      <c r="C37" s="0" t="n">
        <v>2736.52</v>
      </c>
      <c r="D37" s="139" t="n">
        <f aca="false">C37/C36-1</f>
        <v>-0.00872992298831421</v>
      </c>
      <c r="F37" s="137" t="s">
        <v>333</v>
      </c>
      <c r="G37" s="0" t="n">
        <v>21982.8</v>
      </c>
      <c r="H37" s="139" t="n">
        <f aca="false">G37/G36-1</f>
        <v>-0.0154119022345244</v>
      </c>
      <c r="T37" s="137" t="s">
        <v>333</v>
      </c>
      <c r="U37" s="0" t="n">
        <v>598.82</v>
      </c>
      <c r="V37" s="139" t="n">
        <f aca="false">U37/U36-1</f>
        <v>0.0587153692473614</v>
      </c>
      <c r="X37" s="137" t="s">
        <v>333</v>
      </c>
      <c r="Y37" s="0" t="n">
        <v>1391.3</v>
      </c>
      <c r="Z37" s="139" t="n">
        <f aca="false">Y37/Y36-1</f>
        <v>0.113200300843322</v>
      </c>
      <c r="AB37" s="137" t="s">
        <v>333</v>
      </c>
      <c r="AC37" s="0" t="n">
        <v>277.98</v>
      </c>
      <c r="AD37" s="139" t="n">
        <f aca="false">AC37/AC36-1</f>
        <v>0.104278393516863</v>
      </c>
    </row>
    <row r="38" customFormat="false" ht="14.25" hidden="false" customHeight="true" outlineLevel="0" collapsed="false">
      <c r="B38" s="137" t="s">
        <v>334</v>
      </c>
      <c r="C38" s="0" t="n">
        <v>2868.36</v>
      </c>
      <c r="D38" s="139" t="n">
        <f aca="false">C38/C37-1</f>
        <v>0.0481779778697031</v>
      </c>
      <c r="F38" s="137" t="s">
        <v>334</v>
      </c>
      <c r="G38" s="0" t="n">
        <v>21725.7</v>
      </c>
      <c r="H38" s="139" t="n">
        <f aca="false">G38/G37-1</f>
        <v>-0.0116955073966919</v>
      </c>
      <c r="T38" s="137" t="s">
        <v>334</v>
      </c>
      <c r="U38" s="0" t="n">
        <v>557.81</v>
      </c>
      <c r="V38" s="139" t="n">
        <f aca="false">U38/U37-1</f>
        <v>-0.0684846865502156</v>
      </c>
      <c r="X38" s="137" t="s">
        <v>334</v>
      </c>
      <c r="Y38" s="0" t="n">
        <v>1435.66</v>
      </c>
      <c r="Z38" s="139" t="n">
        <f aca="false">Y38/Y37-1</f>
        <v>0.0318838496370302</v>
      </c>
      <c r="AB38" s="137" t="s">
        <v>334</v>
      </c>
      <c r="AC38" s="0" t="n">
        <v>328.04</v>
      </c>
      <c r="AD38" s="139" t="n">
        <f aca="false">AC38/AC37-1</f>
        <v>0.180084898194115</v>
      </c>
    </row>
    <row r="39" customFormat="false" ht="14.25" hidden="false" customHeight="true" outlineLevel="0" collapsed="false">
      <c r="B39" s="137" t="s">
        <v>335</v>
      </c>
      <c r="C39" s="0" t="n">
        <v>3299.46</v>
      </c>
      <c r="D39" s="139" t="n">
        <f aca="false">C39/C38-1</f>
        <v>0.150294942057482</v>
      </c>
      <c r="F39" s="137" t="s">
        <v>335</v>
      </c>
      <c r="G39" s="0" t="n">
        <v>21731.4</v>
      </c>
      <c r="H39" s="139" t="n">
        <f aca="false">G39/G38-1</f>
        <v>0.000262362087297463</v>
      </c>
      <c r="T39" s="137" t="s">
        <v>335</v>
      </c>
      <c r="U39" s="0" t="n">
        <v>596.8</v>
      </c>
      <c r="V39" s="139" t="n">
        <f aca="false">U39/U38-1</f>
        <v>0.0698983524856134</v>
      </c>
      <c r="X39" s="137" t="s">
        <v>335</v>
      </c>
      <c r="Y39" s="0" t="n">
        <v>1482.46</v>
      </c>
      <c r="Z39" s="139" t="n">
        <f aca="false">Y39/Y38-1</f>
        <v>0.0325982474959252</v>
      </c>
      <c r="AB39" s="137" t="s">
        <v>335</v>
      </c>
      <c r="AC39" s="0" t="n">
        <v>319.88</v>
      </c>
      <c r="AD39" s="139" t="n">
        <f aca="false">AC39/AC38-1</f>
        <v>-0.0248750152420437</v>
      </c>
    </row>
    <row r="40" customFormat="false" ht="14.25" hidden="false" customHeight="true" outlineLevel="0" collapsed="false">
      <c r="B40" s="137" t="s">
        <v>336</v>
      </c>
      <c r="C40" s="0" t="n">
        <v>3025.5</v>
      </c>
      <c r="D40" s="139" t="n">
        <f aca="false">C40/C39-1</f>
        <v>-0.0830317688349003</v>
      </c>
      <c r="F40" s="137" t="s">
        <v>336</v>
      </c>
      <c r="G40" s="0" t="n">
        <v>20133.15</v>
      </c>
      <c r="H40" s="139" t="n">
        <f aca="false">G40/G39-1</f>
        <v>-0.0735456528341478</v>
      </c>
      <c r="T40" s="137" t="s">
        <v>336</v>
      </c>
      <c r="U40" s="0" t="n">
        <v>566.94</v>
      </c>
      <c r="V40" s="139" t="n">
        <f aca="false">U40/U39-1</f>
        <v>-0.050033512064343</v>
      </c>
      <c r="X40" s="137" t="s">
        <v>336</v>
      </c>
      <c r="Y40" s="0" t="n">
        <v>1480.62</v>
      </c>
      <c r="Z40" s="139" t="n">
        <f aca="false">Y40/Y39-1</f>
        <v>-0.0012411802004777</v>
      </c>
      <c r="AB40" s="137" t="s">
        <v>336</v>
      </c>
      <c r="AC40" s="0" t="n">
        <v>307.4</v>
      </c>
      <c r="AD40" s="139" t="n">
        <f aca="false">AC40/AC39-1</f>
        <v>-0.0390146304864325</v>
      </c>
    </row>
    <row r="41" customFormat="false" ht="14.25" hidden="false" customHeight="true" outlineLevel="0" collapsed="false">
      <c r="B41" s="137" t="s">
        <v>337</v>
      </c>
      <c r="C41" s="0" t="n">
        <v>2900</v>
      </c>
      <c r="D41" s="139" t="n">
        <f aca="false">C41/C40-1</f>
        <v>-0.0414807469839696</v>
      </c>
      <c r="F41" s="137" t="s">
        <v>337</v>
      </c>
      <c r="G41" s="0" t="n">
        <v>19079.6</v>
      </c>
      <c r="H41" s="139" t="n">
        <f aca="false">G41/G40-1</f>
        <v>-0.0523291188909835</v>
      </c>
      <c r="T41" s="137" t="s">
        <v>337</v>
      </c>
      <c r="U41" s="0" t="n">
        <v>551.35</v>
      </c>
      <c r="V41" s="139" t="n">
        <f aca="false">U41/U40-1</f>
        <v>-0.0274985007231806</v>
      </c>
      <c r="X41" s="137" t="s">
        <v>337</v>
      </c>
      <c r="Y41" s="0" t="n">
        <v>1392.45</v>
      </c>
      <c r="Z41" s="139" t="n">
        <f aca="false">Y41/Y40-1</f>
        <v>-0.0595493779632855</v>
      </c>
      <c r="AB41" s="137" t="s">
        <v>337</v>
      </c>
      <c r="AC41" s="0" t="n">
        <v>302.46</v>
      </c>
      <c r="AD41" s="139" t="n">
        <f aca="false">AC41/AC40-1</f>
        <v>-0.0160702667534157</v>
      </c>
    </row>
    <row r="42" customFormat="false" ht="14.25" hidden="false" customHeight="true" outlineLevel="0" collapsed="false">
      <c r="B42" s="137" t="s">
        <v>338</v>
      </c>
      <c r="C42" s="0" t="n">
        <v>3060.07</v>
      </c>
      <c r="D42" s="139" t="n">
        <f aca="false">C42/C41-1</f>
        <v>0.055196551724138</v>
      </c>
      <c r="F42" s="137" t="s">
        <v>338</v>
      </c>
      <c r="G42" s="0" t="n">
        <v>19638.3</v>
      </c>
      <c r="H42" s="139" t="n">
        <f aca="false">G42/G41-1</f>
        <v>0.0292825845405564</v>
      </c>
      <c r="T42" s="137" t="s">
        <v>338</v>
      </c>
      <c r="U42" s="0" t="n">
        <v>561.46</v>
      </c>
      <c r="V42" s="139" t="n">
        <f aca="false">U42/U41-1</f>
        <v>0.0183368096490433</v>
      </c>
      <c r="X42" s="137" t="s">
        <v>338</v>
      </c>
      <c r="Y42" s="0" t="n">
        <v>1477.78</v>
      </c>
      <c r="Z42" s="139" t="n">
        <f aca="false">Y42/Y41-1</f>
        <v>0.0612804768573378</v>
      </c>
      <c r="AB42" s="137" t="s">
        <v>338</v>
      </c>
      <c r="AC42" s="0" t="n">
        <v>304.72</v>
      </c>
      <c r="AD42" s="139" t="n">
        <f aca="false">AC42/AC41-1</f>
        <v>0.00747206242147747</v>
      </c>
    </row>
    <row r="43" customFormat="false" ht="14.25" hidden="false" customHeight="true" outlineLevel="0" collapsed="false">
      <c r="B43" s="137" t="s">
        <v>339</v>
      </c>
      <c r="C43" s="0" t="n">
        <v>3152.08</v>
      </c>
      <c r="D43" s="139" t="n">
        <f aca="false">C43/C42-1</f>
        <v>0.030067939622296</v>
      </c>
      <c r="F43" s="137" t="s">
        <v>339</v>
      </c>
      <c r="G43" s="0" t="n">
        <v>19253.8</v>
      </c>
      <c r="H43" s="139" t="n">
        <f aca="false">G43/G42-1</f>
        <v>-0.0195790878029157</v>
      </c>
      <c r="T43" s="137" t="s">
        <v>339</v>
      </c>
      <c r="U43" s="0" t="n">
        <v>591.06</v>
      </c>
      <c r="V43" s="139" t="n">
        <f aca="false">U43/U42-1</f>
        <v>0.0527196950806823</v>
      </c>
      <c r="X43" s="137" t="s">
        <v>339</v>
      </c>
      <c r="Y43" s="0" t="n">
        <v>1561.83</v>
      </c>
      <c r="Z43" s="139" t="n">
        <f aca="false">Y43/Y42-1</f>
        <v>0.0568758543220236</v>
      </c>
      <c r="AB43" s="137" t="s">
        <v>339</v>
      </c>
      <c r="AC43" s="0" t="n">
        <v>319.31</v>
      </c>
      <c r="AD43" s="139" t="n">
        <f aca="false">AC43/AC42-1</f>
        <v>0.0478800210028878</v>
      </c>
    </row>
    <row r="44" customFormat="false" ht="14.25" hidden="false" customHeight="true" outlineLevel="0" collapsed="false">
      <c r="B44" s="137" t="s">
        <v>340</v>
      </c>
      <c r="C44" s="0" t="n">
        <v>3269.46</v>
      </c>
      <c r="D44" s="139" t="n">
        <f aca="false">C44/C43-1</f>
        <v>0.0372389025659248</v>
      </c>
      <c r="F44" s="137" t="s">
        <v>340</v>
      </c>
      <c r="G44" s="0" t="n">
        <v>19753.8</v>
      </c>
      <c r="H44" s="139" t="n">
        <f aca="false">G44/G43-1</f>
        <v>0.0259688996457843</v>
      </c>
      <c r="T44" s="137" t="s">
        <v>340</v>
      </c>
      <c r="U44" s="0" t="n">
        <v>558.71</v>
      </c>
      <c r="V44" s="139" t="n">
        <f aca="false">U44/U43-1</f>
        <v>-0.0547321760904137</v>
      </c>
      <c r="X44" s="137" t="s">
        <v>340</v>
      </c>
      <c r="Y44" s="0" t="n">
        <v>1583.76</v>
      </c>
      <c r="Z44" s="139" t="n">
        <f aca="false">Y44/Y43-1</f>
        <v>0.0140412208755114</v>
      </c>
      <c r="AB44" s="137" t="s">
        <v>340</v>
      </c>
      <c r="AC44" s="0" t="n">
        <v>321.95</v>
      </c>
      <c r="AD44" s="139" t="n">
        <f aca="false">AC44/AC43-1</f>
        <v>0.00826782750305344</v>
      </c>
    </row>
    <row r="45" customFormat="false" ht="14.25" hidden="false" customHeight="true" outlineLevel="0" collapsed="false">
      <c r="B45" s="137" t="s">
        <v>341</v>
      </c>
      <c r="C45" s="0" t="n">
        <v>3254.65</v>
      </c>
      <c r="D45" s="139" t="n">
        <f aca="false">C45/C44-1</f>
        <v>-0.00452980002813919</v>
      </c>
      <c r="F45" s="137" t="s">
        <v>341</v>
      </c>
      <c r="G45" s="0" t="n">
        <v>19189.05</v>
      </c>
      <c r="H45" s="139" t="n">
        <f aca="false">G45/G44-1</f>
        <v>-0.0285894359566261</v>
      </c>
      <c r="T45" s="137" t="s">
        <v>341</v>
      </c>
      <c r="U45" s="0" t="n">
        <v>555.19</v>
      </c>
      <c r="V45" s="139" t="n">
        <f aca="false">U45/U44-1</f>
        <v>-0.00630022730933755</v>
      </c>
      <c r="X45" s="137" t="s">
        <v>341</v>
      </c>
      <c r="Y45" s="0" t="n">
        <v>1417.95</v>
      </c>
      <c r="Z45" s="139" t="n">
        <f aca="false">Y45/Y44-1</f>
        <v>-0.104693893014093</v>
      </c>
      <c r="AB45" s="137" t="s">
        <v>341</v>
      </c>
      <c r="AC45" s="0" t="n">
        <v>288.25</v>
      </c>
      <c r="AD45" s="139" t="n">
        <f aca="false">AC45/AC44-1</f>
        <v>-0.104674638919087</v>
      </c>
    </row>
    <row r="46" customFormat="false" ht="14.25" hidden="false" customHeight="true" outlineLevel="0" collapsed="false">
      <c r="B46" s="137" t="s">
        <v>342</v>
      </c>
      <c r="C46" s="0" t="n">
        <v>3070.5</v>
      </c>
      <c r="D46" s="139" t="n">
        <f aca="false">C46/C45-1</f>
        <v>-0.0565805847018881</v>
      </c>
      <c r="F46" s="137" t="s">
        <v>342</v>
      </c>
      <c r="G46" s="0" t="n">
        <v>18534.4</v>
      </c>
      <c r="H46" s="139" t="n">
        <f aca="false">G46/G45-1</f>
        <v>-0.0341158108400362</v>
      </c>
      <c r="T46" s="137" t="s">
        <v>342</v>
      </c>
      <c r="U46" s="0" t="n">
        <v>532.55</v>
      </c>
      <c r="V46" s="139" t="n">
        <f aca="false">U46/U45-1</f>
        <v>-0.0407788324717666</v>
      </c>
      <c r="X46" s="137" t="s">
        <v>342</v>
      </c>
      <c r="Y46" s="0" t="n">
        <v>1445.09</v>
      </c>
      <c r="Z46" s="139" t="n">
        <f aca="false">Y46/Y45-1</f>
        <v>0.019140308191403</v>
      </c>
      <c r="AB46" s="137" t="s">
        <v>342</v>
      </c>
      <c r="AC46" s="0" t="n">
        <v>282.11</v>
      </c>
      <c r="AD46" s="139" t="n">
        <f aca="false">AC46/AC45-1</f>
        <v>-0.0213009540329575</v>
      </c>
    </row>
    <row r="47" customFormat="false" ht="14.25" hidden="false" customHeight="true" outlineLevel="0" collapsed="false">
      <c r="B47" s="137" t="s">
        <v>343</v>
      </c>
      <c r="C47" s="0" t="n">
        <v>2791.04</v>
      </c>
      <c r="D47" s="139" t="n">
        <f aca="false">C47/C46-1</f>
        <v>-0.0910144927536232</v>
      </c>
      <c r="F47" s="137" t="s">
        <v>343</v>
      </c>
      <c r="G47" s="0" t="n">
        <v>18065</v>
      </c>
      <c r="H47" s="139" t="n">
        <f aca="false">G47/G46-1</f>
        <v>-0.025325880524862</v>
      </c>
      <c r="T47" s="137" t="s">
        <v>343</v>
      </c>
      <c r="U47" s="0" t="n">
        <v>499.72</v>
      </c>
      <c r="V47" s="139" t="n">
        <f aca="false">U47/U46-1</f>
        <v>-0.0616467937282883</v>
      </c>
      <c r="X47" s="137" t="s">
        <v>343</v>
      </c>
      <c r="Y47" s="0" t="n">
        <v>1144.71</v>
      </c>
      <c r="Z47" s="139" t="n">
        <f aca="false">Y47/Y46-1</f>
        <v>-0.207862486073532</v>
      </c>
      <c r="AB47" s="137" t="s">
        <v>343</v>
      </c>
      <c r="AC47" s="0" t="n">
        <v>241.67</v>
      </c>
      <c r="AD47" s="139" t="n">
        <f aca="false">AC47/AC46-1</f>
        <v>-0.143348339300273</v>
      </c>
    </row>
    <row r="48" customFormat="false" ht="14.25" hidden="false" customHeight="true" outlineLevel="0" collapsed="false">
      <c r="B48" s="137" t="s">
        <v>344</v>
      </c>
      <c r="C48" s="0" t="n">
        <v>2655.74</v>
      </c>
      <c r="D48" s="139" t="n">
        <f aca="false">C48/C47-1</f>
        <v>-0.0484765535427655</v>
      </c>
      <c r="F48" s="137" t="s">
        <v>344</v>
      </c>
      <c r="G48" s="0" t="n">
        <v>17359.75</v>
      </c>
      <c r="H48" s="139" t="n">
        <f aca="false">G48/G47-1</f>
        <v>-0.0390395792969831</v>
      </c>
      <c r="T48" s="137" t="s">
        <v>344</v>
      </c>
      <c r="U48" s="0" t="n">
        <v>476.26</v>
      </c>
      <c r="V48" s="139" t="n">
        <f aca="false">U48/U47-1</f>
        <v>-0.0469462899223566</v>
      </c>
      <c r="X48" s="137" t="s">
        <v>344</v>
      </c>
      <c r="Y48" s="0" t="n">
        <v>1000.62</v>
      </c>
      <c r="Z48" s="139" t="n">
        <f aca="false">Y48/Y47-1</f>
        <v>-0.12587467568205</v>
      </c>
      <c r="AB48" s="137" t="s">
        <v>344</v>
      </c>
      <c r="AC48" s="0" t="n">
        <v>245.9</v>
      </c>
      <c r="AD48" s="139" t="n">
        <f aca="false">AC48/AC47-1</f>
        <v>0.0175032068523193</v>
      </c>
    </row>
    <row r="49" customFormat="false" ht="14.25" hidden="false" customHeight="true" outlineLevel="0" collapsed="false">
      <c r="B49" s="137" t="s">
        <v>345</v>
      </c>
      <c r="C49" s="0" t="n">
        <v>2720.31</v>
      </c>
      <c r="D49" s="139" t="n">
        <f aca="false">C49/C48-1</f>
        <v>0.0243133740501706</v>
      </c>
      <c r="F49" s="137" t="s">
        <v>345</v>
      </c>
      <c r="G49" s="0" t="n">
        <v>17303.95</v>
      </c>
      <c r="H49" s="139" t="n">
        <f aca="false">G49/G48-1</f>
        <v>-0.00321433200362908</v>
      </c>
      <c r="T49" s="137" t="s">
        <v>345</v>
      </c>
      <c r="U49" s="0" t="n">
        <v>474.54</v>
      </c>
      <c r="V49" s="139" t="n">
        <f aca="false">U49/U48-1</f>
        <v>-0.00361147272498208</v>
      </c>
      <c r="X49" s="137" t="s">
        <v>345</v>
      </c>
      <c r="Y49" s="0" t="n">
        <v>990.65</v>
      </c>
      <c r="Z49" s="139" t="n">
        <f aca="false">Y49/Y48-1</f>
        <v>-0.00996382243009342</v>
      </c>
      <c r="AB49" s="137" t="s">
        <v>345</v>
      </c>
      <c r="AC49" s="0" t="n">
        <v>256.01</v>
      </c>
      <c r="AD49" s="139" t="n">
        <f aca="false">AC49/AC48-1</f>
        <v>0.0411142740951607</v>
      </c>
    </row>
    <row r="50" customFormat="false" ht="14.25" hidden="false" customHeight="true" outlineLevel="0" collapsed="false">
      <c r="B50" s="137" t="s">
        <v>346</v>
      </c>
      <c r="C50" s="0" t="n">
        <v>2621.31</v>
      </c>
      <c r="D50" s="139" t="n">
        <f aca="false">C50/C49-1</f>
        <v>-0.0363929111020436</v>
      </c>
      <c r="F50" s="137" t="s">
        <v>346</v>
      </c>
      <c r="G50" s="0" t="n">
        <v>17662.15</v>
      </c>
      <c r="H50" s="139" t="n">
        <f aca="false">G50/G49-1</f>
        <v>0.0207004759029008</v>
      </c>
      <c r="T50" s="137" t="s">
        <v>346</v>
      </c>
      <c r="U50" s="0" t="n">
        <v>449.61</v>
      </c>
      <c r="V50" s="139" t="n">
        <f aca="false">U50/U49-1</f>
        <v>-0.0525350866101909</v>
      </c>
      <c r="X50" s="137" t="s">
        <v>346</v>
      </c>
      <c r="Y50" s="0" t="n">
        <v>1168.13</v>
      </c>
      <c r="Z50" s="139" t="n">
        <f aca="false">Y50/Y49-1</f>
        <v>0.179155100186746</v>
      </c>
      <c r="AB50" s="137" t="s">
        <v>346</v>
      </c>
      <c r="AC50" s="0" t="n">
        <v>269.01</v>
      </c>
      <c r="AD50" s="139" t="n">
        <f aca="false">AC50/AC49-1</f>
        <v>0.0507792664349049</v>
      </c>
    </row>
    <row r="51" customFormat="false" ht="14.25" hidden="false" customHeight="true" outlineLevel="0" collapsed="false">
      <c r="B51" s="137" t="s">
        <v>347</v>
      </c>
      <c r="C51" s="0" t="n">
        <v>2969.48</v>
      </c>
      <c r="D51" s="139" t="n">
        <f aca="false">C51/C50-1</f>
        <v>0.132822901526336</v>
      </c>
      <c r="F51" s="137" t="s">
        <v>347</v>
      </c>
      <c r="G51" s="0" t="n">
        <v>18105.3</v>
      </c>
      <c r="H51" s="139" t="n">
        <f aca="false">G51/G50-1</f>
        <v>0.0250903768793718</v>
      </c>
      <c r="T51" s="137" t="s">
        <v>347</v>
      </c>
      <c r="U51" s="0" t="n">
        <v>475.98</v>
      </c>
      <c r="V51" s="139" t="n">
        <f aca="false">U51/U50-1</f>
        <v>0.0586508307199574</v>
      </c>
      <c r="X51" s="137" t="s">
        <v>347</v>
      </c>
      <c r="Y51" s="0" t="n">
        <v>1292.62</v>
      </c>
      <c r="Z51" s="139" t="n">
        <f aca="false">Y51/Y50-1</f>
        <v>0.10657204249527</v>
      </c>
      <c r="AB51" s="137" t="s">
        <v>347</v>
      </c>
      <c r="AC51" s="0" t="n">
        <v>279.24</v>
      </c>
      <c r="AD51" s="139" t="n">
        <f aca="false">AC51/AC50-1</f>
        <v>0.0380283260845322</v>
      </c>
    </row>
    <row r="52" customFormat="false" ht="14.25" hidden="false" customHeight="true" outlineLevel="0" collapsed="false">
      <c r="B52" s="137" t="s">
        <v>348</v>
      </c>
      <c r="C52" s="0" t="n">
        <v>3053.38</v>
      </c>
      <c r="D52" s="139" t="n">
        <f aca="false">C52/C51-1</f>
        <v>0.0282541050958418</v>
      </c>
      <c r="F52" s="137" t="s">
        <v>348</v>
      </c>
      <c r="G52" s="0" t="n">
        <v>18758.35</v>
      </c>
      <c r="H52" s="139" t="n">
        <f aca="false">G52/G51-1</f>
        <v>0.0360695486956857</v>
      </c>
      <c r="T52" s="137" t="s">
        <v>348</v>
      </c>
      <c r="U52" s="0" t="n">
        <v>509.59</v>
      </c>
      <c r="V52" s="139" t="n">
        <f aca="false">U52/U51-1</f>
        <v>0.0706122105970839</v>
      </c>
      <c r="X52" s="137" t="s">
        <v>348</v>
      </c>
      <c r="Y52" s="0" t="n">
        <v>1331.96</v>
      </c>
      <c r="Z52" s="139" t="n">
        <f aca="false">Y52/Y51-1</f>
        <v>0.0304343117080039</v>
      </c>
      <c r="AB52" s="137" t="s">
        <v>348</v>
      </c>
      <c r="AC52" s="0" t="n">
        <v>285.06</v>
      </c>
      <c r="AD52" s="139" t="n">
        <f aca="false">AC52/AC51-1</f>
        <v>0.0208422862054147</v>
      </c>
    </row>
    <row r="53" customFormat="false" ht="14.25" hidden="false" customHeight="true" outlineLevel="0" collapsed="false">
      <c r="B53" s="137" t="s">
        <v>349</v>
      </c>
      <c r="C53" s="0" t="n">
        <v>2988.52</v>
      </c>
      <c r="D53" s="139" t="n">
        <f aca="false">C53/C52-1</f>
        <v>-0.0212420334187032</v>
      </c>
      <c r="F53" s="137" t="s">
        <v>349</v>
      </c>
      <c r="G53" s="0" t="n">
        <v>18012.2</v>
      </c>
      <c r="H53" s="139" t="n">
        <f aca="false">G53/G52-1</f>
        <v>-0.0397769526637469</v>
      </c>
      <c r="T53" s="137" t="s">
        <v>349</v>
      </c>
      <c r="U53" s="0" t="n">
        <v>479.62</v>
      </c>
      <c r="V53" s="139" t="n">
        <f aca="false">U53/U52-1</f>
        <v>-0.0588119861064778</v>
      </c>
      <c r="X53" s="137" t="s">
        <v>349</v>
      </c>
      <c r="Y53" s="0" t="n">
        <v>1432.74</v>
      </c>
      <c r="Z53" s="139" t="n">
        <f aca="false">Y53/Y52-1</f>
        <v>0.0756629328208054</v>
      </c>
      <c r="AB53" s="137" t="s">
        <v>349</v>
      </c>
      <c r="AC53" s="0" t="n">
        <v>308.96</v>
      </c>
      <c r="AD53" s="139" t="n">
        <f aca="false">AC53/AC52-1</f>
        <v>0.0838419981758225</v>
      </c>
    </row>
    <row r="54" customFormat="false" ht="14.25" hidden="false" customHeight="true" outlineLevel="0" collapsed="false">
      <c r="B54" s="137" t="s">
        <v>350</v>
      </c>
      <c r="C54" s="0" t="n">
        <v>3209.63</v>
      </c>
      <c r="D54" s="139" t="n">
        <f aca="false">C54/C53-1</f>
        <v>0.0739864548338309</v>
      </c>
      <c r="F54" s="137" t="s">
        <v>350</v>
      </c>
      <c r="G54" s="0" t="n">
        <v>17094.35</v>
      </c>
      <c r="H54" s="139" t="n">
        <f aca="false">G54/G53-1</f>
        <v>-0.0509571290569726</v>
      </c>
      <c r="T54" s="137" t="s">
        <v>350</v>
      </c>
      <c r="U54" s="0" t="n">
        <v>505.17</v>
      </c>
      <c r="V54" s="139" t="n">
        <f aca="false">U54/U53-1</f>
        <v>0.0532713398106834</v>
      </c>
      <c r="X54" s="137" t="s">
        <v>350</v>
      </c>
      <c r="Y54" s="0" t="n">
        <v>1487.91</v>
      </c>
      <c r="Z54" s="139" t="n">
        <f aca="false">Y54/Y53-1</f>
        <v>0.0385066376313916</v>
      </c>
      <c r="AB54" s="137" t="s">
        <v>350</v>
      </c>
      <c r="AC54" s="0" t="n">
        <v>311.28</v>
      </c>
      <c r="AD54" s="139" t="n">
        <f aca="false">AC54/AC53-1</f>
        <v>0.00750906266183327</v>
      </c>
    </row>
    <row r="55" customFormat="false" ht="14.25" hidden="false" customHeight="true" outlineLevel="0" collapsed="false">
      <c r="B55" s="137" t="s">
        <v>351</v>
      </c>
      <c r="C55" s="0" t="n">
        <v>3256.83</v>
      </c>
      <c r="D55" s="139" t="n">
        <f aca="false">C55/C54-1</f>
        <v>0.0147057448989447</v>
      </c>
      <c r="F55" s="137" t="s">
        <v>351</v>
      </c>
      <c r="G55" s="0" t="n">
        <v>17759.3</v>
      </c>
      <c r="H55" s="139" t="n">
        <f aca="false">G55/G54-1</f>
        <v>0.0388988174455303</v>
      </c>
      <c r="T55" s="137" t="s">
        <v>351</v>
      </c>
      <c r="U55" s="0" t="n">
        <v>551.59</v>
      </c>
      <c r="V55" s="139" t="n">
        <f aca="false">U55/U54-1</f>
        <v>0.0918898588593939</v>
      </c>
      <c r="X55" s="137" t="s">
        <v>351</v>
      </c>
      <c r="Y55" s="0" t="n">
        <v>1666.38</v>
      </c>
      <c r="Z55" s="139" t="n">
        <f aca="false">Y55/Y54-1</f>
        <v>0.119946770974051</v>
      </c>
      <c r="AB55" s="137" t="s">
        <v>351</v>
      </c>
      <c r="AC55" s="0" t="n">
        <v>321.23</v>
      </c>
      <c r="AD55" s="139" t="n">
        <f aca="false">AC55/AC54-1</f>
        <v>0.0319647905422773</v>
      </c>
    </row>
    <row r="56" customFormat="false" ht="14.25" hidden="false" customHeight="true" outlineLevel="0" collapsed="false">
      <c r="B56" s="137" t="s">
        <v>352</v>
      </c>
      <c r="C56" s="0" t="n">
        <v>3201.28</v>
      </c>
      <c r="D56" s="139" t="n">
        <f aca="false">C56/C55-1</f>
        <v>-0.0170564628795484</v>
      </c>
      <c r="F56" s="137" t="s">
        <v>352</v>
      </c>
      <c r="G56" s="0" t="n">
        <v>17158.25</v>
      </c>
      <c r="H56" s="139" t="n">
        <f aca="false">G56/G55-1</f>
        <v>-0.0338442393562809</v>
      </c>
      <c r="T56" s="137" t="s">
        <v>352</v>
      </c>
      <c r="U56" s="0" t="n">
        <v>509.22</v>
      </c>
      <c r="V56" s="139" t="n">
        <f aca="false">U56/U55-1</f>
        <v>-0.0768143004768034</v>
      </c>
      <c r="X56" s="137" t="s">
        <v>352</v>
      </c>
      <c r="Y56" s="0" t="n">
        <v>1378.57</v>
      </c>
      <c r="Z56" s="139" t="n">
        <f aca="false">Y56/Y55-1</f>
        <v>-0.172715707101622</v>
      </c>
      <c r="AB56" s="137" t="s">
        <v>352</v>
      </c>
      <c r="AC56" s="0" t="n">
        <v>254.29</v>
      </c>
      <c r="AD56" s="139" t="n">
        <f aca="false">AC56/AC55-1</f>
        <v>-0.208386514335523</v>
      </c>
    </row>
    <row r="57" customFormat="false" ht="14.25" hidden="false" customHeight="true" outlineLevel="0" collapsed="false">
      <c r="B57" s="137" t="s">
        <v>353</v>
      </c>
      <c r="C57" s="0" t="n">
        <v>2588.1</v>
      </c>
      <c r="D57" s="139" t="n">
        <f aca="false">C57/C56-1</f>
        <v>-0.191542133146741</v>
      </c>
      <c r="F57" s="137" t="s">
        <v>353</v>
      </c>
      <c r="G57" s="0" t="n">
        <v>15780.25</v>
      </c>
      <c r="H57" s="139" t="n">
        <f aca="false">G57/G56-1</f>
        <v>-0.0803112205498813</v>
      </c>
      <c r="T57" s="137" t="s">
        <v>353</v>
      </c>
      <c r="U57" s="0" t="n">
        <v>463.25</v>
      </c>
      <c r="V57" s="139" t="n">
        <f aca="false">U57/U56-1</f>
        <v>-0.0902753230430855</v>
      </c>
      <c r="X57" s="137" t="s">
        <v>353</v>
      </c>
      <c r="Y57" s="0" t="n">
        <v>1382.48</v>
      </c>
      <c r="Z57" s="139" t="n">
        <f aca="false">Y57/Y56-1</f>
        <v>0.00283627236919415</v>
      </c>
      <c r="AB57" s="137" t="s">
        <v>353</v>
      </c>
      <c r="AC57" s="0" t="n">
        <v>235.54</v>
      </c>
      <c r="AD57" s="139" t="n">
        <f aca="false">AC57/AC56-1</f>
        <v>-0.0737347123363089</v>
      </c>
    </row>
    <row r="58" customFormat="false" ht="14.25" hidden="false" customHeight="true" outlineLevel="0" collapsed="false">
      <c r="B58" s="137" t="s">
        <v>354</v>
      </c>
      <c r="C58" s="0" t="n">
        <v>2730.29</v>
      </c>
      <c r="D58" s="139" t="n">
        <f aca="false">C58/C57-1</f>
        <v>0.0549399173138596</v>
      </c>
      <c r="F58" s="137" t="s">
        <v>354</v>
      </c>
      <c r="G58" s="0" t="n">
        <v>16584.55</v>
      </c>
      <c r="H58" s="139" t="n">
        <f aca="false">G58/G57-1</f>
        <v>0.0509687742589628</v>
      </c>
      <c r="T58" s="137" t="s">
        <v>354</v>
      </c>
      <c r="U58" s="0" t="n">
        <v>501.23</v>
      </c>
      <c r="V58" s="139" t="n">
        <f aca="false">U58/U57-1</f>
        <v>0.0819859686994064</v>
      </c>
      <c r="X58" s="137" t="s">
        <v>354</v>
      </c>
      <c r="Y58" s="0" t="n">
        <v>1585.25</v>
      </c>
      <c r="Z58" s="139" t="n">
        <f aca="false">Y58/Y57-1</f>
        <v>0.146671199583357</v>
      </c>
      <c r="AB58" s="137" t="s">
        <v>354</v>
      </c>
      <c r="AC58" s="0" t="n">
        <v>253.79</v>
      </c>
      <c r="AD58" s="139" t="n">
        <f aca="false">AC58/AC57-1</f>
        <v>0.0774815317992699</v>
      </c>
    </row>
    <row r="59" customFormat="false" ht="14.25" hidden="false" customHeight="true" outlineLevel="0" collapsed="false">
      <c r="B59" s="137" t="s">
        <v>355</v>
      </c>
      <c r="C59" s="0" t="n">
        <v>3090.76</v>
      </c>
      <c r="D59" s="139" t="n">
        <f aca="false">C59/C58-1</f>
        <v>0.132026268271869</v>
      </c>
      <c r="F59" s="137" t="s">
        <v>355</v>
      </c>
      <c r="G59" s="0" t="n">
        <v>17102.55</v>
      </c>
      <c r="H59" s="139" t="n">
        <f aca="false">G59/G58-1</f>
        <v>0.0312338893729405</v>
      </c>
      <c r="T59" s="137" t="s">
        <v>355</v>
      </c>
      <c r="U59" s="0" t="n">
        <v>585.23</v>
      </c>
      <c r="V59" s="139" t="n">
        <f aca="false">U59/U58-1</f>
        <v>0.167587734173932</v>
      </c>
      <c r="X59" s="137" t="s">
        <v>355</v>
      </c>
      <c r="Y59" s="0" t="n">
        <v>1541.32</v>
      </c>
      <c r="Z59" s="139" t="n">
        <f aca="false">Y59/Y58-1</f>
        <v>-0.0277117173947328</v>
      </c>
      <c r="AB59" s="137" t="s">
        <v>355</v>
      </c>
      <c r="AC59" s="0" t="n">
        <v>297.77</v>
      </c>
      <c r="AD59" s="139" t="n">
        <f aca="false">AC59/AC58-1</f>
        <v>0.173292879940108</v>
      </c>
    </row>
    <row r="60" customFormat="false" ht="14.25" hidden="false" customHeight="true" outlineLevel="0" collapsed="false">
      <c r="B60" s="137" t="s">
        <v>356</v>
      </c>
      <c r="C60" s="0" t="n">
        <v>2940.62</v>
      </c>
      <c r="D60" s="139" t="n">
        <f aca="false">C60/C59-1</f>
        <v>-0.0485770490105995</v>
      </c>
      <c r="F60" s="137" t="s">
        <v>356</v>
      </c>
      <c r="G60" s="0" t="n">
        <v>17464.75</v>
      </c>
      <c r="H60" s="139" t="n">
        <f aca="false">G60/G59-1</f>
        <v>0.0211781284077521</v>
      </c>
      <c r="T60" s="137" t="s">
        <v>356</v>
      </c>
      <c r="U60" s="0" t="n">
        <v>570.36</v>
      </c>
      <c r="V60" s="139" t="n">
        <f aca="false">U60/U59-1</f>
        <v>-0.0254088136288297</v>
      </c>
      <c r="X60" s="137" t="s">
        <v>356</v>
      </c>
      <c r="Y60" s="0" t="n">
        <v>1590.7</v>
      </c>
      <c r="Z60" s="139" t="n">
        <f aca="false">Y60/Y59-1</f>
        <v>0.0320374743726157</v>
      </c>
      <c r="AB60" s="137" t="s">
        <v>356</v>
      </c>
      <c r="AC60" s="0" t="n">
        <v>296.63</v>
      </c>
      <c r="AD60" s="139" t="n">
        <f aca="false">AC60/AC59-1</f>
        <v>-0.00382845820599786</v>
      </c>
    </row>
    <row r="61" customFormat="false" ht="14.25" hidden="false" customHeight="true" outlineLevel="0" collapsed="false">
      <c r="B61" s="137" t="s">
        <v>357</v>
      </c>
      <c r="C61" s="0" t="n">
        <v>3031.03</v>
      </c>
      <c r="D61" s="139" t="n">
        <f aca="false">C61/C60-1</f>
        <v>0.0307452169950555</v>
      </c>
      <c r="F61" s="137" t="s">
        <v>357</v>
      </c>
      <c r="G61" s="0" t="n">
        <v>16793.9</v>
      </c>
      <c r="H61" s="139" t="n">
        <f aca="false">G61/G60-1</f>
        <v>-0.0384116577677893</v>
      </c>
      <c r="T61" s="137" t="s">
        <v>357</v>
      </c>
      <c r="U61" s="0" t="n">
        <v>562.82</v>
      </c>
      <c r="V61" s="139" t="n">
        <f aca="false">U61/U60-1</f>
        <v>-0.0132197208780419</v>
      </c>
      <c r="X61" s="137" t="s">
        <v>357</v>
      </c>
      <c r="Y61" s="0" t="n">
        <v>1773.76</v>
      </c>
      <c r="Z61" s="139" t="n">
        <f aca="false">Y61/Y60-1</f>
        <v>0.115081410699692</v>
      </c>
      <c r="AB61" s="137" t="s">
        <v>357</v>
      </c>
      <c r="AC61" s="0" t="n">
        <v>288.32</v>
      </c>
      <c r="AD61" s="139" t="n">
        <f aca="false">AC61/AC60-1</f>
        <v>-0.0280146984458753</v>
      </c>
    </row>
    <row r="62" customFormat="false" ht="14.25" hidden="false" customHeight="true" outlineLevel="0" collapsed="false">
      <c r="B62" s="137" t="s">
        <v>358</v>
      </c>
      <c r="C62" s="0" t="n">
        <v>3009.65</v>
      </c>
      <c r="D62" s="139" t="n">
        <f aca="false">C62/C61-1</f>
        <v>-0.00705370781549508</v>
      </c>
      <c r="F62" s="137" t="s">
        <v>358</v>
      </c>
      <c r="G62" s="0" t="n">
        <v>17339.85</v>
      </c>
      <c r="H62" s="139" t="n">
        <f aca="false">G62/G61-1</f>
        <v>0.0325088276100249</v>
      </c>
      <c r="T62" s="137" t="s">
        <v>358</v>
      </c>
      <c r="U62" s="0" t="n">
        <v>588.86</v>
      </c>
      <c r="V62" s="139" t="n">
        <f aca="false">U62/U61-1</f>
        <v>0.0462670125439748</v>
      </c>
      <c r="X62" s="137" t="s">
        <v>358</v>
      </c>
      <c r="Y62" s="0" t="n">
        <v>2003.52</v>
      </c>
      <c r="Z62" s="139" t="n">
        <f aca="false">Y62/Y61-1</f>
        <v>0.129532744001443</v>
      </c>
      <c r="AB62" s="137" t="s">
        <v>358</v>
      </c>
      <c r="AC62" s="0" t="n">
        <v>359.57</v>
      </c>
      <c r="AD62" s="139" t="n">
        <f aca="false">AC62/AC61-1</f>
        <v>0.247121254162042</v>
      </c>
    </row>
    <row r="63" customFormat="false" ht="14.25" hidden="false" customHeight="true" outlineLevel="0" collapsed="false">
      <c r="B63" s="137" t="s">
        <v>359</v>
      </c>
      <c r="C63" s="0" t="n">
        <v>3229.91</v>
      </c>
      <c r="D63" s="139" t="n">
        <f aca="false">C63/C62-1</f>
        <v>0.0731845895702157</v>
      </c>
      <c r="F63" s="137" t="s">
        <v>359</v>
      </c>
      <c r="G63" s="0" t="n">
        <v>17354.05</v>
      </c>
      <c r="H63" s="139" t="n">
        <f aca="false">G63/G62-1</f>
        <v>0.000818922885722717</v>
      </c>
      <c r="T63" s="137" t="s">
        <v>359</v>
      </c>
      <c r="U63" s="0" t="n">
        <v>629.09</v>
      </c>
      <c r="V63" s="139" t="n">
        <f aca="false">U63/U62-1</f>
        <v>0.0683184458105492</v>
      </c>
      <c r="X63" s="137" t="s">
        <v>359</v>
      </c>
      <c r="Y63" s="0" t="n">
        <v>2110.65</v>
      </c>
      <c r="Z63" s="139" t="n">
        <f aca="false">Y63/Y62-1</f>
        <v>0.0534708912314328</v>
      </c>
      <c r="AB63" s="137" t="s">
        <v>359</v>
      </c>
      <c r="AC63" s="0" t="n">
        <v>374.92</v>
      </c>
      <c r="AD63" s="139" t="n">
        <f aca="false">AC63/AC62-1</f>
        <v>0.0426898795783854</v>
      </c>
    </row>
    <row r="64" customFormat="false" ht="14.25" hidden="false" customHeight="true" outlineLevel="0" collapsed="false">
      <c r="B64" s="137" t="s">
        <v>360</v>
      </c>
      <c r="C64" s="0" t="n">
        <v>3001.44</v>
      </c>
      <c r="D64" s="139" t="n">
        <f aca="false">C64/C63-1</f>
        <v>-0.0707357170942843</v>
      </c>
      <c r="F64" s="137" t="s">
        <v>360</v>
      </c>
      <c r="G64" s="0" t="n">
        <v>16983.2</v>
      </c>
      <c r="H64" s="139" t="n">
        <f aca="false">G64/G63-1</f>
        <v>-0.0213696514646436</v>
      </c>
      <c r="T64" s="137" t="s">
        <v>360</v>
      </c>
      <c r="U64" s="0" t="n">
        <v>612.78</v>
      </c>
      <c r="V64" s="139" t="n">
        <f aca="false">U64/U63-1</f>
        <v>-0.0259263380438411</v>
      </c>
      <c r="X64" s="137" t="s">
        <v>360</v>
      </c>
      <c r="Y64" s="0" t="n">
        <v>2201.43</v>
      </c>
      <c r="Z64" s="139" t="n">
        <f aca="false">Y64/Y63-1</f>
        <v>0.0430104470186907</v>
      </c>
      <c r="AB64" s="137" t="s">
        <v>360</v>
      </c>
      <c r="AC64" s="0" t="n">
        <v>378.12</v>
      </c>
      <c r="AD64" s="139" t="n">
        <f aca="false">AC64/AC63-1</f>
        <v>0.00853515416622219</v>
      </c>
    </row>
    <row r="65" customFormat="false" ht="14.25" hidden="false" customHeight="true" outlineLevel="0" collapsed="false">
      <c r="B65" s="137" t="s">
        <v>361</v>
      </c>
      <c r="C65" s="0" t="n">
        <v>2959.86</v>
      </c>
      <c r="D65" s="139" t="n">
        <f aca="false">C65/C64-1</f>
        <v>-0.0138533503918119</v>
      </c>
      <c r="F65" s="137" t="s">
        <v>361</v>
      </c>
      <c r="G65" s="0" t="n">
        <v>17671.65</v>
      </c>
      <c r="H65" s="139" t="n">
        <f aca="false">G65/G64-1</f>
        <v>0.0405371190352819</v>
      </c>
      <c r="T65" s="137" t="s">
        <v>361</v>
      </c>
      <c r="U65" s="0" t="n">
        <v>604.43</v>
      </c>
      <c r="V65" s="139" t="n">
        <f aca="false">U65/U64-1</f>
        <v>-0.0136264238388982</v>
      </c>
      <c r="X65" s="137" t="s">
        <v>361</v>
      </c>
      <c r="Y65" s="0" t="n">
        <v>2367.8</v>
      </c>
      <c r="Z65" s="139" t="n">
        <f aca="false">Y65/Y64-1</f>
        <v>0.0755736044298481</v>
      </c>
      <c r="AB65" s="137" t="s">
        <v>361</v>
      </c>
      <c r="AC65" s="0" t="n">
        <v>344.9</v>
      </c>
      <c r="AD65" s="139" t="n">
        <f aca="false">AC65/AC64-1</f>
        <v>-0.0878557071829049</v>
      </c>
    </row>
    <row r="66" customFormat="false" ht="14.25" hidden="false" customHeight="true" outlineLevel="0" collapsed="false">
      <c r="B66" s="137" t="s">
        <v>362</v>
      </c>
      <c r="C66" s="0" t="n">
        <v>3094.21</v>
      </c>
      <c r="D66" s="139" t="n">
        <f aca="false">C66/C65-1</f>
        <v>0.0453906603690715</v>
      </c>
      <c r="F66" s="137" t="s">
        <v>362</v>
      </c>
      <c r="G66" s="0" t="n">
        <v>17618.15</v>
      </c>
      <c r="H66" s="139" t="n">
        <f aca="false">G66/G65-1</f>
        <v>-0.00302744791799292</v>
      </c>
      <c r="T66" s="137" t="s">
        <v>362</v>
      </c>
      <c r="U66" s="0" t="n">
        <v>659.45</v>
      </c>
      <c r="V66" s="139" t="n">
        <f aca="false">U66/U65-1</f>
        <v>0.0910279105934519</v>
      </c>
      <c r="X66" s="137" t="s">
        <v>362</v>
      </c>
      <c r="Y66" s="0" t="n">
        <v>2536.1</v>
      </c>
      <c r="Z66" s="139" t="n">
        <f aca="false">Y66/Y65-1</f>
        <v>0.0710786383985134</v>
      </c>
      <c r="AB66" s="137" t="s">
        <v>362</v>
      </c>
      <c r="AC66" s="0" t="n">
        <v>400.71</v>
      </c>
      <c r="AD66" s="139" t="n">
        <f aca="false">AC66/AC65-1</f>
        <v>0.161815018846042</v>
      </c>
    </row>
    <row r="67" customFormat="false" ht="14.25" hidden="false" customHeight="true" outlineLevel="0" collapsed="false">
      <c r="B67" s="146" t="s">
        <v>363</v>
      </c>
      <c r="C67" s="147" t="n">
        <v>3052.92</v>
      </c>
      <c r="D67" s="148" t="n">
        <f aca="false">C67/C66-1</f>
        <v>-0.0133442785072765</v>
      </c>
      <c r="F67" s="146" t="s">
        <v>363</v>
      </c>
      <c r="G67" s="147" t="n">
        <v>17132.2</v>
      </c>
      <c r="H67" s="148" t="n">
        <f aca="false">G67/G66-1</f>
        <v>-0.027582351154917</v>
      </c>
      <c r="T67" s="146" t="s">
        <v>363</v>
      </c>
      <c r="U67" s="147" t="n">
        <v>669.07</v>
      </c>
      <c r="V67" s="148" t="n">
        <f aca="false">U67/U66-1</f>
        <v>0.0145879141709</v>
      </c>
      <c r="X67" s="146" t="s">
        <v>363</v>
      </c>
      <c r="Y67" s="147" t="n">
        <v>2561.55</v>
      </c>
      <c r="Z67" s="148" t="n">
        <f aca="false">Y67/Y66-1</f>
        <v>0.0100350932534208</v>
      </c>
      <c r="AB67" s="146" t="s">
        <v>363</v>
      </c>
      <c r="AC67" s="147" t="n">
        <v>392.04</v>
      </c>
      <c r="AD67" s="148" t="n">
        <f aca="false">AC67/AC66-1</f>
        <v>-0.0216365950437971</v>
      </c>
    </row>
    <row r="68" customFormat="false" ht="14.25" hidden="false" customHeight="true" outlineLevel="0" collapsed="false"/>
    <row r="69" customFormat="false" ht="14.25" hidden="false" customHeight="true" outlineLevel="0" collapsed="false"/>
    <row r="70" customFormat="false" ht="15" hidden="false" customHeight="true" outlineLevel="0" collapsed="false"/>
    <row r="71" customFormat="false" ht="1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4.25" hidden="false" customHeight="true" outlineLevel="0" collapsed="false"/>
    <row r="81" customFormat="false" ht="14.2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4.25" hidden="false" customHeight="true" outlineLevel="0" collapsed="false"/>
    <row r="86" customFormat="false" ht="15" hidden="false" customHeight="true" outlineLevel="0" collapsed="false"/>
    <row r="87" customFormat="false" ht="1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sheetData>
  <mergeCells count="6">
    <mergeCell ref="B2:H2"/>
    <mergeCell ref="B4:D4"/>
    <mergeCell ref="F4:H4"/>
    <mergeCell ref="AB4:AD4"/>
    <mergeCell ref="J6:L6"/>
    <mergeCell ref="J18:K18"/>
  </mergeCells>
  <printOptions headings="false" gridLines="false" gridLinesSet="true" horizontalCentered="false" verticalCentered="false"/>
  <pageMargins left="1.09027777777778" right="0.7" top="0.75" bottom="0.75" header="0.511811023622047" footer="0.511811023622047"/>
  <pageSetup paperSize="1" scale="41"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19" man="true" max="65535" min="0"/>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G6" activeCellId="0" sqref="G6"/>
    </sheetView>
  </sheetViews>
  <sheetFormatPr defaultColWidth="8.66796875" defaultRowHeight="14.25" zeroHeight="false" outlineLevelRow="0" outlineLevelCol="0"/>
  <cols>
    <col collapsed="false" customWidth="true" hidden="false" outlineLevel="0" max="1" min="1" style="0" width="1.88"/>
    <col collapsed="false" customWidth="true" hidden="false" outlineLevel="0" max="9" min="9" style="0" width="9.67"/>
  </cols>
  <sheetData>
    <row r="2" customFormat="false" ht="18" hidden="false" customHeight="true" outlineLevel="0" collapsed="false">
      <c r="B2" s="11" t="s">
        <v>14</v>
      </c>
      <c r="C2" s="149"/>
      <c r="D2" s="149"/>
      <c r="E2" s="149"/>
      <c r="F2" s="149"/>
      <c r="G2" s="149"/>
    </row>
    <row r="4" customFormat="false" ht="14.25" hidden="false" customHeight="true" outlineLevel="0" collapsed="false">
      <c r="B4" s="135" t="s">
        <v>364</v>
      </c>
      <c r="C4" s="134" t="s">
        <v>365</v>
      </c>
      <c r="E4" s="150" t="s">
        <v>366</v>
      </c>
      <c r="F4" s="151"/>
      <c r="G4" s="152" t="n">
        <f aca="false">AVERAGE(C5:C30)</f>
        <v>0.151492307692308</v>
      </c>
    </row>
    <row r="5" customFormat="false" ht="14.25" hidden="false" customHeight="true" outlineLevel="0" collapsed="false">
      <c r="B5" s="153" t="n">
        <v>2000</v>
      </c>
      <c r="C5" s="154" t="n">
        <v>-0.1465</v>
      </c>
      <c r="E5" s="137" t="s">
        <v>367</v>
      </c>
      <c r="G5" s="155" t="s">
        <v>368</v>
      </c>
    </row>
    <row r="6" customFormat="false" ht="14.25" hidden="false" customHeight="true" outlineLevel="0" collapsed="false">
      <c r="B6" s="153" t="n">
        <v>2001</v>
      </c>
      <c r="C6" s="154" t="n">
        <v>-0.1618</v>
      </c>
      <c r="E6" s="156" t="s">
        <v>369</v>
      </c>
      <c r="F6" s="157"/>
      <c r="G6" s="158" t="n">
        <f aca="false">SUM(G4:G5)</f>
        <v>0.151492307692308</v>
      </c>
      <c r="H6" s="76"/>
    </row>
    <row r="7" customFormat="false" ht="14.25" hidden="false" customHeight="true" outlineLevel="0" collapsed="false">
      <c r="B7" s="153" t="n">
        <v>2002</v>
      </c>
      <c r="C7" s="154" t="n">
        <v>0.0325</v>
      </c>
      <c r="H7" s="76"/>
    </row>
    <row r="8" customFormat="false" ht="14.25" hidden="false" customHeight="true" outlineLevel="0" collapsed="false">
      <c r="B8" s="153" t="n">
        <v>2003</v>
      </c>
      <c r="C8" s="154" t="n">
        <v>0.719</v>
      </c>
      <c r="E8" s="150" t="s">
        <v>370</v>
      </c>
      <c r="F8" s="151"/>
      <c r="G8" s="152" t="n">
        <f aca="false">EXP(SUMPRODUCT(LN(1+C5:C30))/COUNT(C5:C30))-1</f>
        <v>0.116503341434881</v>
      </c>
    </row>
    <row r="9" customFormat="false" ht="14.25" hidden="false" customHeight="true" outlineLevel="0" collapsed="false">
      <c r="B9" s="153" t="n">
        <v>2004</v>
      </c>
      <c r="C9" s="154" t="n">
        <v>0.1068</v>
      </c>
      <c r="E9" s="137" t="s">
        <v>367</v>
      </c>
      <c r="G9" s="155" t="s">
        <v>368</v>
      </c>
    </row>
    <row r="10" customFormat="false" ht="14.25" hidden="false" customHeight="true" outlineLevel="0" collapsed="false">
      <c r="B10" s="153" t="n">
        <v>2005</v>
      </c>
      <c r="C10" s="154" t="n">
        <v>0.3634</v>
      </c>
      <c r="E10" s="156" t="s">
        <v>369</v>
      </c>
      <c r="F10" s="157"/>
      <c r="G10" s="158" t="n">
        <f aca="false">SUM(G8:G9)</f>
        <v>0.116503341434881</v>
      </c>
    </row>
    <row r="11" customFormat="false" ht="14.25" hidden="false" customHeight="true" outlineLevel="0" collapsed="false">
      <c r="B11" s="153" t="n">
        <v>2006</v>
      </c>
      <c r="C11" s="154" t="n">
        <v>0.3983</v>
      </c>
    </row>
    <row r="12" customFormat="false" ht="14.25" hidden="false" customHeight="true" outlineLevel="0" collapsed="false">
      <c r="B12" s="153" t="n">
        <v>2007</v>
      </c>
      <c r="C12" s="154" t="n">
        <v>0.5477</v>
      </c>
    </row>
    <row r="13" customFormat="false" ht="14.25" hidden="false" customHeight="true" outlineLevel="0" collapsed="false">
      <c r="B13" s="153" t="n">
        <v>2008</v>
      </c>
      <c r="C13" s="154" t="n">
        <v>-0.5179</v>
      </c>
    </row>
    <row r="14" customFormat="false" ht="14.25" hidden="false" customHeight="true" outlineLevel="0" collapsed="false">
      <c r="B14" s="153" t="n">
        <v>2009</v>
      </c>
      <c r="C14" s="154" t="n">
        <v>0.7576</v>
      </c>
    </row>
    <row r="15" customFormat="false" ht="14.25" hidden="false" customHeight="true" outlineLevel="0" collapsed="false">
      <c r="B15" s="153" t="n">
        <v>2010</v>
      </c>
      <c r="C15" s="154" t="n">
        <v>0.1795</v>
      </c>
    </row>
    <row r="16" customFormat="false" ht="14.25" hidden="false" customHeight="true" outlineLevel="0" collapsed="false">
      <c r="B16" s="153" t="n">
        <v>2011</v>
      </c>
      <c r="C16" s="154" t="n">
        <v>-0.2462</v>
      </c>
    </row>
    <row r="17" customFormat="false" ht="14.25" hidden="false" customHeight="true" outlineLevel="0" collapsed="false">
      <c r="B17" s="153" t="n">
        <v>2012</v>
      </c>
      <c r="C17" s="154" t="n">
        <v>0.277</v>
      </c>
    </row>
    <row r="18" customFormat="false" ht="14.25" hidden="false" customHeight="true" outlineLevel="0" collapsed="false">
      <c r="B18" s="153" t="n">
        <v>2013</v>
      </c>
      <c r="C18" s="154" t="n">
        <v>0.0676</v>
      </c>
    </row>
    <row r="19" customFormat="false" ht="14.25" hidden="false" customHeight="true" outlineLevel="0" collapsed="false">
      <c r="B19" s="153" t="n">
        <v>2014</v>
      </c>
      <c r="C19" s="154" t="n">
        <v>0.3139</v>
      </c>
    </row>
    <row r="20" customFormat="false" ht="14.25" hidden="false" customHeight="true" outlineLevel="0" collapsed="false">
      <c r="B20" s="153" t="n">
        <v>2015</v>
      </c>
      <c r="C20" s="154" t="n">
        <v>-0.0406</v>
      </c>
    </row>
    <row r="21" customFormat="false" ht="14.25" hidden="false" customHeight="true" outlineLevel="0" collapsed="false">
      <c r="B21" s="153" t="n">
        <v>2016</v>
      </c>
      <c r="C21" s="154" t="n">
        <v>0.0301</v>
      </c>
    </row>
    <row r="22" customFormat="false" ht="14.25" hidden="false" customHeight="true" outlineLevel="0" collapsed="false">
      <c r="B22" s="153" t="n">
        <v>2017</v>
      </c>
      <c r="C22" s="154" t="n">
        <v>0.2865</v>
      </c>
    </row>
    <row r="23" customFormat="false" ht="14.25" hidden="false" customHeight="true" outlineLevel="0" collapsed="false">
      <c r="B23" s="153" t="n">
        <v>2018</v>
      </c>
      <c r="C23" s="154" t="n">
        <v>0.0315</v>
      </c>
    </row>
    <row r="24" customFormat="false" ht="14.25" hidden="false" customHeight="true" outlineLevel="0" collapsed="false">
      <c r="B24" s="153" t="n">
        <v>2019</v>
      </c>
      <c r="C24" s="154" t="n">
        <v>0.1202</v>
      </c>
    </row>
    <row r="25" customFormat="false" ht="14.25" hidden="false" customHeight="true" outlineLevel="0" collapsed="false">
      <c r="B25" s="153" t="n">
        <v>2020</v>
      </c>
      <c r="C25" s="154" t="n">
        <v>0.149</v>
      </c>
    </row>
    <row r="26" customFormat="false" ht="14.25" hidden="false" customHeight="true" outlineLevel="0" collapsed="false">
      <c r="B26" s="153" t="n">
        <v>2021</v>
      </c>
      <c r="C26" s="154" t="n">
        <v>0.2412</v>
      </c>
    </row>
    <row r="27" customFormat="false" ht="14.25" hidden="false" customHeight="true" outlineLevel="0" collapsed="false">
      <c r="B27" s="153" t="n">
        <v>2022</v>
      </c>
      <c r="C27" s="154" t="n">
        <v>0.0432</v>
      </c>
    </row>
    <row r="28" customFormat="false" ht="14.25" hidden="false" customHeight="true" outlineLevel="0" collapsed="false">
      <c r="B28" s="153" t="n">
        <v>2023</v>
      </c>
      <c r="C28" s="154" t="n">
        <v>0.1942</v>
      </c>
    </row>
    <row r="29" customFormat="false" ht="14.25" hidden="false" customHeight="true" outlineLevel="0" collapsed="false">
      <c r="B29" s="153" t="n">
        <v>2024</v>
      </c>
      <c r="C29" s="154" t="n">
        <v>0.0875</v>
      </c>
    </row>
    <row r="30" customFormat="false" ht="14.25" hidden="false" customHeight="true" outlineLevel="0" collapsed="false">
      <c r="B30" s="159" t="n">
        <v>2025</v>
      </c>
      <c r="C30" s="160" t="n">
        <v>0.1051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4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J10" activeCellId="0" sqref="J10"/>
    </sheetView>
  </sheetViews>
  <sheetFormatPr defaultColWidth="8.66796875" defaultRowHeight="14.25" zeroHeight="false" outlineLevelRow="0" outlineLevelCol="0"/>
  <cols>
    <col collapsed="false" customWidth="true" hidden="false" outlineLevel="0" max="1" min="1" style="0" width="1.88"/>
    <col collapsed="false" customWidth="true" hidden="false" outlineLevel="0" max="2" min="2" style="0" width="28.22"/>
    <col collapsed="false" customWidth="true" hidden="false" outlineLevel="0" max="4" min="4" style="0" width="11.33"/>
    <col collapsed="false" customWidth="true" hidden="false" outlineLevel="0" max="5" min="5" style="0" width="10.66"/>
    <col collapsed="false" customWidth="true" hidden="false" outlineLevel="0" max="6" min="6" style="0" width="11.44"/>
    <col collapsed="false" customWidth="true" hidden="false" outlineLevel="0" max="11" min="7" style="0" width="10.66"/>
  </cols>
  <sheetData>
    <row r="1" customFormat="false" ht="14.25" hidden="false" customHeight="false" outlineLevel="0" collapsed="false">
      <c r="B1" s="68"/>
      <c r="C1" s="68"/>
      <c r="D1" s="68"/>
      <c r="E1" s="68"/>
      <c r="F1" s="68"/>
      <c r="G1" s="68"/>
      <c r="H1" s="68"/>
      <c r="I1" s="68"/>
      <c r="J1" s="68"/>
      <c r="K1" s="68"/>
    </row>
    <row r="2" customFormat="false" ht="45.75" hidden="false" customHeight="true" outlineLevel="0" collapsed="false">
      <c r="B2" s="69" t="str">
        <f aca="false">'Data Sheet'!B1</f>
        <v>ASIAN PAINTS LTD</v>
      </c>
      <c r="J2" s="69"/>
    </row>
    <row r="3" customFormat="false" ht="14.25" hidden="false" customHeight="false" outlineLevel="0" collapsed="false">
      <c r="B3" s="0" t="s">
        <v>150</v>
      </c>
    </row>
    <row r="4" customFormat="false" ht="21" hidden="false" customHeight="true" outlineLevel="0" collapsed="false">
      <c r="B4" s="70" t="str">
        <f aca="false">CONCATENATE("INR "&amp;'Data Sheet'!B8)</f>
        <v>INR 2645.2</v>
      </c>
      <c r="J4" s="70"/>
    </row>
    <row r="5" customFormat="false" ht="14.25" hidden="false" customHeight="false" outlineLevel="0" collapsed="false">
      <c r="B5" s="0" t="s">
        <v>151</v>
      </c>
    </row>
    <row r="6" customFormat="false" ht="15" hidden="false" customHeight="true" outlineLevel="0" collapsed="false">
      <c r="B6" s="71"/>
      <c r="C6" s="71"/>
      <c r="D6" s="71"/>
      <c r="E6" s="71"/>
      <c r="F6" s="71"/>
      <c r="G6" s="71"/>
      <c r="H6" s="71"/>
      <c r="I6" s="71"/>
      <c r="J6" s="71"/>
      <c r="K6" s="71"/>
    </row>
    <row r="7" customFormat="false" ht="4.5" hidden="false" customHeight="true" outlineLevel="0" collapsed="false"/>
    <row r="8" customFormat="false" ht="18" hidden="false" customHeight="true" outlineLevel="0" collapsed="false">
      <c r="B8" s="11" t="s">
        <v>371</v>
      </c>
      <c r="C8" s="149"/>
      <c r="D8" s="149"/>
      <c r="E8" s="149"/>
      <c r="F8" s="149"/>
      <c r="G8" s="149"/>
      <c r="H8" s="149"/>
      <c r="I8" s="149"/>
      <c r="J8" s="149"/>
      <c r="K8" s="149"/>
    </row>
    <row r="10" customFormat="false" ht="14.25" hidden="false" customHeight="true" outlineLevel="0" collapsed="false">
      <c r="B10" s="0" t="s">
        <v>372</v>
      </c>
    </row>
    <row r="12" customFormat="false" ht="14.25" hidden="false" customHeight="true" outlineLevel="0" collapsed="false">
      <c r="B12" s="0" t="s">
        <v>373</v>
      </c>
    </row>
    <row r="13" customFormat="false" ht="14.25" hidden="false" customHeight="true" outlineLevel="0" collapsed="false">
      <c r="B13" s="151"/>
      <c r="C13" s="151"/>
      <c r="D13" s="161"/>
      <c r="E13" s="161"/>
      <c r="F13" s="161"/>
      <c r="G13" s="161"/>
      <c r="H13" s="161" t="s">
        <v>374</v>
      </c>
      <c r="I13" s="161" t="s">
        <v>374</v>
      </c>
      <c r="J13" s="161" t="s">
        <v>375</v>
      </c>
      <c r="K13" s="161" t="s">
        <v>376</v>
      </c>
    </row>
    <row r="14" customFormat="false" ht="15.75" hidden="false" customHeight="true" outlineLevel="0" collapsed="false">
      <c r="B14" s="147" t="s">
        <v>377</v>
      </c>
      <c r="C14" s="147"/>
      <c r="D14" s="162" t="s">
        <v>378</v>
      </c>
      <c r="E14" s="162" t="s">
        <v>379</v>
      </c>
      <c r="F14" s="162" t="s">
        <v>380</v>
      </c>
      <c r="G14" s="162" t="s">
        <v>381</v>
      </c>
      <c r="H14" s="162" t="s">
        <v>217</v>
      </c>
      <c r="I14" s="162" t="s">
        <v>382</v>
      </c>
      <c r="J14" s="162" t="s">
        <v>383</v>
      </c>
      <c r="K14" s="162" t="s">
        <v>384</v>
      </c>
    </row>
    <row r="16" customFormat="false" ht="14.25" hidden="false" customHeight="true" outlineLevel="0" collapsed="false">
      <c r="B16" s="163" t="s">
        <v>385</v>
      </c>
      <c r="D16" s="164" t="s">
        <v>386</v>
      </c>
      <c r="E16" s="165" t="n">
        <v>3928.93</v>
      </c>
      <c r="F16" s="165" t="n">
        <v>262791.1</v>
      </c>
      <c r="G16" s="166" t="n">
        <v>0.26</v>
      </c>
      <c r="H16" s="109" t="n">
        <f aca="false">E16/F16</f>
        <v>0.0149507726859852</v>
      </c>
      <c r="I16" s="109" t="n">
        <f aca="false">E16/(F16+E16)</f>
        <v>0.0147305397348673</v>
      </c>
      <c r="J16" s="127" t="n">
        <f aca="false">'Beta-Regression'!O6</f>
        <v>1.08812402513907</v>
      </c>
      <c r="K16" s="167" t="n">
        <f aca="false">J16/(1+(1-G16)*H16)</f>
        <v>1.07621721868111</v>
      </c>
    </row>
    <row r="17" customFormat="false" ht="14.25" hidden="false" customHeight="true" outlineLevel="0" collapsed="false">
      <c r="B17" s="163" t="s">
        <v>387</v>
      </c>
      <c r="D17" s="164" t="s">
        <v>386</v>
      </c>
      <c r="E17" s="165" t="n">
        <v>635.13</v>
      </c>
      <c r="F17" s="165" t="n">
        <v>60457.55</v>
      </c>
      <c r="G17" s="166" t="n">
        <v>0.26</v>
      </c>
      <c r="H17" s="109" t="n">
        <f aca="false">E17/F17</f>
        <v>0.0105053876645679</v>
      </c>
      <c r="I17" s="109" t="n">
        <f aca="false">E17/(F17+E17)</f>
        <v>0.010396171849066</v>
      </c>
      <c r="J17" s="127" t="n">
        <f aca="false">'Beta-Regression'!U3</f>
        <v>1.13081760187732</v>
      </c>
      <c r="K17" s="167" t="n">
        <f aca="false">J17/(1+(1-G17)*H17)</f>
        <v>1.12209445432053</v>
      </c>
    </row>
    <row r="18" customFormat="false" ht="14.25" hidden="false" customHeight="true" outlineLevel="0" collapsed="false">
      <c r="B18" s="163" t="s">
        <v>388</v>
      </c>
      <c r="D18" s="164" t="s">
        <v>386</v>
      </c>
      <c r="E18" s="165" t="n">
        <v>302.73</v>
      </c>
      <c r="F18" s="165" t="n">
        <v>17156.01</v>
      </c>
      <c r="G18" s="166" t="n">
        <v>0.26</v>
      </c>
      <c r="H18" s="109" t="n">
        <f aca="false">E18/F18</f>
        <v>0.0176457113279836</v>
      </c>
      <c r="I18" s="109" t="n">
        <f aca="false">E18/(F18+E18)</f>
        <v>0.0173397392939009</v>
      </c>
      <c r="J18" s="127" t="n">
        <f aca="false">'Beta-Regression'!AC3</f>
        <v>1.15115672223774</v>
      </c>
      <c r="K18" s="167" t="n">
        <f aca="false">J18/(1+(1-G18)*H18)</f>
        <v>1.1363188677473</v>
      </c>
    </row>
    <row r="19" customFormat="false" ht="14.25" hidden="false" customHeight="true" outlineLevel="0" collapsed="false">
      <c r="B19" s="163" t="s">
        <v>389</v>
      </c>
      <c r="D19" s="164" t="s">
        <v>386</v>
      </c>
      <c r="E19" s="165" t="n">
        <v>18.37</v>
      </c>
      <c r="F19" s="165" t="n">
        <v>5080.81</v>
      </c>
      <c r="G19" s="166" t="n">
        <v>0.26</v>
      </c>
      <c r="H19" s="109" t="n">
        <f aca="false">E19/F19</f>
        <v>0.00361556523467715</v>
      </c>
      <c r="I19" s="109" t="n">
        <f aca="false">E19/(F19+E19)</f>
        <v>0.00360254001623791</v>
      </c>
      <c r="J19" s="127" t="n">
        <f aca="false">'Beta-Regression'!Y3</f>
        <v>1.34189241381316</v>
      </c>
      <c r="K19" s="167" t="n">
        <f aca="false">J19/(1+(1-G19)*H19)</f>
        <v>1.33831173630682</v>
      </c>
    </row>
    <row r="21" customFormat="false" ht="14.25" hidden="false" customHeight="true" outlineLevel="0" collapsed="false">
      <c r="D21" s="168" t="s">
        <v>390</v>
      </c>
      <c r="E21" s="169" t="n">
        <f aca="false">AVERAGE(E16:E19)</f>
        <v>1221.29</v>
      </c>
      <c r="F21" s="169" t="n">
        <f aca="false">AVERAGE(F16:F19)</f>
        <v>86371.3675</v>
      </c>
      <c r="G21" s="170" t="n">
        <f aca="false">AVERAGE(G16:G19)</f>
        <v>0.26</v>
      </c>
      <c r="H21" s="170" t="n">
        <f aca="false">AVERAGE(H16:H19)</f>
        <v>0.0116793592283035</v>
      </c>
      <c r="I21" s="170" t="n">
        <f aca="false">AVERAGE(I16:I19)</f>
        <v>0.011517247723518</v>
      </c>
      <c r="J21" s="171" t="n">
        <f aca="false">AVERAGE(J16:J19)</f>
        <v>1.17799769076682</v>
      </c>
      <c r="K21" s="171" t="n">
        <f aca="false">AVERAGE(K16:K19)</f>
        <v>1.16823556926394</v>
      </c>
    </row>
    <row r="22" customFormat="false" ht="14.25" hidden="false" customHeight="true" outlineLevel="0" collapsed="false">
      <c r="D22" s="86" t="s">
        <v>154</v>
      </c>
      <c r="E22" s="172" t="n">
        <f aca="false">MEDIAN(E16:E19)</f>
        <v>468.93</v>
      </c>
      <c r="F22" s="172" t="n">
        <f aca="false">MEDIAN(F16:F19)</f>
        <v>38806.78</v>
      </c>
      <c r="G22" s="173" t="n">
        <f aca="false">MEDIAN(G16:G19)</f>
        <v>0.26</v>
      </c>
      <c r="H22" s="173" t="n">
        <f aca="false">MEDIAN(H16:H19)</f>
        <v>0.0127280801752766</v>
      </c>
      <c r="I22" s="173" t="n">
        <f aca="false">MEDIAN(I16:I19)</f>
        <v>0.0125633557919667</v>
      </c>
      <c r="J22" s="174" t="n">
        <f aca="false">MEDIAN(J16:J19)</f>
        <v>1.14098716205753</v>
      </c>
      <c r="K22" s="174" t="n">
        <f aca="false">MEDIAN(K16:K19)</f>
        <v>1.12920666103392</v>
      </c>
      <c r="V22" s="175"/>
    </row>
    <row r="25" customFormat="false" ht="14.25" hidden="false" customHeight="true" outlineLevel="0" collapsed="false">
      <c r="B25" s="86" t="s">
        <v>391</v>
      </c>
      <c r="C25" s="147"/>
      <c r="D25" s="147"/>
      <c r="E25" s="147"/>
      <c r="F25" s="147"/>
      <c r="H25" s="86" t="s">
        <v>212</v>
      </c>
      <c r="I25" s="147"/>
      <c r="J25" s="147"/>
      <c r="K25" s="147"/>
    </row>
    <row r="27" customFormat="false" ht="14.25" hidden="false" customHeight="true" outlineLevel="0" collapsed="false">
      <c r="B27" s="0" t="s">
        <v>213</v>
      </c>
      <c r="F27" s="96" t="n">
        <v>0.0497</v>
      </c>
      <c r="H27" s="38" t="s">
        <v>392</v>
      </c>
      <c r="K27" s="96" t="n">
        <v>0.0672</v>
      </c>
    </row>
    <row r="28" customFormat="false" ht="14.25" hidden="false" customHeight="true" outlineLevel="0" collapsed="false">
      <c r="B28" s="0" t="s">
        <v>214</v>
      </c>
      <c r="F28" s="28" t="n">
        <f aca="false">G21</f>
        <v>0.26</v>
      </c>
      <c r="H28" s="38" t="s">
        <v>211</v>
      </c>
      <c r="K28" s="176" t="n">
        <f aca="false">Rm!G10-WACC!K27</f>
        <v>0.0493033414348806</v>
      </c>
    </row>
    <row r="29" customFormat="false" ht="14.25" hidden="false" customHeight="true" outlineLevel="0" collapsed="false">
      <c r="B29" s="74" t="s">
        <v>393</v>
      </c>
      <c r="C29" s="74"/>
      <c r="D29" s="74"/>
      <c r="E29" s="74"/>
      <c r="F29" s="177" t="n">
        <f aca="false">F27*(1-F28)</f>
        <v>0.036778</v>
      </c>
      <c r="H29" s="38" t="s">
        <v>394</v>
      </c>
      <c r="K29" s="127" t="n">
        <f aca="false">K37</f>
        <v>1.13896608460945</v>
      </c>
    </row>
    <row r="30" customFormat="false" ht="14.25" hidden="false" customHeight="true" outlineLevel="0" collapsed="false">
      <c r="H30" s="74" t="s">
        <v>212</v>
      </c>
      <c r="I30" s="74"/>
      <c r="J30" s="74"/>
      <c r="K30" s="177" t="n">
        <f aca="false">K27+(K28*K29)</f>
        <v>0.123354833752249</v>
      </c>
    </row>
    <row r="32" customFormat="false" ht="14.25" hidden="false" customHeight="true" outlineLevel="0" collapsed="false">
      <c r="B32" s="86" t="s">
        <v>395</v>
      </c>
      <c r="C32" s="147"/>
      <c r="D32" s="147"/>
      <c r="E32" s="147"/>
      <c r="F32" s="147"/>
      <c r="H32" s="86" t="s">
        <v>396</v>
      </c>
      <c r="I32" s="147"/>
      <c r="J32" s="147"/>
      <c r="K32" s="147"/>
    </row>
    <row r="33" customFormat="false" ht="14.25" hidden="false" customHeight="true" outlineLevel="0" collapsed="false">
      <c r="B33" s="65"/>
    </row>
    <row r="34" customFormat="false" ht="14.25" hidden="false" customHeight="true" outlineLevel="0" collapsed="false">
      <c r="E34" s="162" t="s">
        <v>397</v>
      </c>
      <c r="F34" s="162" t="s">
        <v>398</v>
      </c>
      <c r="H34" s="38" t="s">
        <v>399</v>
      </c>
      <c r="K34" s="127" t="n">
        <f aca="false">K22</f>
        <v>1.12920666103392</v>
      </c>
    </row>
    <row r="35" customFormat="false" ht="14.25" hidden="false" customHeight="true" outlineLevel="0" collapsed="false">
      <c r="B35" s="0" t="s">
        <v>379</v>
      </c>
      <c r="D35" s="165" t="n">
        <v>3928.93</v>
      </c>
      <c r="E35" s="28" t="n">
        <f aca="false">D35/D37</f>
        <v>0.0147305397348673</v>
      </c>
      <c r="F35" s="28" t="n">
        <f aca="false">I21</f>
        <v>0.011517247723518</v>
      </c>
      <c r="H35" s="38" t="s">
        <v>400</v>
      </c>
      <c r="K35" s="28" t="n">
        <f aca="false">H21</f>
        <v>0.0116793592283035</v>
      </c>
    </row>
    <row r="36" customFormat="false" ht="14.25" hidden="false" customHeight="true" outlineLevel="0" collapsed="false">
      <c r="B36" s="0" t="s">
        <v>61</v>
      </c>
      <c r="D36" s="165" t="n">
        <v>262791.1</v>
      </c>
      <c r="E36" s="28" t="n">
        <f aca="false">E37-E35</f>
        <v>0.985269460265133</v>
      </c>
      <c r="F36" s="28" t="n">
        <f aca="false">F37-F35</f>
        <v>0.988482752276482</v>
      </c>
      <c r="H36" s="38" t="s">
        <v>214</v>
      </c>
      <c r="K36" s="28" t="n">
        <f aca="false">G21</f>
        <v>0.26</v>
      </c>
    </row>
    <row r="37" customFormat="false" ht="14.25" hidden="false" customHeight="true" outlineLevel="0" collapsed="false">
      <c r="B37" s="74" t="s">
        <v>401</v>
      </c>
      <c r="C37" s="74"/>
      <c r="D37" s="178" t="n">
        <f aca="false">SUM(D35:D36)</f>
        <v>266720.03</v>
      </c>
      <c r="E37" s="177" t="n">
        <f aca="false">D37/D37</f>
        <v>1</v>
      </c>
      <c r="F37" s="177" t="n">
        <f aca="false">E37/E37</f>
        <v>1</v>
      </c>
      <c r="H37" s="74" t="s">
        <v>396</v>
      </c>
      <c r="I37" s="74"/>
      <c r="J37" s="74"/>
      <c r="K37" s="179" t="n">
        <f aca="false">K34*(1+(1-K36)*K35)</f>
        <v>1.13896608460945</v>
      </c>
    </row>
    <row r="39" customFormat="false" ht="14.25" hidden="false" customHeight="true" outlineLevel="0" collapsed="false">
      <c r="B39" s="0" t="s">
        <v>402</v>
      </c>
      <c r="E39" s="109" t="n">
        <f aca="false">E35</f>
        <v>0.0147305397348673</v>
      </c>
      <c r="F39" s="109" t="n">
        <f aca="false">K35</f>
        <v>0.0116793592283035</v>
      </c>
      <c r="H39" s="86" t="s">
        <v>403</v>
      </c>
      <c r="I39" s="147"/>
      <c r="J39" s="147"/>
      <c r="K39" s="147"/>
    </row>
    <row r="41" customFormat="false" ht="14.25" hidden="false" customHeight="true" outlineLevel="0" collapsed="false">
      <c r="H41" s="0" t="s">
        <v>212</v>
      </c>
      <c r="K41" s="28" t="n">
        <f aca="false">K30</f>
        <v>0.123354833752249</v>
      </c>
    </row>
    <row r="42" customFormat="false" ht="14.25" hidden="false" customHeight="true" outlineLevel="0" collapsed="false">
      <c r="B42" s="180" t="s">
        <v>404</v>
      </c>
      <c r="H42" s="38" t="s">
        <v>405</v>
      </c>
      <c r="K42" s="28" t="n">
        <f aca="false">F36</f>
        <v>0.988482752276482</v>
      </c>
    </row>
    <row r="43" customFormat="false" ht="14.25" hidden="false" customHeight="true" outlineLevel="0" collapsed="false">
      <c r="B43" s="180" t="s">
        <v>406</v>
      </c>
    </row>
    <row r="44" customFormat="false" ht="14.25" hidden="false" customHeight="true" outlineLevel="0" collapsed="false">
      <c r="B44" s="180" t="s">
        <v>407</v>
      </c>
      <c r="H44" s="38" t="s">
        <v>391</v>
      </c>
      <c r="K44" s="28" t="n">
        <f aca="false">F29</f>
        <v>0.036778</v>
      </c>
    </row>
    <row r="45" customFormat="false" ht="14.25" hidden="false" customHeight="true" outlineLevel="0" collapsed="false">
      <c r="B45" s="180" t="s">
        <v>408</v>
      </c>
      <c r="H45" s="38" t="s">
        <v>409</v>
      </c>
      <c r="K45" s="28" t="n">
        <f aca="false">F35</f>
        <v>0.011517247723518</v>
      </c>
    </row>
    <row r="46" customFormat="false" ht="14.25" hidden="false" customHeight="true" outlineLevel="0" collapsed="false">
      <c r="H46" s="181" t="s">
        <v>218</v>
      </c>
      <c r="I46" s="182"/>
      <c r="J46" s="182"/>
      <c r="K46" s="183" t="n">
        <f aca="false">(K41*K42)+(K44*K45)</f>
        <v>0.122357706910806</v>
      </c>
    </row>
  </sheetData>
  <printOptions headings="false" gridLines="false" gridLinesSet="true" horizontalCentered="false" verticalCentered="false"/>
  <pageMargins left="0.7" right="0.7" top="0.75" bottom="0.75" header="0.511811023622047" footer="0.511811023622047"/>
  <pageSetup paperSize="9" scale="69"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60"/>
  <sheetViews>
    <sheetView showFormulas="false" showGridLines="false" showRowColHeaders="true" showZeros="true" rightToLeft="false" tabSelected="false" showOutlineSymbols="true" defaultGridColor="true" view="normal" topLeftCell="A27" colorId="64" zoomScale="100" zoomScaleNormal="100" zoomScalePageLayoutView="90" workbookViewId="0">
      <selection pane="topLeft" activeCell="G48" activeCellId="0" sqref="G48"/>
    </sheetView>
  </sheetViews>
  <sheetFormatPr defaultColWidth="8.6796875" defaultRowHeight="14.25" zeroHeight="false" outlineLevelRow="0" outlineLevelCol="0"/>
  <cols>
    <col collapsed="false" customWidth="true" hidden="false" outlineLevel="0" max="1" min="1" style="0" width="1.88"/>
    <col collapsed="false" customWidth="true" hidden="false" outlineLevel="0" max="2" min="2" style="0" width="21.56"/>
    <col collapsed="false" customWidth="true" hidden="false" outlineLevel="0" max="9" min="3" style="0" width="14.44"/>
  </cols>
  <sheetData>
    <row r="2" customFormat="false" ht="18" hidden="false" customHeight="true" outlineLevel="0" collapsed="false">
      <c r="B2" s="184" t="s">
        <v>410</v>
      </c>
      <c r="C2" s="149"/>
      <c r="D2" s="149"/>
      <c r="E2" s="185" t="n">
        <f aca="false">RawFS!J2</f>
        <v>44621</v>
      </c>
      <c r="F2" s="185" t="n">
        <f aca="false">RawFS!K2</f>
        <v>44986</v>
      </c>
      <c r="G2" s="185" t="n">
        <f aca="false">RawFS!L2</f>
        <v>45352</v>
      </c>
      <c r="H2" s="185" t="n">
        <f aca="false">RawFS!M2</f>
        <v>45717</v>
      </c>
      <c r="I2" s="185" t="n">
        <f aca="false">RawFS!N2</f>
        <v>46082</v>
      </c>
    </row>
    <row r="4" customFormat="false" ht="14.25" hidden="false" customHeight="false" outlineLevel="0" collapsed="false">
      <c r="A4" s="0" t="s">
        <v>74</v>
      </c>
      <c r="B4" s="65" t="s">
        <v>411</v>
      </c>
    </row>
    <row r="5" customFormat="false" ht="14.25" hidden="false" customHeight="false" outlineLevel="0" collapsed="false">
      <c r="B5" s="186" t="str">
        <f aca="false">RawFS!B35</f>
        <v>Inventories</v>
      </c>
      <c r="C5" s="186"/>
      <c r="D5" s="186"/>
      <c r="E5" s="187" t="n">
        <f aca="false">RawFS!J35</f>
        <v>6153</v>
      </c>
      <c r="F5" s="187" t="n">
        <f aca="false">RawFS!K35</f>
        <v>6211</v>
      </c>
      <c r="G5" s="187" t="n">
        <f aca="false">RawFS!L35</f>
        <v>5923</v>
      </c>
      <c r="H5" s="187" t="n">
        <f aca="false">RawFS!M35</f>
        <v>6719</v>
      </c>
      <c r="I5" s="187" t="n">
        <f aca="false">RawFS!N35</f>
        <v>5744</v>
      </c>
    </row>
    <row r="6" customFormat="false" ht="14.25" hidden="false" customHeight="false" outlineLevel="0" collapsed="false">
      <c r="B6" s="186" t="str">
        <f aca="false">RawFS!B36</f>
        <v>Trade receivables</v>
      </c>
      <c r="C6" s="186"/>
      <c r="D6" s="186"/>
      <c r="E6" s="187" t="n">
        <f aca="false">RawFS!J36</f>
        <v>3871</v>
      </c>
      <c r="F6" s="187" t="n">
        <f aca="false">RawFS!K36</f>
        <v>4637</v>
      </c>
      <c r="G6" s="187" t="n">
        <f aca="false">RawFS!L36</f>
        <v>4889</v>
      </c>
      <c r="H6" s="187" t="n">
        <f aca="false">RawFS!M36</f>
        <v>4314</v>
      </c>
      <c r="I6" s="187" t="n">
        <f aca="false">RawFS!N36</f>
        <v>4462</v>
      </c>
    </row>
    <row r="7" customFormat="false" ht="14.25" hidden="false" customHeight="false" outlineLevel="0" collapsed="false">
      <c r="B7" s="186" t="str">
        <f aca="false">RawFS!B38</f>
        <v>Loans n Advances</v>
      </c>
      <c r="C7" s="186"/>
      <c r="D7" s="186"/>
      <c r="E7" s="187" t="n">
        <f aca="false">RawFS!J38</f>
        <v>8</v>
      </c>
      <c r="F7" s="187" t="n">
        <f aca="false">RawFS!K38</f>
        <v>12</v>
      </c>
      <c r="G7" s="187" t="n">
        <f aca="false">RawFS!L38</f>
        <v>17</v>
      </c>
      <c r="H7" s="187" t="n">
        <f aca="false">RawFS!M38</f>
        <v>22</v>
      </c>
      <c r="I7" s="187" t="n">
        <f aca="false">RawFS!N38</f>
        <v>27</v>
      </c>
    </row>
    <row r="8" customFormat="false" ht="15" hidden="false" customHeight="true" outlineLevel="0" collapsed="false">
      <c r="B8" s="0" t="str">
        <f aca="false">RawFS!B39</f>
        <v>Other asset items</v>
      </c>
      <c r="E8" s="54" t="n">
        <f aca="false">RawFS!J39</f>
        <v>2869</v>
      </c>
      <c r="F8" s="54" t="n">
        <f aca="false">RawFS!K39</f>
        <v>3024</v>
      </c>
      <c r="G8" s="54" t="n">
        <f aca="false">RawFS!L39</f>
        <v>3555</v>
      </c>
      <c r="H8" s="54" t="n">
        <f aca="false">RawFS!M39</f>
        <v>3319</v>
      </c>
      <c r="I8" s="54" t="n">
        <f aca="false">RawFS!N39</f>
        <v>4662</v>
      </c>
    </row>
    <row r="9" customFormat="false" ht="15" hidden="false" customHeight="true" outlineLevel="0" collapsed="false">
      <c r="B9" s="188" t="s">
        <v>114</v>
      </c>
      <c r="C9" s="189"/>
      <c r="D9" s="189"/>
      <c r="E9" s="190" t="n">
        <f aca="false">SUM(E5:E8)</f>
        <v>12901</v>
      </c>
      <c r="F9" s="190" t="n">
        <f aca="false">SUM(F5:F8)</f>
        <v>13884</v>
      </c>
      <c r="G9" s="190" t="n">
        <f aca="false">SUM(G5:G8)</f>
        <v>14384</v>
      </c>
      <c r="H9" s="190" t="n">
        <f aca="false">SUM(H5:H8)</f>
        <v>14374</v>
      </c>
      <c r="I9" s="190" t="n">
        <f aca="false">SUM(I5:I8)</f>
        <v>14895</v>
      </c>
    </row>
    <row r="10" customFormat="false" ht="15" hidden="false" customHeight="true" outlineLevel="0" collapsed="false">
      <c r="E10" s="54"/>
      <c r="F10" s="54"/>
      <c r="G10" s="54"/>
      <c r="H10" s="54"/>
      <c r="I10" s="54"/>
    </row>
    <row r="11" customFormat="false" ht="14.25" hidden="false" customHeight="false" outlineLevel="0" collapsed="false">
      <c r="B11" s="65" t="s">
        <v>412</v>
      </c>
      <c r="E11" s="54"/>
      <c r="F11" s="54"/>
      <c r="G11" s="54"/>
      <c r="H11" s="54"/>
      <c r="I11" s="54"/>
    </row>
    <row r="12" customFormat="false" ht="14.25" hidden="false" customHeight="false" outlineLevel="0" collapsed="false">
      <c r="B12" s="186" t="str">
        <f aca="false">RawFS!B13</f>
        <v>Trade Payables</v>
      </c>
      <c r="C12" s="186"/>
      <c r="D12" s="186"/>
      <c r="E12" s="187" t="n">
        <f aca="false">RawFS!J13</f>
        <v>4164</v>
      </c>
      <c r="F12" s="187" t="n">
        <f aca="false">RawFS!K13</f>
        <v>3635</v>
      </c>
      <c r="G12" s="187" t="n">
        <f aca="false">RawFS!L13</f>
        <v>3831</v>
      </c>
      <c r="H12" s="187" t="n">
        <f aca="false">RawFS!M13</f>
        <v>3848</v>
      </c>
      <c r="I12" s="187" t="n">
        <f aca="false">RawFS!N13</f>
        <v>3863</v>
      </c>
    </row>
    <row r="13" customFormat="false" ht="14.25" hidden="false" customHeight="false" outlineLevel="0" collapsed="false">
      <c r="B13" s="186" t="str">
        <f aca="false">RawFS!B14</f>
        <v>Advance from Customers</v>
      </c>
      <c r="C13" s="186"/>
      <c r="D13" s="186"/>
      <c r="E13" s="187" t="n">
        <f aca="false">RawFS!J14</f>
        <v>76</v>
      </c>
      <c r="F13" s="187" t="n">
        <f aca="false">RawFS!K14</f>
        <v>108</v>
      </c>
      <c r="G13" s="187" t="n">
        <f aca="false">RawFS!L14</f>
        <v>154</v>
      </c>
      <c r="H13" s="187" t="n">
        <f aca="false">RawFS!M14</f>
        <v>174</v>
      </c>
      <c r="I13" s="187" t="n">
        <f aca="false">RawFS!N14</f>
        <v>107</v>
      </c>
    </row>
    <row r="14" customFormat="false" ht="14.25" hidden="false" customHeight="false" outlineLevel="0" collapsed="false">
      <c r="B14" s="186" t="str">
        <f aca="false">RawFS!B15</f>
        <v>Other liability items</v>
      </c>
      <c r="C14" s="186"/>
      <c r="D14" s="186"/>
      <c r="E14" s="187" t="n">
        <f aca="false">RawFS!J15</f>
        <v>2932</v>
      </c>
      <c r="F14" s="187" t="n">
        <f aca="false">RawFS!K15</f>
        <v>3657</v>
      </c>
      <c r="G14" s="187" t="n">
        <f aca="false">RawFS!L15</f>
        <v>4017</v>
      </c>
      <c r="H14" s="187" t="n">
        <f aca="false">RawFS!M15</f>
        <v>3984</v>
      </c>
      <c r="I14" s="187" t="n">
        <f aca="false">RawFS!N15</f>
        <v>4604</v>
      </c>
    </row>
    <row r="15" customFormat="false" ht="15" hidden="false" customHeight="true" outlineLevel="0" collapsed="false">
      <c r="B15" s="191" t="s">
        <v>413</v>
      </c>
      <c r="C15" s="192"/>
      <c r="D15" s="192"/>
      <c r="E15" s="193" t="n">
        <f aca="false">SUM(E12:E14)</f>
        <v>7172</v>
      </c>
      <c r="F15" s="193" t="n">
        <f aca="false">SUM(F12:F14)</f>
        <v>7400</v>
      </c>
      <c r="G15" s="193" t="n">
        <f aca="false">SUM(G12:G14)</f>
        <v>8002</v>
      </c>
      <c r="H15" s="193" t="n">
        <f aca="false">SUM(H12:H14)</f>
        <v>8006</v>
      </c>
      <c r="I15" s="193" t="n">
        <f aca="false">SUM(I12:I14)</f>
        <v>8574</v>
      </c>
    </row>
    <row r="16" customFormat="false" ht="15" hidden="false" customHeight="true" outlineLevel="0" collapsed="false">
      <c r="E16" s="54"/>
      <c r="F16" s="54"/>
      <c r="G16" s="54"/>
      <c r="H16" s="54"/>
      <c r="I16" s="54"/>
    </row>
    <row r="17" customFormat="false" ht="15" hidden="false" customHeight="true" outlineLevel="0" collapsed="false">
      <c r="B17" s="188" t="s">
        <v>414</v>
      </c>
      <c r="C17" s="189"/>
      <c r="D17" s="189"/>
      <c r="E17" s="190" t="n">
        <f aca="false">E9-E15</f>
        <v>5729</v>
      </c>
      <c r="F17" s="190" t="n">
        <f aca="false">F9-F15</f>
        <v>6484</v>
      </c>
      <c r="G17" s="190" t="n">
        <f aca="false">G9-G15</f>
        <v>6382</v>
      </c>
      <c r="H17" s="190" t="n">
        <f aca="false">H9-H15</f>
        <v>6368</v>
      </c>
      <c r="I17" s="190" t="n">
        <f aca="false">I9-I15</f>
        <v>6321</v>
      </c>
    </row>
    <row r="18" customFormat="false" ht="15" hidden="false" customHeight="true" outlineLevel="0" collapsed="false">
      <c r="E18" s="54"/>
      <c r="F18" s="54"/>
      <c r="G18" s="54"/>
      <c r="H18" s="54"/>
      <c r="I18" s="54"/>
    </row>
    <row r="19" customFormat="false" ht="14.25" hidden="false" customHeight="false" outlineLevel="0" collapsed="false">
      <c r="B19" s="65" t="s">
        <v>415</v>
      </c>
      <c r="E19" s="54"/>
      <c r="F19" s="54"/>
      <c r="G19" s="54"/>
      <c r="H19" s="54"/>
      <c r="I19" s="54"/>
    </row>
    <row r="20" customFormat="false" ht="14.25" hidden="false" customHeight="false" outlineLevel="0" collapsed="false">
      <c r="B20" s="186" t="str">
        <f aca="false">RawFS!B19</f>
        <v>Land</v>
      </c>
      <c r="C20" s="186"/>
      <c r="D20" s="186"/>
      <c r="E20" s="187" t="n">
        <f aca="false">RawFS!J19</f>
        <v>644</v>
      </c>
      <c r="F20" s="187" t="n">
        <f aca="false">RawFS!K19</f>
        <v>804</v>
      </c>
      <c r="G20" s="187" t="n">
        <f aca="false">RawFS!L19</f>
        <v>1126</v>
      </c>
      <c r="H20" s="187" t="n">
        <f aca="false">RawFS!M19</f>
        <v>1035</v>
      </c>
      <c r="I20" s="187" t="n">
        <f aca="false">RawFS!N19</f>
        <v>1204</v>
      </c>
    </row>
    <row r="21" customFormat="false" ht="14.25" hidden="false" customHeight="false" outlineLevel="0" collapsed="false">
      <c r="B21" s="186" t="str">
        <f aca="false">RawFS!B20</f>
        <v>Building</v>
      </c>
      <c r="C21" s="186"/>
      <c r="D21" s="186"/>
      <c r="E21" s="187" t="n">
        <f aca="false">RawFS!J20</f>
        <v>2325</v>
      </c>
      <c r="F21" s="187" t="n">
        <f aca="false">RawFS!K20</f>
        <v>2883</v>
      </c>
      <c r="G21" s="187" t="n">
        <f aca="false">RawFS!L20</f>
        <v>3390</v>
      </c>
      <c r="H21" s="187" t="n">
        <f aca="false">RawFS!M20</f>
        <v>3771</v>
      </c>
      <c r="I21" s="187" t="n">
        <f aca="false">RawFS!N20</f>
        <v>4124</v>
      </c>
    </row>
    <row r="22" customFormat="false" ht="14.25" hidden="false" customHeight="false" outlineLevel="0" collapsed="false">
      <c r="B22" s="186" t="str">
        <f aca="false">RawFS!B21</f>
        <v>Plant Machinery</v>
      </c>
      <c r="C22" s="186"/>
      <c r="D22" s="186"/>
      <c r="E22" s="187" t="n">
        <f aca="false">RawFS!J21</f>
        <v>4531</v>
      </c>
      <c r="F22" s="187" t="n">
        <f aca="false">RawFS!K21</f>
        <v>4825</v>
      </c>
      <c r="G22" s="187" t="n">
        <f aca="false">RawFS!L21</f>
        <v>5422</v>
      </c>
      <c r="H22" s="187" t="n">
        <f aca="false">RawFS!M21</f>
        <v>7576</v>
      </c>
      <c r="I22" s="187" t="n">
        <f aca="false">RawFS!N21</f>
        <v>8210</v>
      </c>
    </row>
    <row r="23" customFormat="false" ht="14.25" hidden="false" customHeight="false" outlineLevel="0" collapsed="false">
      <c r="B23" s="186" t="str">
        <f aca="false">RawFS!B22</f>
        <v>Equipments</v>
      </c>
      <c r="C23" s="186"/>
      <c r="D23" s="186"/>
      <c r="E23" s="187" t="n">
        <f aca="false">RawFS!J22</f>
        <v>253</v>
      </c>
      <c r="F23" s="187" t="n">
        <f aca="false">RawFS!K22</f>
        <v>270</v>
      </c>
      <c r="G23" s="187" t="n">
        <f aca="false">RawFS!L22</f>
        <v>298</v>
      </c>
      <c r="H23" s="187" t="n">
        <f aca="false">RawFS!M22</f>
        <v>325</v>
      </c>
      <c r="I23" s="187" t="n">
        <f aca="false">RawFS!N22</f>
        <v>351</v>
      </c>
    </row>
    <row r="24" customFormat="false" ht="14.25" hidden="false" customHeight="false" outlineLevel="0" collapsed="false">
      <c r="B24" s="186" t="str">
        <f aca="false">RawFS!B23</f>
        <v>Furniture n fittings</v>
      </c>
      <c r="C24" s="186"/>
      <c r="D24" s="186"/>
      <c r="E24" s="187" t="n">
        <f aca="false">RawFS!J23</f>
        <v>113</v>
      </c>
      <c r="F24" s="187" t="n">
        <f aca="false">RawFS!K23</f>
        <v>146</v>
      </c>
      <c r="G24" s="187" t="n">
        <f aca="false">RawFS!L23</f>
        <v>175</v>
      </c>
      <c r="H24" s="187" t="n">
        <f aca="false">RawFS!M23</f>
        <v>203</v>
      </c>
      <c r="I24" s="187" t="n">
        <f aca="false">RawFS!N23</f>
        <v>216</v>
      </c>
    </row>
    <row r="25" customFormat="false" ht="14.25" hidden="false" customHeight="false" outlineLevel="0" collapsed="false">
      <c r="B25" s="186" t="str">
        <f aca="false">RawFS!B24</f>
        <v>Vehicles</v>
      </c>
      <c r="C25" s="186"/>
      <c r="D25" s="186"/>
      <c r="E25" s="187" t="n">
        <f aca="false">RawFS!J24</f>
        <v>32</v>
      </c>
      <c r="F25" s="187" t="n">
        <f aca="false">RawFS!K24</f>
        <v>36</v>
      </c>
      <c r="G25" s="187" t="n">
        <f aca="false">RawFS!L24</f>
        <v>40</v>
      </c>
      <c r="H25" s="187" t="n">
        <f aca="false">RawFS!M24</f>
        <v>34</v>
      </c>
      <c r="I25" s="187" t="n">
        <f aca="false">RawFS!N24</f>
        <v>45</v>
      </c>
    </row>
    <row r="26" customFormat="false" ht="14.25" hidden="false" customHeight="false" outlineLevel="0" collapsed="false">
      <c r="B26" s="186" t="str">
        <f aca="false">RawFS!B25</f>
        <v>Intangible Assets</v>
      </c>
      <c r="C26" s="186"/>
      <c r="D26" s="186"/>
      <c r="E26" s="187" t="n">
        <f aca="false">RawFS!J25</f>
        <v>345</v>
      </c>
      <c r="F26" s="187" t="n">
        <f aca="false">RawFS!K25</f>
        <v>422</v>
      </c>
      <c r="G26" s="187" t="n">
        <f aca="false">RawFS!L25</f>
        <v>850</v>
      </c>
      <c r="H26" s="187" t="n">
        <f aca="false">RawFS!M25</f>
        <v>827</v>
      </c>
      <c r="I26" s="187" t="n">
        <f aca="false">RawFS!N25</f>
        <v>833</v>
      </c>
    </row>
    <row r="27" customFormat="false" ht="15" hidden="false" customHeight="true" outlineLevel="0" collapsed="false">
      <c r="B27" s="0" t="str">
        <f aca="false">RawFS!B26</f>
        <v>Other fixed assets</v>
      </c>
      <c r="E27" s="54" t="n">
        <f aca="false">RawFS!J26</f>
        <v>294</v>
      </c>
      <c r="F27" s="54" t="n">
        <f aca="false">RawFS!K26</f>
        <v>289</v>
      </c>
      <c r="G27" s="54" t="n">
        <f aca="false">RawFS!L26</f>
        <v>321</v>
      </c>
      <c r="H27" s="54" t="n">
        <f aca="false">RawFS!M26</f>
        <v>328</v>
      </c>
      <c r="I27" s="54" t="n">
        <f aca="false">RawFS!N26</f>
        <v>335</v>
      </c>
    </row>
    <row r="28" customFormat="false" ht="14.25" hidden="false" customHeight="false" outlineLevel="0" collapsed="false">
      <c r="B28" s="194" t="str">
        <f aca="false">RawFS!B27</f>
        <v>Gross Block</v>
      </c>
      <c r="C28" s="194"/>
      <c r="D28" s="194"/>
      <c r="E28" s="195" t="n">
        <f aca="false">RawFS!J27</f>
        <v>8538</v>
      </c>
      <c r="F28" s="195" t="n">
        <f aca="false">RawFS!K27</f>
        <v>9676</v>
      </c>
      <c r="G28" s="123" t="n">
        <f aca="false">RawFS!L27</f>
        <v>11622</v>
      </c>
      <c r="H28" s="123" t="n">
        <f aca="false">RawFS!M27</f>
        <v>14099</v>
      </c>
      <c r="I28" s="123" t="n">
        <f aca="false">RawFS!N27</f>
        <v>15316</v>
      </c>
    </row>
    <row r="29" customFormat="false" ht="15" hidden="false" customHeight="true" outlineLevel="0" collapsed="false">
      <c r="B29" s="0" t="str">
        <f aca="false">RawFS!B28</f>
        <v>Accumulated Depreciation</v>
      </c>
      <c r="E29" s="54" t="n">
        <f aca="false">RawFS!J28</f>
        <v>3019</v>
      </c>
      <c r="F29" s="54" t="n">
        <f aca="false">RawFS!K28</f>
        <v>3905</v>
      </c>
      <c r="G29" s="54" t="n">
        <f aca="false">RawFS!L28</f>
        <v>4475</v>
      </c>
      <c r="H29" s="54" t="n">
        <f aca="false">RawFS!M28</f>
        <v>4879</v>
      </c>
      <c r="I29" s="54" t="n">
        <f aca="false">RawFS!N28</f>
        <v>5676</v>
      </c>
    </row>
    <row r="30" customFormat="false" ht="15" hidden="false" customHeight="true" outlineLevel="0" collapsed="false">
      <c r="B30" s="188" t="s">
        <v>118</v>
      </c>
      <c r="C30" s="189"/>
      <c r="D30" s="189"/>
      <c r="E30" s="190" t="n">
        <f aca="false">E28-E29</f>
        <v>5519</v>
      </c>
      <c r="F30" s="190" t="n">
        <f aca="false">F28-F29</f>
        <v>5771</v>
      </c>
      <c r="G30" s="190" t="n">
        <f aca="false">G28-G29</f>
        <v>7147</v>
      </c>
      <c r="H30" s="190" t="n">
        <f aca="false">H28-H29</f>
        <v>9220</v>
      </c>
      <c r="I30" s="190" t="n">
        <f aca="false">I28-I29</f>
        <v>9640</v>
      </c>
    </row>
    <row r="31" customFormat="false" ht="15" hidden="false" customHeight="true" outlineLevel="0" collapsed="false"/>
    <row r="32" customFormat="false" ht="14.25" hidden="false" customHeight="false" outlineLevel="0" collapsed="false">
      <c r="A32" s="196" t="s">
        <v>74</v>
      </c>
      <c r="B32" s="197" t="s">
        <v>416</v>
      </c>
      <c r="C32" s="186"/>
      <c r="D32" s="186"/>
      <c r="E32" s="187" t="n">
        <f aca="false">E30+E17</f>
        <v>11248</v>
      </c>
      <c r="F32" s="187" t="n">
        <f aca="false">F30+F17</f>
        <v>12255</v>
      </c>
      <c r="G32" s="187" t="n">
        <f aca="false">G30+G17</f>
        <v>13529</v>
      </c>
      <c r="H32" s="187" t="n">
        <f aca="false">H30+H17</f>
        <v>15588</v>
      </c>
      <c r="I32" s="187" t="n">
        <f aca="false">I30+I17</f>
        <v>15961</v>
      </c>
    </row>
    <row r="33" customFormat="false" ht="14.25" hidden="false" customHeight="false" outlineLevel="0" collapsed="false">
      <c r="B33" s="197" t="s">
        <v>243</v>
      </c>
      <c r="C33" s="186"/>
      <c r="D33" s="186"/>
      <c r="E33" s="187" t="n">
        <f aca="false">HistoricalFS!H27</f>
        <v>4283.13</v>
      </c>
      <c r="F33" s="187" t="n">
        <f aca="false">HistoricalFS!I27</f>
        <v>5833.28</v>
      </c>
      <c r="G33" s="187" t="n">
        <f aca="false">HistoricalFS!J27</f>
        <v>7552.94</v>
      </c>
      <c r="H33" s="187" t="n">
        <f aca="false">HistoricalFS!K27</f>
        <v>5330.09000000001</v>
      </c>
      <c r="I33" s="187" t="n">
        <f aca="false">HistoricalFS!L27</f>
        <v>6198.85</v>
      </c>
    </row>
    <row r="34" customFormat="false" ht="14.25" hidden="false" customHeight="false" outlineLevel="0" collapsed="false">
      <c r="B34" s="197" t="s">
        <v>417</v>
      </c>
      <c r="C34" s="186"/>
      <c r="D34" s="186"/>
      <c r="E34" s="187" t="n">
        <f aca="false">E33*(1-'Assumption Sheet'!D19)</f>
        <v>3155.0920919498</v>
      </c>
      <c r="F34" s="187" t="n">
        <f aca="false">F33*(1-'Assumption Sheet'!E19)</f>
        <v>4301.85725050669</v>
      </c>
      <c r="G34" s="187" t="n">
        <f aca="false">G33*(1-'Assumption Sheet'!F19)</f>
        <v>5712.87603022414</v>
      </c>
      <c r="H34" s="187" t="n">
        <f aca="false">H33*(1-'Assumption Sheet'!G19)</f>
        <v>3874.74366879154</v>
      </c>
      <c r="I34" s="187" t="n">
        <f aca="false">I33*(1-'Assumption Sheet'!H19)</f>
        <v>4537.73571593953</v>
      </c>
    </row>
    <row r="35" customFormat="false" ht="15" hidden="false" customHeight="true" outlineLevel="0" collapsed="false"/>
    <row r="36" customFormat="false" ht="15" hidden="false" customHeight="true" outlineLevel="0" collapsed="false">
      <c r="B36" s="188" t="s">
        <v>418</v>
      </c>
      <c r="C36" s="188"/>
      <c r="D36" s="188"/>
      <c r="E36" s="198" t="n">
        <f aca="false">E34/E32</f>
        <v>0.280502497506205</v>
      </c>
      <c r="F36" s="198" t="n">
        <f aca="false">F34/F32</f>
        <v>0.351028743411399</v>
      </c>
      <c r="G36" s="198" t="n">
        <f aca="false">G34/G32</f>
        <v>0.42226890607023</v>
      </c>
      <c r="H36" s="198" t="n">
        <f aca="false">H34/H32</f>
        <v>0.248572213804949</v>
      </c>
      <c r="I36" s="198" t="n">
        <f aca="false">I34/I32</f>
        <v>0.284301467072209</v>
      </c>
    </row>
    <row r="37" customFormat="false" ht="15" hidden="false" customHeight="true" outlineLevel="0" collapsed="false"/>
    <row r="38" customFormat="false" ht="18" hidden="false" customHeight="true" outlineLevel="0" collapsed="false">
      <c r="B38" s="184" t="s">
        <v>419</v>
      </c>
      <c r="C38" s="149"/>
      <c r="D38" s="149"/>
      <c r="E38" s="185" t="n">
        <f aca="false">E2</f>
        <v>44621</v>
      </c>
      <c r="F38" s="185" t="n">
        <f aca="false">F2</f>
        <v>44986</v>
      </c>
      <c r="G38" s="185" t="n">
        <f aca="false">G2</f>
        <v>45352</v>
      </c>
      <c r="H38" s="185" t="n">
        <f aca="false">H2</f>
        <v>45717</v>
      </c>
      <c r="I38" s="185" t="n">
        <f aca="false">I2</f>
        <v>46082</v>
      </c>
    </row>
    <row r="40" customFormat="false" ht="14.25" hidden="false" customHeight="false" outlineLevel="0" collapsed="false">
      <c r="B40" s="186" t="s">
        <v>420</v>
      </c>
      <c r="C40" s="186"/>
      <c r="D40" s="186"/>
      <c r="E40" s="187" t="n">
        <f aca="false">-SUM(RawFS!J54:J55)</f>
        <v>511</v>
      </c>
      <c r="F40" s="187" t="n">
        <f aca="false">-SUM(RawFS!K54:K55)</f>
        <v>1420</v>
      </c>
      <c r="G40" s="187" t="n">
        <f aca="false">-SUM(RawFS!L54:L55)</f>
        <v>2491</v>
      </c>
      <c r="H40" s="187" t="n">
        <f aca="false">-SUM(RawFS!M54:M55)</f>
        <v>1820</v>
      </c>
      <c r="I40" s="187" t="n">
        <f aca="false">-SUM(RawFS!N54:N55)</f>
        <v>1484</v>
      </c>
    </row>
    <row r="41" customFormat="false" ht="14.25" hidden="false" customHeight="false" outlineLevel="0" collapsed="false">
      <c r="B41" s="186" t="s">
        <v>421</v>
      </c>
      <c r="C41" s="186"/>
      <c r="D41" s="186"/>
      <c r="E41" s="187"/>
      <c r="F41" s="187" t="n">
        <f aca="false">F17-E17</f>
        <v>755</v>
      </c>
      <c r="G41" s="187" t="n">
        <f aca="false">G17-F17</f>
        <v>-102</v>
      </c>
      <c r="H41" s="187" t="n">
        <f aca="false">H17-G17</f>
        <v>-14</v>
      </c>
      <c r="I41" s="187" t="n">
        <f aca="false">I17-H17</f>
        <v>-47</v>
      </c>
    </row>
    <row r="42" customFormat="false" ht="14.25" hidden="false" customHeight="false" outlineLevel="0" collapsed="false">
      <c r="E42" s="54"/>
      <c r="F42" s="54"/>
      <c r="G42" s="54"/>
      <c r="H42" s="54"/>
      <c r="I42" s="54"/>
    </row>
    <row r="43" customFormat="false" ht="14.25" hidden="false" customHeight="false" outlineLevel="0" collapsed="false">
      <c r="B43" s="186" t="s">
        <v>243</v>
      </c>
      <c r="C43" s="186"/>
      <c r="D43" s="186"/>
      <c r="E43" s="187" t="n">
        <f aca="false">E33</f>
        <v>4283.13</v>
      </c>
      <c r="F43" s="187" t="n">
        <f aca="false">F33</f>
        <v>5833.28</v>
      </c>
      <c r="G43" s="187" t="n">
        <f aca="false">G33</f>
        <v>7552.94</v>
      </c>
      <c r="H43" s="187" t="n">
        <f aca="false">H33</f>
        <v>5330.09000000001</v>
      </c>
      <c r="I43" s="187" t="n">
        <f aca="false">I33</f>
        <v>6198.85</v>
      </c>
    </row>
    <row r="44" customFormat="false" ht="14.25" hidden="false" customHeight="false" outlineLevel="0" collapsed="false">
      <c r="B44" s="186" t="s">
        <v>422</v>
      </c>
      <c r="C44" s="186"/>
      <c r="D44" s="186"/>
      <c r="E44" s="199" t="n">
        <f aca="false">'Assumption Sheet'!D19</f>
        <v>0.263367655908227</v>
      </c>
      <c r="F44" s="199" t="n">
        <f aca="false">'Assumption Sheet'!E19</f>
        <v>0.262532014491557</v>
      </c>
      <c r="G44" s="199" t="n">
        <f aca="false">'Assumption Sheet'!F19</f>
        <v>0.243622214631106</v>
      </c>
      <c r="H44" s="199" t="n">
        <f aca="false">'Assumption Sheet'!G19</f>
        <v>0.273043481668877</v>
      </c>
      <c r="I44" s="199" t="n">
        <f aca="false">'Assumption Sheet'!H19</f>
        <v>0.267971363085164</v>
      </c>
    </row>
    <row r="45" customFormat="false" ht="14.25" hidden="false" customHeight="false" outlineLevel="0" collapsed="false">
      <c r="B45" s="186" t="s">
        <v>423</v>
      </c>
      <c r="C45" s="186"/>
      <c r="D45" s="186"/>
      <c r="E45" s="187" t="n">
        <f aca="false">E43*(1-E44)</f>
        <v>3155.0920919498</v>
      </c>
      <c r="F45" s="187" t="n">
        <f aca="false">F43*(1-F44)</f>
        <v>4301.85725050669</v>
      </c>
      <c r="G45" s="187" t="n">
        <f aca="false">G43*(1-G44)</f>
        <v>5712.87603022414</v>
      </c>
      <c r="H45" s="187" t="n">
        <f aca="false">H43*(1-H44)</f>
        <v>3874.74366879154</v>
      </c>
      <c r="I45" s="187" t="n">
        <f aca="false">I43*(1-I44)</f>
        <v>4537.73571593953</v>
      </c>
    </row>
    <row r="47" customFormat="false" ht="15" hidden="false" customHeight="true" outlineLevel="0" collapsed="false">
      <c r="B47" s="200" t="s">
        <v>424</v>
      </c>
      <c r="C47" s="200"/>
      <c r="D47" s="200"/>
      <c r="E47" s="200"/>
      <c r="F47" s="201" t="n">
        <f aca="false">SUM(F40:F41)</f>
        <v>2175</v>
      </c>
      <c r="G47" s="201" t="n">
        <f aca="false">SUM(G40:G41)</f>
        <v>2389</v>
      </c>
      <c r="H47" s="201" t="n">
        <f aca="false">SUM(H40:H41)</f>
        <v>1806</v>
      </c>
      <c r="I47" s="201" t="n">
        <f aca="false">SUM(I40:I41)</f>
        <v>1437</v>
      </c>
    </row>
    <row r="48" customFormat="false" ht="15" hidden="false" customHeight="true" outlineLevel="0" collapsed="false">
      <c r="B48" s="189" t="s">
        <v>425</v>
      </c>
      <c r="C48" s="189"/>
      <c r="D48" s="189"/>
      <c r="E48" s="189"/>
      <c r="F48" s="202" t="n">
        <f aca="false">F47/F45</f>
        <v>0.505595577292533</v>
      </c>
      <c r="G48" s="202" t="n">
        <f aca="false">G47/G45</f>
        <v>0.418178162340811</v>
      </c>
      <c r="H48" s="202" t="n">
        <f aca="false">H47/H45</f>
        <v>0.466095348331328</v>
      </c>
      <c r="I48" s="202" t="n">
        <f aca="false">I47/I45</f>
        <v>0.316677763967678</v>
      </c>
    </row>
    <row r="49" customFormat="false" ht="15" hidden="false" customHeight="true" outlineLevel="0" collapsed="false"/>
    <row r="50" customFormat="false" ht="14.25" hidden="false" customHeight="false" outlineLevel="0" collapsed="false">
      <c r="G50" s="203" t="s">
        <v>426</v>
      </c>
      <c r="H50" s="203"/>
      <c r="I50" s="204" t="n">
        <f aca="false">AVERAGE(F48:I48)</f>
        <v>0.426636712983088</v>
      </c>
    </row>
    <row r="51" customFormat="false" ht="14.25" hidden="false" customHeight="false" outlineLevel="0" collapsed="false">
      <c r="G51" s="203" t="s">
        <v>427</v>
      </c>
      <c r="H51" s="203"/>
      <c r="I51" s="204" t="n">
        <f aca="false">MEDIAN(F48:I48)</f>
        <v>0.44213675533607</v>
      </c>
    </row>
    <row r="53" customFormat="false" ht="18" hidden="false" customHeight="true" outlineLevel="0" collapsed="false">
      <c r="B53" s="184" t="s">
        <v>428</v>
      </c>
      <c r="C53" s="149"/>
      <c r="D53" s="149"/>
      <c r="E53" s="185" t="n">
        <f aca="false">E38</f>
        <v>44621</v>
      </c>
      <c r="F53" s="185" t="n">
        <f aca="false">F38</f>
        <v>44986</v>
      </c>
      <c r="G53" s="185" t="n">
        <f aca="false">G38</f>
        <v>45352</v>
      </c>
      <c r="H53" s="185" t="n">
        <f aca="false">H38</f>
        <v>45717</v>
      </c>
      <c r="I53" s="185" t="n">
        <f aca="false">I38</f>
        <v>46082</v>
      </c>
    </row>
    <row r="55" customFormat="false" ht="14.25" hidden="false" customHeight="false" outlineLevel="0" collapsed="false">
      <c r="B55" s="186" t="s">
        <v>425</v>
      </c>
      <c r="C55" s="186"/>
      <c r="D55" s="186"/>
      <c r="E55" s="186"/>
      <c r="F55" s="199" t="n">
        <f aca="false">F48</f>
        <v>0.505595577292533</v>
      </c>
      <c r="G55" s="199" t="n">
        <f aca="false">G48</f>
        <v>0.418178162340811</v>
      </c>
      <c r="H55" s="199" t="n">
        <f aca="false">H48</f>
        <v>0.466095348331328</v>
      </c>
      <c r="I55" s="199" t="n">
        <f aca="false">I48</f>
        <v>0.316677763967678</v>
      </c>
    </row>
    <row r="56" customFormat="false" ht="14.25" hidden="false" customHeight="false" outlineLevel="0" collapsed="false">
      <c r="B56" s="186" t="s">
        <v>418</v>
      </c>
      <c r="C56" s="186"/>
      <c r="D56" s="186"/>
      <c r="E56" s="186"/>
      <c r="F56" s="199" t="n">
        <f aca="false">F36</f>
        <v>0.351028743411399</v>
      </c>
      <c r="G56" s="199" t="n">
        <f aca="false">G36</f>
        <v>0.42226890607023</v>
      </c>
      <c r="H56" s="199" t="n">
        <f aca="false">H36</f>
        <v>0.248572213804949</v>
      </c>
      <c r="I56" s="199" t="n">
        <f aca="false">I36</f>
        <v>0.284301467072209</v>
      </c>
    </row>
    <row r="57" customFormat="false" ht="15" hidden="false" customHeight="true" outlineLevel="0" collapsed="false"/>
    <row r="58" customFormat="false" ht="15" hidden="false" customHeight="true" outlineLevel="0" collapsed="false">
      <c r="B58" s="189" t="s">
        <v>429</v>
      </c>
      <c r="C58" s="189"/>
      <c r="D58" s="189"/>
      <c r="E58" s="189"/>
      <c r="F58" s="202" t="n">
        <f aca="false">F56*F55</f>
        <v>0.177478580171359</v>
      </c>
      <c r="G58" s="202" t="n">
        <f aca="false">G56*G55</f>
        <v>0.176583635154113</v>
      </c>
      <c r="H58" s="202" t="n">
        <f aca="false">H56*H55</f>
        <v>0.115858352578907</v>
      </c>
      <c r="I58" s="202" t="n">
        <f aca="false">I56*I55</f>
        <v>0.0900319528851576</v>
      </c>
    </row>
    <row r="59" customFormat="false" ht="15" hidden="false" customHeight="true" outlineLevel="0" collapsed="false"/>
    <row r="60" customFormat="false" ht="12" hidden="false" customHeight="true" outlineLevel="0" collapsed="false">
      <c r="B60" s="1"/>
      <c r="C60" s="1"/>
      <c r="D60" s="1"/>
      <c r="E60" s="1"/>
      <c r="F60" s="1"/>
      <c r="G60" s="1"/>
      <c r="H60" s="1"/>
      <c r="I60" s="1"/>
    </row>
  </sheetData>
  <printOptions headings="false" gridLines="false" gridLinesSet="true" horizontalCentered="false" verticalCentered="false"/>
  <pageMargins left="0.7" right="0.7" top="0.75" bottom="0.75" header="0.511811023622047" footer="0.511811023622047"/>
  <pageSetup paperSize="1" scale="7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50"/>
  <sheetViews>
    <sheetView showFormulas="false" showGridLines="false" showRowColHeaders="true" showZeros="true" rightToLeft="false" tabSelected="false" showOutlineSymbols="true" defaultGridColor="true" view="normal" topLeftCell="A14" colorId="64" zoomScale="70" zoomScaleNormal="70" zoomScalePageLayoutView="100" workbookViewId="0">
      <selection pane="topLeft" activeCell="O20" activeCellId="0" sqref="O20"/>
    </sheetView>
  </sheetViews>
  <sheetFormatPr defaultColWidth="8.6796875" defaultRowHeight="14.25" zeroHeight="false" outlineLevelRow="0" outlineLevelCol="0"/>
  <cols>
    <col collapsed="false" customWidth="true" hidden="false" outlineLevel="0" max="1" min="1" style="0" width="1.88"/>
    <col collapsed="false" customWidth="true" hidden="false" outlineLevel="0" max="2" min="2" style="0" width="28"/>
    <col collapsed="false" customWidth="true" hidden="false" outlineLevel="0" max="4" min="4" style="0" width="12"/>
    <col collapsed="false" customWidth="true" hidden="false" outlineLevel="0" max="6" min="6" style="0" width="11.44"/>
    <col collapsed="false" customWidth="true" hidden="false" outlineLevel="0" max="13" min="7" style="0" width="12.67"/>
  </cols>
  <sheetData>
    <row r="1" customFormat="false" ht="14.25" hidden="false" customHeight="false" outlineLevel="0" collapsed="false">
      <c r="B1" s="68"/>
      <c r="C1" s="68"/>
      <c r="D1" s="68"/>
      <c r="E1" s="68"/>
      <c r="F1" s="68"/>
      <c r="G1" s="68"/>
      <c r="H1" s="68"/>
      <c r="I1" s="68"/>
      <c r="J1" s="68"/>
      <c r="K1" s="68"/>
      <c r="L1" s="68"/>
      <c r="M1" s="68"/>
    </row>
    <row r="2" customFormat="false" ht="45.75" hidden="false" customHeight="true" outlineLevel="0" collapsed="false">
      <c r="B2" s="69" t="str">
        <f aca="false">'Data Sheet'!B1</f>
        <v>ASIAN PAINTS LTD</v>
      </c>
      <c r="J2" s="69"/>
    </row>
    <row r="3" customFormat="false" ht="14.25" hidden="false" customHeight="false" outlineLevel="0" collapsed="false">
      <c r="B3" s="0" t="s">
        <v>150</v>
      </c>
    </row>
    <row r="4" customFormat="false" ht="21" hidden="false" customHeight="true" outlineLevel="0" collapsed="false">
      <c r="B4" s="70" t="str">
        <f aca="false">CONCATENATE("INR "&amp;'Data Sheet'!B8)</f>
        <v>INR 2645.2</v>
      </c>
      <c r="J4" s="70"/>
    </row>
    <row r="5" customFormat="false" ht="14.25" hidden="false" customHeight="false" outlineLevel="0" collapsed="false">
      <c r="B5" s="0" t="s">
        <v>151</v>
      </c>
    </row>
    <row r="6" customFormat="false" ht="15" hidden="false" customHeight="true" outlineLevel="0" collapsed="false">
      <c r="B6" s="71"/>
      <c r="C6" s="71"/>
      <c r="D6" s="71"/>
      <c r="E6" s="71"/>
      <c r="F6" s="71"/>
      <c r="G6" s="71"/>
      <c r="H6" s="71"/>
      <c r="I6" s="71"/>
      <c r="J6" s="71"/>
      <c r="K6" s="71"/>
      <c r="L6" s="71"/>
      <c r="M6" s="71"/>
    </row>
    <row r="7" customFormat="false" ht="4.5" hidden="false" customHeight="true" outlineLevel="0" collapsed="false"/>
    <row r="8" customFormat="false" ht="18" hidden="false" customHeight="true" outlineLevel="0" collapsed="false">
      <c r="B8" s="11" t="s">
        <v>430</v>
      </c>
      <c r="C8" s="93"/>
      <c r="D8" s="93"/>
      <c r="E8" s="93"/>
      <c r="F8" s="93"/>
      <c r="G8" s="205" t="n">
        <f aca="false">ForecastFS!F5</f>
        <v>45747</v>
      </c>
      <c r="H8" s="205" t="n">
        <f aca="false">ForecastFS!G5</f>
        <v>46112</v>
      </c>
      <c r="I8" s="205" t="n">
        <f aca="false">ForecastFS!H5</f>
        <v>46477</v>
      </c>
      <c r="J8" s="205" t="n">
        <f aca="false">ForecastFS!I5</f>
        <v>46842</v>
      </c>
      <c r="K8" s="205" t="n">
        <f aca="false">ForecastFS!J5</f>
        <v>47207</v>
      </c>
      <c r="L8" s="205" t="n">
        <f aca="false">ForecastFS!K5</f>
        <v>47572</v>
      </c>
      <c r="M8" s="205" t="n">
        <f aca="false">ForecastFS!L5</f>
        <v>47937</v>
      </c>
    </row>
    <row r="10" customFormat="false" ht="14.25" hidden="false" customHeight="false" outlineLevel="0" collapsed="false">
      <c r="B10" s="186" t="s">
        <v>243</v>
      </c>
      <c r="C10" s="186"/>
      <c r="D10" s="186"/>
      <c r="E10" s="186"/>
      <c r="F10" s="186"/>
      <c r="G10" s="187" t="n">
        <f aca="false">ForecastFS!F24</f>
        <v>5330.09000000001</v>
      </c>
      <c r="H10" s="187" t="n">
        <f aca="false">ForecastFS!G24</f>
        <v>6198.85</v>
      </c>
      <c r="I10" s="187" t="n">
        <f aca="false">ForecastFS!H24</f>
        <v>6384.133682</v>
      </c>
      <c r="J10" s="187" t="n">
        <f aca="false">ForecastFS!I24</f>
        <v>6790.52303974</v>
      </c>
      <c r="K10" s="187" t="n">
        <f aca="false">ForecastFS!J24</f>
        <v>7490.03759055525</v>
      </c>
      <c r="L10" s="187" t="n">
        <f aca="false">ForecastFS!K24</f>
        <v>8030.54040984689</v>
      </c>
      <c r="M10" s="187" t="n">
        <f aca="false">ForecastFS!L24</f>
        <v>8919.21399244579</v>
      </c>
    </row>
    <row r="11" customFormat="false" ht="14.25" hidden="false" customHeight="false" outlineLevel="0" collapsed="false">
      <c r="B11" s="186"/>
      <c r="C11" s="186"/>
      <c r="D11" s="186"/>
      <c r="E11" s="186"/>
      <c r="F11" s="186"/>
      <c r="G11" s="186"/>
      <c r="H11" s="186"/>
      <c r="I11" s="186"/>
      <c r="J11" s="186"/>
      <c r="K11" s="186"/>
      <c r="L11" s="186"/>
      <c r="M11" s="186"/>
    </row>
    <row r="12" customFormat="false" ht="14.25" hidden="false" customHeight="false" outlineLevel="0" collapsed="false">
      <c r="B12" s="186" t="s">
        <v>214</v>
      </c>
      <c r="C12" s="186"/>
      <c r="D12" s="186"/>
      <c r="E12" s="186"/>
      <c r="F12" s="186"/>
      <c r="G12" s="199" t="n">
        <f aca="false">ForecastFS!F32</f>
        <v>0.273043481668877</v>
      </c>
      <c r="H12" s="199" t="n">
        <f aca="false">ForecastFS!G32</f>
        <v>0.267971363085164</v>
      </c>
      <c r="I12" s="199" t="n">
        <f aca="false">ForecastFS!H32</f>
        <v>0.26</v>
      </c>
      <c r="J12" s="199" t="n">
        <f aca="false">ForecastFS!I32</f>
        <v>0.26</v>
      </c>
      <c r="K12" s="199" t="n">
        <f aca="false">ForecastFS!J32</f>
        <v>0.26</v>
      </c>
      <c r="L12" s="199" t="n">
        <f aca="false">ForecastFS!K32</f>
        <v>0.26</v>
      </c>
      <c r="M12" s="199" t="n">
        <f aca="false">ForecastFS!L32</f>
        <v>0.26</v>
      </c>
    </row>
    <row r="13" customFormat="false" ht="14.25" hidden="false" customHeight="false" outlineLevel="0" collapsed="false">
      <c r="B13" s="186"/>
      <c r="C13" s="186"/>
      <c r="D13" s="186"/>
      <c r="E13" s="186"/>
      <c r="F13" s="186"/>
      <c r="G13" s="186"/>
      <c r="H13" s="186"/>
      <c r="I13" s="186"/>
      <c r="J13" s="186"/>
      <c r="K13" s="186"/>
      <c r="L13" s="186"/>
      <c r="M13" s="186"/>
    </row>
    <row r="14" customFormat="false" ht="14.25" hidden="false" customHeight="false" outlineLevel="0" collapsed="false">
      <c r="B14" s="186" t="s">
        <v>423</v>
      </c>
      <c r="C14" s="186"/>
      <c r="D14" s="186"/>
      <c r="E14" s="186"/>
      <c r="F14" s="186"/>
      <c r="G14" s="187" t="n">
        <f aca="false">G10*(1-G12)</f>
        <v>3874.74366879154</v>
      </c>
      <c r="H14" s="187" t="n">
        <f aca="false">H10*(1-H12)</f>
        <v>4537.73571593953</v>
      </c>
      <c r="I14" s="187" t="n">
        <f aca="false">I10*(1-I12)</f>
        <v>4724.25892468</v>
      </c>
      <c r="J14" s="187" t="n">
        <f aca="false">J10*(1-J12)</f>
        <v>5024.9870494076</v>
      </c>
      <c r="K14" s="187" t="n">
        <f aca="false">K10*(1-K12)</f>
        <v>5542.62781701089</v>
      </c>
      <c r="L14" s="187" t="n">
        <f aca="false">L10*(1-L12)</f>
        <v>5942.5999032867</v>
      </c>
      <c r="M14" s="187" t="n">
        <f aca="false">M10*(1-M12)</f>
        <v>6600.21835440989</v>
      </c>
    </row>
    <row r="15" customFormat="false" ht="14.25" hidden="false" customHeight="false" outlineLevel="0" collapsed="false">
      <c r="B15" s="186"/>
      <c r="C15" s="186"/>
      <c r="D15" s="186"/>
      <c r="E15" s="186"/>
      <c r="F15" s="186"/>
      <c r="G15" s="186"/>
      <c r="H15" s="186"/>
      <c r="I15" s="186"/>
      <c r="J15" s="186"/>
      <c r="K15" s="186"/>
      <c r="L15" s="186"/>
      <c r="M15" s="186"/>
    </row>
    <row r="16" customFormat="false" ht="14.25" hidden="false" customHeight="false" outlineLevel="0" collapsed="false">
      <c r="B16" s="186" t="s">
        <v>431</v>
      </c>
      <c r="C16" s="186"/>
      <c r="D16" s="186"/>
      <c r="E16" s="186"/>
      <c r="F16" s="186"/>
      <c r="G16" s="199" t="n">
        <f aca="false">IntrinsiGrowth!H48</f>
        <v>0.466095348331328</v>
      </c>
      <c r="H16" s="199" t="n">
        <f aca="false">IntrinsiGrowth!I48</f>
        <v>0.316677763967678</v>
      </c>
      <c r="I16" s="199" t="n">
        <f aca="false">H$16+(($M$16-$H$16)/4)</f>
        <v>0.337508322975758</v>
      </c>
      <c r="J16" s="199" t="n">
        <f aca="false">I$16+(($M$16-$H$16)/4)</f>
        <v>0.358338881983839</v>
      </c>
      <c r="K16" s="199" t="n">
        <f aca="false">J$16+(($M$16-$H$16)/4)</f>
        <v>0.37916944099192</v>
      </c>
      <c r="L16" s="199" t="n">
        <f aca="false">K$16+(($M$16-$H$16)/4)</f>
        <v>0.4</v>
      </c>
      <c r="M16" s="206" t="n">
        <v>0.4</v>
      </c>
    </row>
    <row r="17" customFormat="false" ht="14.25" hidden="false" customHeight="false" outlineLevel="0" collapsed="false">
      <c r="B17" s="186"/>
      <c r="C17" s="186"/>
      <c r="D17" s="186"/>
      <c r="E17" s="186"/>
      <c r="F17" s="186"/>
      <c r="G17" s="186"/>
      <c r="H17" s="186"/>
      <c r="I17" s="186"/>
      <c r="J17" s="186"/>
      <c r="K17" s="186"/>
      <c r="L17" s="186"/>
      <c r="M17" s="186"/>
    </row>
    <row r="18" customFormat="false" ht="14.25" hidden="false" customHeight="false" outlineLevel="0" collapsed="false">
      <c r="B18" s="186" t="s">
        <v>432</v>
      </c>
      <c r="C18" s="186"/>
      <c r="D18" s="186"/>
      <c r="E18" s="186"/>
      <c r="F18" s="186"/>
      <c r="G18" s="187" t="n">
        <f aca="false">G14*(1-G16)</f>
        <v>2068.74366879154</v>
      </c>
      <c r="H18" s="187" t="n">
        <f aca="false">H14*(1-H16)</f>
        <v>3100.73571593953</v>
      </c>
      <c r="I18" s="187" t="n">
        <f aca="false">I14*(1-I16)</f>
        <v>3129.78221770799</v>
      </c>
      <c r="J18" s="187" t="n">
        <f aca="false">J14*(1-J16)</f>
        <v>3224.33880813961</v>
      </c>
      <c r="K18" s="187" t="n">
        <f aca="false">K14*(1-K16)</f>
        <v>3441.0327260086</v>
      </c>
      <c r="L18" s="187" t="n">
        <f aca="false">L14*(1-L16)</f>
        <v>3565.55994197202</v>
      </c>
      <c r="M18" s="187" t="n">
        <f aca="false">M14*(1-M16)</f>
        <v>3960.13101264593</v>
      </c>
    </row>
    <row r="19" customFormat="false" ht="14.25" hidden="false" customHeight="false" outlineLevel="0" collapsed="false">
      <c r="B19" s="186"/>
      <c r="C19" s="186"/>
      <c r="D19" s="186"/>
      <c r="E19" s="186"/>
      <c r="F19" s="186"/>
      <c r="G19" s="186"/>
      <c r="H19" s="186"/>
      <c r="I19" s="186"/>
      <c r="J19" s="186"/>
      <c r="K19" s="186"/>
      <c r="L19" s="186"/>
      <c r="M19" s="186"/>
    </row>
    <row r="20" customFormat="false" ht="14.25" hidden="false" customHeight="false" outlineLevel="0" collapsed="false">
      <c r="B20" s="186" t="s">
        <v>433</v>
      </c>
      <c r="C20" s="186"/>
      <c r="D20" s="186"/>
      <c r="E20" s="186"/>
      <c r="F20" s="186"/>
      <c r="G20" s="186"/>
      <c r="H20" s="207" t="n">
        <v>0.5</v>
      </c>
      <c r="I20" s="186" t="n">
        <f aca="false">H20+1</f>
        <v>1.5</v>
      </c>
      <c r="J20" s="186" t="n">
        <f aca="false">I20+1</f>
        <v>2.5</v>
      </c>
      <c r="K20" s="186" t="n">
        <f aca="false">J20+1</f>
        <v>3.5</v>
      </c>
      <c r="L20" s="186" t="n">
        <f aca="false">K20+1</f>
        <v>4.5</v>
      </c>
      <c r="M20" s="186" t="n">
        <f aca="false">L20+1</f>
        <v>5.5</v>
      </c>
      <c r="Q20" s="208"/>
    </row>
    <row r="21" customFormat="false" ht="14.25" hidden="false" customHeight="false" outlineLevel="0" collapsed="false">
      <c r="B21" s="186" t="s">
        <v>434</v>
      </c>
      <c r="C21" s="186"/>
      <c r="D21" s="186"/>
      <c r="E21" s="186"/>
      <c r="F21" s="186"/>
      <c r="G21" s="186"/>
      <c r="H21" s="209" t="n">
        <f aca="false">1/(1+$D$27)^H20</f>
        <v>0.943918185894488</v>
      </c>
      <c r="I21" s="209" t="n">
        <f aca="false">1/(1+$D$27)^I20</f>
        <v>0.841013680471391</v>
      </c>
      <c r="J21" s="209" t="n">
        <f aca="false">1/(1+$D$27)^J20</f>
        <v>0.749327665585519</v>
      </c>
      <c r="K21" s="209" t="n">
        <f aca="false">1/(1+$D$27)^K20</f>
        <v>0.667637118693629</v>
      </c>
      <c r="L21" s="209" t="n">
        <f aca="false">1/(1+$D$27)^L20</f>
        <v>0.594852349284653</v>
      </c>
      <c r="M21" s="209" t="n">
        <f aca="false">1/(1+$D$27)^M20</f>
        <v>0.530002463227105</v>
      </c>
    </row>
    <row r="22" customFormat="false" ht="15" hidden="false" customHeight="true" outlineLevel="0" collapsed="false"/>
    <row r="23" customFormat="false" ht="15" hidden="false" customHeight="true" outlineLevel="0" collapsed="false">
      <c r="B23" s="188" t="s">
        <v>435</v>
      </c>
      <c r="C23" s="188"/>
      <c r="D23" s="188"/>
      <c r="E23" s="188"/>
      <c r="F23" s="188"/>
      <c r="G23" s="189"/>
      <c r="H23" s="210" t="n">
        <f aca="false">H18*H21</f>
        <v>2926.84083192789</v>
      </c>
      <c r="I23" s="210" t="n">
        <f aca="false">I18*I21</f>
        <v>2632.18966198851</v>
      </c>
      <c r="J23" s="210" t="n">
        <f aca="false">J18*J21</f>
        <v>2416.08627216005</v>
      </c>
      <c r="K23" s="210" t="n">
        <f aca="false">K18*K21</f>
        <v>2297.36117452287</v>
      </c>
      <c r="L23" s="210" t="n">
        <f aca="false">L18*L21</f>
        <v>2120.98170799731</v>
      </c>
      <c r="M23" s="210" t="n">
        <f aca="false">M18*M21</f>
        <v>2098.87919140439</v>
      </c>
    </row>
    <row r="24" customFormat="false" ht="15" hidden="false" customHeight="true" outlineLevel="0" collapsed="false"/>
    <row r="25" customFormat="false" ht="14.25" hidden="false" customHeight="false" outlineLevel="0" collapsed="false">
      <c r="B25" s="211" t="s">
        <v>436</v>
      </c>
      <c r="C25" s="211"/>
      <c r="D25" s="212" t="n">
        <v>0.1</v>
      </c>
    </row>
    <row r="26" customFormat="false" ht="14.25" hidden="false" customHeight="false" outlineLevel="0" collapsed="false">
      <c r="B26" s="211" t="s">
        <v>437</v>
      </c>
      <c r="C26" s="211"/>
      <c r="D26" s="212" t="n">
        <v>0.05</v>
      </c>
    </row>
    <row r="27" customFormat="false" ht="14.25" hidden="false" customHeight="false" outlineLevel="0" collapsed="false">
      <c r="B27" s="211" t="s">
        <v>218</v>
      </c>
      <c r="C27" s="211"/>
      <c r="D27" s="109" t="n">
        <f aca="false">WACC!K46</f>
        <v>0.122357706910806</v>
      </c>
    </row>
    <row r="29" customFormat="false" ht="18" hidden="false" customHeight="true" outlineLevel="0" collapsed="false">
      <c r="B29" s="93" t="s">
        <v>438</v>
      </c>
      <c r="C29" s="93"/>
      <c r="D29" s="93"/>
      <c r="F29" s="213" t="s">
        <v>439</v>
      </c>
      <c r="G29" s="213"/>
      <c r="H29" s="213"/>
      <c r="I29" s="213"/>
      <c r="J29" s="213"/>
      <c r="K29" s="213"/>
      <c r="L29" s="213"/>
      <c r="M29" s="213"/>
    </row>
    <row r="30" customFormat="false" ht="14.25" hidden="false" customHeight="false" outlineLevel="0" collapsed="false">
      <c r="F30" s="137"/>
      <c r="M30" s="138"/>
    </row>
    <row r="31" customFormat="false" ht="14.25" hidden="false" customHeight="false" outlineLevel="0" collapsed="false">
      <c r="B31" s="23" t="s">
        <v>440</v>
      </c>
      <c r="C31" s="23"/>
      <c r="D31" s="26" t="n">
        <f aca="false">M18*(1+D26)</f>
        <v>4158.13756327823</v>
      </c>
      <c r="F31" s="137"/>
      <c r="K31" s="214" t="s">
        <v>218</v>
      </c>
      <c r="M31" s="138"/>
    </row>
    <row r="32" customFormat="false" ht="14.25" hidden="false" customHeight="false" outlineLevel="0" collapsed="false">
      <c r="B32" s="23" t="s">
        <v>218</v>
      </c>
      <c r="C32" s="23"/>
      <c r="D32" s="25" t="n">
        <f aca="false">D27</f>
        <v>0.122357706910806</v>
      </c>
      <c r="F32" s="137"/>
      <c r="G32" s="215" t="n">
        <f aca="false">D47</f>
        <v>438.850332893607</v>
      </c>
      <c r="H32" s="216" t="n">
        <v>0.1</v>
      </c>
      <c r="I32" s="216" t="n">
        <v>0.11</v>
      </c>
      <c r="J32" s="217" t="n">
        <v>0.122357706910806</v>
      </c>
      <c r="K32" s="216" t="n">
        <v>0.132357706910806</v>
      </c>
      <c r="L32" s="216" t="n">
        <v>0.142357706910806</v>
      </c>
      <c r="M32" s="218" t="n">
        <v>0.152357706910806</v>
      </c>
    </row>
    <row r="33" customFormat="false" ht="14.25" hidden="false" customHeight="false" outlineLevel="0" collapsed="false">
      <c r="B33" s="23" t="s">
        <v>219</v>
      </c>
      <c r="C33" s="23"/>
      <c r="D33" s="25" t="n">
        <f aca="false">D26</f>
        <v>0.05</v>
      </c>
      <c r="F33" s="137"/>
      <c r="G33" s="216" t="n">
        <v>0.03</v>
      </c>
      <c r="H33" s="219" t="n">
        <f aca="true">TABLE($G$32,$D$33,$G33,$D$32,H$32)</f>
        <v>449.545203924353</v>
      </c>
      <c r="I33" s="220" t="n">
        <f aca="true">TABLE($G$32,$D$33,$G33,$D$32,I$32)</f>
        <v>408.517185347032</v>
      </c>
      <c r="J33" s="220" t="n">
        <f aca="true">TABLE($G$32,$D$33,$G33,$D$32,J$32)</f>
        <v>370.089579035898</v>
      </c>
      <c r="K33" s="220" t="n">
        <f aca="true">TABLE($G$32,$D$33,$G33,$D$32,K$32)</f>
        <v>345.785739956454</v>
      </c>
      <c r="L33" s="220" t="n">
        <f aca="true">TABLE($G$32,$D$33,$G33,$D$32,L$32)</f>
        <v>325.808055218827</v>
      </c>
      <c r="M33" s="221" t="n">
        <f aca="true">TABLE($G$32,$D$33,$G33,$D$32,M$32)</f>
        <v>309.095826371477</v>
      </c>
    </row>
    <row r="34" customFormat="false" ht="15" hidden="false" customHeight="true" outlineLevel="0" collapsed="false">
      <c r="F34" s="137"/>
      <c r="G34" s="216" t="n">
        <v>0.04</v>
      </c>
      <c r="H34" s="222" t="n">
        <f aca="true">TABLE($G$32,$D$33,$G34,$D$32,H$32)</f>
        <v>504.249228694114</v>
      </c>
      <c r="I34" s="223" t="n">
        <f aca="true">TABLE($G$32,$D$33,$G34,$D$32,I$32)</f>
        <v>449.545203924353</v>
      </c>
      <c r="J34" s="223" t="n">
        <f aca="true">TABLE($G$32,$D$33,$G34,$D$32,J$32)</f>
        <v>400.295437486951</v>
      </c>
      <c r="K34" s="223" t="n">
        <f aca="true">TABLE($G$32,$D$33,$G34,$D$32,K$32)</f>
        <v>370.089579035898</v>
      </c>
      <c r="L34" s="223" t="n">
        <f aca="true">TABLE($G$32,$D$33,$G34,$D$32,L$32)</f>
        <v>345.785739956454</v>
      </c>
      <c r="M34" s="224" t="n">
        <f aca="true">TABLE($G$32,$D$33,$G34,$D$32,M$32)</f>
        <v>325.808055218827</v>
      </c>
    </row>
    <row r="35" customFormat="false" ht="15" hidden="false" customHeight="true" outlineLevel="0" collapsed="false">
      <c r="B35" s="188" t="s">
        <v>441</v>
      </c>
      <c r="C35" s="188"/>
      <c r="D35" s="210" t="n">
        <f aca="false">D31/(D32-D33)</f>
        <v>57466.408773897</v>
      </c>
      <c r="F35" s="225" t="s">
        <v>442</v>
      </c>
      <c r="G35" s="216" t="n">
        <v>0.05</v>
      </c>
      <c r="H35" s="222" t="n">
        <f aca="true">TABLE($G$32,$D$33,$G35,$D$32,H$32)</f>
        <v>580.83486337178</v>
      </c>
      <c r="I35" s="223" t="n">
        <f aca="true">TABLE($G$32,$D$33,$G35,$D$32,I$32)</f>
        <v>504.249228694114</v>
      </c>
      <c r="J35" s="226" t="n">
        <f aca="true">TABLE($G$32,$D$33,$G35,$D$32,J$32)</f>
        <v>438.850332893607</v>
      </c>
      <c r="K35" s="223" t="n">
        <f aca="true">TABLE($G$32,$D$33,$G35,$D$32,K$32)</f>
        <v>400.295437486951</v>
      </c>
      <c r="L35" s="223" t="n">
        <f aca="true">TABLE($G$32,$D$33,$G35,$D$32,L$32)</f>
        <v>370.089579035898</v>
      </c>
      <c r="M35" s="224" t="n">
        <f aca="true">TABLE($G$32,$D$33,$G35,$D$32,M$32)</f>
        <v>345.785739956454</v>
      </c>
    </row>
    <row r="36" customFormat="false" ht="15" hidden="false" customHeight="true" outlineLevel="0" collapsed="false">
      <c r="F36" s="137"/>
      <c r="G36" s="216" t="n">
        <v>0.06</v>
      </c>
      <c r="H36" s="222" t="n">
        <f aca="true">TABLE($G$32,$D$33,$G36,$D$32,H$32)</f>
        <v>695.713315388279</v>
      </c>
      <c r="I36" s="223" t="n">
        <f aca="true">TABLE($G$32,$D$33,$G36,$D$32,I$32)</f>
        <v>580.83486337178</v>
      </c>
      <c r="J36" s="223" t="n">
        <f aca="true">TABLE($G$32,$D$33,$G36,$D$32,J$32)</f>
        <v>489.770947733085</v>
      </c>
      <c r="K36" s="223" t="n">
        <f aca="true">TABLE($G$32,$D$33,$G36,$D$32,K$32)</f>
        <v>438.850332893607</v>
      </c>
      <c r="L36" s="223" t="n">
        <f aca="true">TABLE($G$32,$D$33,$G36,$D$32,L$32)</f>
        <v>400.295437486951</v>
      </c>
      <c r="M36" s="224" t="n">
        <f aca="true">TABLE($G$32,$D$33,$G36,$D$32,M$32)</f>
        <v>370.089579035898</v>
      </c>
    </row>
    <row r="37" customFormat="false" ht="14.25" hidden="false" customHeight="false" outlineLevel="0" collapsed="false">
      <c r="B37" s="93" t="s">
        <v>443</v>
      </c>
      <c r="C37" s="93"/>
      <c r="D37" s="93"/>
      <c r="F37" s="146"/>
      <c r="G37" s="227" t="n">
        <v>0.07</v>
      </c>
      <c r="H37" s="228" t="n">
        <f aca="true">TABLE($G$32,$D$33,$G37,$D$32,H$32)</f>
        <v>887.177402082444</v>
      </c>
      <c r="I37" s="229" t="n">
        <f aca="true">TABLE($G$32,$D$33,$G37,$D$32,I$32)</f>
        <v>695.713315388279</v>
      </c>
      <c r="J37" s="229" t="n">
        <f aca="true">TABLE($G$32,$D$33,$G37,$D$32,J$32)</f>
        <v>560.14261107865</v>
      </c>
      <c r="K37" s="229" t="n">
        <f aca="true">TABLE($G$32,$D$33,$G37,$D$32,K$32)</f>
        <v>489.770947733086</v>
      </c>
      <c r="L37" s="229" t="n">
        <f aca="true">TABLE($G$32,$D$33,$G37,$D$32,L$32)</f>
        <v>438.850332893607</v>
      </c>
      <c r="M37" s="230" t="n">
        <f aca="true">TABLE($G$32,$D$33,$G37,$D$32,M$32)</f>
        <v>400.295437486951</v>
      </c>
    </row>
    <row r="39" customFormat="false" ht="14.25" hidden="false" customHeight="false" outlineLevel="0" collapsed="false">
      <c r="B39" s="186" t="s">
        <v>435</v>
      </c>
      <c r="C39" s="186"/>
      <c r="D39" s="187" t="n">
        <f aca="false">SUM(H23:M23)</f>
        <v>14492.338840001</v>
      </c>
    </row>
    <row r="40" customFormat="false" ht="14.25" hidden="false" customHeight="false" outlineLevel="0" collapsed="false">
      <c r="B40" s="186" t="s">
        <v>444</v>
      </c>
      <c r="C40" s="186"/>
      <c r="D40" s="187" t="n">
        <f aca="false">D35*M21</f>
        <v>30457.3382029811</v>
      </c>
    </row>
    <row r="41" customFormat="false" ht="14.25" hidden="false" customHeight="false" outlineLevel="0" collapsed="false">
      <c r="B41" s="65" t="s">
        <v>445</v>
      </c>
      <c r="D41" s="54" t="n">
        <f aca="false">SUM(D39:D40)</f>
        <v>44949.6770429821</v>
      </c>
    </row>
    <row r="42" customFormat="false" ht="14.25" hidden="false" customHeight="false" outlineLevel="0" collapsed="false">
      <c r="B42" s="186"/>
      <c r="C42" s="186"/>
      <c r="D42" s="186"/>
    </row>
    <row r="43" customFormat="false" ht="14.25" hidden="false" customHeight="false" outlineLevel="0" collapsed="false">
      <c r="B43" s="186" t="s">
        <v>446</v>
      </c>
      <c r="C43" s="186"/>
      <c r="D43" s="187" t="n">
        <f aca="false">'Data Sheet'!K69</f>
        <v>1073.68</v>
      </c>
    </row>
    <row r="44" customFormat="false" ht="14.25" hidden="false" customHeight="false" outlineLevel="0" collapsed="false">
      <c r="B44" s="186" t="s">
        <v>447</v>
      </c>
      <c r="C44" s="186"/>
      <c r="D44" s="187" t="n">
        <f aca="false">'Data Sheet'!K59</f>
        <v>3928.93</v>
      </c>
    </row>
    <row r="45" customFormat="false" ht="14.25" hidden="false" customHeight="false" outlineLevel="0" collapsed="false">
      <c r="B45" s="197" t="s">
        <v>448</v>
      </c>
      <c r="C45" s="186"/>
      <c r="D45" s="187" t="n">
        <f aca="false">D41+D43-D44</f>
        <v>42094.4270429821</v>
      </c>
    </row>
    <row r="46" customFormat="false" ht="15" hidden="false" customHeight="true" outlineLevel="0" collapsed="false">
      <c r="B46" s="0" t="s">
        <v>449</v>
      </c>
      <c r="D46" s="90" t="n">
        <f aca="false">'Data Sheet'!B6</f>
        <v>95.9197792227431</v>
      </c>
    </row>
    <row r="47" customFormat="false" ht="15" hidden="false" customHeight="true" outlineLevel="0" collapsed="false">
      <c r="B47" s="188" t="s">
        <v>450</v>
      </c>
      <c r="C47" s="188"/>
      <c r="D47" s="231" t="n">
        <f aca="false">D45/D46</f>
        <v>438.850332893607</v>
      </c>
    </row>
    <row r="48" customFormat="false" ht="15" hidden="false" customHeight="true" outlineLevel="0" collapsed="false"/>
    <row r="49" customFormat="false" ht="14.25" hidden="false" customHeight="false" outlineLevel="0" collapsed="false">
      <c r="B49" s="186" t="s">
        <v>55</v>
      </c>
      <c r="C49" s="186"/>
      <c r="D49" s="187" t="n">
        <f aca="false">'Data Sheet'!B8</f>
        <v>2645.2</v>
      </c>
    </row>
    <row r="50" customFormat="false" ht="14.25" hidden="false" customHeight="false" outlineLevel="0" collapsed="false">
      <c r="B50" s="186" t="s">
        <v>451</v>
      </c>
      <c r="C50" s="186"/>
      <c r="D50" s="232" t="n">
        <f aca="false">D49/D47-1</f>
        <v>5.02756749108195</v>
      </c>
    </row>
  </sheetData>
  <mergeCells count="1">
    <mergeCell ref="F29:M29"/>
  </mergeCells>
  <printOptions headings="false" gridLines="false" gridLinesSet="true" horizontalCentered="false" verticalCentered="false"/>
  <pageMargins left="0.7" right="0.7" top="0.75" bottom="0.75" header="0.511811023622047" footer="0.511811023622047"/>
  <pageSetup paperSize="1" scale="56"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39"/>
  <sheetViews>
    <sheetView showFormulas="false" showGridLines="false" showRowColHeaders="true" showZeros="true" rightToLeft="false" tabSelected="false" showOutlineSymbols="true" defaultGridColor="true" view="normal" topLeftCell="A3" colorId="64" zoomScale="70" zoomScaleNormal="70" zoomScalePageLayoutView="46" workbookViewId="0">
      <selection pane="topLeft" activeCell="O43" activeCellId="0" sqref="O43"/>
    </sheetView>
  </sheetViews>
  <sheetFormatPr defaultColWidth="8.6796875" defaultRowHeight="14.25" zeroHeight="false" outlineLevelRow="0" outlineLevelCol="0"/>
  <cols>
    <col collapsed="false" customWidth="true" hidden="false" outlineLevel="0" max="1" min="1" style="0" width="1.88"/>
    <col collapsed="false" customWidth="true" hidden="false" outlineLevel="0" max="2" min="2" style="0" width="34.78"/>
    <col collapsed="false" customWidth="true" hidden="false" outlineLevel="0" max="5" min="4" style="0" width="10.44"/>
    <col collapsed="false" customWidth="true" hidden="false" outlineLevel="0" max="6" min="6" style="0" width="11.89"/>
    <col collapsed="false" customWidth="true" hidden="false" outlineLevel="0" max="7" min="7" style="0" width="9.11"/>
    <col collapsed="false" customWidth="true" hidden="false" outlineLevel="0" max="8" min="8" style="0" width="11.89"/>
    <col collapsed="false" customWidth="true" hidden="false" outlineLevel="0" max="10" min="10" style="0" width="2"/>
    <col collapsed="false" customWidth="true" hidden="false" outlineLevel="0" max="11" min="11" style="0" width="10.21"/>
    <col collapsed="false" customWidth="true" hidden="false" outlineLevel="0" max="13" min="13" style="0" width="10.56"/>
    <col collapsed="false" customWidth="true" hidden="false" outlineLevel="0" max="14" min="14" style="0" width="2.11"/>
    <col collapsed="false" customWidth="true" hidden="false" outlineLevel="0" max="15" min="15" style="0" width="15"/>
    <col collapsed="false" customWidth="true" hidden="false" outlineLevel="0" max="16" min="16" style="0" width="12.56"/>
    <col collapsed="false" customWidth="true" hidden="false" outlineLevel="0" max="17" min="17" style="0" width="11.77"/>
  </cols>
  <sheetData>
    <row r="1" customFormat="false" ht="14.25" hidden="false" customHeight="false" outlineLevel="0" collapsed="false">
      <c r="B1" s="68"/>
      <c r="C1" s="68"/>
      <c r="D1" s="68"/>
      <c r="E1" s="68"/>
      <c r="F1" s="68"/>
      <c r="G1" s="68"/>
      <c r="H1" s="68"/>
      <c r="I1" s="68"/>
      <c r="J1" s="68"/>
      <c r="K1" s="68"/>
      <c r="L1" s="68"/>
      <c r="M1" s="68"/>
      <c r="N1" s="68"/>
      <c r="O1" s="68"/>
      <c r="P1" s="68"/>
      <c r="Q1" s="68"/>
    </row>
    <row r="2" customFormat="false" ht="45.75" hidden="false" customHeight="true" outlineLevel="0" collapsed="false">
      <c r="B2" s="69" t="str">
        <f aca="false">'Data Sheet'!B1</f>
        <v>ASIAN PAINTS LTD</v>
      </c>
      <c r="J2" s="69"/>
      <c r="L2" s="69"/>
    </row>
    <row r="3" customFormat="false" ht="14.25" hidden="false" customHeight="false" outlineLevel="0" collapsed="false">
      <c r="B3" s="0" t="s">
        <v>150</v>
      </c>
    </row>
    <row r="4" customFormat="false" ht="21" hidden="false" customHeight="true" outlineLevel="0" collapsed="false">
      <c r="B4" s="70" t="str">
        <f aca="false">CONCATENATE("INR "&amp;'Data Sheet'!B8)</f>
        <v>INR 2645.2</v>
      </c>
      <c r="J4" s="70"/>
      <c r="L4" s="70"/>
    </row>
    <row r="5" customFormat="false" ht="14.25" hidden="false" customHeight="false" outlineLevel="0" collapsed="false">
      <c r="B5" s="0" t="s">
        <v>151</v>
      </c>
    </row>
    <row r="6" customFormat="false" ht="15" hidden="false" customHeight="true" outlineLevel="0" collapsed="false">
      <c r="B6" s="71"/>
      <c r="C6" s="71"/>
      <c r="D6" s="71"/>
      <c r="E6" s="71"/>
      <c r="F6" s="71"/>
      <c r="G6" s="71"/>
      <c r="H6" s="71"/>
      <c r="I6" s="71"/>
      <c r="J6" s="71"/>
      <c r="K6" s="71"/>
      <c r="L6" s="71"/>
      <c r="M6" s="71"/>
      <c r="N6" s="71"/>
      <c r="O6" s="71"/>
      <c r="P6" s="71"/>
      <c r="Q6" s="71"/>
    </row>
    <row r="7" customFormat="false" ht="4.5" hidden="false" customHeight="true" outlineLevel="0" collapsed="false"/>
    <row r="8" customFormat="false" ht="18" hidden="false" customHeight="true" outlineLevel="0" collapsed="false">
      <c r="B8" s="233" t="s">
        <v>18</v>
      </c>
      <c r="C8" s="234"/>
      <c r="D8" s="234"/>
      <c r="E8" s="234"/>
      <c r="F8" s="234"/>
      <c r="G8" s="234"/>
      <c r="H8" s="234"/>
      <c r="I8" s="234"/>
      <c r="J8" s="234"/>
      <c r="K8" s="234"/>
      <c r="L8" s="234"/>
      <c r="M8" s="234"/>
      <c r="N8" s="234"/>
      <c r="O8" s="234"/>
      <c r="P8" s="234"/>
      <c r="Q8" s="234"/>
    </row>
    <row r="9" customFormat="false" ht="5.25" hidden="false" customHeight="true" outlineLevel="0" collapsed="false"/>
    <row r="10" customFormat="false" ht="15" hidden="false" customHeight="true" outlineLevel="0" collapsed="false">
      <c r="B10" s="235"/>
      <c r="C10" s="235"/>
      <c r="D10" s="236" t="s">
        <v>452</v>
      </c>
      <c r="E10" s="236"/>
      <c r="F10" s="236"/>
      <c r="G10" s="236"/>
      <c r="H10" s="236"/>
      <c r="I10" s="236"/>
      <c r="J10" s="235"/>
      <c r="K10" s="236" t="s">
        <v>453</v>
      </c>
      <c r="L10" s="236"/>
      <c r="M10" s="236"/>
      <c r="N10" s="235"/>
      <c r="O10" s="236" t="s">
        <v>454</v>
      </c>
      <c r="P10" s="236"/>
      <c r="Q10" s="236"/>
    </row>
    <row r="11" customFormat="false" ht="3.75" hidden="false" customHeight="true" outlineLevel="0" collapsed="false">
      <c r="B11" s="235"/>
      <c r="C11" s="235"/>
      <c r="D11" s="235"/>
      <c r="E11" s="235"/>
      <c r="F11" s="235"/>
      <c r="G11" s="235"/>
      <c r="H11" s="235"/>
      <c r="I11" s="235"/>
      <c r="J11" s="235"/>
      <c r="K11" s="235"/>
      <c r="L11" s="235"/>
      <c r="M11" s="235"/>
      <c r="N11" s="235"/>
      <c r="O11" s="235"/>
      <c r="P11" s="235"/>
      <c r="Q11" s="235"/>
    </row>
    <row r="12" customFormat="false" ht="14.25" hidden="false" customHeight="false" outlineLevel="0" collapsed="false">
      <c r="B12" s="235"/>
      <c r="C12" s="235"/>
      <c r="D12" s="237" t="s">
        <v>455</v>
      </c>
      <c r="E12" s="237" t="s">
        <v>456</v>
      </c>
      <c r="F12" s="237" t="s">
        <v>217</v>
      </c>
      <c r="G12" s="237"/>
      <c r="H12" s="237" t="s">
        <v>457</v>
      </c>
      <c r="I12" s="235"/>
      <c r="J12" s="235"/>
      <c r="K12" s="235"/>
      <c r="L12" s="235"/>
      <c r="M12" s="235"/>
      <c r="N12" s="235"/>
      <c r="O12" s="235"/>
      <c r="P12" s="235"/>
      <c r="Q12" s="235"/>
    </row>
    <row r="13" customFormat="false" ht="14.25" hidden="false" customHeight="false" outlineLevel="0" collapsed="false">
      <c r="B13" s="238" t="s">
        <v>458</v>
      </c>
      <c r="C13" s="238" t="s">
        <v>459</v>
      </c>
      <c r="D13" s="237" t="s">
        <v>460</v>
      </c>
      <c r="E13" s="237" t="s">
        <v>461</v>
      </c>
      <c r="F13" s="237" t="s">
        <v>208</v>
      </c>
      <c r="G13" s="237" t="s">
        <v>462</v>
      </c>
      <c r="H13" s="237" t="s">
        <v>208</v>
      </c>
      <c r="I13" s="235"/>
      <c r="J13" s="235"/>
      <c r="K13" s="237" t="s">
        <v>463</v>
      </c>
      <c r="L13" s="237" t="s">
        <v>82</v>
      </c>
      <c r="M13" s="237" t="s">
        <v>464</v>
      </c>
      <c r="N13" s="235"/>
      <c r="O13" s="237" t="s">
        <v>465</v>
      </c>
      <c r="P13" s="237" t="s">
        <v>40</v>
      </c>
      <c r="Q13" s="239" t="s">
        <v>466</v>
      </c>
    </row>
    <row r="14" customFormat="false" ht="14.25" hidden="false" customHeight="false" outlineLevel="0" collapsed="false">
      <c r="B14" s="211" t="s">
        <v>385</v>
      </c>
      <c r="C14" s="211"/>
      <c r="D14" s="110" t="n">
        <f aca="false">Data!D4</f>
        <v>2737.8</v>
      </c>
      <c r="E14" s="110" t="n">
        <f aca="false">Data!E4</f>
        <v>95.92</v>
      </c>
      <c r="F14" s="110" t="n">
        <f aca="false">D14*E14</f>
        <v>262609.776</v>
      </c>
      <c r="G14" s="110" t="n">
        <f aca="false">Data!F4-Data!G4</f>
        <v>2855.25</v>
      </c>
      <c r="H14" s="110" t="n">
        <f aca="false">G14+F14</f>
        <v>265465.026</v>
      </c>
      <c r="I14" s="110"/>
      <c r="J14" s="110"/>
      <c r="K14" s="110" t="n">
        <f aca="false">Data!I4</f>
        <v>35583.54</v>
      </c>
      <c r="L14" s="110" t="n">
        <f aca="false">Data!L4</f>
        <v>7589.12</v>
      </c>
      <c r="M14" s="110" t="n">
        <f aca="false">Data!K4</f>
        <v>4394.69</v>
      </c>
      <c r="N14" s="110"/>
      <c r="O14" s="240" t="n">
        <f aca="false">H14/K14</f>
        <v>7.46033210860977</v>
      </c>
      <c r="P14" s="240" t="n">
        <f aca="false">H14/L14</f>
        <v>34.9796848646483</v>
      </c>
      <c r="Q14" s="240" t="n">
        <f aca="false">F14/M14</f>
        <v>59.7561548141052</v>
      </c>
    </row>
    <row r="15" customFormat="false" ht="14.25" hidden="false" customHeight="false" outlineLevel="0" collapsed="false">
      <c r="B15" s="186" t="s">
        <v>387</v>
      </c>
      <c r="C15" s="186"/>
      <c r="D15" s="187" t="n">
        <f aca="false">Data!D5</f>
        <v>519.45</v>
      </c>
      <c r="E15" s="187" t="n">
        <f aca="false">Data!E5</f>
        <v>116.6</v>
      </c>
      <c r="F15" s="187" t="n">
        <f aca="false">D15*E15</f>
        <v>60567.87</v>
      </c>
      <c r="G15" s="187" t="n">
        <f aca="false">Data!F5-Data!G5</f>
        <v>329.82</v>
      </c>
      <c r="H15" s="187" t="n">
        <f aca="false">G15+F15</f>
        <v>60897.69</v>
      </c>
      <c r="I15" s="187"/>
      <c r="J15" s="187"/>
      <c r="K15" s="187" t="n">
        <f aca="false">Data!I5</f>
        <v>11880.25</v>
      </c>
      <c r="L15" s="187" t="n">
        <f aca="false">Data!L5</f>
        <v>1991.05</v>
      </c>
      <c r="M15" s="187" t="n">
        <f aca="false">Data!K5</f>
        <v>1128.02</v>
      </c>
      <c r="N15" s="187"/>
      <c r="O15" s="241" t="n">
        <f aca="false">H15/K15</f>
        <v>5.12596031228299</v>
      </c>
      <c r="P15" s="241" t="n">
        <f aca="false">H15/L15</f>
        <v>30.5857160794556</v>
      </c>
      <c r="Q15" s="241" t="n">
        <f aca="false">F15/M15</f>
        <v>53.6939681920533</v>
      </c>
    </row>
    <row r="16" customFormat="false" ht="14.25" hidden="false" customHeight="false" outlineLevel="0" collapsed="false">
      <c r="B16" s="186" t="s">
        <v>388</v>
      </c>
      <c r="C16" s="186"/>
      <c r="D16" s="187" t="n">
        <f aca="false">Data!D6</f>
        <v>211.83</v>
      </c>
      <c r="E16" s="187" t="n">
        <f aca="false">Data!E6</f>
        <v>80.87</v>
      </c>
      <c r="F16" s="187" t="n">
        <f aca="false">D16*E16</f>
        <v>17130.6921</v>
      </c>
      <c r="G16" s="187" t="n">
        <f aca="false">Data!F6-Data!G6</f>
        <v>76.95</v>
      </c>
      <c r="H16" s="187" t="n">
        <f aca="false">G16+F16</f>
        <v>17207.6421</v>
      </c>
      <c r="I16" s="187"/>
      <c r="J16" s="187"/>
      <c r="K16" s="187" t="n">
        <f aca="false">Data!I6</f>
        <v>8051.91</v>
      </c>
      <c r="L16" s="187" t="n">
        <f aca="false">Data!L6</f>
        <v>1049.22</v>
      </c>
      <c r="M16" s="187" t="n">
        <f aca="false">Data!K6</f>
        <v>575.84</v>
      </c>
      <c r="N16" s="187"/>
      <c r="O16" s="241" t="n">
        <f aca="false">H16/K16</f>
        <v>2.13708823123954</v>
      </c>
      <c r="P16" s="241" t="n">
        <f aca="false">H16/L16</f>
        <v>16.4004137359181</v>
      </c>
      <c r="Q16" s="241" t="n">
        <f aca="false">F16/M16</f>
        <v>29.7490485204223</v>
      </c>
    </row>
    <row r="17" customFormat="false" ht="14.25" hidden="false" customHeight="false" outlineLevel="0" collapsed="false">
      <c r="B17" s="186" t="s">
        <v>467</v>
      </c>
      <c r="C17" s="186"/>
      <c r="D17" s="187" t="n">
        <f aca="false">Data!D7</f>
        <v>3276.6</v>
      </c>
      <c r="E17" s="187" t="n">
        <f aca="false">Data!E7</f>
        <v>4.55</v>
      </c>
      <c r="F17" s="187" t="n">
        <f aca="false">D17*E17</f>
        <v>14908.53</v>
      </c>
      <c r="G17" s="187" t="n">
        <f aca="false">Data!F7-Data!G7</f>
        <v>-244.6</v>
      </c>
      <c r="H17" s="187" t="n">
        <f aca="false">G17+F17</f>
        <v>14663.93</v>
      </c>
      <c r="I17" s="187"/>
      <c r="J17" s="187"/>
      <c r="K17" s="187" t="n">
        <f aca="false">Data!I7</f>
        <v>3599.2</v>
      </c>
      <c r="L17" s="187" t="n">
        <f aca="false">Data!L7</f>
        <v>521.2</v>
      </c>
      <c r="M17" s="187" t="n">
        <f aca="false">Data!K7</f>
        <v>1973.8</v>
      </c>
      <c r="N17" s="187"/>
      <c r="O17" s="241" t="n">
        <f aca="false">H17/K17</f>
        <v>4.0742192709491</v>
      </c>
      <c r="P17" s="241" t="n">
        <f aca="false">H17/L17</f>
        <v>28.1349386032233</v>
      </c>
      <c r="Q17" s="241" t="n">
        <f aca="false">F17/M17</f>
        <v>7.55321207822474</v>
      </c>
    </row>
    <row r="18" customFormat="false" ht="14.25" hidden="false" customHeight="false" outlineLevel="0" collapsed="false">
      <c r="B18" s="186" t="s">
        <v>389</v>
      </c>
      <c r="C18" s="186"/>
      <c r="D18" s="187" t="n">
        <f aca="false">Data!D8</f>
        <v>1065.9</v>
      </c>
      <c r="E18" s="187" t="n">
        <f aca="false">Data!E8</f>
        <v>4.77</v>
      </c>
      <c r="F18" s="187" t="n">
        <f aca="false">D18*E18</f>
        <v>5084.343</v>
      </c>
      <c r="G18" s="187" t="n">
        <f aca="false">Data!F8-Data!G8</f>
        <v>-10.18</v>
      </c>
      <c r="H18" s="187" t="n">
        <f aca="false">G18+F18</f>
        <v>5074.163</v>
      </c>
      <c r="I18" s="187"/>
      <c r="J18" s="187"/>
      <c r="K18" s="187" t="n">
        <f aca="false">Data!I8</f>
        <v>1330.12</v>
      </c>
      <c r="L18" s="187" t="n">
        <f aca="false">Data!L8</f>
        <v>258.94</v>
      </c>
      <c r="M18" s="187" t="n">
        <f aca="false">Data!K8</f>
        <v>145.39</v>
      </c>
      <c r="N18" s="187"/>
      <c r="O18" s="241" t="n">
        <f aca="false">H18/K18</f>
        <v>3.81481595645506</v>
      </c>
      <c r="P18" s="241" t="n">
        <f aca="false">H18/L18</f>
        <v>19.5959025256816</v>
      </c>
      <c r="Q18" s="241" t="n">
        <f aca="false">F18/M18</f>
        <v>34.9703762294518</v>
      </c>
    </row>
    <row r="19" customFormat="false" ht="14.25" hidden="false" customHeight="false" outlineLevel="0" collapsed="false">
      <c r="B19" s="186" t="s">
        <v>468</v>
      </c>
      <c r="C19" s="186"/>
      <c r="D19" s="187" t="n">
        <f aca="false">Data!D9</f>
        <v>402.45</v>
      </c>
      <c r="E19" s="187" t="n">
        <f aca="false">Data!E9</f>
        <v>5.68</v>
      </c>
      <c r="F19" s="187" t="n">
        <f aca="false">D19*E19</f>
        <v>2285.916</v>
      </c>
      <c r="G19" s="187" t="n">
        <f aca="false">Data!F9-Data!G9</f>
        <v>-25.66</v>
      </c>
      <c r="H19" s="187" t="n">
        <f aca="false">G19+F19</f>
        <v>2260.256</v>
      </c>
      <c r="I19" s="187"/>
      <c r="J19" s="187"/>
      <c r="K19" s="187" t="n">
        <f aca="false">Data!I9</f>
        <v>492.48</v>
      </c>
      <c r="L19" s="187" t="n">
        <f aca="false">Data!L9</f>
        <v>102.75</v>
      </c>
      <c r="M19" s="187" t="n">
        <f aca="false">Data!K9</f>
        <v>65.05</v>
      </c>
      <c r="N19" s="187"/>
      <c r="O19" s="241" t="n">
        <f aca="false">H19/K19</f>
        <v>4.58953866146849</v>
      </c>
      <c r="P19" s="241" t="n">
        <f aca="false">H19/L19</f>
        <v>21.9976253041363</v>
      </c>
      <c r="Q19" s="241" t="n">
        <f aca="false">F19/M19</f>
        <v>35.1409069946195</v>
      </c>
    </row>
    <row r="20" customFormat="false" ht="14.25" hidden="false" customHeight="false" outlineLevel="0" collapsed="false">
      <c r="B20" s="186" t="s">
        <v>469</v>
      </c>
      <c r="C20" s="186"/>
      <c r="D20" s="187" t="n">
        <f aca="false">Data!D10</f>
        <v>51.82</v>
      </c>
      <c r="E20" s="187" t="n">
        <f aca="false">Data!E10</f>
        <v>8.37</v>
      </c>
      <c r="F20" s="187" t="n">
        <f aca="false">D20*E20</f>
        <v>433.7334</v>
      </c>
      <c r="G20" s="187" t="n">
        <f aca="false">Data!F10-Data!G10</f>
        <v>117.67</v>
      </c>
      <c r="H20" s="187" t="n">
        <f aca="false">G20+F20</f>
        <v>551.4034</v>
      </c>
      <c r="I20" s="187"/>
      <c r="J20" s="187"/>
      <c r="K20" s="187" t="n">
        <f aca="false">Data!I10</f>
        <v>575.63</v>
      </c>
      <c r="L20" s="187" t="n">
        <f aca="false">Data!L10</f>
        <v>-15.88</v>
      </c>
      <c r="M20" s="187" t="n">
        <f aca="false">Data!K10</f>
        <v>-64.95</v>
      </c>
      <c r="N20" s="187"/>
      <c r="O20" s="241" t="n">
        <f aca="false">H20/K20</f>
        <v>0.957912895436304</v>
      </c>
      <c r="P20" s="241" t="n">
        <f aca="false">H20/L20</f>
        <v>-34.7231360201511</v>
      </c>
      <c r="Q20" s="241" t="n">
        <f aca="false">F20/M20</f>
        <v>-6.6779584295612</v>
      </c>
    </row>
    <row r="22" customFormat="false" ht="14.25" hidden="false" customHeight="false" outlineLevel="0" collapsed="false">
      <c r="B22" s="242" t="s">
        <v>470</v>
      </c>
      <c r="C22" s="242"/>
      <c r="D22" s="242"/>
      <c r="E22" s="242"/>
      <c r="F22" s="242"/>
      <c r="G22" s="242"/>
      <c r="H22" s="242"/>
      <c r="I22" s="242"/>
      <c r="J22" s="242"/>
      <c r="K22" s="242"/>
      <c r="L22" s="242"/>
      <c r="M22" s="242"/>
      <c r="N22" s="242"/>
      <c r="O22" s="243" t="n">
        <f aca="false">MAX(O14:O20)</f>
        <v>7.46033210860977</v>
      </c>
      <c r="P22" s="243" t="n">
        <f aca="false">MAX(P14:P20)</f>
        <v>34.9796848646483</v>
      </c>
      <c r="Q22" s="243" t="n">
        <f aca="false">MAX(Q14:Q20)</f>
        <v>59.7561548141052</v>
      </c>
    </row>
    <row r="23" customFormat="false" ht="14.25" hidden="false" customHeight="false" outlineLevel="0" collapsed="false">
      <c r="B23" s="242" t="s">
        <v>471</v>
      </c>
      <c r="C23" s="242"/>
      <c r="D23" s="242"/>
      <c r="E23" s="242"/>
      <c r="F23" s="242"/>
      <c r="G23" s="242"/>
      <c r="H23" s="242"/>
      <c r="I23" s="242"/>
      <c r="J23" s="242"/>
      <c r="K23" s="242"/>
      <c r="L23" s="242"/>
      <c r="M23" s="242"/>
      <c r="N23" s="242"/>
      <c r="O23" s="243" t="n">
        <f aca="false">QUARTILE(O14:O20,3)</f>
        <v>4.85774948687574</v>
      </c>
      <c r="P23" s="243" t="n">
        <f aca="false">QUARTILE(P14:P20,3)</f>
        <v>29.3603273413394</v>
      </c>
      <c r="Q23" s="243" t="n">
        <f aca="false">QUARTILE(Q14:Q20,3)</f>
        <v>44.4174375933364</v>
      </c>
    </row>
    <row r="24" customFormat="false" ht="14.25" hidden="false" customHeight="false" outlineLevel="0" collapsed="false">
      <c r="B24" s="244" t="s">
        <v>390</v>
      </c>
      <c r="C24" s="244"/>
      <c r="D24" s="244"/>
      <c r="E24" s="244"/>
      <c r="F24" s="244"/>
      <c r="G24" s="244"/>
      <c r="H24" s="244"/>
      <c r="I24" s="244"/>
      <c r="J24" s="244"/>
      <c r="K24" s="244"/>
      <c r="L24" s="244"/>
      <c r="M24" s="244"/>
      <c r="N24" s="244"/>
      <c r="O24" s="245" t="n">
        <f aca="false">AVERAGE(O14:O20)</f>
        <v>4.02283820520589</v>
      </c>
      <c r="P24" s="245" t="n">
        <f aca="false">AVERAGE(P14:P20)</f>
        <v>16.7101635847017</v>
      </c>
      <c r="Q24" s="245" t="n">
        <f aca="false">AVERAGE(Q14:Q20)</f>
        <v>30.5979583427594</v>
      </c>
    </row>
    <row r="25" customFormat="false" ht="14.25" hidden="false" customHeight="false" outlineLevel="0" collapsed="false">
      <c r="B25" s="244" t="s">
        <v>154</v>
      </c>
      <c r="C25" s="244"/>
      <c r="D25" s="244"/>
      <c r="E25" s="244"/>
      <c r="F25" s="244"/>
      <c r="G25" s="244"/>
      <c r="H25" s="244"/>
      <c r="I25" s="244"/>
      <c r="J25" s="244"/>
      <c r="K25" s="244"/>
      <c r="L25" s="244"/>
      <c r="M25" s="244"/>
      <c r="N25" s="244"/>
      <c r="O25" s="245" t="n">
        <f aca="false">MEDIAN(O14:O20)</f>
        <v>4.0742192709491</v>
      </c>
      <c r="P25" s="245" t="n">
        <f aca="false">MEDIAN(P14:P20)</f>
        <v>21.9976253041363</v>
      </c>
      <c r="Q25" s="245" t="n">
        <f aca="false">MEDIAN(Q14:Q20)</f>
        <v>34.9703762294518</v>
      </c>
    </row>
    <row r="26" customFormat="false" ht="14.25" hidden="false" customHeight="false" outlineLevel="0" collapsed="false">
      <c r="B26" s="242" t="s">
        <v>472</v>
      </c>
      <c r="C26" s="242"/>
      <c r="D26" s="242"/>
      <c r="E26" s="242"/>
      <c r="F26" s="242"/>
      <c r="G26" s="242"/>
      <c r="H26" s="242"/>
      <c r="I26" s="242"/>
      <c r="J26" s="242"/>
      <c r="K26" s="242"/>
      <c r="L26" s="242"/>
      <c r="M26" s="242"/>
      <c r="N26" s="242"/>
      <c r="O26" s="243" t="n">
        <f aca="false">QUARTILE(O14:O20,1)</f>
        <v>2.9759520938473</v>
      </c>
      <c r="P26" s="243" t="n">
        <f aca="false">QUARTILE(P14:P20,1)</f>
        <v>17.9981581307999</v>
      </c>
      <c r="Q26" s="243" t="n">
        <f aca="false">QUARTILE(Q14:Q20,1)</f>
        <v>18.6511302993235</v>
      </c>
    </row>
    <row r="27" customFormat="false" ht="14.25" hidden="false" customHeight="false" outlineLevel="0" collapsed="false">
      <c r="B27" s="242" t="s">
        <v>473</v>
      </c>
      <c r="C27" s="242"/>
      <c r="D27" s="242"/>
      <c r="E27" s="242"/>
      <c r="F27" s="242"/>
      <c r="G27" s="242"/>
      <c r="H27" s="242"/>
      <c r="I27" s="242"/>
      <c r="J27" s="242"/>
      <c r="K27" s="242"/>
      <c r="L27" s="242"/>
      <c r="M27" s="242"/>
      <c r="N27" s="242"/>
      <c r="O27" s="243" t="n">
        <f aca="false">MIN(O14:O20)</f>
        <v>0.957912895436304</v>
      </c>
      <c r="P27" s="243" t="n">
        <f aca="false">MIN(P14:P20)</f>
        <v>-34.7231360201511</v>
      </c>
      <c r="Q27" s="243" t="n">
        <f aca="false">MIN(Q14:Q20)</f>
        <v>-6.6779584295612</v>
      </c>
    </row>
    <row r="29" customFormat="false" ht="18" hidden="false" customHeight="true" outlineLevel="0" collapsed="false">
      <c r="B29" s="246" t="s">
        <v>474</v>
      </c>
      <c r="C29" s="238"/>
      <c r="D29" s="238"/>
      <c r="E29" s="238"/>
      <c r="F29" s="238"/>
      <c r="G29" s="238"/>
      <c r="H29" s="238"/>
      <c r="I29" s="238"/>
      <c r="J29" s="238"/>
      <c r="K29" s="238"/>
      <c r="L29" s="238"/>
      <c r="M29" s="238"/>
      <c r="N29" s="238"/>
      <c r="O29" s="247" t="s">
        <v>465</v>
      </c>
      <c r="P29" s="247" t="s">
        <v>40</v>
      </c>
      <c r="Q29" s="248" t="s">
        <v>466</v>
      </c>
    </row>
    <row r="31" customFormat="false" ht="14.25" hidden="false" customHeight="false" outlineLevel="0" collapsed="false">
      <c r="B31" s="23" t="s">
        <v>475</v>
      </c>
      <c r="C31" s="23"/>
      <c r="D31" s="23"/>
      <c r="E31" s="23"/>
      <c r="F31" s="23"/>
      <c r="G31" s="23"/>
      <c r="H31" s="23"/>
      <c r="I31" s="23"/>
      <c r="J31" s="23"/>
      <c r="K31" s="23"/>
      <c r="L31" s="23"/>
      <c r="M31" s="23"/>
      <c r="N31" s="23"/>
      <c r="O31" s="26" t="n">
        <f aca="false">O25*K14</f>
        <v>144975.144396588</v>
      </c>
      <c r="P31" s="26" t="n">
        <f aca="false">P25*L14</f>
        <v>166942.618148127</v>
      </c>
      <c r="Q31" s="26" t="n">
        <f aca="false">Q32+Q33</f>
        <v>156539.21271181</v>
      </c>
    </row>
    <row r="32" customFormat="false" ht="14.25" hidden="false" customHeight="false" outlineLevel="0" collapsed="false">
      <c r="B32" s="23" t="s">
        <v>476</v>
      </c>
      <c r="C32" s="23"/>
      <c r="D32" s="23"/>
      <c r="E32" s="23"/>
      <c r="F32" s="23"/>
      <c r="G32" s="23"/>
      <c r="H32" s="23"/>
      <c r="I32" s="23"/>
      <c r="J32" s="23"/>
      <c r="K32" s="23"/>
      <c r="L32" s="23"/>
      <c r="M32" s="23"/>
      <c r="N32" s="23"/>
      <c r="O32" s="26" t="n">
        <f aca="false">$G$14</f>
        <v>2855.25</v>
      </c>
      <c r="P32" s="26" t="n">
        <f aca="false">$G$14</f>
        <v>2855.25</v>
      </c>
      <c r="Q32" s="26" t="n">
        <f aca="false">$G$14</f>
        <v>2855.25</v>
      </c>
    </row>
    <row r="33" customFormat="false" ht="14.25" hidden="false" customHeight="false" outlineLevel="0" collapsed="false">
      <c r="B33" s="23" t="s">
        <v>477</v>
      </c>
      <c r="C33" s="23"/>
      <c r="D33" s="23"/>
      <c r="E33" s="23"/>
      <c r="F33" s="23"/>
      <c r="G33" s="23"/>
      <c r="H33" s="23"/>
      <c r="I33" s="23"/>
      <c r="J33" s="23"/>
      <c r="K33" s="23"/>
      <c r="L33" s="23"/>
      <c r="M33" s="23"/>
      <c r="N33" s="23"/>
      <c r="O33" s="26" t="n">
        <f aca="false">O31-O32</f>
        <v>142119.894396588</v>
      </c>
      <c r="P33" s="26" t="n">
        <f aca="false">P31-P32</f>
        <v>164087.368148127</v>
      </c>
      <c r="Q33" s="26" t="n">
        <f aca="false">Q25*M14</f>
        <v>153683.96271181</v>
      </c>
    </row>
    <row r="34" customFormat="false" ht="15" hidden="false" customHeight="true" outlineLevel="0" collapsed="false">
      <c r="B34" s="0" t="s">
        <v>478</v>
      </c>
      <c r="O34" s="54" t="n">
        <f aca="false">$E$14</f>
        <v>95.92</v>
      </c>
      <c r="P34" s="54" t="n">
        <f aca="false">$E$14</f>
        <v>95.92</v>
      </c>
      <c r="Q34" s="54" t="n">
        <f aca="false">$E$14</f>
        <v>95.92</v>
      </c>
    </row>
    <row r="35" customFormat="false" ht="15" hidden="false" customHeight="true" outlineLevel="0" collapsed="false">
      <c r="B35" s="249" t="s">
        <v>479</v>
      </c>
      <c r="C35" s="249"/>
      <c r="D35" s="249"/>
      <c r="E35" s="249"/>
      <c r="F35" s="249"/>
      <c r="G35" s="249"/>
      <c r="H35" s="249"/>
      <c r="I35" s="249"/>
      <c r="J35" s="249"/>
      <c r="K35" s="249"/>
      <c r="L35" s="249"/>
      <c r="M35" s="249"/>
      <c r="N35" s="249"/>
      <c r="O35" s="250" t="n">
        <f aca="false">O33/O34</f>
        <v>1481.65027519379</v>
      </c>
      <c r="P35" s="250" t="n">
        <f aca="false">P33/P34</f>
        <v>1710.66897568939</v>
      </c>
      <c r="Q35" s="250" t="n">
        <f aca="false">Q33/Q34</f>
        <v>1602.20978640335</v>
      </c>
    </row>
    <row r="36" customFormat="false" ht="15" hidden="false" customHeight="true" outlineLevel="0" collapsed="false"/>
    <row r="37" customFormat="false" ht="15" hidden="false" customHeight="true" outlineLevel="0" collapsed="false">
      <c r="O37" s="251" t="str">
        <f aca="false">IF(O35&gt;$D$14,"Undervalued","Overvalued")</f>
        <v>Overvalued</v>
      </c>
      <c r="P37" s="251" t="str">
        <f aca="false">IF(P35&gt;$D$14,"Undervalued","Overvalued")</f>
        <v>Overvalued</v>
      </c>
      <c r="Q37" s="251" t="str">
        <f aca="false">IF(Q35&gt;$D$14,"Undervalued","Overvalued")</f>
        <v>Overvalued</v>
      </c>
    </row>
    <row r="38" customFormat="false" ht="15" hidden="false" customHeight="true" outlineLevel="0" collapsed="false"/>
    <row r="39" customFormat="false" ht="9" hidden="false" customHeight="true" outlineLevel="0" collapsed="false">
      <c r="B39" s="1"/>
      <c r="C39" s="1"/>
      <c r="D39" s="1"/>
      <c r="E39" s="1"/>
      <c r="F39" s="1"/>
      <c r="G39" s="1"/>
      <c r="H39" s="1"/>
      <c r="I39" s="1"/>
      <c r="J39" s="1"/>
      <c r="K39" s="1"/>
      <c r="L39" s="1"/>
      <c r="M39" s="1"/>
      <c r="N39" s="1"/>
      <c r="O39" s="1"/>
      <c r="P39" s="1"/>
      <c r="Q39" s="1"/>
    </row>
  </sheetData>
  <mergeCells count="3">
    <mergeCell ref="D10:I10"/>
    <mergeCell ref="K10:M10"/>
    <mergeCell ref="O10:Q10"/>
  </mergeCells>
  <printOptions headings="false" gridLines="false" gridLinesSet="true" horizontalCentered="false" verticalCentered="false"/>
  <pageMargins left="0.7" right="0.7" top="0.75" bottom="0.75" header="0.511811023622047" footer="0.511811023622047"/>
  <pageSetup paperSize="9" scale="48"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O43" activeCellId="0" sqref="O43"/>
    </sheetView>
  </sheetViews>
  <sheetFormatPr defaultColWidth="8.6796875" defaultRowHeight="14.25" zeroHeight="false" outlineLevelRow="0" outlineLevelCol="0"/>
  <cols>
    <col collapsed="false" customWidth="true" hidden="false" outlineLevel="0" max="1" min="1" style="0" width="1.88"/>
    <col collapsed="false" customWidth="true" hidden="false" outlineLevel="0" max="2" min="2" style="0" width="8.56"/>
    <col collapsed="false" customWidth="true" hidden="false" outlineLevel="0" max="4" min="4" style="0" width="10.78"/>
    <col collapsed="false" customWidth="true" hidden="false" outlineLevel="0" max="5" min="5" style="0" width="10.56"/>
    <col collapsed="false" customWidth="true" hidden="false" outlineLevel="0" max="6" min="6" style="0" width="12.22"/>
    <col collapsed="false" customWidth="true" hidden="false" outlineLevel="0" max="7" min="7" style="0" width="11.56"/>
  </cols>
  <sheetData>
    <row r="1" customFormat="false" ht="14.25" hidden="false" customHeight="false" outlineLevel="0" collapsed="false">
      <c r="B1" s="68"/>
      <c r="C1" s="68"/>
      <c r="D1" s="68"/>
      <c r="E1" s="68"/>
      <c r="F1" s="68"/>
      <c r="G1" s="68"/>
      <c r="H1" s="68"/>
      <c r="I1" s="68"/>
      <c r="J1" s="68"/>
      <c r="K1" s="68"/>
      <c r="L1" s="68"/>
    </row>
    <row r="2" customFormat="false" ht="45.75" hidden="false" customHeight="true" outlineLevel="0" collapsed="false">
      <c r="B2" s="69" t="str">
        <f aca="false">'Data Sheet'!B1</f>
        <v>ASIAN PAINTS LTD</v>
      </c>
      <c r="J2" s="69"/>
    </row>
    <row r="3" customFormat="false" ht="14.25" hidden="false" customHeight="false" outlineLevel="0" collapsed="false">
      <c r="B3" s="0" t="s">
        <v>150</v>
      </c>
    </row>
    <row r="4" customFormat="false" ht="21" hidden="false" customHeight="true" outlineLevel="0" collapsed="false">
      <c r="B4" s="70" t="str">
        <f aca="false">CONCATENATE("INR "&amp;'Data Sheet'!B8)</f>
        <v>INR 2645.2</v>
      </c>
      <c r="J4" s="70"/>
    </row>
    <row r="5" customFormat="false" ht="14.25" hidden="false" customHeight="false" outlineLevel="0" collapsed="false">
      <c r="B5" s="0" t="s">
        <v>151</v>
      </c>
    </row>
    <row r="6" customFormat="false" ht="15" hidden="false" customHeight="true" outlineLevel="0" collapsed="false">
      <c r="B6" s="71"/>
      <c r="C6" s="71"/>
      <c r="D6" s="71"/>
      <c r="E6" s="71"/>
      <c r="F6" s="71"/>
      <c r="G6" s="71"/>
      <c r="H6" s="71"/>
      <c r="I6" s="71"/>
      <c r="J6" s="71"/>
      <c r="K6" s="71"/>
      <c r="L6" s="71"/>
    </row>
    <row r="9" customFormat="false" ht="18" hidden="false" customHeight="true" outlineLevel="0" collapsed="false">
      <c r="B9" s="11" t="str">
        <f aca="false">"Footbal Field Valuation Summary"&amp;" - "&amp;'Data Sheet'!B1</f>
        <v>Footbal Field Valuation Summary - ASIAN PAINTS LTD</v>
      </c>
      <c r="C9" s="11"/>
      <c r="D9" s="11"/>
      <c r="E9" s="11"/>
      <c r="F9" s="11"/>
      <c r="G9" s="11"/>
      <c r="H9" s="11"/>
      <c r="I9" s="11"/>
    </row>
    <row r="10" customFormat="false" ht="15" hidden="false" customHeight="true" outlineLevel="0" collapsed="false"/>
    <row r="11" customFormat="false" ht="14.25" hidden="false" customHeight="false" outlineLevel="0" collapsed="false">
      <c r="B11" s="252" t="s">
        <v>19</v>
      </c>
      <c r="C11" s="252"/>
      <c r="D11" s="252"/>
      <c r="E11" s="252"/>
      <c r="F11" s="252"/>
      <c r="G11" s="252"/>
    </row>
    <row r="12" customFormat="false" ht="14.25" hidden="false" customHeight="false" outlineLevel="0" collapsed="false">
      <c r="B12" s="253"/>
      <c r="D12" s="254" t="s">
        <v>480</v>
      </c>
      <c r="E12" s="254" t="s">
        <v>473</v>
      </c>
      <c r="F12" s="254" t="s">
        <v>481</v>
      </c>
      <c r="G12" s="255" t="s">
        <v>470</v>
      </c>
    </row>
    <row r="13" customFormat="false" ht="14.25" hidden="false" customHeight="false" outlineLevel="0" collapsed="false">
      <c r="B13" s="253" t="s">
        <v>482</v>
      </c>
      <c r="D13" s="256" t="n">
        <f aca="false">E13</f>
        <v>1481.65027519379</v>
      </c>
      <c r="E13" s="256" t="n">
        <f aca="false">Comp_Valuation!O35</f>
        <v>1481.65027519379</v>
      </c>
      <c r="F13" s="256" t="n">
        <f aca="false">G13</f>
        <v>1602.20978640335</v>
      </c>
      <c r="G13" s="257" t="n">
        <f aca="false">Comp_Valuation!Q35</f>
        <v>1602.20978640335</v>
      </c>
    </row>
    <row r="14" customFormat="false" ht="14.25" hidden="false" customHeight="false" outlineLevel="0" collapsed="false">
      <c r="B14" s="253" t="s">
        <v>483</v>
      </c>
      <c r="D14" s="256" t="n">
        <f aca="false">E14</f>
        <v>309.095826371477</v>
      </c>
      <c r="E14" s="256" t="n">
        <f aca="false">DCF!M33</f>
        <v>309.095826371477</v>
      </c>
      <c r="F14" s="256" t="n">
        <f aca="false">G14</f>
        <v>400.295437486951</v>
      </c>
      <c r="G14" s="257" t="n">
        <f aca="false">DCF!M37</f>
        <v>400.295437486951</v>
      </c>
    </row>
    <row r="15" customFormat="false" ht="14.25" hidden="false" customHeight="false" outlineLevel="0" collapsed="false">
      <c r="B15" s="253" t="s">
        <v>484</v>
      </c>
      <c r="D15" s="256" t="n">
        <f aca="false">E15</f>
        <v>370.089579035898</v>
      </c>
      <c r="E15" s="256" t="n">
        <f aca="false">DCF!J33</f>
        <v>370.089579035898</v>
      </c>
      <c r="F15" s="256" t="n">
        <f aca="false">G15</f>
        <v>560.14261107865</v>
      </c>
      <c r="G15" s="257" t="n">
        <f aca="false">DCF!J37</f>
        <v>560.14261107865</v>
      </c>
    </row>
    <row r="16" customFormat="false" ht="14.25" hidden="false" customHeight="false" outlineLevel="0" collapsed="false">
      <c r="B16" s="253" t="s">
        <v>485</v>
      </c>
      <c r="D16" s="256" t="n">
        <f aca="false">E16</f>
        <v>449.545203924353</v>
      </c>
      <c r="E16" s="256" t="n">
        <f aca="false">DCF!H33</f>
        <v>449.545203924353</v>
      </c>
      <c r="F16" s="256" t="n">
        <f aca="false">G16</f>
        <v>887.177402082444</v>
      </c>
      <c r="G16" s="257" t="n">
        <f aca="false">DCF!H37</f>
        <v>887.177402082444</v>
      </c>
    </row>
    <row r="17" customFormat="false" ht="15" hidden="false" customHeight="true" outlineLevel="0" collapsed="false">
      <c r="B17" s="258" t="s">
        <v>486</v>
      </c>
      <c r="C17" s="145"/>
      <c r="D17" s="259" t="n">
        <f aca="false">E17</f>
        <v>2115</v>
      </c>
      <c r="E17" s="145" t="n">
        <v>2115</v>
      </c>
      <c r="F17" s="260" t="n">
        <f aca="false">G17</f>
        <v>2985.7</v>
      </c>
      <c r="G17" s="261" t="n">
        <v>2985.7</v>
      </c>
    </row>
    <row r="41" customFormat="false" ht="9.75" hidden="false" customHeight="true" outlineLevel="0" collapsed="false">
      <c r="B41" s="1"/>
      <c r="C41" s="1"/>
      <c r="D41" s="1"/>
      <c r="E41" s="1"/>
      <c r="F41" s="1"/>
      <c r="G41" s="1"/>
      <c r="H41" s="1"/>
      <c r="I41" s="1"/>
      <c r="J41" s="1"/>
      <c r="K41" s="1"/>
      <c r="L41" s="1"/>
    </row>
  </sheetData>
  <mergeCells count="1">
    <mergeCell ref="B11:G11"/>
  </mergeCells>
  <printOptions headings="false" gridLines="false" gridLinesSet="true" horizontalCentered="false" verticalCentered="false"/>
  <pageMargins left="0.7" right="0.7" top="0.75" bottom="0.75" header="0.511811023622047" footer="0.511811023622047"/>
  <pageSetup paperSize="1" scale="83"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63"/>
  <sheetViews>
    <sheetView showFormulas="false" showGridLines="false" showRowColHeaders="true" showZeros="true" rightToLeft="false" tabSelected="false" showOutlineSymbols="true" defaultGridColor="true" view="normal" topLeftCell="A16" colorId="64" zoomScale="100" zoomScaleNormal="100" zoomScalePageLayoutView="100" workbookViewId="0">
      <selection pane="topLeft" activeCell="O43" activeCellId="0" sqref="O43"/>
    </sheetView>
  </sheetViews>
  <sheetFormatPr defaultColWidth="8.6796875" defaultRowHeight="14.25" zeroHeight="false" outlineLevelRow="0" outlineLevelCol="0"/>
  <cols>
    <col collapsed="false" customWidth="true" hidden="false" outlineLevel="0" max="1" min="1" style="0" width="1.88"/>
    <col collapsed="false" customWidth="true" hidden="false" outlineLevel="0" max="2" min="2" style="0" width="10.88"/>
    <col collapsed="false" customWidth="true" hidden="false" outlineLevel="0" max="3" min="3" style="0" width="11.56"/>
    <col collapsed="false" customWidth="true" hidden="false" outlineLevel="0" max="4" min="4" style="0" width="14.88"/>
    <col collapsed="false" customWidth="true" hidden="false" outlineLevel="0" max="5" min="5" style="0" width="15.44"/>
    <col collapsed="false" customWidth="true" hidden="false" outlineLevel="0" max="6" min="6" style="0" width="3.11"/>
    <col collapsed="false" customWidth="true" hidden="false" outlineLevel="0" max="7" min="7" style="0" width="11.22"/>
    <col collapsed="false" customWidth="true" hidden="false" outlineLevel="0" max="8" min="8" style="0" width="11.67"/>
    <col collapsed="false" customWidth="true" hidden="false" outlineLevel="0" max="9" min="9" style="0" width="9.67"/>
    <col collapsed="false" customWidth="true" hidden="false" outlineLevel="0" max="10" min="10" style="0" width="14.67"/>
    <col collapsed="false" customWidth="true" hidden="false" outlineLevel="0" max="11" min="11" style="0" width="12.44"/>
  </cols>
  <sheetData>
    <row r="2" customFormat="false" ht="14.25" hidden="false" customHeight="false" outlineLevel="0" collapsed="false">
      <c r="B2" s="49" t="s">
        <v>269</v>
      </c>
      <c r="C2" s="73" t="s">
        <v>487</v>
      </c>
      <c r="D2" s="73" t="s">
        <v>488</v>
      </c>
      <c r="E2" s="73" t="s">
        <v>489</v>
      </c>
      <c r="G2" s="48" t="str">
        <f aca="false">"Calculation of VAR (Historical Approch)"&amp;" - "&amp;'Data Sheet'!B1</f>
        <v>Calculation of VAR (Historical Approch) - ASIAN PAINTS LTD</v>
      </c>
      <c r="H2" s="48"/>
      <c r="I2" s="48"/>
      <c r="J2" s="48"/>
      <c r="K2" s="48"/>
    </row>
    <row r="3" customFormat="false" ht="14.25" hidden="false" customHeight="false" outlineLevel="0" collapsed="false">
      <c r="B3" s="9" t="s">
        <v>352</v>
      </c>
      <c r="C3" s="254" t="n">
        <v>3201.28</v>
      </c>
      <c r="D3" s="262" t="n">
        <f aca="false">(C3-C4)/C4</f>
        <v>0.123382274500997</v>
      </c>
      <c r="E3" s="262" t="n">
        <v>0.23692283914841</v>
      </c>
    </row>
    <row r="4" customFormat="false" ht="14.25" hidden="false" customHeight="false" outlineLevel="0" collapsed="false">
      <c r="B4" s="9" t="s">
        <v>287</v>
      </c>
      <c r="C4" s="254" t="n">
        <v>2849.68</v>
      </c>
      <c r="D4" s="262" t="n">
        <f aca="false">(C4-C5)/C5</f>
        <v>0.175867660833433</v>
      </c>
      <c r="E4" s="262" t="n">
        <v>0.146604863759999</v>
      </c>
      <c r="G4" s="186" t="s">
        <v>153</v>
      </c>
      <c r="H4" s="186"/>
      <c r="I4" s="186"/>
      <c r="J4" s="186"/>
      <c r="K4" s="263" t="n">
        <f aca="false">AVERAGE(E3:E62)</f>
        <v>0.000796129188077484</v>
      </c>
    </row>
    <row r="5" customFormat="false" ht="14.25" hidden="false" customHeight="false" outlineLevel="0" collapsed="false">
      <c r="B5" s="9" t="s">
        <v>279</v>
      </c>
      <c r="C5" s="254" t="n">
        <v>2423.47</v>
      </c>
      <c r="D5" s="262" t="n">
        <f aca="false">(C5-C6)/C6</f>
        <v>-0.210724637681159</v>
      </c>
      <c r="E5" s="262" t="n">
        <v>0.12899123256529</v>
      </c>
      <c r="G5" s="186" t="s">
        <v>490</v>
      </c>
      <c r="H5" s="186"/>
      <c r="I5" s="186"/>
      <c r="J5" s="186"/>
      <c r="K5" s="263" t="n">
        <f aca="false">STDEV(E3:E62)</f>
        <v>0.0731567348329176</v>
      </c>
    </row>
    <row r="6" customFormat="false" ht="14.25" hidden="false" customHeight="false" outlineLevel="0" collapsed="false">
      <c r="B6" s="9" t="s">
        <v>342</v>
      </c>
      <c r="C6" s="254" t="n">
        <v>3070.5</v>
      </c>
      <c r="D6" s="262" t="n">
        <f aca="false">(C6-C7)/C7</f>
        <v>0.159282947346165</v>
      </c>
      <c r="E6" s="262" t="n">
        <v>0.100127551020408</v>
      </c>
      <c r="G6" s="186" t="s">
        <v>491</v>
      </c>
      <c r="H6" s="186"/>
      <c r="I6" s="186"/>
      <c r="J6" s="186"/>
      <c r="K6" s="263" t="n">
        <f aca="false">MAX(E3:E62)</f>
        <v>0.23692283914841</v>
      </c>
    </row>
    <row r="7" customFormat="false" ht="14.25" hidden="false" customHeight="false" outlineLevel="0" collapsed="false">
      <c r="B7" s="9" t="s">
        <v>278</v>
      </c>
      <c r="C7" s="254" t="n">
        <v>2648.62</v>
      </c>
      <c r="D7" s="262" t="n">
        <f aca="false">(C7-C8)/C8</f>
        <v>-0.197256520764004</v>
      </c>
      <c r="E7" s="262" t="n">
        <v>0.0929039765295218</v>
      </c>
      <c r="G7" s="186" t="s">
        <v>492</v>
      </c>
      <c r="H7" s="186"/>
      <c r="I7" s="186"/>
      <c r="J7" s="186"/>
      <c r="K7" s="263" t="n">
        <f aca="false">MIN(E3:E62)</f>
        <v>-0.153901550600653</v>
      </c>
    </row>
    <row r="8" customFormat="false" ht="14.25" hidden="false" customHeight="false" outlineLevel="0" collapsed="false">
      <c r="B8" s="9" t="s">
        <v>335</v>
      </c>
      <c r="C8" s="254" t="n">
        <v>3299.46</v>
      </c>
      <c r="D8" s="262" t="n">
        <f aca="false">(C8-C9)/C9</f>
        <v>0.0215331077336521</v>
      </c>
      <c r="E8" s="262" t="n">
        <v>0.0905503222607834</v>
      </c>
      <c r="G8" s="186" t="s">
        <v>493</v>
      </c>
      <c r="H8" s="186"/>
      <c r="I8" s="186"/>
      <c r="J8" s="186"/>
      <c r="K8" s="264" t="n">
        <v>2752</v>
      </c>
    </row>
    <row r="9" customFormat="false" ht="14.25" hidden="false" customHeight="false" outlineLevel="0" collapsed="false">
      <c r="B9" s="9" t="s">
        <v>359</v>
      </c>
      <c r="C9" s="254" t="n">
        <v>3229.91</v>
      </c>
      <c r="D9" s="262" t="n">
        <f aca="false">(C9-C10)/C10</f>
        <v>0.406926802920217</v>
      </c>
      <c r="E9" s="262" t="n">
        <v>0.0761201290047443</v>
      </c>
    </row>
    <row r="10" customFormat="false" ht="14.25" hidden="false" customHeight="false" outlineLevel="0" collapsed="false">
      <c r="B10" s="9" t="s">
        <v>302</v>
      </c>
      <c r="C10" s="254" t="n">
        <v>2295.72</v>
      </c>
      <c r="D10" s="262" t="n">
        <f aca="false">(C10-C11)/C11</f>
        <v>-0.0762879629182561</v>
      </c>
      <c r="E10" s="262" t="n">
        <v>0.0738150810838623</v>
      </c>
      <c r="G10" s="49" t="s">
        <v>494</v>
      </c>
      <c r="H10" s="73" t="s">
        <v>495</v>
      </c>
      <c r="I10" s="73" t="s">
        <v>496</v>
      </c>
      <c r="J10" s="73" t="s">
        <v>497</v>
      </c>
      <c r="K10" s="73" t="s">
        <v>498</v>
      </c>
    </row>
    <row r="11" customFormat="false" ht="14.25" hidden="false" customHeight="false" outlineLevel="0" collapsed="false">
      <c r="B11" s="9" t="s">
        <v>289</v>
      </c>
      <c r="C11" s="254" t="n">
        <v>2485.32</v>
      </c>
      <c r="D11" s="262" t="n">
        <f aca="false">(C11-C12)/C12</f>
        <v>-0.237540687382846</v>
      </c>
      <c r="E11" s="262" t="n">
        <v>0.0684217766619666</v>
      </c>
    </row>
    <row r="12" customFormat="false" ht="14.25" hidden="false" customHeight="false" outlineLevel="0" collapsed="false">
      <c r="B12" s="9" t="s">
        <v>317</v>
      </c>
      <c r="C12" s="254" t="n">
        <v>3259.61</v>
      </c>
      <c r="D12" s="262" t="n">
        <f aca="false">(C12-C13)/C13</f>
        <v>0.00152397339191619</v>
      </c>
      <c r="E12" s="262" t="n">
        <v>0.064699676305638</v>
      </c>
      <c r="G12" s="265" t="n">
        <v>0.05</v>
      </c>
      <c r="H12" s="266" t="n">
        <f aca="false">100%-G12</f>
        <v>0.95</v>
      </c>
      <c r="I12" s="267" t="n">
        <f aca="false">_xlfn.PERCENTILE.INC(E3:E62,G12)</f>
        <v>-0.118436662549863</v>
      </c>
      <c r="J12" s="268" t="n">
        <f aca="false">$K$8*(1-G12)</f>
        <v>2614.4</v>
      </c>
      <c r="K12" s="268" t="n">
        <f aca="false">$K$8-J12</f>
        <v>137.6</v>
      </c>
    </row>
    <row r="13" customFormat="false" ht="14.25" hidden="false" customHeight="false" outlineLevel="0" collapsed="false">
      <c r="B13" s="9" t="s">
        <v>341</v>
      </c>
      <c r="C13" s="254" t="n">
        <v>3254.65</v>
      </c>
      <c r="D13" s="262" t="n">
        <f aca="false">(C13-C14)/C14</f>
        <v>0.0776736963050525</v>
      </c>
      <c r="E13" s="262" t="n">
        <v>0.059973945611464</v>
      </c>
      <c r="G13" s="265" t="n">
        <v>0.01</v>
      </c>
      <c r="H13" s="266" t="n">
        <f aca="false">100%-G13</f>
        <v>0.99</v>
      </c>
      <c r="I13" s="267" t="n">
        <f aca="false">_xlfn.PERCENTILE.INC(E4:E63,G13)</f>
        <v>-0.140420142769068</v>
      </c>
      <c r="J13" s="268" t="n">
        <f aca="false">$K$8*(1-G13)</f>
        <v>2724.48</v>
      </c>
      <c r="K13" s="268" t="n">
        <f aca="false">$K$8-J13</f>
        <v>27.52</v>
      </c>
    </row>
    <row r="14" customFormat="false" ht="14.25" hidden="false" customHeight="false" outlineLevel="0" collapsed="false">
      <c r="B14" s="9" t="s">
        <v>326</v>
      </c>
      <c r="C14" s="254" t="n">
        <v>3020.07</v>
      </c>
      <c r="D14" s="262" t="n">
        <f aca="false">(C14-C15)/C15</f>
        <v>0.211395679990373</v>
      </c>
      <c r="E14" s="262" t="n">
        <v>0.0573882415550951</v>
      </c>
      <c r="G14" s="265" t="n">
        <v>0.005</v>
      </c>
      <c r="H14" s="266" t="n">
        <f aca="false">100%-G14</f>
        <v>0.995</v>
      </c>
      <c r="I14" s="267" t="n">
        <f aca="false">_xlfn.PERCENTILE.INC(E5:E64,G14)</f>
        <v>-0.147277065717892</v>
      </c>
      <c r="J14" s="268" t="n">
        <f aca="false">$K$8*(1-G14)</f>
        <v>2738.24</v>
      </c>
      <c r="K14" s="268" t="n">
        <f aca="false">$K$8-J14</f>
        <v>13.7600000000002</v>
      </c>
    </row>
    <row r="15" customFormat="false" ht="14.25" hidden="false" customHeight="false" outlineLevel="0" collapsed="false">
      <c r="B15" s="9" t="s">
        <v>292</v>
      </c>
      <c r="C15" s="254" t="n">
        <v>2493.05</v>
      </c>
      <c r="D15" s="262" t="n">
        <f aca="false">(C15-C16)/C16</f>
        <v>-0.193386092740944</v>
      </c>
      <c r="E15" s="262" t="n">
        <v>0.0511259428532881</v>
      </c>
    </row>
    <row r="16" customFormat="false" ht="14.25" hidden="false" customHeight="false" outlineLevel="0" collapsed="false">
      <c r="B16" s="9" t="s">
        <v>355</v>
      </c>
      <c r="C16" s="254" t="n">
        <v>3090.76</v>
      </c>
      <c r="D16" s="262" t="n">
        <f aca="false">(C16-C17)/C17</f>
        <v>0.107386493923412</v>
      </c>
      <c r="E16" s="262" t="n">
        <v>0.0510572600335985</v>
      </c>
    </row>
    <row r="17" customFormat="false" ht="14.25" hidden="false" customHeight="false" outlineLevel="0" collapsed="false">
      <c r="B17" s="9" t="s">
        <v>343</v>
      </c>
      <c r="C17" s="254" t="n">
        <v>2791.04</v>
      </c>
      <c r="D17" s="262" t="n">
        <f aca="false">(C17-C18)/C18</f>
        <v>0.204410209938076</v>
      </c>
      <c r="E17" s="262" t="n">
        <v>0.050946252268671</v>
      </c>
    </row>
    <row r="18" customFormat="false" ht="14.25" hidden="false" customHeight="false" outlineLevel="0" collapsed="false">
      <c r="B18" s="9" t="s">
        <v>296</v>
      </c>
      <c r="C18" s="254" t="n">
        <v>2317.35</v>
      </c>
      <c r="D18" s="262" t="n">
        <f aca="false">(C18-C19)/C19</f>
        <v>-0.234060485870104</v>
      </c>
      <c r="E18" s="262" t="n">
        <v>0.0458582685694171</v>
      </c>
    </row>
    <row r="19" customFormat="false" ht="14.25" hidden="false" customHeight="false" outlineLevel="0" collapsed="false">
      <c r="B19" s="9" t="s">
        <v>336</v>
      </c>
      <c r="C19" s="254" t="n">
        <v>3025.5</v>
      </c>
      <c r="D19" s="262" t="n">
        <f aca="false">(C19-C20)/C20</f>
        <v>0.102386591364547</v>
      </c>
      <c r="E19" s="262" t="n">
        <v>0.0432758620689655</v>
      </c>
    </row>
    <row r="20" customFormat="false" ht="14.25" hidden="false" customHeight="false" outlineLevel="0" collapsed="false">
      <c r="B20" s="9" t="s">
        <v>274</v>
      </c>
      <c r="C20" s="254" t="n">
        <v>2744.5</v>
      </c>
      <c r="D20" s="262" t="n">
        <f aca="false">(C20-C21)/C21</f>
        <v>0.00889236888442863</v>
      </c>
      <c r="E20" s="262" t="n">
        <v>0.0412793565276777</v>
      </c>
    </row>
    <row r="21" customFormat="false" ht="14.25" hidden="false" customHeight="false" outlineLevel="0" collapsed="false">
      <c r="B21" s="9" t="s">
        <v>345</v>
      </c>
      <c r="C21" s="254" t="n">
        <v>2720.31</v>
      </c>
      <c r="D21" s="262" t="n">
        <f aca="false">(C21-C22)/C22</f>
        <v>0.143400556503611</v>
      </c>
      <c r="E21" s="262" t="n">
        <v>0.0377673758540577</v>
      </c>
    </row>
    <row r="22" customFormat="false" ht="14.25" hidden="false" customHeight="false" outlineLevel="0" collapsed="false">
      <c r="B22" s="9" t="s">
        <v>300</v>
      </c>
      <c r="C22" s="254" t="n">
        <v>2379.14</v>
      </c>
      <c r="D22" s="262" t="n">
        <f aca="false">(C22-C23)/C23</f>
        <v>0.00309892528427892</v>
      </c>
      <c r="E22" s="262" t="n">
        <v>0.0363371839771401</v>
      </c>
    </row>
    <row r="23" customFormat="false" ht="14.25" hidden="false" customHeight="false" outlineLevel="0" collapsed="false">
      <c r="B23" s="9" t="s">
        <v>294</v>
      </c>
      <c r="C23" s="254" t="n">
        <v>2371.79</v>
      </c>
      <c r="D23" s="262" t="n">
        <f aca="false">(C23-C24)/C24</f>
        <v>-0.169587838216346</v>
      </c>
      <c r="E23" s="262" t="n">
        <v>0.023492351176991</v>
      </c>
    </row>
    <row r="24" customFormat="false" ht="14.25" hidden="false" customHeight="false" outlineLevel="0" collapsed="false">
      <c r="B24" s="9" t="s">
        <v>328</v>
      </c>
      <c r="C24" s="254" t="n">
        <v>2856.16</v>
      </c>
      <c r="D24" s="262" t="n">
        <f aca="false">(C24-C25)/C25</f>
        <v>-0.0645907158624214</v>
      </c>
      <c r="E24" s="262" t="n">
        <v>0.0222366975300908</v>
      </c>
    </row>
    <row r="25" customFormat="false" ht="14.25" hidden="false" customHeight="false" outlineLevel="0" collapsed="false">
      <c r="B25" s="9" t="s">
        <v>348</v>
      </c>
      <c r="C25" s="254" t="n">
        <v>3053.38</v>
      </c>
      <c r="D25" s="262" t="n">
        <f aca="false">(C25-C26)/C26</f>
        <v>-0.0624687195831529</v>
      </c>
      <c r="E25" s="262" t="n">
        <v>0.0217030503392984</v>
      </c>
    </row>
    <row r="26" customFormat="false" ht="14.25" hidden="false" customHeight="false" outlineLevel="0" collapsed="false">
      <c r="B26" s="9" t="s">
        <v>351</v>
      </c>
      <c r="C26" s="254" t="n">
        <v>3256.83</v>
      </c>
      <c r="D26" s="262" t="n">
        <f aca="false">(C26-C27)/C27</f>
        <v>0.0850891572045418</v>
      </c>
      <c r="E26" s="262" t="n">
        <v>0.0173524340263894</v>
      </c>
    </row>
    <row r="27" customFormat="false" ht="14.25" hidden="false" customHeight="false" outlineLevel="0" collapsed="false">
      <c r="B27" s="9" t="s">
        <v>360</v>
      </c>
      <c r="C27" s="254" t="n">
        <v>3001.44</v>
      </c>
      <c r="D27" s="262" t="n">
        <f aca="false">(C27-C28)/C28</f>
        <v>-0.0196274411813701</v>
      </c>
      <c r="E27" s="262" t="n">
        <v>0.0140479617279195</v>
      </c>
    </row>
    <row r="28" customFormat="false" ht="14.25" hidden="false" customHeight="false" outlineLevel="0" collapsed="false">
      <c r="B28" s="9" t="s">
        <v>318</v>
      </c>
      <c r="C28" s="254" t="n">
        <v>3061.53</v>
      </c>
      <c r="D28" s="262" t="n">
        <f aca="false">(C28-C29)/C29</f>
        <v>-0.0105616619427899</v>
      </c>
      <c r="E28" s="262" t="n">
        <v>0.01372815861884</v>
      </c>
    </row>
    <row r="29" customFormat="false" ht="14.25" hidden="false" customHeight="false" outlineLevel="0" collapsed="false">
      <c r="B29" s="9" t="s">
        <v>362</v>
      </c>
      <c r="C29" s="254" t="n">
        <v>3094.21</v>
      </c>
      <c r="D29" s="262" t="n">
        <f aca="false">(C29-C30)/C30</f>
        <v>0.10947724722022</v>
      </c>
      <c r="E29" s="262" t="n">
        <v>0.0135247566264429</v>
      </c>
    </row>
    <row r="30" customFormat="false" ht="14.25" hidden="false" customHeight="false" outlineLevel="0" collapsed="false">
      <c r="B30" s="9" t="s">
        <v>331</v>
      </c>
      <c r="C30" s="254" t="n">
        <v>2788.89</v>
      </c>
      <c r="D30" s="262" t="n">
        <f aca="false">(C30-C31)/C31</f>
        <v>0.0102404532315204</v>
      </c>
      <c r="E30" s="262" t="n">
        <v>0.0102404532315205</v>
      </c>
    </row>
    <row r="31" customFormat="false" ht="14.25" hidden="false" customHeight="false" outlineLevel="0" collapsed="false">
      <c r="B31" s="9" t="s">
        <v>332</v>
      </c>
      <c r="C31" s="254" t="n">
        <v>2760.62</v>
      </c>
      <c r="D31" s="262" t="n">
        <f aca="false">(C31-C32)/C32</f>
        <v>0.223332033465684</v>
      </c>
      <c r="E31" s="262" t="n">
        <v>0.00880680572405826</v>
      </c>
    </row>
    <row r="32" customFormat="false" ht="14.25" hidden="false" customHeight="false" outlineLevel="0" collapsed="false">
      <c r="B32" s="9" t="s">
        <v>305</v>
      </c>
      <c r="C32" s="254" t="n">
        <v>2256.64</v>
      </c>
      <c r="D32" s="262" t="n">
        <f aca="false">(C32-C33)/C33</f>
        <v>-0.255487408570684</v>
      </c>
      <c r="E32" s="262" t="n">
        <v>0.00852714564078725</v>
      </c>
    </row>
    <row r="33" customFormat="false" ht="14.25" hidden="false" customHeight="false" outlineLevel="0" collapsed="false">
      <c r="B33" s="9" t="s">
        <v>357</v>
      </c>
      <c r="C33" s="254" t="n">
        <v>3031.03</v>
      </c>
      <c r="D33" s="262" t="n">
        <f aca="false">(C33-C34)/C34</f>
        <v>-0.0729264159830675</v>
      </c>
      <c r="E33" s="262" t="n">
        <v>0.00710381605834569</v>
      </c>
    </row>
    <row r="34" customFormat="false" ht="14.25" hidden="false" customHeight="false" outlineLevel="0" collapsed="false">
      <c r="B34" s="9" t="s">
        <v>340</v>
      </c>
      <c r="C34" s="254" t="n">
        <v>3269.46</v>
      </c>
      <c r="D34" s="262" t="n">
        <f aca="false">(C34-C35)/C35</f>
        <v>0.170159232363289</v>
      </c>
      <c r="E34" s="262" t="n">
        <v>0.00455041248674971</v>
      </c>
    </row>
    <row r="35" customFormat="false" ht="14.25" hidden="false" customHeight="false" outlineLevel="0" collapsed="false">
      <c r="B35" s="9" t="s">
        <v>330</v>
      </c>
      <c r="C35" s="254" t="n">
        <v>2794.03</v>
      </c>
      <c r="D35" s="262" t="n">
        <f aca="false">(C35-C36)/C36</f>
        <v>0.0205383884871064</v>
      </c>
      <c r="E35" s="262" t="n">
        <v>0.00184302715417257</v>
      </c>
    </row>
    <row r="36" customFormat="false" ht="14.25" hidden="false" customHeight="false" outlineLevel="0" collapsed="false">
      <c r="B36" s="9" t="s">
        <v>273</v>
      </c>
      <c r="C36" s="254" t="n">
        <v>2737.8</v>
      </c>
      <c r="D36" s="262" t="n">
        <f aca="false">(C36-C37)/C37</f>
        <v>0.0387373373297418</v>
      </c>
      <c r="E36" s="262" t="n">
        <v>-0.00244124612862081</v>
      </c>
    </row>
    <row r="37" customFormat="false" ht="14.25" hidden="false" customHeight="false" outlineLevel="0" collapsed="false">
      <c r="B37" s="9" t="s">
        <v>276</v>
      </c>
      <c r="C37" s="254" t="n">
        <v>2635.7</v>
      </c>
      <c r="D37" s="262" t="n">
        <f aca="false">(C37-C38)/C38</f>
        <v>-0.178815003598546</v>
      </c>
      <c r="E37" s="262" t="n">
        <v>-0.00487801194584352</v>
      </c>
    </row>
    <row r="38" customFormat="false" ht="14.25" hidden="false" customHeight="false" outlineLevel="0" collapsed="false">
      <c r="B38" s="9" t="s">
        <v>350</v>
      </c>
      <c r="C38" s="254" t="n">
        <v>3209.63</v>
      </c>
      <c r="D38" s="262" t="n">
        <f aca="false">(C38-C39)/C39</f>
        <v>0.362460522294291</v>
      </c>
      <c r="E38" s="262" t="n">
        <v>-0.0144926201244768</v>
      </c>
    </row>
    <row r="39" customFormat="false" ht="14.25" hidden="false" customHeight="false" outlineLevel="0" collapsed="false">
      <c r="B39" s="9" t="s">
        <v>283</v>
      </c>
      <c r="C39" s="254" t="n">
        <v>2355.76</v>
      </c>
      <c r="D39" s="262" t="n">
        <f aca="false">(C39-C40)/C40</f>
        <v>-0.112955334483044</v>
      </c>
      <c r="E39" s="262" t="n">
        <v>-0.0214545922796697</v>
      </c>
    </row>
    <row r="40" customFormat="false" ht="14.25" hidden="false" customHeight="false" outlineLevel="0" collapsed="false">
      <c r="B40" s="9" t="s">
        <v>344</v>
      </c>
      <c r="C40" s="254" t="n">
        <v>2655.74</v>
      </c>
      <c r="D40" s="262" t="n">
        <f aca="false">(C40-C41)/C41</f>
        <v>-0.105654862130744</v>
      </c>
      <c r="E40" s="262" t="n">
        <v>-0.0237362653521107</v>
      </c>
    </row>
    <row r="41" customFormat="false" ht="14.25" hidden="false" customHeight="false" outlineLevel="0" collapsed="false">
      <c r="B41" s="9" t="s">
        <v>347</v>
      </c>
      <c r="C41" s="254" t="n">
        <v>2969.48</v>
      </c>
      <c r="D41" s="262" t="n">
        <f aca="false">(C41-C42)/C42</f>
        <v>-0.0296038979500469</v>
      </c>
      <c r="E41" s="262" t="n">
        <v>-0.0274777459733149</v>
      </c>
    </row>
    <row r="42" customFormat="false" ht="14.25" hidden="false" customHeight="false" outlineLevel="0" collapsed="false">
      <c r="B42" s="9" t="s">
        <v>338</v>
      </c>
      <c r="C42" s="254" t="n">
        <v>3060.07</v>
      </c>
      <c r="D42" s="262" t="n">
        <f aca="false">(C42-C43)/C43</f>
        <v>0.0406206854336842</v>
      </c>
      <c r="E42" s="262" t="n">
        <v>-0.0291902489784523</v>
      </c>
    </row>
    <row r="43" customFormat="false" ht="14.25" hidden="false" customHeight="false" outlineLevel="0" collapsed="false">
      <c r="B43" s="9" t="s">
        <v>356</v>
      </c>
      <c r="C43" s="254" t="n">
        <v>2940.62</v>
      </c>
      <c r="D43" s="262" t="n">
        <f aca="false">(C43-C44)/C44</f>
        <v>-0.0670858607649552</v>
      </c>
      <c r="E43" s="262" t="n">
        <v>-0.0298281442281998</v>
      </c>
    </row>
    <row r="44" customFormat="false" ht="14.25" hidden="false" customHeight="false" outlineLevel="0" collapsed="false">
      <c r="B44" s="9" t="s">
        <v>339</v>
      </c>
      <c r="C44" s="254" t="n">
        <v>3152.08</v>
      </c>
      <c r="D44" s="262" t="n">
        <f aca="false">(C44-C45)/C45</f>
        <v>0.148014335246642</v>
      </c>
      <c r="E44" s="262" t="n">
        <v>-0.0359019532277502</v>
      </c>
    </row>
    <row r="45" customFormat="false" ht="14.25" hidden="false" customHeight="false" outlineLevel="0" collapsed="false">
      <c r="B45" s="9" t="s">
        <v>286</v>
      </c>
      <c r="C45" s="254" t="n">
        <v>2745.68</v>
      </c>
      <c r="D45" s="262" t="n">
        <f aca="false">(C45-C46)/C46</f>
        <v>-0.0723615306129345</v>
      </c>
      <c r="E45" s="262" t="n">
        <v>-0.036495325790966</v>
      </c>
    </row>
    <row r="46" customFormat="false" ht="14.25" hidden="false" customHeight="false" outlineLevel="0" collapsed="false">
      <c r="B46" s="9" t="s">
        <v>361</v>
      </c>
      <c r="C46" s="254" t="n">
        <v>2959.86</v>
      </c>
      <c r="D46" s="262" t="n">
        <f aca="false">(C46-C47)/C47</f>
        <v>0.0816146054112523</v>
      </c>
      <c r="E46" s="262" t="n">
        <v>-0.0434198066711697</v>
      </c>
    </row>
    <row r="47" customFormat="false" ht="14.25" hidden="false" customHeight="false" outlineLevel="0" collapsed="false">
      <c r="B47" s="9" t="s">
        <v>333</v>
      </c>
      <c r="C47" s="254" t="n">
        <v>2736.52</v>
      </c>
      <c r="D47" s="262" t="n">
        <f aca="false">(C47-C48)/C48</f>
        <v>0.0573470885978131</v>
      </c>
      <c r="E47" s="262" t="n">
        <v>-0.0459635471140304</v>
      </c>
    </row>
    <row r="48" customFormat="false" ht="14.25" hidden="false" customHeight="false" outlineLevel="0" collapsed="false">
      <c r="B48" s="9" t="s">
        <v>353</v>
      </c>
      <c r="C48" s="254" t="n">
        <v>2588.1</v>
      </c>
      <c r="D48" s="262" t="n">
        <f aca="false">(C48-C49)/C49</f>
        <v>-0.107551724137931</v>
      </c>
      <c r="E48" s="262" t="n">
        <v>-0.0520787169128554</v>
      </c>
    </row>
    <row r="49" customFormat="false" ht="14.25" hidden="false" customHeight="false" outlineLevel="0" collapsed="false">
      <c r="B49" s="9" t="s">
        <v>337</v>
      </c>
      <c r="C49" s="254" t="n">
        <v>2900</v>
      </c>
      <c r="D49" s="262" t="n">
        <f aca="false">(C49-C50)/C50</f>
        <v>0.356464958768143</v>
      </c>
      <c r="E49" s="262" t="n">
        <v>-0.0523092608992605</v>
      </c>
    </row>
    <row r="50" customFormat="false" ht="14.25" hidden="false" customHeight="false" outlineLevel="0" collapsed="false">
      <c r="B50" s="9" t="s">
        <v>303</v>
      </c>
      <c r="C50" s="254" t="n">
        <v>2137.91</v>
      </c>
      <c r="D50" s="262" t="n">
        <f aca="false">(C50-C51)/C51</f>
        <v>-0.0809273652715205</v>
      </c>
      <c r="E50" s="262" t="n">
        <v>-0.0526136202495746</v>
      </c>
    </row>
    <row r="51" customFormat="false" ht="14.25" hidden="false" customHeight="false" outlineLevel="0" collapsed="false">
      <c r="B51" s="9" t="s">
        <v>290</v>
      </c>
      <c r="C51" s="254" t="n">
        <v>2326.16</v>
      </c>
      <c r="D51" s="262" t="n">
        <f aca="false">(C51-C52)/C52</f>
        <v>-0.227099496619208</v>
      </c>
      <c r="E51" s="262" t="n">
        <v>-0.0669420990353183</v>
      </c>
    </row>
    <row r="52" customFormat="false" ht="14.25" hidden="false" customHeight="false" outlineLevel="0" collapsed="false">
      <c r="B52" s="9" t="s">
        <v>358</v>
      </c>
      <c r="C52" s="254" t="n">
        <v>3009.65</v>
      </c>
      <c r="D52" s="262" t="n">
        <f aca="false">(C52-C53)/C53</f>
        <v>0.358304674736206</v>
      </c>
      <c r="E52" s="262" t="n">
        <v>-0.0681938506026483</v>
      </c>
    </row>
    <row r="53" customFormat="false" ht="14.25" hidden="false" customHeight="false" outlineLevel="0" collapsed="false">
      <c r="B53" s="9" t="s">
        <v>298</v>
      </c>
      <c r="C53" s="254" t="n">
        <v>2215.74</v>
      </c>
      <c r="D53" s="262" t="n">
        <f aca="false">(C53-C54)/C54</f>
        <v>-0.258582843681823</v>
      </c>
      <c r="E53" s="262" t="n">
        <v>-0.0686802794287012</v>
      </c>
    </row>
    <row r="54" customFormat="false" ht="14.25" hidden="false" customHeight="false" outlineLevel="0" collapsed="false">
      <c r="B54" s="9" t="s">
        <v>349</v>
      </c>
      <c r="C54" s="254" t="n">
        <v>2988.52</v>
      </c>
      <c r="D54" s="262" t="n">
        <f aca="false">(C54-C55)/C55</f>
        <v>0.335615581258156</v>
      </c>
      <c r="E54" s="262" t="n">
        <v>-0.0688895604789337</v>
      </c>
    </row>
    <row r="55" customFormat="false" ht="14.25" hidden="false" customHeight="false" outlineLevel="0" collapsed="false">
      <c r="B55" s="9" t="s">
        <v>311</v>
      </c>
      <c r="C55" s="254" t="n">
        <v>2237.56</v>
      </c>
      <c r="D55" s="262" t="n">
        <f aca="false">(C55-C56)/C56</f>
        <v>0.0423836987207558</v>
      </c>
      <c r="E55" s="262" t="n">
        <v>-0.0799506578947369</v>
      </c>
    </row>
    <row r="56" customFormat="false" ht="14.25" hidden="false" customHeight="false" outlineLevel="0" collapsed="false">
      <c r="B56" s="9" t="s">
        <v>281</v>
      </c>
      <c r="C56" s="254" t="n">
        <v>2146.58</v>
      </c>
      <c r="D56" s="262" t="n">
        <f aca="false">(C56-C57)/C57</f>
        <v>-0.213790476469533</v>
      </c>
      <c r="E56" s="262" t="n">
        <v>-0.0887951234421165</v>
      </c>
    </row>
    <row r="57" customFormat="false" ht="14.25" hidden="false" customHeight="false" outlineLevel="0" collapsed="false">
      <c r="B57" s="9" t="s">
        <v>354</v>
      </c>
      <c r="C57" s="254" t="n">
        <v>2730.29</v>
      </c>
      <c r="D57" s="262" t="n">
        <f aca="false">(C57-C58)/C58</f>
        <v>0.0415746325310627</v>
      </c>
      <c r="E57" s="262" t="n">
        <v>-0.116628272657858</v>
      </c>
    </row>
    <row r="58" customFormat="false" ht="14.25" hidden="false" customHeight="false" outlineLevel="0" collapsed="false">
      <c r="B58" s="9" t="s">
        <v>346</v>
      </c>
      <c r="C58" s="254" t="n">
        <v>2621.31</v>
      </c>
      <c r="D58" s="262" t="n">
        <f aca="false">(C58-C59)/C59</f>
        <v>-0.0880401618441606</v>
      </c>
      <c r="E58" s="262" t="n">
        <v>-0.117249484758274</v>
      </c>
    </row>
    <row r="59" customFormat="false" ht="14.25" hidden="false" customHeight="false" outlineLevel="0" collapsed="false">
      <c r="B59" s="9" t="s">
        <v>315</v>
      </c>
      <c r="C59" s="254" t="n">
        <v>2874.37</v>
      </c>
      <c r="D59" s="262" t="n">
        <f aca="false">(C59-C60)/C60</f>
        <v>0.19396779111161</v>
      </c>
      <c r="E59" s="262" t="n">
        <v>-0.118185917947239</v>
      </c>
    </row>
    <row r="60" customFormat="false" ht="14.25" hidden="false" customHeight="false" outlineLevel="0" collapsed="false">
      <c r="B60" s="9" t="s">
        <v>284</v>
      </c>
      <c r="C60" s="254" t="n">
        <v>2407.41</v>
      </c>
      <c r="D60" s="262" t="n">
        <f aca="false">(C60-C61)/C61</f>
        <v>-0.160701585575033</v>
      </c>
      <c r="E60" s="262" t="n">
        <v>-0.123200809999709</v>
      </c>
    </row>
    <row r="61" customFormat="false" ht="14.25" hidden="false" customHeight="false" outlineLevel="0" collapsed="false">
      <c r="B61" s="9" t="s">
        <v>334</v>
      </c>
      <c r="C61" s="254" t="n">
        <v>2868.36</v>
      </c>
      <c r="D61" s="262" t="n">
        <f aca="false">(C61-C62)/C62</f>
        <v>0.179424342105263</v>
      </c>
      <c r="E61" s="262" t="n">
        <v>-0.130657743994472</v>
      </c>
    </row>
    <row r="62" customFormat="false" ht="14.25" hidden="false" customHeight="false" outlineLevel="0" collapsed="false">
      <c r="B62" s="9" t="s">
        <v>313</v>
      </c>
      <c r="C62" s="254" t="n">
        <v>2432</v>
      </c>
      <c r="D62" s="262" t="str">
        <f aca="false">IFERROR((C62-C63)/C63,"")</f>
        <v/>
      </c>
      <c r="E62" s="262" t="n">
        <v>-0.153901550600653</v>
      </c>
    </row>
    <row r="63" customFormat="false" ht="14.25" hidden="false" customHeight="false" outlineLevel="0" collapsed="false">
      <c r="B63" s="9"/>
      <c r="C63" s="254"/>
    </row>
  </sheetData>
  <mergeCells count="1">
    <mergeCell ref="G2:K2"/>
  </mergeCells>
  <printOptions headings="false" gridLines="false" gridLinesSet="true" horizontalCentered="false" verticalCentered="false"/>
  <pageMargins left="0.7" right="0.7" top="0.75" bottom="0.75" header="0.511811023622047" footer="0.511811023622047"/>
  <pageSetup paperSize="1" scale="6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62"/>
  <sheetViews>
    <sheetView showFormulas="false" showGridLines="false" showRowColHeaders="true" showZeros="true" rightToLeft="false" tabSelected="false" showOutlineSymbols="true" defaultGridColor="true" view="normal" topLeftCell="A16" colorId="64" zoomScale="100" zoomScaleNormal="100" zoomScalePageLayoutView="100" workbookViewId="0">
      <selection pane="topLeft" activeCell="O43" activeCellId="0" sqref="O43"/>
    </sheetView>
  </sheetViews>
  <sheetFormatPr defaultColWidth="8.6796875" defaultRowHeight="14.25" zeroHeight="false" outlineLevelRow="0" outlineLevelCol="0"/>
  <cols>
    <col collapsed="false" customWidth="true" hidden="false" outlineLevel="0" max="1" min="1" style="0" width="1.88"/>
    <col collapsed="false" customWidth="true" hidden="false" outlineLevel="0" max="2" min="2" style="0" width="10.88"/>
    <col collapsed="false" customWidth="true" hidden="false" outlineLevel="0" max="3" min="3" style="0" width="11.56"/>
    <col collapsed="false" customWidth="true" hidden="false" outlineLevel="0" max="4" min="4" style="0" width="14.88"/>
    <col collapsed="false" customWidth="true" hidden="false" outlineLevel="0" max="7" min="5" style="0" width="15.44"/>
    <col collapsed="false" customWidth="true" hidden="false" outlineLevel="0" max="8" min="8" style="0" width="4.11"/>
    <col collapsed="false" customWidth="true" hidden="false" outlineLevel="0" max="9" min="9" style="0" width="9.56"/>
    <col collapsed="false" customWidth="true" hidden="false" outlineLevel="0" max="10" min="10" style="0" width="12.77"/>
    <col collapsed="false" customWidth="true" hidden="false" outlineLevel="0" max="11" min="11" style="0" width="11.56"/>
    <col collapsed="false" customWidth="true" hidden="false" outlineLevel="0" max="12" min="12" style="0" width="12"/>
    <col collapsed="false" customWidth="true" hidden="false" outlineLevel="0" max="13" min="13" style="0" width="12.77"/>
  </cols>
  <sheetData>
    <row r="2" customFormat="false" ht="14.25" hidden="false" customHeight="false" outlineLevel="0" collapsed="false">
      <c r="B2" s="49" t="s">
        <v>269</v>
      </c>
      <c r="C2" s="73" t="s">
        <v>487</v>
      </c>
      <c r="D2" s="73" t="s">
        <v>488</v>
      </c>
      <c r="E2" s="73" t="s">
        <v>489</v>
      </c>
      <c r="F2" s="73" t="s">
        <v>499</v>
      </c>
      <c r="G2" s="73" t="s">
        <v>500</v>
      </c>
      <c r="I2" s="48" t="str">
        <f aca="false">"Calculation of VAR (Monte Carlo Simulation)"&amp;" - "&amp;'Data Sheet'!B1</f>
        <v>Calculation of VAR (Monte Carlo Simulation) - ASIAN PAINTS LTD</v>
      </c>
      <c r="J2" s="48"/>
      <c r="K2" s="48"/>
      <c r="L2" s="48"/>
      <c r="M2" s="48"/>
    </row>
    <row r="3" customFormat="false" ht="14.25" hidden="false" customHeight="false" outlineLevel="0" collapsed="false">
      <c r="B3" s="9" t="s">
        <v>352</v>
      </c>
      <c r="C3" s="254" t="n">
        <v>3201.28</v>
      </c>
      <c r="D3" s="262" t="n">
        <f aca="false">(C3-C4)/C4</f>
        <v>0.123382274500997</v>
      </c>
      <c r="E3" s="262" t="n">
        <v>0.23692283914841</v>
      </c>
      <c r="F3" s="0" t="n">
        <v>1</v>
      </c>
      <c r="G3" s="262" t="n">
        <f aca="true">_xlfn.NORM.INV(RAND(),'VAR Historical Approach'!K$4,'VAR Historical Approach'!K$5)</f>
        <v>-0.0404864475595379</v>
      </c>
    </row>
    <row r="4" customFormat="false" ht="14.25" hidden="false" customHeight="false" outlineLevel="0" collapsed="false">
      <c r="B4" s="9" t="s">
        <v>287</v>
      </c>
      <c r="C4" s="254" t="n">
        <v>2849.68</v>
      </c>
      <c r="D4" s="262" t="n">
        <f aca="false">(C4-C5)/C5</f>
        <v>0.175867660833433</v>
      </c>
      <c r="E4" s="262" t="n">
        <v>0.146604863759999</v>
      </c>
      <c r="F4" s="0" t="n">
        <v>2</v>
      </c>
      <c r="G4" s="262" t="n">
        <f aca="true">_xlfn.NORM.INV(RAND(),'VAR Historical Approach'!K$4,'VAR Historical Approach'!K$5)</f>
        <v>0.0599632104674238</v>
      </c>
      <c r="I4" s="207" t="s">
        <v>153</v>
      </c>
      <c r="J4" s="186"/>
      <c r="K4" s="186"/>
      <c r="L4" s="186"/>
      <c r="M4" s="263" t="n">
        <f aca="false">AVERAGE(G3:G62)</f>
        <v>-0.00488092486222825</v>
      </c>
    </row>
    <row r="5" customFormat="false" ht="14.25" hidden="false" customHeight="false" outlineLevel="0" collapsed="false">
      <c r="B5" s="9" t="s">
        <v>279</v>
      </c>
      <c r="C5" s="254" t="n">
        <v>2423.47</v>
      </c>
      <c r="D5" s="262" t="n">
        <f aca="false">(C5-C6)/C6</f>
        <v>-0.210724637681159</v>
      </c>
      <c r="E5" s="262" t="n">
        <v>0.12899123256529</v>
      </c>
      <c r="F5" s="0" t="n">
        <v>3</v>
      </c>
      <c r="G5" s="262" t="n">
        <f aca="true">_xlfn.NORM.INV(RAND(),'VAR Historical Approach'!K$4,'VAR Historical Approach'!K$5)</f>
        <v>-0.0916837567893874</v>
      </c>
      <c r="I5" s="207" t="s">
        <v>490</v>
      </c>
      <c r="J5" s="186"/>
      <c r="K5" s="186"/>
      <c r="L5" s="186"/>
      <c r="M5" s="263" t="n">
        <f aca="false">STDEV(G3:G62)</f>
        <v>0.0719752438619828</v>
      </c>
    </row>
    <row r="6" customFormat="false" ht="14.25" hidden="false" customHeight="false" outlineLevel="0" collapsed="false">
      <c r="B6" s="9" t="s">
        <v>342</v>
      </c>
      <c r="C6" s="254" t="n">
        <v>3070.5</v>
      </c>
      <c r="D6" s="262" t="n">
        <f aca="false">(C6-C7)/C7</f>
        <v>0.159282947346165</v>
      </c>
      <c r="E6" s="262" t="n">
        <v>0.100127551020408</v>
      </c>
      <c r="F6" s="0" t="n">
        <v>4</v>
      </c>
      <c r="G6" s="262" t="n">
        <f aca="true">_xlfn.NORM.INV(RAND(),'VAR Historical Approach'!K$4,'VAR Historical Approach'!K$5)</f>
        <v>0.0121424196797903</v>
      </c>
      <c r="I6" s="207" t="s">
        <v>491</v>
      </c>
      <c r="J6" s="186"/>
      <c r="K6" s="186"/>
      <c r="L6" s="186"/>
      <c r="M6" s="263" t="n">
        <f aca="false">MAX(G3:G62)</f>
        <v>0.213427359256745</v>
      </c>
    </row>
    <row r="7" customFormat="false" ht="14.25" hidden="false" customHeight="false" outlineLevel="0" collapsed="false">
      <c r="B7" s="9" t="s">
        <v>278</v>
      </c>
      <c r="C7" s="254" t="n">
        <v>2648.62</v>
      </c>
      <c r="D7" s="262" t="n">
        <f aca="false">(C7-C8)/C8</f>
        <v>-0.197256520764004</v>
      </c>
      <c r="E7" s="262" t="n">
        <v>0.0929039765295218</v>
      </c>
      <c r="F7" s="0" t="n">
        <v>5</v>
      </c>
      <c r="G7" s="262" t="n">
        <f aca="true">_xlfn.NORM.INV(RAND(),'VAR Historical Approach'!K$4,'VAR Historical Approach'!K$5)</f>
        <v>-0.0402081642205664</v>
      </c>
      <c r="I7" s="207" t="s">
        <v>492</v>
      </c>
      <c r="J7" s="186"/>
      <c r="K7" s="186"/>
      <c r="L7" s="186"/>
      <c r="M7" s="263" t="n">
        <f aca="false">MIN(G3:G62)</f>
        <v>-0.162874627093565</v>
      </c>
    </row>
    <row r="8" customFormat="false" ht="14.25" hidden="false" customHeight="false" outlineLevel="0" collapsed="false">
      <c r="B8" s="9" t="s">
        <v>335</v>
      </c>
      <c r="C8" s="254" t="n">
        <v>3299.46</v>
      </c>
      <c r="D8" s="262" t="n">
        <f aca="false">(C8-C9)/C9</f>
        <v>0.0215331077336521</v>
      </c>
      <c r="E8" s="262" t="n">
        <v>0.0905503222607834</v>
      </c>
      <c r="F8" s="0" t="n">
        <v>6</v>
      </c>
      <c r="G8" s="262" t="n">
        <f aca="true">_xlfn.NORM.INV(RAND(),'VAR Historical Approach'!K$4,'VAR Historical Approach'!K$5)</f>
        <v>0.093278926184974</v>
      </c>
      <c r="I8" s="207" t="s">
        <v>493</v>
      </c>
      <c r="J8" s="186"/>
      <c r="K8" s="186"/>
      <c r="L8" s="186"/>
      <c r="M8" s="269" t="n">
        <v>2752</v>
      </c>
    </row>
    <row r="9" customFormat="false" ht="14.25" hidden="false" customHeight="false" outlineLevel="0" collapsed="false">
      <c r="B9" s="9" t="s">
        <v>359</v>
      </c>
      <c r="C9" s="254" t="n">
        <v>3229.91</v>
      </c>
      <c r="D9" s="262" t="n">
        <f aca="false">(C9-C10)/C10</f>
        <v>0.406926802920217</v>
      </c>
      <c r="E9" s="262" t="n">
        <v>0.0761201290047443</v>
      </c>
      <c r="F9" s="0" t="n">
        <v>7</v>
      </c>
      <c r="G9" s="262" t="n">
        <f aca="true">_xlfn.NORM.INV(RAND(),'VAR Historical Approach'!K$4,'VAR Historical Approach'!K$5)</f>
        <v>0.0841913972400767</v>
      </c>
    </row>
    <row r="10" customFormat="false" ht="14.25" hidden="false" customHeight="false" outlineLevel="0" collapsed="false">
      <c r="B10" s="9" t="s">
        <v>302</v>
      </c>
      <c r="C10" s="254" t="n">
        <v>2295.72</v>
      </c>
      <c r="D10" s="262" t="n">
        <f aca="false">(C10-C11)/C11</f>
        <v>-0.0762879629182561</v>
      </c>
      <c r="E10" s="262" t="n">
        <v>0.0738150810838623</v>
      </c>
      <c r="F10" s="0" t="n">
        <v>8</v>
      </c>
      <c r="G10" s="262" t="n">
        <f aca="true">_xlfn.NORM.INV(RAND(),'VAR Historical Approach'!K$4,'VAR Historical Approach'!K$5)</f>
        <v>-0.0906003069800811</v>
      </c>
      <c r="I10" s="49" t="s">
        <v>494</v>
      </c>
      <c r="J10" s="73" t="s">
        <v>495</v>
      </c>
      <c r="K10" s="73" t="s">
        <v>496</v>
      </c>
      <c r="L10" s="73" t="s">
        <v>497</v>
      </c>
      <c r="M10" s="73" t="s">
        <v>498</v>
      </c>
    </row>
    <row r="11" customFormat="false" ht="14.25" hidden="false" customHeight="false" outlineLevel="0" collapsed="false">
      <c r="B11" s="9" t="s">
        <v>289</v>
      </c>
      <c r="C11" s="254" t="n">
        <v>2485.32</v>
      </c>
      <c r="D11" s="262" t="n">
        <f aca="false">(C11-C12)/C12</f>
        <v>-0.237540687382846</v>
      </c>
      <c r="E11" s="262" t="n">
        <v>0.0684217766619666</v>
      </c>
      <c r="F11" s="0" t="n">
        <v>9</v>
      </c>
      <c r="G11" s="262" t="n">
        <f aca="true">_xlfn.NORM.INV(RAND(),'VAR Historical Approach'!K$4,'VAR Historical Approach'!K$5)</f>
        <v>-0.00993108487410455</v>
      </c>
    </row>
    <row r="12" customFormat="false" ht="14.25" hidden="false" customHeight="false" outlineLevel="0" collapsed="false">
      <c r="B12" s="9" t="s">
        <v>317</v>
      </c>
      <c r="C12" s="254" t="n">
        <v>3259.61</v>
      </c>
      <c r="D12" s="262" t="n">
        <f aca="false">(C12-C13)/C13</f>
        <v>0.00152397339191619</v>
      </c>
      <c r="E12" s="262" t="n">
        <v>0.064699676305638</v>
      </c>
      <c r="F12" s="0" t="n">
        <v>10</v>
      </c>
      <c r="G12" s="262" t="n">
        <f aca="true">_xlfn.NORM.INV(RAND(),'VAR Historical Approach'!K$4,'VAR Historical Approach'!K$5)</f>
        <v>0.0352751249004141</v>
      </c>
      <c r="I12" s="270" t="n">
        <v>0.05</v>
      </c>
      <c r="J12" s="266" t="n">
        <f aca="false">100%-I12</f>
        <v>0.95</v>
      </c>
      <c r="K12" s="267" t="n">
        <f aca="false">_xlfn.PERCENTILE.INC($G$3:$G$62,I12)</f>
        <v>-0.122067314653807</v>
      </c>
      <c r="L12" s="268" t="n">
        <f aca="false">$M$8*(1-I12)</f>
        <v>2614.4</v>
      </c>
      <c r="M12" s="268" t="n">
        <f aca="false">$M$8-L12</f>
        <v>137.6</v>
      </c>
    </row>
    <row r="13" customFormat="false" ht="14.25" hidden="false" customHeight="false" outlineLevel="0" collapsed="false">
      <c r="B13" s="9" t="s">
        <v>341</v>
      </c>
      <c r="C13" s="254" t="n">
        <v>3254.65</v>
      </c>
      <c r="D13" s="262" t="n">
        <f aca="false">(C13-C14)/C14</f>
        <v>0.0776736963050525</v>
      </c>
      <c r="E13" s="262" t="n">
        <v>0.059973945611464</v>
      </c>
      <c r="F13" s="0" t="n">
        <v>11</v>
      </c>
      <c r="G13" s="262" t="n">
        <f aca="true">_xlfn.NORM.INV(RAND(),'VAR Historical Approach'!K$4,'VAR Historical Approach'!K$5)</f>
        <v>-0.162874627093565</v>
      </c>
      <c r="I13" s="270" t="n">
        <v>0.01</v>
      </c>
      <c r="J13" s="266" t="n">
        <f aca="false">100%-I13</f>
        <v>0.99</v>
      </c>
      <c r="K13" s="267" t="n">
        <f aca="false">_xlfn.PERCENTILE.INC($G$3:$G$62,I13)</f>
        <v>-0.139160338705961</v>
      </c>
      <c r="L13" s="268" t="n">
        <f aca="false">$M$8*(1-I13)</f>
        <v>2724.48</v>
      </c>
      <c r="M13" s="268" t="n">
        <f aca="false">$M$8-L13</f>
        <v>27.52</v>
      </c>
    </row>
    <row r="14" customFormat="false" ht="14.25" hidden="false" customHeight="false" outlineLevel="0" collapsed="false">
      <c r="B14" s="9" t="s">
        <v>326</v>
      </c>
      <c r="C14" s="254" t="n">
        <v>3020.07</v>
      </c>
      <c r="D14" s="262" t="n">
        <f aca="false">(C14-C15)/C15</f>
        <v>0.211395679990373</v>
      </c>
      <c r="E14" s="262" t="n">
        <v>0.0573882415550951</v>
      </c>
      <c r="F14" s="0" t="n">
        <v>12</v>
      </c>
      <c r="G14" s="262" t="n">
        <f aca="true">_xlfn.NORM.INV(RAND(),'VAR Historical Approach'!K$4,'VAR Historical Approach'!K$5)</f>
        <v>0.0556053951672598</v>
      </c>
      <c r="I14" s="270" t="n">
        <v>0.005</v>
      </c>
      <c r="J14" s="266" t="n">
        <f aca="false">100%-I14</f>
        <v>0.995</v>
      </c>
      <c r="K14" s="267" t="n">
        <f aca="false">_xlfn.PERCENTILE.INC($G$3:$G$62,I14)</f>
        <v>-0.151017482899763</v>
      </c>
      <c r="L14" s="268" t="n">
        <f aca="false">$M$8*(1-I14)</f>
        <v>2738.24</v>
      </c>
      <c r="M14" s="268" t="n">
        <f aca="false">$M$8-L14</f>
        <v>13.7600000000002</v>
      </c>
    </row>
    <row r="15" customFormat="false" ht="14.25" hidden="false" customHeight="false" outlineLevel="0" collapsed="false">
      <c r="B15" s="9" t="s">
        <v>292</v>
      </c>
      <c r="C15" s="254" t="n">
        <v>2493.05</v>
      </c>
      <c r="D15" s="262" t="n">
        <f aca="false">(C15-C16)/C16</f>
        <v>-0.193386092740944</v>
      </c>
      <c r="E15" s="262" t="n">
        <v>0.0511259428532881</v>
      </c>
      <c r="F15" s="0" t="n">
        <v>13</v>
      </c>
      <c r="G15" s="262" t="n">
        <f aca="true">_xlfn.NORM.INV(RAND(),'VAR Historical Approach'!K$4,'VAR Historical Approach'!K$5)</f>
        <v>0.0633007108971384</v>
      </c>
    </row>
    <row r="16" customFormat="false" ht="14.25" hidden="false" customHeight="false" outlineLevel="0" collapsed="false">
      <c r="B16" s="9" t="s">
        <v>355</v>
      </c>
      <c r="C16" s="254" t="n">
        <v>3090.76</v>
      </c>
      <c r="D16" s="262" t="n">
        <f aca="false">(C16-C17)/C17</f>
        <v>0.107386493923412</v>
      </c>
      <c r="E16" s="262" t="n">
        <v>0.0510572600335985</v>
      </c>
      <c r="F16" s="0" t="n">
        <v>14</v>
      </c>
      <c r="G16" s="262" t="n">
        <f aca="true">_xlfn.NORM.INV(RAND(),'VAR Historical Approach'!K$4,'VAR Historical Approach'!K$5)</f>
        <v>-0.0350174602285314</v>
      </c>
    </row>
    <row r="17" customFormat="false" ht="14.25" hidden="false" customHeight="false" outlineLevel="0" collapsed="false">
      <c r="B17" s="9" t="s">
        <v>343</v>
      </c>
      <c r="C17" s="254" t="n">
        <v>2791.04</v>
      </c>
      <c r="D17" s="262" t="n">
        <f aca="false">(C17-C18)/C18</f>
        <v>0.204410209938076</v>
      </c>
      <c r="E17" s="262" t="n">
        <v>0.050946252268671</v>
      </c>
      <c r="F17" s="0" t="n">
        <v>15</v>
      </c>
      <c r="G17" s="262" t="n">
        <f aca="true">_xlfn.NORM.INV(RAND(),'VAR Historical Approach'!K$4,'VAR Historical Approach'!K$5)</f>
        <v>0.137947527634116</v>
      </c>
    </row>
    <row r="18" customFormat="false" ht="14.25" hidden="false" customHeight="false" outlineLevel="0" collapsed="false">
      <c r="B18" s="9" t="s">
        <v>296</v>
      </c>
      <c r="C18" s="254" t="n">
        <v>2317.35</v>
      </c>
      <c r="D18" s="262" t="n">
        <f aca="false">(C18-C19)/C19</f>
        <v>-0.234060485870104</v>
      </c>
      <c r="E18" s="262" t="n">
        <v>0.0458582685694171</v>
      </c>
      <c r="F18" s="0" t="n">
        <v>16</v>
      </c>
      <c r="G18" s="262" t="n">
        <f aca="true">_xlfn.NORM.INV(RAND(),'VAR Historical Approach'!K$4,'VAR Historical Approach'!K$5)</f>
        <v>-0.0518368441736033</v>
      </c>
    </row>
    <row r="19" customFormat="false" ht="14.25" hidden="false" customHeight="false" outlineLevel="0" collapsed="false">
      <c r="B19" s="9" t="s">
        <v>336</v>
      </c>
      <c r="C19" s="254" t="n">
        <v>3025.5</v>
      </c>
      <c r="D19" s="262" t="n">
        <f aca="false">(C19-C20)/C20</f>
        <v>0.102386591364547</v>
      </c>
      <c r="E19" s="262" t="n">
        <v>0.0432758620689655</v>
      </c>
      <c r="F19" s="0" t="n">
        <v>17</v>
      </c>
      <c r="G19" s="262" t="n">
        <f aca="true">_xlfn.NORM.INV(RAND(),'VAR Historical Approach'!K$4,'VAR Historical Approach'!K$5)</f>
        <v>0.0301649469940962</v>
      </c>
    </row>
    <row r="20" customFormat="false" ht="14.25" hidden="false" customHeight="false" outlineLevel="0" collapsed="false">
      <c r="B20" s="9" t="s">
        <v>274</v>
      </c>
      <c r="C20" s="254" t="n">
        <v>2744.5</v>
      </c>
      <c r="D20" s="262" t="n">
        <f aca="false">(C20-C21)/C21</f>
        <v>0.00889236888442863</v>
      </c>
      <c r="E20" s="262" t="n">
        <v>0.0412793565276777</v>
      </c>
      <c r="F20" s="0" t="n">
        <v>18</v>
      </c>
      <c r="G20" s="262" t="n">
        <f aca="true">_xlfn.NORM.INV(RAND(),'VAR Historical Approach'!K$4,'VAR Historical Approach'!K$5)</f>
        <v>0.0317001963872464</v>
      </c>
    </row>
    <row r="21" customFormat="false" ht="14.25" hidden="false" customHeight="false" outlineLevel="0" collapsed="false">
      <c r="B21" s="9" t="s">
        <v>345</v>
      </c>
      <c r="C21" s="254" t="n">
        <v>2720.31</v>
      </c>
      <c r="D21" s="262" t="n">
        <f aca="false">(C21-C22)/C22</f>
        <v>0.143400556503611</v>
      </c>
      <c r="E21" s="262" t="n">
        <v>0.0377673758540577</v>
      </c>
      <c r="F21" s="0" t="n">
        <v>19</v>
      </c>
      <c r="G21" s="262" t="n">
        <f aca="true">_xlfn.NORM.INV(RAND(),'VAR Historical Approach'!K$4,'VAR Historical Approach'!K$5)</f>
        <v>0.0892274532261882</v>
      </c>
    </row>
    <row r="22" customFormat="false" ht="14.25" hidden="false" customHeight="false" outlineLevel="0" collapsed="false">
      <c r="B22" s="9" t="s">
        <v>300</v>
      </c>
      <c r="C22" s="254" t="n">
        <v>2379.14</v>
      </c>
      <c r="D22" s="262" t="n">
        <f aca="false">(C22-C23)/C23</f>
        <v>0.00309892528427892</v>
      </c>
      <c r="E22" s="262" t="n">
        <v>0.0363371839771401</v>
      </c>
      <c r="F22" s="0" t="n">
        <v>20</v>
      </c>
      <c r="G22" s="262" t="n">
        <f aca="true">_xlfn.NORM.INV(RAND(),'VAR Historical Approach'!K$4,'VAR Historical Approach'!K$5)</f>
        <v>-0.0878485103814374</v>
      </c>
    </row>
    <row r="23" customFormat="false" ht="14.25" hidden="false" customHeight="false" outlineLevel="0" collapsed="false">
      <c r="B23" s="9" t="s">
        <v>294</v>
      </c>
      <c r="C23" s="254" t="n">
        <v>2371.79</v>
      </c>
      <c r="D23" s="262" t="n">
        <f aca="false">(C23-C24)/C24</f>
        <v>-0.169587838216346</v>
      </c>
      <c r="E23" s="262" t="n">
        <v>0.023492351176991</v>
      </c>
      <c r="F23" s="0" t="n">
        <v>21</v>
      </c>
      <c r="G23" s="262" t="n">
        <f aca="true">_xlfn.NORM.INV(RAND(),'VAR Historical Approach'!K$4,'VAR Historical Approach'!K$5)</f>
        <v>0.00783394079391314</v>
      </c>
    </row>
    <row r="24" customFormat="false" ht="14.25" hidden="false" customHeight="false" outlineLevel="0" collapsed="false">
      <c r="B24" s="9" t="s">
        <v>328</v>
      </c>
      <c r="C24" s="254" t="n">
        <v>2856.16</v>
      </c>
      <c r="D24" s="262" t="n">
        <f aca="false">(C24-C25)/C25</f>
        <v>-0.0645907158624214</v>
      </c>
      <c r="E24" s="262" t="n">
        <v>0.0222366975300908</v>
      </c>
      <c r="F24" s="0" t="n">
        <v>22</v>
      </c>
      <c r="G24" s="262" t="n">
        <f aca="true">_xlfn.NORM.INV(RAND(),'VAR Historical Approach'!K$4,'VAR Historical Approach'!K$5)</f>
        <v>0.0275661703580102</v>
      </c>
    </row>
    <row r="25" customFormat="false" ht="14.25" hidden="false" customHeight="false" outlineLevel="0" collapsed="false">
      <c r="B25" s="9" t="s">
        <v>348</v>
      </c>
      <c r="C25" s="254" t="n">
        <v>3053.38</v>
      </c>
      <c r="D25" s="262" t="n">
        <f aca="false">(C25-C26)/C26</f>
        <v>-0.0624687195831529</v>
      </c>
      <c r="E25" s="262" t="n">
        <v>0.0217030503392984</v>
      </c>
      <c r="F25" s="0" t="n">
        <v>23</v>
      </c>
      <c r="G25" s="262" t="n">
        <f aca="true">_xlfn.NORM.INV(RAND(),'VAR Historical Approach'!K$4,'VAR Historical Approach'!K$5)</f>
        <v>-0.0480151789286851</v>
      </c>
    </row>
    <row r="26" customFormat="false" ht="14.25" hidden="false" customHeight="false" outlineLevel="0" collapsed="false">
      <c r="B26" s="9" t="s">
        <v>351</v>
      </c>
      <c r="C26" s="254" t="n">
        <v>3256.83</v>
      </c>
      <c r="D26" s="262" t="n">
        <f aca="false">(C26-C27)/C27</f>
        <v>0.0850891572045418</v>
      </c>
      <c r="E26" s="262" t="n">
        <v>0.0173524340263894</v>
      </c>
      <c r="F26" s="0" t="n">
        <v>24</v>
      </c>
      <c r="G26" s="262" t="n">
        <f aca="true">_xlfn.NORM.INV(RAND(),'VAR Historical Approach'!K$4,'VAR Historical Approach'!K$5)</f>
        <v>0.116762084095037</v>
      </c>
    </row>
    <row r="27" customFormat="false" ht="14.25" hidden="false" customHeight="false" outlineLevel="0" collapsed="false">
      <c r="B27" s="9" t="s">
        <v>360</v>
      </c>
      <c r="C27" s="254" t="n">
        <v>3001.44</v>
      </c>
      <c r="D27" s="262" t="n">
        <f aca="false">(C27-C28)/C28</f>
        <v>-0.0196274411813701</v>
      </c>
      <c r="E27" s="262" t="n">
        <v>0.0140479617279195</v>
      </c>
      <c r="F27" s="0" t="n">
        <v>25</v>
      </c>
      <c r="G27" s="262" t="n">
        <f aca="true">_xlfn.NORM.INV(RAND(),'VAR Historical Approach'!K$4,'VAR Historical Approach'!K$5)</f>
        <v>0.213427359256745</v>
      </c>
    </row>
    <row r="28" customFormat="false" ht="14.25" hidden="false" customHeight="false" outlineLevel="0" collapsed="false">
      <c r="B28" s="9" t="s">
        <v>318</v>
      </c>
      <c r="C28" s="254" t="n">
        <v>3061.53</v>
      </c>
      <c r="D28" s="262" t="n">
        <f aca="false">(C28-C29)/C29</f>
        <v>-0.0105616619427899</v>
      </c>
      <c r="E28" s="262" t="n">
        <v>0.01372815861884</v>
      </c>
      <c r="F28" s="0" t="n">
        <v>26</v>
      </c>
      <c r="G28" s="262" t="n">
        <f aca="true">_xlfn.NORM.INV(RAND(),'VAR Historical Approach'!K$4,'VAR Historical Approach'!K$5)</f>
        <v>-0.0234910083672129</v>
      </c>
    </row>
    <row r="29" customFormat="false" ht="14.25" hidden="false" customHeight="false" outlineLevel="0" collapsed="false">
      <c r="B29" s="9" t="s">
        <v>362</v>
      </c>
      <c r="C29" s="254" t="n">
        <v>3094.21</v>
      </c>
      <c r="D29" s="262" t="n">
        <f aca="false">(C29-C30)/C30</f>
        <v>0.10947724722022</v>
      </c>
      <c r="E29" s="262" t="n">
        <v>0.0135247566264429</v>
      </c>
      <c r="F29" s="0" t="n">
        <v>27</v>
      </c>
      <c r="G29" s="262" t="n">
        <f aca="true">_xlfn.NORM.INV(RAND(),'VAR Historical Approach'!K$4,'VAR Historical Approach'!K$5)</f>
        <v>0.0138456135545324</v>
      </c>
    </row>
    <row r="30" customFormat="false" ht="14.25" hidden="false" customHeight="false" outlineLevel="0" collapsed="false">
      <c r="B30" s="9" t="s">
        <v>331</v>
      </c>
      <c r="C30" s="254" t="n">
        <v>2788.89</v>
      </c>
      <c r="D30" s="262" t="n">
        <f aca="false">(C30-C31)/C31</f>
        <v>0.0102404532315204</v>
      </c>
      <c r="E30" s="262" t="n">
        <v>0.0102404532315205</v>
      </c>
      <c r="F30" s="0" t="n">
        <v>28</v>
      </c>
      <c r="G30" s="262" t="n">
        <f aca="true">_xlfn.NORM.INV(RAND(),'VAR Historical Approach'!K$4,'VAR Historical Approach'!K$5)</f>
        <v>-0.122057908957239</v>
      </c>
    </row>
    <row r="31" customFormat="false" ht="14.25" hidden="false" customHeight="false" outlineLevel="0" collapsed="false">
      <c r="B31" s="9" t="s">
        <v>332</v>
      </c>
      <c r="C31" s="254" t="n">
        <v>2760.62</v>
      </c>
      <c r="D31" s="262" t="n">
        <f aca="false">(C31-C32)/C32</f>
        <v>0.223332033465684</v>
      </c>
      <c r="E31" s="262" t="n">
        <v>0.00880680572405826</v>
      </c>
      <c r="F31" s="0" t="n">
        <v>29</v>
      </c>
      <c r="G31" s="262" t="n">
        <f aca="true">_xlfn.NORM.INV(RAND(),'VAR Historical Approach'!K$4,'VAR Historical Approach'!K$5)</f>
        <v>-0.122246022888588</v>
      </c>
    </row>
    <row r="32" customFormat="false" ht="14.25" hidden="false" customHeight="false" outlineLevel="0" collapsed="false">
      <c r="B32" s="9" t="s">
        <v>305</v>
      </c>
      <c r="C32" s="254" t="n">
        <v>2256.64</v>
      </c>
      <c r="D32" s="262" t="n">
        <f aca="false">(C32-C33)/C33</f>
        <v>-0.255487408570684</v>
      </c>
      <c r="E32" s="262" t="n">
        <v>0.00852714564078725</v>
      </c>
      <c r="F32" s="0" t="n">
        <v>30</v>
      </c>
      <c r="G32" s="262" t="n">
        <f aca="true">_xlfn.NORM.INV(RAND(),'VAR Historical Approach'!K$4,'VAR Historical Approach'!K$5)</f>
        <v>-0.0187767175346197</v>
      </c>
    </row>
    <row r="33" customFormat="false" ht="14.25" hidden="false" customHeight="false" outlineLevel="0" collapsed="false">
      <c r="B33" s="9" t="s">
        <v>357</v>
      </c>
      <c r="C33" s="254" t="n">
        <v>3031.03</v>
      </c>
      <c r="D33" s="262" t="n">
        <f aca="false">(C33-C34)/C34</f>
        <v>-0.0729264159830675</v>
      </c>
      <c r="E33" s="262" t="n">
        <v>0.00710381605834569</v>
      </c>
      <c r="F33" s="0" t="n">
        <v>31</v>
      </c>
      <c r="G33" s="262" t="n">
        <f aca="true">_xlfn.NORM.INV(RAND(),'VAR Historical Approach'!K$4,'VAR Historical Approach'!K$5)</f>
        <v>0.0141301830706448</v>
      </c>
    </row>
    <row r="34" customFormat="false" ht="14.25" hidden="false" customHeight="false" outlineLevel="0" collapsed="false">
      <c r="B34" s="9" t="s">
        <v>340</v>
      </c>
      <c r="C34" s="254" t="n">
        <v>3269.46</v>
      </c>
      <c r="D34" s="262" t="n">
        <f aca="false">(C34-C35)/C35</f>
        <v>0.170159232363289</v>
      </c>
      <c r="E34" s="262" t="n">
        <v>0.00455041248674971</v>
      </c>
      <c r="F34" s="0" t="n">
        <v>32</v>
      </c>
      <c r="G34" s="262" t="n">
        <f aca="true">_xlfn.NORM.INV(RAND(),'VAR Historical Approach'!K$4,'VAR Historical Approach'!K$5)</f>
        <v>-0.0852381553616826</v>
      </c>
    </row>
    <row r="35" customFormat="false" ht="14.25" hidden="false" customHeight="false" outlineLevel="0" collapsed="false">
      <c r="B35" s="9" t="s">
        <v>330</v>
      </c>
      <c r="C35" s="254" t="n">
        <v>2794.03</v>
      </c>
      <c r="D35" s="262" t="n">
        <f aca="false">(C35-C36)/C36</f>
        <v>0.0205383884871064</v>
      </c>
      <c r="E35" s="262" t="n">
        <v>0.00184302715417257</v>
      </c>
      <c r="F35" s="0" t="n">
        <v>33</v>
      </c>
      <c r="G35" s="262" t="n">
        <f aca="true">_xlfn.NORM.INV(RAND(),'VAR Historical Approach'!K$4,'VAR Historical Approach'!K$5)</f>
        <v>-0.0274728664924883</v>
      </c>
    </row>
    <row r="36" customFormat="false" ht="14.25" hidden="false" customHeight="false" outlineLevel="0" collapsed="false">
      <c r="B36" s="9" t="s">
        <v>273</v>
      </c>
      <c r="C36" s="254" t="n">
        <v>2737.8</v>
      </c>
      <c r="D36" s="262" t="n">
        <f aca="false">(C36-C37)/C37</f>
        <v>0.0387373373297418</v>
      </c>
      <c r="E36" s="262" t="n">
        <v>-0.00244124612862081</v>
      </c>
      <c r="F36" s="0" t="n">
        <v>34</v>
      </c>
      <c r="G36" s="262" t="n">
        <f aca="true">_xlfn.NORM.INV(RAND(),'VAR Historical Approach'!K$4,'VAR Historical Approach'!K$5)</f>
        <v>-0.00751653774974291</v>
      </c>
    </row>
    <row r="37" customFormat="false" ht="14.25" hidden="false" customHeight="false" outlineLevel="0" collapsed="false">
      <c r="B37" s="9" t="s">
        <v>276</v>
      </c>
      <c r="C37" s="254" t="n">
        <v>2635.7</v>
      </c>
      <c r="D37" s="262" t="n">
        <f aca="false">(C37-C38)/C38</f>
        <v>-0.178815003598546</v>
      </c>
      <c r="E37" s="262" t="n">
        <v>-0.00487801194584352</v>
      </c>
      <c r="F37" s="0" t="n">
        <v>35</v>
      </c>
      <c r="G37" s="262" t="n">
        <f aca="true">_xlfn.NORM.INV(RAND(),'VAR Historical Approach'!K$4,'VAR Historical Approach'!K$5)</f>
        <v>-0.0389768166799986</v>
      </c>
    </row>
    <row r="38" customFormat="false" ht="14.25" hidden="false" customHeight="false" outlineLevel="0" collapsed="false">
      <c r="B38" s="9" t="s">
        <v>350</v>
      </c>
      <c r="C38" s="254" t="n">
        <v>3209.63</v>
      </c>
      <c r="D38" s="262" t="n">
        <f aca="false">(C38-C39)/C39</f>
        <v>0.362460522294291</v>
      </c>
      <c r="E38" s="262" t="n">
        <v>-0.0144926201244768</v>
      </c>
      <c r="F38" s="0" t="n">
        <v>36</v>
      </c>
      <c r="G38" s="262" t="n">
        <f aca="true">_xlfn.NORM.INV(RAND(),'VAR Historical Approach'!K$4,'VAR Historical Approach'!K$5)</f>
        <v>-0.0225408097206085</v>
      </c>
    </row>
    <row r="39" customFormat="false" ht="14.25" hidden="false" customHeight="false" outlineLevel="0" collapsed="false">
      <c r="B39" s="9" t="s">
        <v>283</v>
      </c>
      <c r="C39" s="254" t="n">
        <v>2355.76</v>
      </c>
      <c r="D39" s="262" t="n">
        <f aca="false">(C39-C40)/C40</f>
        <v>-0.112955334483044</v>
      </c>
      <c r="E39" s="262" t="n">
        <v>-0.0214545922796697</v>
      </c>
      <c r="F39" s="0" t="n">
        <v>37</v>
      </c>
      <c r="G39" s="262" t="n">
        <f aca="true">_xlfn.NORM.INV(RAND(),'VAR Historical Approach'!K$4,'VAR Historical Approach'!K$5)</f>
        <v>-0.0134325676299567</v>
      </c>
    </row>
    <row r="40" customFormat="false" ht="14.25" hidden="false" customHeight="false" outlineLevel="0" collapsed="false">
      <c r="B40" s="9" t="s">
        <v>344</v>
      </c>
      <c r="C40" s="254" t="n">
        <v>2655.74</v>
      </c>
      <c r="D40" s="262" t="n">
        <f aca="false">(C40-C41)/C41</f>
        <v>-0.105654862130744</v>
      </c>
      <c r="E40" s="262" t="n">
        <v>-0.0237362653521107</v>
      </c>
      <c r="F40" s="0" t="n">
        <v>38</v>
      </c>
      <c r="G40" s="262" t="n">
        <f aca="true">_xlfn.NORM.INV(RAND(),'VAR Historical Approach'!K$4,'VAR Historical Approach'!K$5)</f>
        <v>-0.122680917962033</v>
      </c>
    </row>
    <row r="41" customFormat="false" ht="14.25" hidden="false" customHeight="false" outlineLevel="0" collapsed="false">
      <c r="B41" s="9" t="s">
        <v>347</v>
      </c>
      <c r="C41" s="254" t="n">
        <v>2969.48</v>
      </c>
      <c r="D41" s="262" t="n">
        <f aca="false">(C41-C42)/C42</f>
        <v>-0.0296038979500469</v>
      </c>
      <c r="E41" s="262" t="n">
        <v>-0.0274777459733149</v>
      </c>
      <c r="F41" s="0" t="n">
        <v>39</v>
      </c>
      <c r="G41" s="262" t="n">
        <f aca="true">_xlfn.NORM.INV(RAND(),'VAR Historical Approach'!K$4,'VAR Historical Approach'!K$5)</f>
        <v>0.0111495378152128</v>
      </c>
    </row>
    <row r="42" customFormat="false" ht="14.25" hidden="false" customHeight="false" outlineLevel="0" collapsed="false">
      <c r="B42" s="9" t="s">
        <v>338</v>
      </c>
      <c r="C42" s="254" t="n">
        <v>3060.07</v>
      </c>
      <c r="D42" s="262" t="n">
        <f aca="false">(C42-C43)/C43</f>
        <v>0.0406206854336842</v>
      </c>
      <c r="E42" s="262" t="n">
        <v>-0.0291902489784523</v>
      </c>
      <c r="F42" s="0" t="n">
        <v>40</v>
      </c>
      <c r="G42" s="262" t="n">
        <f aca="true">_xlfn.NORM.INV(RAND(),'VAR Historical Approach'!K$4,'VAR Historical Approach'!K$5)</f>
        <v>-0.00849885491227558</v>
      </c>
    </row>
    <row r="43" customFormat="false" ht="14.25" hidden="false" customHeight="false" outlineLevel="0" collapsed="false">
      <c r="B43" s="9" t="s">
        <v>356</v>
      </c>
      <c r="C43" s="254" t="n">
        <v>2940.62</v>
      </c>
      <c r="D43" s="262" t="n">
        <f aca="false">(C43-C44)/C44</f>
        <v>-0.0670858607649552</v>
      </c>
      <c r="E43" s="262" t="n">
        <v>-0.0298281442281998</v>
      </c>
      <c r="F43" s="0" t="n">
        <v>41</v>
      </c>
      <c r="G43" s="262" t="n">
        <f aca="true">_xlfn.NORM.INV(RAND(),'VAR Historical Approach'!K$4,'VAR Historical Approach'!K$5)</f>
        <v>-0.0530999789379358</v>
      </c>
    </row>
    <row r="44" customFormat="false" ht="14.25" hidden="false" customHeight="false" outlineLevel="0" collapsed="false">
      <c r="B44" s="9" t="s">
        <v>339</v>
      </c>
      <c r="C44" s="254" t="n">
        <v>3152.08</v>
      </c>
      <c r="D44" s="262" t="n">
        <f aca="false">(C44-C45)/C45</f>
        <v>0.148014335246642</v>
      </c>
      <c r="E44" s="262" t="n">
        <v>-0.0359019532277502</v>
      </c>
      <c r="F44" s="0" t="n">
        <v>42</v>
      </c>
      <c r="G44" s="262" t="n">
        <f aca="true">_xlfn.NORM.INV(RAND(),'VAR Historical Approach'!K$4,'VAR Historical Approach'!K$5)</f>
        <v>0.00698326628218385</v>
      </c>
    </row>
    <row r="45" customFormat="false" ht="14.25" hidden="false" customHeight="false" outlineLevel="0" collapsed="false">
      <c r="B45" s="9" t="s">
        <v>286</v>
      </c>
      <c r="C45" s="254" t="n">
        <v>2745.68</v>
      </c>
      <c r="D45" s="262" t="n">
        <f aca="false">(C45-C46)/C46</f>
        <v>-0.0723615306129345</v>
      </c>
      <c r="E45" s="262" t="n">
        <v>-0.036495325790966</v>
      </c>
      <c r="F45" s="0" t="n">
        <v>43</v>
      </c>
      <c r="G45" s="262" t="n">
        <f aca="true">_xlfn.NORM.INV(RAND(),'VAR Historical Approach'!K$4,'VAR Historical Approach'!K$5)</f>
        <v>-0.0545475281351668</v>
      </c>
    </row>
    <row r="46" customFormat="false" ht="14.25" hidden="false" customHeight="false" outlineLevel="0" collapsed="false">
      <c r="B46" s="9" t="s">
        <v>361</v>
      </c>
      <c r="C46" s="254" t="n">
        <v>2959.86</v>
      </c>
      <c r="D46" s="262" t="n">
        <f aca="false">(C46-C47)/C47</f>
        <v>0.0816146054112523</v>
      </c>
      <c r="E46" s="262" t="n">
        <v>-0.0434198066711697</v>
      </c>
      <c r="F46" s="0" t="n">
        <v>44</v>
      </c>
      <c r="G46" s="262" t="n">
        <f aca="true">_xlfn.NORM.INV(RAND(),'VAR Historical Approach'!K$4,'VAR Historical Approach'!K$5)</f>
        <v>0.0038708661949114</v>
      </c>
    </row>
    <row r="47" customFormat="false" ht="14.25" hidden="false" customHeight="false" outlineLevel="0" collapsed="false">
      <c r="B47" s="9" t="s">
        <v>333</v>
      </c>
      <c r="C47" s="254" t="n">
        <v>2736.52</v>
      </c>
      <c r="D47" s="262" t="n">
        <f aca="false">(C47-C48)/C48</f>
        <v>0.0573470885978131</v>
      </c>
      <c r="E47" s="262" t="n">
        <v>-0.0459635471140304</v>
      </c>
      <c r="F47" s="0" t="n">
        <v>45</v>
      </c>
      <c r="G47" s="262" t="n">
        <f aca="true">_xlfn.NORM.INV(RAND(),'VAR Historical Approach'!K$4,'VAR Historical Approach'!K$5)</f>
        <v>-0.00967131734066181</v>
      </c>
    </row>
    <row r="48" customFormat="false" ht="14.25" hidden="false" customHeight="false" outlineLevel="0" collapsed="false">
      <c r="B48" s="9" t="s">
        <v>353</v>
      </c>
      <c r="C48" s="254" t="n">
        <v>2588.1</v>
      </c>
      <c r="D48" s="262" t="n">
        <f aca="false">(C48-C49)/C49</f>
        <v>-0.107551724137931</v>
      </c>
      <c r="E48" s="262" t="n">
        <v>-0.0520787169128554</v>
      </c>
      <c r="F48" s="0" t="n">
        <v>46</v>
      </c>
      <c r="G48" s="262" t="n">
        <f aca="true">_xlfn.NORM.INV(RAND(),'VAR Historical Approach'!K$4,'VAR Historical Approach'!K$5)</f>
        <v>0.042703236691917</v>
      </c>
    </row>
    <row r="49" customFormat="false" ht="14.25" hidden="false" customHeight="false" outlineLevel="0" collapsed="false">
      <c r="B49" s="9" t="s">
        <v>337</v>
      </c>
      <c r="C49" s="254" t="n">
        <v>2900</v>
      </c>
      <c r="D49" s="262" t="n">
        <f aca="false">(C49-C50)/C50</f>
        <v>0.356464958768143</v>
      </c>
      <c r="E49" s="262" t="n">
        <v>-0.0523092608992605</v>
      </c>
      <c r="F49" s="0" t="n">
        <v>47</v>
      </c>
      <c r="G49" s="262" t="n">
        <f aca="true">_xlfn.NORM.INV(RAND(),'VAR Historical Approach'!K$4,'VAR Historical Approach'!K$5)</f>
        <v>-0.00617174306055202</v>
      </c>
    </row>
    <row r="50" customFormat="false" ht="14.25" hidden="false" customHeight="false" outlineLevel="0" collapsed="false">
      <c r="B50" s="9" t="s">
        <v>303</v>
      </c>
      <c r="C50" s="254" t="n">
        <v>2137.91</v>
      </c>
      <c r="D50" s="262" t="n">
        <f aca="false">(C50-C51)/C51</f>
        <v>-0.0809273652715205</v>
      </c>
      <c r="E50" s="262" t="n">
        <v>-0.0526136202495746</v>
      </c>
      <c r="F50" s="0" t="n">
        <v>48</v>
      </c>
      <c r="G50" s="262" t="n">
        <f aca="true">_xlfn.NORM.INV(RAND(),'VAR Historical Approach'!K$4,'VAR Historical Approach'!K$5)</f>
        <v>-0.0202341557902048</v>
      </c>
    </row>
    <row r="51" customFormat="false" ht="14.25" hidden="false" customHeight="false" outlineLevel="0" collapsed="false">
      <c r="B51" s="9" t="s">
        <v>290</v>
      </c>
      <c r="C51" s="254" t="n">
        <v>2326.16</v>
      </c>
      <c r="D51" s="262" t="n">
        <f aca="false">(C51-C52)/C52</f>
        <v>-0.227099496619208</v>
      </c>
      <c r="E51" s="262" t="n">
        <v>-0.0669420990353183</v>
      </c>
      <c r="F51" s="0" t="n">
        <v>49</v>
      </c>
      <c r="G51" s="262" t="n">
        <f aca="true">_xlfn.NORM.INV(RAND(),'VAR Historical Approach'!K$4,'VAR Historical Approach'!K$5)</f>
        <v>-0.0294448834243463</v>
      </c>
    </row>
    <row r="52" customFormat="false" ht="14.25" hidden="false" customHeight="false" outlineLevel="0" collapsed="false">
      <c r="B52" s="9" t="s">
        <v>358</v>
      </c>
      <c r="C52" s="254" t="n">
        <v>3009.65</v>
      </c>
      <c r="D52" s="262" t="n">
        <f aca="false">(C52-C53)/C53</f>
        <v>0.358304674736206</v>
      </c>
      <c r="E52" s="262" t="n">
        <v>-0.0681938506026483</v>
      </c>
      <c r="F52" s="0" t="n">
        <v>50</v>
      </c>
      <c r="G52" s="262" t="n">
        <f aca="true">_xlfn.NORM.INV(RAND(),'VAR Historical Approach'!K$4,'VAR Historical Approach'!K$5)</f>
        <v>-0.0971808318105936</v>
      </c>
    </row>
    <row r="53" customFormat="false" ht="14.25" hidden="false" customHeight="false" outlineLevel="0" collapsed="false">
      <c r="B53" s="9" t="s">
        <v>298</v>
      </c>
      <c r="C53" s="254" t="n">
        <v>2215.74</v>
      </c>
      <c r="D53" s="262" t="n">
        <f aca="false">(C53-C54)/C54</f>
        <v>-0.258582843681823</v>
      </c>
      <c r="E53" s="262" t="n">
        <v>-0.0686802794287012</v>
      </c>
      <c r="F53" s="0" t="n">
        <v>51</v>
      </c>
      <c r="G53" s="262" t="n">
        <f aca="true">_xlfn.NORM.INV(RAND(),'VAR Historical Approach'!K$4,'VAR Historical Approach'!K$5)</f>
        <v>-0.0589320722228008</v>
      </c>
    </row>
    <row r="54" customFormat="false" ht="14.25" hidden="false" customHeight="false" outlineLevel="0" collapsed="false">
      <c r="B54" s="9" t="s">
        <v>349</v>
      </c>
      <c r="C54" s="254" t="n">
        <v>2988.52</v>
      </c>
      <c r="D54" s="262" t="n">
        <f aca="false">(C54-C55)/C55</f>
        <v>0.335615581258156</v>
      </c>
      <c r="E54" s="262" t="n">
        <v>-0.0688895604789337</v>
      </c>
      <c r="F54" s="0" t="n">
        <v>52</v>
      </c>
      <c r="G54" s="262" t="n">
        <f aca="true">_xlfn.NORM.INV(RAND(),'VAR Historical Approach'!K$4,'VAR Historical Approach'!K$5)</f>
        <v>0.0278977056322581</v>
      </c>
    </row>
    <row r="55" customFormat="false" ht="14.25" hidden="false" customHeight="false" outlineLevel="0" collapsed="false">
      <c r="B55" s="9" t="s">
        <v>311</v>
      </c>
      <c r="C55" s="254" t="n">
        <v>2237.56</v>
      </c>
      <c r="D55" s="262" t="n">
        <f aca="false">(C55-C56)/C56</f>
        <v>0.0423836987207558</v>
      </c>
      <c r="E55" s="262" t="n">
        <v>-0.0799506578947369</v>
      </c>
      <c r="F55" s="0" t="n">
        <v>53</v>
      </c>
      <c r="G55" s="262" t="n">
        <f aca="true">_xlfn.NORM.INV(RAND(),'VAR Historical Approach'!K$4,'VAR Historical Approach'!K$5)</f>
        <v>-0.0628063111391495</v>
      </c>
    </row>
    <row r="56" customFormat="false" ht="14.25" hidden="false" customHeight="false" outlineLevel="0" collapsed="false">
      <c r="B56" s="9" t="s">
        <v>281</v>
      </c>
      <c r="C56" s="254" t="n">
        <v>2146.58</v>
      </c>
      <c r="D56" s="262" t="n">
        <f aca="false">(C56-C57)/C57</f>
        <v>-0.213790476469533</v>
      </c>
      <c r="E56" s="262" t="n">
        <v>-0.0887951234421165</v>
      </c>
      <c r="F56" s="0" t="n">
        <v>54</v>
      </c>
      <c r="G56" s="262" t="n">
        <f aca="true">_xlfn.NORM.INV(RAND(),'VAR Historical Approach'!K$4,'VAR Historical Approach'!K$5)</f>
        <v>0.118468228806441</v>
      </c>
    </row>
    <row r="57" customFormat="false" ht="14.25" hidden="false" customHeight="false" outlineLevel="0" collapsed="false">
      <c r="B57" s="9" t="s">
        <v>354</v>
      </c>
      <c r="C57" s="254" t="n">
        <v>2730.29</v>
      </c>
      <c r="D57" s="262" t="n">
        <f aca="false">(C57-C58)/C58</f>
        <v>0.0415746325310627</v>
      </c>
      <c r="E57" s="262" t="n">
        <v>-0.116628272657858</v>
      </c>
      <c r="F57" s="0" t="n">
        <v>55</v>
      </c>
      <c r="G57" s="262" t="n">
        <f aca="true">_xlfn.NORM.INV(RAND(),'VAR Historical Approach'!K$4,'VAR Historical Approach'!K$5)</f>
        <v>-0.0400012292752531</v>
      </c>
    </row>
    <row r="58" customFormat="false" ht="14.25" hidden="false" customHeight="false" outlineLevel="0" collapsed="false">
      <c r="B58" s="9" t="s">
        <v>346</v>
      </c>
      <c r="C58" s="254" t="n">
        <v>2621.31</v>
      </c>
      <c r="D58" s="262" t="n">
        <f aca="false">(C58-C59)/C59</f>
        <v>-0.0880401618441606</v>
      </c>
      <c r="E58" s="262" t="n">
        <v>-0.117249484758274</v>
      </c>
      <c r="F58" s="0" t="n">
        <v>56</v>
      </c>
      <c r="G58" s="262" t="n">
        <f aca="true">_xlfn.NORM.INV(RAND(),'VAR Historical Approach'!K$4,'VAR Historical Approach'!K$5)</f>
        <v>0.0371055412047049</v>
      </c>
    </row>
    <row r="59" customFormat="false" ht="14.25" hidden="false" customHeight="false" outlineLevel="0" collapsed="false">
      <c r="B59" s="9" t="s">
        <v>315</v>
      </c>
      <c r="C59" s="254" t="n">
        <v>2874.37</v>
      </c>
      <c r="D59" s="262" t="n">
        <f aca="false">(C59-C60)/C60</f>
        <v>0.19396779111161</v>
      </c>
      <c r="E59" s="262" t="n">
        <v>-0.118185917947239</v>
      </c>
      <c r="F59" s="0" t="n">
        <v>57</v>
      </c>
      <c r="G59" s="262" t="n">
        <f aca="true">_xlfn.NORM.INV(RAND(),'VAR Historical Approach'!K$4,'VAR Historical Approach'!K$5)</f>
        <v>-0.11046937231276</v>
      </c>
    </row>
    <row r="60" customFormat="false" ht="14.25" hidden="false" customHeight="false" outlineLevel="0" collapsed="false">
      <c r="B60" s="9" t="s">
        <v>284</v>
      </c>
      <c r="C60" s="254" t="n">
        <v>2407.41</v>
      </c>
      <c r="D60" s="262" t="n">
        <f aca="false">(C60-C61)/C61</f>
        <v>-0.160701585575033</v>
      </c>
      <c r="E60" s="262" t="n">
        <v>-0.123200809999709</v>
      </c>
      <c r="F60" s="0" t="n">
        <v>58</v>
      </c>
      <c r="G60" s="262" t="n">
        <f aca="true">_xlfn.NORM.INV(RAND(),'VAR Historical Approach'!K$4,'VAR Historical Approach'!K$5)</f>
        <v>0.0196116251807446</v>
      </c>
    </row>
    <row r="61" customFormat="false" ht="14.25" hidden="false" customHeight="false" outlineLevel="0" collapsed="false">
      <c r="B61" s="9" t="s">
        <v>334</v>
      </c>
      <c r="C61" s="254" t="n">
        <v>2868.36</v>
      </c>
      <c r="D61" s="262" t="n">
        <f aca="false">(C61-C62)/C62</f>
        <v>0.179424342105263</v>
      </c>
      <c r="E61" s="262" t="n">
        <v>-0.130657743994472</v>
      </c>
      <c r="F61" s="0" t="n">
        <v>59</v>
      </c>
      <c r="G61" s="262" t="n">
        <f aca="true">_xlfn.NORM.INV(RAND(),'VAR Historical Approach'!K$4,'VAR Historical Approach'!K$5)</f>
        <v>0.121658228328639</v>
      </c>
    </row>
    <row r="62" customFormat="false" ht="14.25" hidden="false" customHeight="false" outlineLevel="0" collapsed="false">
      <c r="B62" s="9" t="s">
        <v>313</v>
      </c>
      <c r="C62" s="254" t="n">
        <v>2432</v>
      </c>
      <c r="D62" s="262" t="str">
        <f aca="false">IFERROR((C62-C63)/C63,"")</f>
        <v/>
      </c>
      <c r="E62" s="262" t="n">
        <v>-0.153901550600653</v>
      </c>
      <c r="F62" s="0" t="n">
        <v>60</v>
      </c>
      <c r="G62" s="262" t="n">
        <f aca="true">_xlfn.NORM.INV(RAND(),'VAR Historical Approach'!K$4,'VAR Historical Approach'!K$5)</f>
        <v>0.0453246011570554</v>
      </c>
    </row>
  </sheetData>
  <mergeCells count="1">
    <mergeCell ref="I2:M2"/>
  </mergeCells>
  <printOptions headings="false" gridLines="false" gridLinesSet="true" horizontalCentered="false" verticalCentered="false"/>
  <pageMargins left="0.7" right="0.7" top="0.75" bottom="0.75" header="0.511811023622047" footer="0.511811023622047"/>
  <pageSetup paperSize="1" scale="57"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106"/>
  <sheetViews>
    <sheetView showFormulas="false" showGridLines="false" showRowColHeaders="true" showZeros="true" rightToLeft="false" tabSelected="false" showOutlineSymbols="true" defaultGridColor="true" view="normal" topLeftCell="A1" colorId="64" zoomScale="64" zoomScaleNormal="64" zoomScalePageLayoutView="103" workbookViewId="0">
      <selection pane="topLeft" activeCell="L16" activeCellId="0" sqref="L16"/>
    </sheetView>
  </sheetViews>
  <sheetFormatPr defaultColWidth="8.6796875" defaultRowHeight="14.25" zeroHeight="false" outlineLevelRow="0" outlineLevelCol="0"/>
  <cols>
    <col collapsed="false" customWidth="true" hidden="false" outlineLevel="0" max="1" min="1" style="0" width="1.88"/>
    <col collapsed="false" customWidth="true" hidden="false" outlineLevel="0" max="2" min="2" style="0" width="28.78"/>
    <col collapsed="false" customWidth="true" hidden="false" outlineLevel="0" max="9" min="3" style="0" width="10.78"/>
  </cols>
  <sheetData>
    <row r="1" customFormat="false" ht="9.75" hidden="false" customHeight="true" outlineLevel="0" collapsed="false">
      <c r="B1" s="68"/>
      <c r="C1" s="68"/>
      <c r="D1" s="68"/>
      <c r="E1" s="68"/>
      <c r="F1" s="68"/>
      <c r="G1" s="68"/>
      <c r="H1" s="68"/>
      <c r="I1" s="68"/>
    </row>
    <row r="2" customFormat="false" ht="45.75" hidden="false" customHeight="true" outlineLevel="0" collapsed="false">
      <c r="B2" s="69" t="str">
        <f aca="false">'Data Sheet'!B1</f>
        <v>ASIAN PAINTS LTD</v>
      </c>
    </row>
    <row r="3" customFormat="false" ht="14.25" hidden="false" customHeight="false" outlineLevel="0" collapsed="false">
      <c r="B3" s="0" t="s">
        <v>150</v>
      </c>
    </row>
    <row r="4" customFormat="false" ht="21" hidden="false" customHeight="true" outlineLevel="0" collapsed="false">
      <c r="B4" s="70" t="str">
        <f aca="false">CONCATENATE("INR "&amp;'Data Sheet'!B8)</f>
        <v>INR 2645.2</v>
      </c>
    </row>
    <row r="5" customFormat="false" ht="14.25" hidden="false" customHeight="false" outlineLevel="0" collapsed="false">
      <c r="B5" s="0" t="s">
        <v>151</v>
      </c>
    </row>
    <row r="6" customFormat="false" ht="13.5" hidden="false" customHeight="true" outlineLevel="0" collapsed="false">
      <c r="B6" s="71"/>
      <c r="C6" s="71"/>
      <c r="D6" s="71"/>
      <c r="E6" s="71"/>
      <c r="F6" s="71"/>
      <c r="G6" s="71"/>
      <c r="H6" s="71"/>
      <c r="I6" s="71"/>
    </row>
    <row r="7" customFormat="false" ht="17.25" hidden="false" customHeight="true" outlineLevel="0" collapsed="false">
      <c r="B7" s="271" t="s">
        <v>501</v>
      </c>
    </row>
    <row r="8" customFormat="false" ht="14.25" hidden="false" customHeight="true" outlineLevel="0" collapsed="false">
      <c r="B8" s="272" t="s">
        <v>502</v>
      </c>
      <c r="C8" s="272"/>
      <c r="D8" s="272"/>
      <c r="E8" s="272"/>
      <c r="F8" s="272"/>
      <c r="G8" s="272"/>
      <c r="H8" s="272"/>
      <c r="I8" s="272"/>
    </row>
    <row r="9" customFormat="false" ht="14.25" hidden="false" customHeight="false" outlineLevel="0" collapsed="false">
      <c r="B9" s="272"/>
      <c r="C9" s="272"/>
      <c r="D9" s="272"/>
      <c r="E9" s="272"/>
      <c r="F9" s="272"/>
      <c r="G9" s="272"/>
      <c r="H9" s="272"/>
      <c r="I9" s="272"/>
    </row>
    <row r="10" customFormat="false" ht="27" hidden="false" customHeight="true" outlineLevel="0" collapsed="false">
      <c r="B10" s="272"/>
      <c r="C10" s="272"/>
      <c r="D10" s="272"/>
      <c r="E10" s="272"/>
      <c r="F10" s="272"/>
      <c r="G10" s="272"/>
      <c r="H10" s="272"/>
      <c r="I10" s="272"/>
    </row>
    <row r="11" customFormat="false" ht="4.5" hidden="false" customHeight="true" outlineLevel="0" collapsed="false"/>
    <row r="12" customFormat="false" ht="17.25" hidden="false" customHeight="true" outlineLevel="0" collapsed="false">
      <c r="B12" s="271" t="s">
        <v>503</v>
      </c>
    </row>
    <row r="13" customFormat="false" ht="5.25" hidden="false" customHeight="true" outlineLevel="0" collapsed="false"/>
    <row r="36" customFormat="false" ht="17.25" hidden="false" customHeight="true" outlineLevel="0" collapsed="false">
      <c r="B36" s="271"/>
    </row>
    <row r="47" customFormat="false" ht="9.75" hidden="false" customHeight="true" outlineLevel="0" collapsed="false">
      <c r="B47" s="1"/>
      <c r="C47" s="1"/>
      <c r="D47" s="1"/>
      <c r="E47" s="1"/>
      <c r="F47" s="1"/>
      <c r="G47" s="1"/>
      <c r="H47" s="1"/>
      <c r="I47" s="1"/>
    </row>
    <row r="48" customFormat="false" ht="9.75" hidden="false" customHeight="true" outlineLevel="0" collapsed="false">
      <c r="B48" s="1"/>
      <c r="C48" s="1"/>
      <c r="D48" s="1"/>
      <c r="E48" s="1"/>
      <c r="F48" s="1"/>
      <c r="G48" s="1"/>
      <c r="H48" s="1"/>
      <c r="I48" s="1"/>
    </row>
    <row r="49" customFormat="false" ht="9.75" hidden="false" customHeight="true" outlineLevel="0" collapsed="false"/>
    <row r="50" customFormat="false" ht="21" hidden="false" customHeight="true" outlineLevel="0" collapsed="false">
      <c r="B50" s="273" t="s">
        <v>504</v>
      </c>
    </row>
    <row r="51" customFormat="false" ht="9" hidden="false" customHeight="true" outlineLevel="0" collapsed="false"/>
    <row r="52" customFormat="false" ht="14.25" hidden="false" customHeight="false" outlineLevel="0" collapsed="false">
      <c r="B52" s="48" t="s">
        <v>505</v>
      </c>
      <c r="C52" s="48"/>
      <c r="D52" s="48"/>
      <c r="E52" s="48"/>
      <c r="F52" s="48"/>
      <c r="G52" s="48"/>
      <c r="H52" s="48"/>
      <c r="I52" s="48"/>
    </row>
    <row r="53" customFormat="false" ht="14.25" hidden="false" customHeight="false" outlineLevel="0" collapsed="false">
      <c r="C53" s="274" t="n">
        <f aca="false">HistoricalFS!F3</f>
        <v>43921</v>
      </c>
      <c r="D53" s="274" t="n">
        <f aca="false">HistoricalFS!G3</f>
        <v>44286</v>
      </c>
      <c r="E53" s="274" t="n">
        <f aca="false">HistoricalFS!H3</f>
        <v>44651</v>
      </c>
      <c r="F53" s="274" t="n">
        <f aca="false">HistoricalFS!I3</f>
        <v>45016</v>
      </c>
      <c r="G53" s="274" t="n">
        <f aca="false">HistoricalFS!J3</f>
        <v>45382</v>
      </c>
      <c r="H53" s="274" t="n">
        <f aca="false">HistoricalFS!K3</f>
        <v>45747</v>
      </c>
      <c r="I53" s="274" t="n">
        <f aca="false">HistoricalFS!L3</f>
        <v>46112</v>
      </c>
    </row>
    <row r="54" customFormat="false" ht="14.25" hidden="false" customHeight="false" outlineLevel="0" collapsed="false">
      <c r="B54" s="0" t="s">
        <v>96</v>
      </c>
      <c r="C54" s="39" t="n">
        <f aca="false">HistoricalFS!F39</f>
        <v>2774.19</v>
      </c>
      <c r="D54" s="39" t="n">
        <f aca="false">HistoricalFS!G39</f>
        <v>3206.75</v>
      </c>
      <c r="E54" s="39" t="n">
        <f aca="false">HistoricalFS!H39</f>
        <v>3084.81</v>
      </c>
      <c r="F54" s="39" t="n">
        <f aca="false">HistoricalFS!I39</f>
        <v>4195.33</v>
      </c>
      <c r="G54" s="39" t="n">
        <f aca="false">HistoricalFS!J39</f>
        <v>5557.69</v>
      </c>
      <c r="H54" s="39" t="n">
        <f aca="false">HistoricalFS!K39</f>
        <v>3709.71000000001</v>
      </c>
      <c r="I54" s="39" t="n">
        <f aca="false">HistoricalFS!L39</f>
        <v>4394.69</v>
      </c>
    </row>
    <row r="55" customFormat="false" ht="14.25" hidden="false" customHeight="false" outlineLevel="0" collapsed="false">
      <c r="B55" s="0" t="s">
        <v>506</v>
      </c>
      <c r="C55" s="39" t="n">
        <f aca="false">(('Data Sheet'!E57+'Data Sheet'!E58)+('Data Sheet'!D57+'Data Sheet'!D58))/2</f>
        <v>9800.355</v>
      </c>
      <c r="D55" s="39" t="n">
        <f aca="false">(('Data Sheet'!F57+'Data Sheet'!F58)+('Data Sheet'!E57+'Data Sheet'!E58))/2</f>
        <v>11468.225</v>
      </c>
      <c r="E55" s="39" t="n">
        <f aca="false">(('Data Sheet'!G57+'Data Sheet'!G58)+('Data Sheet'!F57+'Data Sheet'!F58))/2</f>
        <v>13308.925</v>
      </c>
      <c r="F55" s="39" t="n">
        <f aca="false">(('Data Sheet'!H57+'Data Sheet'!H58)+('Data Sheet'!G57+'Data Sheet'!G58))/2</f>
        <v>14901.895</v>
      </c>
      <c r="G55" s="39" t="n">
        <f aca="false">(('Data Sheet'!I57+'Data Sheet'!I58)+('Data Sheet'!H57+'Data Sheet'!H58))/2</f>
        <v>17360.265</v>
      </c>
      <c r="H55" s="39" t="n">
        <f aca="false">(('Data Sheet'!J57+'Data Sheet'!J58)+('Data Sheet'!I57+'Data Sheet'!I58))/2</f>
        <v>19064.055</v>
      </c>
      <c r="I55" s="39" t="n">
        <f aca="false">(('Data Sheet'!K57+'Data Sheet'!K58)+('Data Sheet'!J57+'Data Sheet'!J58))/2</f>
        <v>20385.7</v>
      </c>
    </row>
    <row r="56" customFormat="false" ht="14.25" hidden="false" customHeight="false" outlineLevel="0" collapsed="false">
      <c r="B56" s="129" t="s">
        <v>505</v>
      </c>
      <c r="C56" s="275" t="n">
        <f aca="false">C54/C55</f>
        <v>0.283070358165597</v>
      </c>
      <c r="D56" s="275" t="n">
        <f aca="false">D54/D55</f>
        <v>0.279620429491051</v>
      </c>
      <c r="E56" s="275" t="n">
        <f aca="false">E54/E55</f>
        <v>0.23178506152826</v>
      </c>
      <c r="F56" s="275" t="n">
        <f aca="false">F54/F55</f>
        <v>0.281529966490839</v>
      </c>
      <c r="G56" s="275" t="n">
        <f aca="false">G54/G55</f>
        <v>0.320138546272191</v>
      </c>
      <c r="H56" s="275" t="n">
        <f aca="false">H54/H55</f>
        <v>0.194591864112856</v>
      </c>
      <c r="I56" s="275" t="n">
        <f aca="false">I54/I55</f>
        <v>0.215577095709247</v>
      </c>
    </row>
    <row r="58" customFormat="false" ht="14.25" hidden="false" customHeight="false" outlineLevel="0" collapsed="false">
      <c r="B58" s="48" t="s">
        <v>507</v>
      </c>
      <c r="C58" s="48"/>
      <c r="D58" s="48"/>
      <c r="E58" s="48"/>
      <c r="F58" s="48"/>
      <c r="G58" s="48"/>
      <c r="H58" s="48"/>
      <c r="I58" s="48"/>
    </row>
    <row r="59" customFormat="false" ht="14.25" hidden="false" customHeight="false" outlineLevel="0" collapsed="false">
      <c r="C59" s="274" t="n">
        <f aca="false">C53</f>
        <v>43921</v>
      </c>
      <c r="D59" s="274" t="n">
        <f aca="false">D53</f>
        <v>44286</v>
      </c>
      <c r="E59" s="274" t="n">
        <f aca="false">E53</f>
        <v>44651</v>
      </c>
      <c r="F59" s="274" t="n">
        <f aca="false">F53</f>
        <v>45016</v>
      </c>
      <c r="G59" s="274" t="n">
        <f aca="false">G53</f>
        <v>45382</v>
      </c>
      <c r="H59" s="274" t="n">
        <f aca="false">H53</f>
        <v>45747</v>
      </c>
      <c r="I59" s="274" t="n">
        <f aca="false">I53</f>
        <v>46112</v>
      </c>
    </row>
    <row r="60" customFormat="false" ht="14.25" hidden="false" customHeight="false" outlineLevel="0" collapsed="false">
      <c r="B60" s="0" t="s">
        <v>96</v>
      </c>
      <c r="C60" s="39" t="n">
        <f aca="false">C54</f>
        <v>2774.19</v>
      </c>
      <c r="D60" s="39" t="n">
        <f aca="false">D54</f>
        <v>3206.75</v>
      </c>
      <c r="E60" s="39" t="n">
        <f aca="false">E54</f>
        <v>3084.81</v>
      </c>
      <c r="F60" s="39" t="n">
        <f aca="false">F54</f>
        <v>4195.33</v>
      </c>
      <c r="G60" s="39" t="n">
        <f aca="false">G54</f>
        <v>5557.69</v>
      </c>
      <c r="H60" s="39" t="n">
        <f aca="false">H54</f>
        <v>3709.71000000001</v>
      </c>
      <c r="I60" s="39" t="n">
        <f aca="false">I54</f>
        <v>4394.69</v>
      </c>
    </row>
    <row r="61" customFormat="false" ht="14.25" hidden="false" customHeight="false" outlineLevel="0" collapsed="false">
      <c r="B61" s="0" t="s">
        <v>463</v>
      </c>
      <c r="C61" s="39" t="n">
        <f aca="false">'Data Sheet'!E17</f>
        <v>20211.25</v>
      </c>
      <c r="D61" s="39" t="n">
        <f aca="false">'Data Sheet'!F17</f>
        <v>21712.79</v>
      </c>
      <c r="E61" s="39" t="n">
        <f aca="false">'Data Sheet'!G17</f>
        <v>29101.28</v>
      </c>
      <c r="F61" s="39" t="n">
        <f aca="false">'Data Sheet'!H17</f>
        <v>34488.59</v>
      </c>
      <c r="G61" s="39" t="n">
        <f aca="false">'Data Sheet'!I17</f>
        <v>35494.73</v>
      </c>
      <c r="H61" s="39" t="n">
        <f aca="false">'Data Sheet'!J17</f>
        <v>33905.62</v>
      </c>
      <c r="I61" s="39" t="n">
        <f aca="false">'Data Sheet'!K17</f>
        <v>35583.54</v>
      </c>
    </row>
    <row r="62" customFormat="false" ht="14.25" hidden="false" customHeight="false" outlineLevel="0" collapsed="false">
      <c r="B62" s="129" t="s">
        <v>508</v>
      </c>
      <c r="C62" s="275" t="n">
        <f aca="false">C60/C61</f>
        <v>0.137259694477086</v>
      </c>
      <c r="D62" s="275" t="n">
        <f aca="false">D60/D61</f>
        <v>0.147689449398258</v>
      </c>
      <c r="E62" s="275" t="n">
        <f aca="false">E60/E61</f>
        <v>0.106002553839556</v>
      </c>
      <c r="F62" s="275" t="n">
        <f aca="false">F60/F61</f>
        <v>0.121643998783366</v>
      </c>
      <c r="G62" s="275" t="n">
        <f aca="false">G60/G61</f>
        <v>0.156577891985655</v>
      </c>
      <c r="H62" s="275" t="n">
        <f aca="false">H60/H61</f>
        <v>0.109412834804378</v>
      </c>
      <c r="I62" s="275" t="n">
        <f aca="false">I60/I61</f>
        <v>0.12350345131485</v>
      </c>
    </row>
    <row r="64" customFormat="false" ht="14.25" hidden="false" customHeight="false" outlineLevel="0" collapsed="false">
      <c r="B64" s="0" t="s">
        <v>463</v>
      </c>
      <c r="C64" s="39" t="n">
        <f aca="false">C61</f>
        <v>20211.25</v>
      </c>
      <c r="D64" s="39" t="n">
        <f aca="false">D61</f>
        <v>21712.79</v>
      </c>
      <c r="E64" s="39" t="n">
        <f aca="false">E61</f>
        <v>29101.28</v>
      </c>
      <c r="F64" s="39" t="n">
        <f aca="false">F61</f>
        <v>34488.59</v>
      </c>
      <c r="G64" s="39" t="n">
        <f aca="false">G61</f>
        <v>35494.73</v>
      </c>
      <c r="H64" s="39" t="n">
        <f aca="false">H61</f>
        <v>33905.62</v>
      </c>
      <c r="I64" s="39" t="n">
        <f aca="false">I61</f>
        <v>35583.54</v>
      </c>
    </row>
    <row r="65" customFormat="false" ht="14.25" hidden="false" customHeight="false" outlineLevel="0" collapsed="false">
      <c r="B65" s="0" t="s">
        <v>509</v>
      </c>
      <c r="C65" s="39" t="n">
        <f aca="false">('Data Sheet'!E66+'Data Sheet'!D66)/2</f>
        <v>16193.405</v>
      </c>
      <c r="D65" s="39" t="n">
        <f aca="false">('Data Sheet'!F66+'Data Sheet'!E66)/2</f>
        <v>18246.655</v>
      </c>
      <c r="E65" s="39" t="n">
        <f aca="false">('Data Sheet'!G66+'Data Sheet'!F66)/2</f>
        <v>21656.885</v>
      </c>
      <c r="F65" s="39" t="n">
        <f aca="false">('Data Sheet'!H66+'Data Sheet'!G66)/2</f>
        <v>24368.88</v>
      </c>
      <c r="G65" s="39" t="n">
        <f aca="false">('Data Sheet'!I66+'Data Sheet'!H66)/2</f>
        <v>27840.05</v>
      </c>
      <c r="H65" s="39" t="n">
        <f aca="false">('Data Sheet'!J66+'Data Sheet'!I66)/2</f>
        <v>30128.01</v>
      </c>
      <c r="I65" s="39" t="n">
        <f aca="false">('Data Sheet'!K66+'Data Sheet'!J66)/2</f>
        <v>32437</v>
      </c>
    </row>
    <row r="66" customFormat="false" ht="14.25" hidden="false" customHeight="false" outlineLevel="0" collapsed="false">
      <c r="B66" s="129" t="s">
        <v>510</v>
      </c>
      <c r="C66" s="276" t="n">
        <f aca="false">C64/C65</f>
        <v>1.2481161312275</v>
      </c>
      <c r="D66" s="276" t="n">
        <f aca="false">D64/D65</f>
        <v>1.18996002280966</v>
      </c>
      <c r="E66" s="276" t="n">
        <f aca="false">E64/E65</f>
        <v>1.34374264812322</v>
      </c>
      <c r="F66" s="276" t="n">
        <f aca="false">F64/F65</f>
        <v>1.41527185492316</v>
      </c>
      <c r="G66" s="276" t="n">
        <f aca="false">G64/G65</f>
        <v>1.27495209239926</v>
      </c>
      <c r="H66" s="276" t="n">
        <f aca="false">H64/H65</f>
        <v>1.12538531419765</v>
      </c>
      <c r="I66" s="276" t="n">
        <f aca="false">I64/I65</f>
        <v>1.09700465517773</v>
      </c>
    </row>
    <row r="68" customFormat="false" ht="14.25" hidden="false" customHeight="false" outlineLevel="0" collapsed="false">
      <c r="B68" s="0" t="s">
        <v>509</v>
      </c>
      <c r="C68" s="39" t="n">
        <f aca="false">C65</f>
        <v>16193.405</v>
      </c>
      <c r="D68" s="39" t="n">
        <f aca="false">D65</f>
        <v>18246.655</v>
      </c>
      <c r="E68" s="39" t="n">
        <f aca="false">E65</f>
        <v>21656.885</v>
      </c>
      <c r="F68" s="39" t="n">
        <f aca="false">F65</f>
        <v>24368.88</v>
      </c>
      <c r="G68" s="39" t="n">
        <f aca="false">G65</f>
        <v>27840.05</v>
      </c>
      <c r="H68" s="39" t="n">
        <f aca="false">H65</f>
        <v>30128.01</v>
      </c>
      <c r="I68" s="39" t="n">
        <f aca="false">I65</f>
        <v>32437</v>
      </c>
    </row>
    <row r="69" customFormat="false" ht="14.25" hidden="false" customHeight="false" outlineLevel="0" collapsed="false">
      <c r="B69" s="0" t="s">
        <v>506</v>
      </c>
      <c r="C69" s="39" t="n">
        <f aca="false">C55</f>
        <v>9800.355</v>
      </c>
      <c r="D69" s="39" t="n">
        <f aca="false">D55</f>
        <v>11468.225</v>
      </c>
      <c r="E69" s="39" t="n">
        <f aca="false">E55</f>
        <v>13308.925</v>
      </c>
      <c r="F69" s="39" t="n">
        <f aca="false">F55</f>
        <v>14901.895</v>
      </c>
      <c r="G69" s="39" t="n">
        <f aca="false">G55</f>
        <v>17360.265</v>
      </c>
      <c r="H69" s="39" t="n">
        <f aca="false">H55</f>
        <v>19064.055</v>
      </c>
      <c r="I69" s="39" t="n">
        <f aca="false">I55</f>
        <v>20385.7</v>
      </c>
    </row>
    <row r="70" customFormat="false" ht="14.25" hidden="false" customHeight="false" outlineLevel="0" collapsed="false">
      <c r="B70" s="129" t="s">
        <v>511</v>
      </c>
      <c r="C70" s="276" t="n">
        <f aca="false">C68/C69</f>
        <v>1.65232841055248</v>
      </c>
      <c r="D70" s="276" t="n">
        <f aca="false">D68/D69</f>
        <v>1.59106182517347</v>
      </c>
      <c r="E70" s="276" t="n">
        <f aca="false">E68/E69</f>
        <v>1.62724525083731</v>
      </c>
      <c r="F70" s="276" t="n">
        <f aca="false">F68/F69</f>
        <v>1.63528732419602</v>
      </c>
      <c r="G70" s="276" t="n">
        <f aca="false">G68/G69</f>
        <v>1.60366503621921</v>
      </c>
      <c r="H70" s="276" t="n">
        <f aca="false">H68/H69</f>
        <v>1.58035685482443</v>
      </c>
      <c r="I70" s="276" t="n">
        <f aca="false">I68/I69</f>
        <v>1.59116439464919</v>
      </c>
    </row>
    <row r="72" customFormat="false" ht="14.25" hidden="false" customHeight="false" outlineLevel="0" collapsed="false">
      <c r="B72" s="129" t="s">
        <v>512</v>
      </c>
      <c r="C72" s="275" t="n">
        <f aca="false">C70*C66*C62</f>
        <v>0.283070358165597</v>
      </c>
      <c r="D72" s="275" t="n">
        <f aca="false">D70*D66*D62</f>
        <v>0.279620429491051</v>
      </c>
      <c r="E72" s="275" t="n">
        <f aca="false">E70*E66*E62</f>
        <v>0.23178506152826</v>
      </c>
      <c r="F72" s="275" t="n">
        <f aca="false">F70*F66*F62</f>
        <v>0.281529966490839</v>
      </c>
      <c r="G72" s="275" t="n">
        <f aca="false">G70*G66*G62</f>
        <v>0.320138546272191</v>
      </c>
      <c r="H72" s="275" t="n">
        <f aca="false">H70*H66*H62</f>
        <v>0.194591864112856</v>
      </c>
      <c r="I72" s="275" t="n">
        <f aca="false">I70*I66*I62</f>
        <v>0.215577095709247</v>
      </c>
    </row>
    <row r="74" customFormat="false" ht="14.25" hidden="false" customHeight="false" outlineLevel="0" collapsed="false">
      <c r="B74" s="48" t="s">
        <v>513</v>
      </c>
      <c r="C74" s="48"/>
      <c r="D74" s="48"/>
      <c r="E74" s="48"/>
      <c r="F74" s="48"/>
      <c r="G74" s="48"/>
      <c r="H74" s="48"/>
      <c r="I74" s="48"/>
    </row>
    <row r="75" customFormat="false" ht="14.25" hidden="false" customHeight="false" outlineLevel="0" collapsed="false">
      <c r="C75" s="274" t="n">
        <f aca="false">C53</f>
        <v>43921</v>
      </c>
      <c r="D75" s="274" t="n">
        <f aca="false">D53</f>
        <v>44286</v>
      </c>
      <c r="E75" s="274" t="n">
        <f aca="false">E53</f>
        <v>44651</v>
      </c>
      <c r="F75" s="274" t="n">
        <f aca="false">F53</f>
        <v>45016</v>
      </c>
      <c r="G75" s="274" t="n">
        <f aca="false">G53</f>
        <v>45382</v>
      </c>
      <c r="H75" s="274" t="n">
        <f aca="false">H53</f>
        <v>45747</v>
      </c>
      <c r="I75" s="274" t="n">
        <f aca="false">I53</f>
        <v>46112</v>
      </c>
    </row>
    <row r="76" customFormat="false" ht="14.25" hidden="false" customHeight="false" outlineLevel="0" collapsed="false">
      <c r="B76" s="0" t="s">
        <v>96</v>
      </c>
      <c r="C76" s="39" t="n">
        <f aca="false">C54</f>
        <v>2774.19</v>
      </c>
      <c r="D76" s="39" t="n">
        <f aca="false">D54</f>
        <v>3206.75</v>
      </c>
      <c r="E76" s="39" t="n">
        <f aca="false">E54</f>
        <v>3084.81</v>
      </c>
      <c r="F76" s="39" t="n">
        <f aca="false">F54</f>
        <v>4195.33</v>
      </c>
      <c r="G76" s="39" t="n">
        <f aca="false">G54</f>
        <v>5557.69</v>
      </c>
      <c r="H76" s="39" t="n">
        <f aca="false">H54</f>
        <v>3709.71000000001</v>
      </c>
      <c r="I76" s="39" t="n">
        <f aca="false">I54</f>
        <v>4394.69</v>
      </c>
    </row>
    <row r="77" customFormat="false" ht="14.25" hidden="false" customHeight="false" outlineLevel="0" collapsed="false">
      <c r="B77" s="0" t="s">
        <v>509</v>
      </c>
      <c r="C77" s="39" t="n">
        <f aca="false">C65</f>
        <v>16193.405</v>
      </c>
      <c r="D77" s="39" t="n">
        <f aca="false">D65</f>
        <v>18246.655</v>
      </c>
      <c r="E77" s="39" t="n">
        <f aca="false">E65</f>
        <v>21656.885</v>
      </c>
      <c r="F77" s="39" t="n">
        <f aca="false">F65</f>
        <v>24368.88</v>
      </c>
      <c r="G77" s="39" t="n">
        <f aca="false">G65</f>
        <v>27840.05</v>
      </c>
      <c r="H77" s="39" t="n">
        <f aca="false">H65</f>
        <v>30128.01</v>
      </c>
      <c r="I77" s="39" t="n">
        <f aca="false">I65</f>
        <v>32437</v>
      </c>
    </row>
    <row r="78" customFormat="false" ht="14.25" hidden="false" customHeight="false" outlineLevel="0" collapsed="false">
      <c r="B78" s="129" t="s">
        <v>513</v>
      </c>
      <c r="C78" s="275" t="n">
        <f aca="false">C76/C77</f>
        <v>0.171316038844209</v>
      </c>
      <c r="D78" s="275" t="n">
        <f aca="false">D76/D77</f>
        <v>0.175744540574697</v>
      </c>
      <c r="E78" s="275" t="n">
        <f aca="false">E76/E77</f>
        <v>0.142440152404189</v>
      </c>
      <c r="F78" s="275" t="n">
        <f aca="false">F76/F77</f>
        <v>0.172159327798405</v>
      </c>
      <c r="G78" s="275" t="n">
        <f aca="false">G76/G77</f>
        <v>0.199629311010577</v>
      </c>
      <c r="H78" s="275" t="n">
        <f aca="false">H76/H77</f>
        <v>0.12313159747358</v>
      </c>
      <c r="I78" s="275" t="n">
        <f aca="false">I76/I77</f>
        <v>0.135483861022906</v>
      </c>
    </row>
    <row r="80" customFormat="false" ht="14.25" hidden="false" customHeight="false" outlineLevel="0" collapsed="false">
      <c r="B80" s="48" t="s">
        <v>514</v>
      </c>
      <c r="C80" s="48"/>
      <c r="D80" s="48"/>
      <c r="E80" s="48"/>
      <c r="F80" s="48"/>
      <c r="G80" s="48"/>
      <c r="H80" s="48"/>
      <c r="I80" s="48"/>
    </row>
    <row r="81" customFormat="false" ht="14.25" hidden="false" customHeight="false" outlineLevel="0" collapsed="false">
      <c r="C81" s="274" t="n">
        <f aca="false">C75</f>
        <v>43921</v>
      </c>
      <c r="D81" s="274" t="n">
        <f aca="false">D75</f>
        <v>44286</v>
      </c>
      <c r="E81" s="274" t="n">
        <f aca="false">E75</f>
        <v>44651</v>
      </c>
      <c r="F81" s="274" t="n">
        <f aca="false">F75</f>
        <v>45016</v>
      </c>
      <c r="G81" s="274" t="n">
        <f aca="false">G75</f>
        <v>45382</v>
      </c>
      <c r="H81" s="274" t="n">
        <f aca="false">H75</f>
        <v>45747</v>
      </c>
      <c r="I81" s="274" t="n">
        <f aca="false">I75</f>
        <v>46112</v>
      </c>
    </row>
    <row r="82" customFormat="false" ht="14.25" hidden="false" customHeight="false" outlineLevel="0" collapsed="false">
      <c r="B82" s="0" t="s">
        <v>96</v>
      </c>
      <c r="C82" s="39" t="n">
        <f aca="false">C76</f>
        <v>2774.19</v>
      </c>
      <c r="D82" s="39" t="n">
        <f aca="false">D76</f>
        <v>3206.75</v>
      </c>
      <c r="E82" s="39" t="n">
        <f aca="false">E76</f>
        <v>3084.81</v>
      </c>
      <c r="F82" s="39" t="n">
        <f aca="false">F76</f>
        <v>4195.33</v>
      </c>
      <c r="G82" s="39" t="n">
        <f aca="false">G76</f>
        <v>5557.69</v>
      </c>
      <c r="H82" s="39" t="n">
        <f aca="false">H76</f>
        <v>3709.71000000001</v>
      </c>
      <c r="I82" s="39" t="n">
        <f aca="false">I76</f>
        <v>4394.69</v>
      </c>
    </row>
    <row r="83" customFormat="false" ht="14.25" hidden="false" customHeight="false" outlineLevel="0" collapsed="false">
      <c r="B83" s="0" t="s">
        <v>463</v>
      </c>
      <c r="C83" s="39" t="n">
        <f aca="false">C61</f>
        <v>20211.25</v>
      </c>
      <c r="D83" s="39" t="n">
        <f aca="false">D61</f>
        <v>21712.79</v>
      </c>
      <c r="E83" s="39" t="n">
        <f aca="false">E61</f>
        <v>29101.28</v>
      </c>
      <c r="F83" s="39" t="n">
        <f aca="false">F61</f>
        <v>34488.59</v>
      </c>
      <c r="G83" s="39" t="n">
        <f aca="false">G61</f>
        <v>35494.73</v>
      </c>
      <c r="H83" s="39" t="n">
        <f aca="false">H61</f>
        <v>33905.62</v>
      </c>
      <c r="I83" s="39" t="n">
        <f aca="false">I61</f>
        <v>35583.54</v>
      </c>
    </row>
    <row r="84" customFormat="false" ht="14.25" hidden="false" customHeight="false" outlineLevel="0" collapsed="false">
      <c r="B84" s="129" t="s">
        <v>508</v>
      </c>
      <c r="C84" s="275" t="n">
        <f aca="false">C82/C83</f>
        <v>0.137259694477086</v>
      </c>
      <c r="D84" s="275" t="n">
        <f aca="false">D82/D83</f>
        <v>0.147689449398258</v>
      </c>
      <c r="E84" s="275" t="n">
        <f aca="false">E82/E83</f>
        <v>0.106002553839556</v>
      </c>
      <c r="F84" s="275" t="n">
        <f aca="false">F82/F83</f>
        <v>0.121643998783366</v>
      </c>
      <c r="G84" s="275" t="n">
        <f aca="false">G82/G83</f>
        <v>0.156577891985655</v>
      </c>
      <c r="H84" s="275" t="n">
        <f aca="false">H82/H83</f>
        <v>0.109412834804378</v>
      </c>
      <c r="I84" s="275" t="n">
        <f aca="false">I82/I83</f>
        <v>0.12350345131485</v>
      </c>
    </row>
    <row r="86" customFormat="false" ht="14.25" hidden="false" customHeight="false" outlineLevel="0" collapsed="false">
      <c r="B86" s="0" t="s">
        <v>463</v>
      </c>
      <c r="C86" s="39" t="n">
        <f aca="false">C83</f>
        <v>20211.25</v>
      </c>
      <c r="D86" s="39" t="n">
        <f aca="false">D83</f>
        <v>21712.79</v>
      </c>
      <c r="E86" s="39" t="n">
        <f aca="false">E83</f>
        <v>29101.28</v>
      </c>
      <c r="F86" s="39" t="n">
        <f aca="false">F83</f>
        <v>34488.59</v>
      </c>
      <c r="G86" s="39" t="n">
        <f aca="false">G83</f>
        <v>35494.73</v>
      </c>
      <c r="H86" s="39" t="n">
        <f aca="false">H83</f>
        <v>33905.62</v>
      </c>
      <c r="I86" s="39" t="n">
        <f aca="false">I83</f>
        <v>35583.54</v>
      </c>
    </row>
    <row r="87" customFormat="false" ht="14.25" hidden="false" customHeight="false" outlineLevel="0" collapsed="false">
      <c r="B87" s="0" t="s">
        <v>509</v>
      </c>
      <c r="C87" s="39" t="n">
        <f aca="false">C77</f>
        <v>16193.405</v>
      </c>
      <c r="D87" s="39" t="n">
        <f aca="false">D77</f>
        <v>18246.655</v>
      </c>
      <c r="E87" s="39" t="n">
        <f aca="false">E77</f>
        <v>21656.885</v>
      </c>
      <c r="F87" s="39" t="n">
        <f aca="false">F77</f>
        <v>24368.88</v>
      </c>
      <c r="G87" s="39" t="n">
        <f aca="false">G77</f>
        <v>27840.05</v>
      </c>
      <c r="H87" s="39" t="n">
        <f aca="false">H77</f>
        <v>30128.01</v>
      </c>
      <c r="I87" s="39" t="n">
        <f aca="false">I77</f>
        <v>32437</v>
      </c>
    </row>
    <row r="88" customFormat="false" ht="14.25" hidden="false" customHeight="false" outlineLevel="0" collapsed="false">
      <c r="B88" s="129" t="s">
        <v>510</v>
      </c>
      <c r="C88" s="276" t="n">
        <f aca="false">C86/C87</f>
        <v>1.2481161312275</v>
      </c>
      <c r="D88" s="276" t="n">
        <f aca="false">D86/D87</f>
        <v>1.18996002280966</v>
      </c>
      <c r="E88" s="276" t="n">
        <f aca="false">E86/E87</f>
        <v>1.34374264812322</v>
      </c>
      <c r="F88" s="276" t="n">
        <f aca="false">F86/F87</f>
        <v>1.41527185492316</v>
      </c>
      <c r="G88" s="276" t="n">
        <f aca="false">G86/G87</f>
        <v>1.27495209239926</v>
      </c>
      <c r="H88" s="276" t="n">
        <f aca="false">H86/H87</f>
        <v>1.12538531419765</v>
      </c>
      <c r="I88" s="276" t="n">
        <f aca="false">I86/I87</f>
        <v>1.09700465517773</v>
      </c>
    </row>
    <row r="90" customFormat="false" ht="14.25" hidden="false" customHeight="false" outlineLevel="0" collapsed="false">
      <c r="B90" s="129" t="s">
        <v>515</v>
      </c>
      <c r="C90" s="275" t="n">
        <f aca="false">C88*C84</f>
        <v>0.171316038844208</v>
      </c>
      <c r="D90" s="275" t="n">
        <f aca="false">D88*D84</f>
        <v>0.175744540574697</v>
      </c>
      <c r="E90" s="275" t="n">
        <f aca="false">E88*E84</f>
        <v>0.142440152404189</v>
      </c>
      <c r="F90" s="275" t="n">
        <f aca="false">F88*F84</f>
        <v>0.172159327798405</v>
      </c>
      <c r="G90" s="275" t="n">
        <f aca="false">G88*G84</f>
        <v>0.199629311010577</v>
      </c>
      <c r="H90" s="275" t="n">
        <f aca="false">H88*H84</f>
        <v>0.12313159747358</v>
      </c>
      <c r="I90" s="275" t="n">
        <f aca="false">I88*I84</f>
        <v>0.135483861022906</v>
      </c>
    </row>
    <row r="103" customFormat="false" ht="10.5" hidden="false" customHeight="true" outlineLevel="0" collapsed="false">
      <c r="B103" s="1"/>
      <c r="C103" s="1"/>
      <c r="D103" s="1"/>
      <c r="E103" s="1"/>
      <c r="F103" s="1"/>
      <c r="G103" s="1"/>
      <c r="H103" s="1"/>
      <c r="I103" s="1"/>
    </row>
    <row r="106" customFormat="false" ht="9.75" hidden="false" customHeight="true" outlineLevel="0" collapsed="false"/>
  </sheetData>
  <mergeCells count="5">
    <mergeCell ref="B8:I10"/>
    <mergeCell ref="B52:I52"/>
    <mergeCell ref="B58:I58"/>
    <mergeCell ref="B74:I74"/>
    <mergeCell ref="B80:I80"/>
  </mergeCells>
  <printOptions headings="false" gridLines="false" gridLinesSet="true" horizontalCentered="false" verticalCentered="false"/>
  <pageMargins left="0.236111111111111" right="0.236111111111111" top="0.354166666666667" bottom="0"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rowBreaks count="1" manualBreakCount="1">
    <brk id="47" man="true" max="16383" min="0"/>
  </rowBreaks>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108"/>
  <sheetViews>
    <sheetView showFormulas="false" showGridLines="false" showRowColHeaders="true" showZeros="true" rightToLeft="false" tabSelected="true" showOutlineSymbols="true" defaultGridColor="true" view="normal" topLeftCell="A58" colorId="64" zoomScale="90" zoomScaleNormal="90" zoomScalePageLayoutView="103" workbookViewId="0">
      <selection pane="topLeft" activeCell="M78" activeCellId="0" sqref="M78"/>
    </sheetView>
  </sheetViews>
  <sheetFormatPr defaultColWidth="8.6796875" defaultRowHeight="14.25" zeroHeight="false" outlineLevelRow="0" outlineLevelCol="0"/>
  <cols>
    <col collapsed="false" customWidth="true" hidden="false" outlineLevel="0" max="1" min="1" style="0" width="1.88"/>
    <col collapsed="false" customWidth="true" hidden="false" outlineLevel="0" max="2" min="2" style="0" width="30.11"/>
    <col collapsed="false" customWidth="true" hidden="false" outlineLevel="0" max="9" min="3" style="0" width="10.78"/>
  </cols>
  <sheetData>
    <row r="1" customFormat="false" ht="9.75" hidden="false" customHeight="true" outlineLevel="0" collapsed="false">
      <c r="B1" s="68"/>
      <c r="C1" s="68"/>
      <c r="D1" s="68"/>
      <c r="E1" s="68"/>
      <c r="F1" s="68"/>
      <c r="G1" s="68"/>
      <c r="H1" s="68"/>
      <c r="I1" s="68"/>
    </row>
    <row r="2" customFormat="false" ht="45.75" hidden="false" customHeight="true" outlineLevel="0" collapsed="false">
      <c r="B2" s="69" t="str">
        <f aca="false">'Data Sheet'!B1</f>
        <v>ASIAN PAINTS LTD</v>
      </c>
    </row>
    <row r="3" customFormat="false" ht="14.25" hidden="false" customHeight="false" outlineLevel="0" collapsed="false">
      <c r="B3" s="0" t="s">
        <v>150</v>
      </c>
    </row>
    <row r="4" customFormat="false" ht="21" hidden="false" customHeight="true" outlineLevel="0" collapsed="false">
      <c r="B4" s="70" t="str">
        <f aca="false">CONCATENATE("INR "&amp;'Data Sheet'!B8)</f>
        <v>INR 2645.2</v>
      </c>
    </row>
    <row r="5" customFormat="false" ht="14.25" hidden="false" customHeight="false" outlineLevel="0" collapsed="false">
      <c r="B5" s="0" t="s">
        <v>151</v>
      </c>
    </row>
    <row r="6" customFormat="false" ht="13.5" hidden="false" customHeight="true" outlineLevel="0" collapsed="false">
      <c r="B6" s="71"/>
      <c r="C6" s="71"/>
      <c r="D6" s="71"/>
      <c r="E6" s="71"/>
      <c r="F6" s="71"/>
      <c r="G6" s="71"/>
      <c r="H6" s="71"/>
      <c r="I6" s="71"/>
    </row>
    <row r="7" customFormat="false" ht="25.5" hidden="false" customHeight="true" outlineLevel="0" collapsed="false">
      <c r="B7" s="277" t="s">
        <v>23</v>
      </c>
      <c r="C7" s="277"/>
      <c r="D7" s="277"/>
      <c r="E7" s="277"/>
      <c r="F7" s="277"/>
      <c r="G7" s="277"/>
      <c r="H7" s="277"/>
      <c r="I7" s="277"/>
    </row>
    <row r="8" customFormat="false" ht="14.25" hidden="false" customHeight="true" outlineLevel="0" collapsed="false">
      <c r="B8" s="272" t="s">
        <v>502</v>
      </c>
      <c r="C8" s="272"/>
      <c r="D8" s="272"/>
      <c r="E8" s="272"/>
      <c r="F8" s="272"/>
      <c r="G8" s="272"/>
      <c r="H8" s="272"/>
      <c r="I8" s="272"/>
    </row>
    <row r="9" customFormat="false" ht="14.25" hidden="false" customHeight="false" outlineLevel="0" collapsed="false">
      <c r="B9" s="272"/>
      <c r="C9" s="272"/>
      <c r="D9" s="272"/>
      <c r="E9" s="272"/>
      <c r="F9" s="272"/>
      <c r="G9" s="272"/>
      <c r="H9" s="272"/>
      <c r="I9" s="272"/>
    </row>
    <row r="10" customFormat="false" ht="27" hidden="false" customHeight="true" outlineLevel="0" collapsed="false">
      <c r="B10" s="272"/>
      <c r="C10" s="272"/>
      <c r="D10" s="272"/>
      <c r="E10" s="272"/>
      <c r="F10" s="272"/>
      <c r="G10" s="272"/>
      <c r="H10" s="272"/>
      <c r="I10" s="272"/>
    </row>
    <row r="11" customFormat="false" ht="4.5" hidden="false" customHeight="true" outlineLevel="0" collapsed="false"/>
    <row r="12" customFormat="false" ht="17.25" hidden="false" customHeight="true" outlineLevel="0" collapsed="false">
      <c r="B12" s="271" t="s">
        <v>503</v>
      </c>
    </row>
    <row r="13" customFormat="false" ht="5.25" hidden="false" customHeight="true" outlineLevel="0" collapsed="false"/>
    <row r="36" customFormat="false" ht="17.25" hidden="false" customHeight="true" outlineLevel="0" collapsed="false">
      <c r="B36" s="271"/>
    </row>
    <row r="47" customFormat="false" ht="9.75" hidden="false" customHeight="true" outlineLevel="0" collapsed="false">
      <c r="B47" s="1"/>
      <c r="C47" s="1"/>
      <c r="D47" s="1"/>
      <c r="E47" s="1"/>
      <c r="F47" s="1"/>
      <c r="G47" s="1"/>
      <c r="H47" s="1"/>
      <c r="I47" s="1"/>
    </row>
    <row r="48" customFormat="false" ht="9.75" hidden="false" customHeight="true" outlineLevel="0" collapsed="false">
      <c r="B48" s="1"/>
      <c r="C48" s="1"/>
      <c r="D48" s="1"/>
      <c r="E48" s="1"/>
      <c r="F48" s="1"/>
      <c r="G48" s="1"/>
      <c r="H48" s="1"/>
      <c r="I48" s="1"/>
    </row>
    <row r="49" customFormat="false" ht="9.75" hidden="false" customHeight="true" outlineLevel="0" collapsed="false"/>
    <row r="50" customFormat="false" ht="21" hidden="false" customHeight="true" outlineLevel="0" collapsed="false">
      <c r="B50" s="273" t="s">
        <v>516</v>
      </c>
    </row>
    <row r="51" customFormat="false" ht="9" hidden="false" customHeight="true" outlineLevel="0" collapsed="false"/>
    <row r="52" customFormat="false" ht="14.25" hidden="false" customHeight="false" outlineLevel="0" collapsed="false">
      <c r="B52" s="48" t="s">
        <v>517</v>
      </c>
      <c r="C52" s="48"/>
      <c r="D52" s="48"/>
      <c r="E52" s="48"/>
      <c r="F52" s="48"/>
      <c r="G52" s="48"/>
      <c r="H52" s="48"/>
      <c r="I52" s="48"/>
    </row>
    <row r="53" customFormat="false" ht="14.25" hidden="false" customHeight="false" outlineLevel="0" collapsed="false">
      <c r="C53" s="274" t="n">
        <f aca="false">HistoricalFS!F3</f>
        <v>43921</v>
      </c>
      <c r="D53" s="274" t="n">
        <f aca="false">HistoricalFS!G3</f>
        <v>44286</v>
      </c>
      <c r="E53" s="274" t="n">
        <f aca="false">HistoricalFS!H3</f>
        <v>44651</v>
      </c>
      <c r="F53" s="274" t="n">
        <f aca="false">HistoricalFS!I3</f>
        <v>45016</v>
      </c>
      <c r="G53" s="274" t="n">
        <f aca="false">HistoricalFS!J3</f>
        <v>45382</v>
      </c>
      <c r="H53" s="274" t="n">
        <f aca="false">HistoricalFS!K3</f>
        <v>45747</v>
      </c>
      <c r="I53" s="274" t="n">
        <f aca="false">HistoricalFS!L3</f>
        <v>46112</v>
      </c>
    </row>
    <row r="54" customFormat="false" ht="14.25" hidden="false" customHeight="false" outlineLevel="0" collapsed="false">
      <c r="B54" s="0" t="s">
        <v>518</v>
      </c>
      <c r="C54" s="39" t="n">
        <f aca="false">'Data Sheet'!E65-'Data Sheet'!E60</f>
        <v>2817.26</v>
      </c>
      <c r="D54" s="39" t="n">
        <f aca="false">'Data Sheet'!F65-'Data Sheet'!F60</f>
        <v>3121.11</v>
      </c>
      <c r="E54" s="39" t="n">
        <f aca="false">'Data Sheet'!G65-'Data Sheet'!G60</f>
        <v>6205.42</v>
      </c>
      <c r="F54" s="39" t="n">
        <f aca="false">'Data Sheet'!H65-'Data Sheet'!H60</f>
        <v>6873.09</v>
      </c>
      <c r="G54" s="39" t="n">
        <f aca="false">'Data Sheet'!I65-'Data Sheet'!I60</f>
        <v>6769.77</v>
      </c>
      <c r="H54" s="39" t="n">
        <f aca="false">'Data Sheet'!J65-'Data Sheet'!J60</f>
        <v>6490.76</v>
      </c>
      <c r="I54" s="39" t="n">
        <f aca="false">'Data Sheet'!K65-'Data Sheet'!K60</f>
        <v>6749.83</v>
      </c>
    </row>
    <row r="55" customFormat="false" ht="14.25" hidden="false" customHeight="false" outlineLevel="0" collapsed="false">
      <c r="B55" s="0" t="s">
        <v>119</v>
      </c>
      <c r="C55" s="39" t="n">
        <f aca="false">'Data Sheet'!E66</f>
        <v>16137.97</v>
      </c>
      <c r="D55" s="39" t="n">
        <f aca="false">'Data Sheet'!F66</f>
        <v>20355.34</v>
      </c>
      <c r="E55" s="39" t="n">
        <f aca="false">'Data Sheet'!G66</f>
        <v>22958.43</v>
      </c>
      <c r="F55" s="39" t="n">
        <f aca="false">'Data Sheet'!H66</f>
        <v>25779.33</v>
      </c>
      <c r="G55" s="39" t="n">
        <f aca="false">'Data Sheet'!I66</f>
        <v>29900.77</v>
      </c>
      <c r="H55" s="39" t="n">
        <f aca="false">'Data Sheet'!J66</f>
        <v>30355.25</v>
      </c>
      <c r="I55" s="39" t="n">
        <f aca="false">'Data Sheet'!K66</f>
        <v>34518.75</v>
      </c>
    </row>
    <row r="56" customFormat="false" ht="14.25" hidden="false" customHeight="false" outlineLevel="0" collapsed="false">
      <c r="B56" s="129" t="s">
        <v>519</v>
      </c>
      <c r="C56" s="275" t="n">
        <f aca="false">C54/C55</f>
        <v>0.174573381906151</v>
      </c>
      <c r="D56" s="275" t="n">
        <f aca="false">D54/D55</f>
        <v>0.153331263442419</v>
      </c>
      <c r="E56" s="275" t="n">
        <f aca="false">E54/E55</f>
        <v>0.270289388255207</v>
      </c>
      <c r="F56" s="275" t="n">
        <f aca="false">F54/F55</f>
        <v>0.266612437173503</v>
      </c>
      <c r="G56" s="275" t="n">
        <f aca="false">G54/G55</f>
        <v>0.226407881803713</v>
      </c>
      <c r="H56" s="275" t="n">
        <f aca="false">H54/H55</f>
        <v>0.213826603305853</v>
      </c>
      <c r="I56" s="275" t="n">
        <f aca="false">I54/I55</f>
        <v>0.195540974108274</v>
      </c>
    </row>
    <row r="58" customFormat="false" ht="14.25" hidden="false" customHeight="false" outlineLevel="0" collapsed="false">
      <c r="B58" s="48" t="s">
        <v>520</v>
      </c>
      <c r="C58" s="48"/>
      <c r="D58" s="48"/>
      <c r="E58" s="48"/>
      <c r="F58" s="48"/>
      <c r="G58" s="48"/>
      <c r="H58" s="48"/>
      <c r="I58" s="48"/>
    </row>
    <row r="59" customFormat="false" ht="14.25" hidden="false" customHeight="false" outlineLevel="0" collapsed="false">
      <c r="C59" s="274" t="n">
        <f aca="false">C53</f>
        <v>43921</v>
      </c>
      <c r="D59" s="274" t="n">
        <f aca="false">D53</f>
        <v>44286</v>
      </c>
      <c r="E59" s="274" t="n">
        <f aca="false">E53</f>
        <v>44651</v>
      </c>
      <c r="F59" s="274" t="n">
        <f aca="false">F53</f>
        <v>45016</v>
      </c>
      <c r="G59" s="274" t="n">
        <f aca="false">G53</f>
        <v>45382</v>
      </c>
      <c r="H59" s="274" t="n">
        <f aca="false">H53</f>
        <v>45747</v>
      </c>
      <c r="I59" s="274" t="n">
        <f aca="false">I53</f>
        <v>46112</v>
      </c>
    </row>
    <row r="60" customFormat="false" ht="14.25" hidden="false" customHeight="false" outlineLevel="0" collapsed="false">
      <c r="B60" s="0" t="s">
        <v>103</v>
      </c>
      <c r="C60" s="278" t="n">
        <f aca="false">HistoricalFS!F39*HistoricalFS!F50</f>
        <v>1623.15</v>
      </c>
      <c r="D60" s="278" t="n">
        <f aca="false">HistoricalFS!G39*HistoricalFS!G50</f>
        <v>1494.58</v>
      </c>
      <c r="E60" s="278" t="n">
        <f aca="false">HistoricalFS!H39*HistoricalFS!H50</f>
        <v>1247.94</v>
      </c>
      <c r="F60" s="278" t="n">
        <f aca="false">HistoricalFS!I39*HistoricalFS!I50</f>
        <v>1734.98</v>
      </c>
      <c r="G60" s="278" t="n">
        <f aca="false">HistoricalFS!J39*HistoricalFS!J50</f>
        <v>2363.55</v>
      </c>
      <c r="H60" s="278" t="n">
        <f aca="false">HistoricalFS!K39*HistoricalFS!K50</f>
        <v>1330.89000000001</v>
      </c>
      <c r="I60" s="278" t="n">
        <f aca="false">HistoricalFS!L39*HistoricalFS!L50</f>
        <v>1756.89</v>
      </c>
    </row>
    <row r="61" customFormat="false" ht="14.25" hidden="false" customHeight="false" outlineLevel="0" collapsed="false">
      <c r="B61" s="0" t="s">
        <v>119</v>
      </c>
      <c r="C61" s="39" t="n">
        <f aca="false">C55</f>
        <v>16137.97</v>
      </c>
      <c r="D61" s="39" t="n">
        <f aca="false">D55</f>
        <v>20355.34</v>
      </c>
      <c r="E61" s="39" t="n">
        <f aca="false">E55</f>
        <v>22958.43</v>
      </c>
      <c r="F61" s="39" t="n">
        <f aca="false">F55</f>
        <v>25779.33</v>
      </c>
      <c r="G61" s="39" t="n">
        <f aca="false">G55</f>
        <v>29900.77</v>
      </c>
      <c r="H61" s="39" t="n">
        <f aca="false">H55</f>
        <v>30355.25</v>
      </c>
      <c r="I61" s="39" t="n">
        <f aca="false">I55</f>
        <v>34518.75</v>
      </c>
    </row>
    <row r="62" customFormat="false" ht="14.25" hidden="false" customHeight="false" outlineLevel="0" collapsed="false">
      <c r="B62" s="129" t="s">
        <v>521</v>
      </c>
      <c r="C62" s="275" t="n">
        <f aca="false">C60/C61</f>
        <v>0.10057956483994</v>
      </c>
      <c r="D62" s="275" t="n">
        <f aca="false">D60/D61</f>
        <v>0.0734244674861733</v>
      </c>
      <c r="E62" s="275" t="n">
        <f aca="false">E60/E61</f>
        <v>0.0543565043428492</v>
      </c>
      <c r="F62" s="275" t="n">
        <f aca="false">F60/F61</f>
        <v>0.0673012060437566</v>
      </c>
      <c r="G62" s="275" t="n">
        <f aca="false">G60/G61</f>
        <v>0.0790464593386726</v>
      </c>
      <c r="H62" s="275" t="n">
        <f aca="false">H60/H61</f>
        <v>0.0438438161438303</v>
      </c>
      <c r="I62" s="275" t="n">
        <f aca="false">I60/I61</f>
        <v>0.0508966865833787</v>
      </c>
    </row>
    <row r="64" customFormat="false" ht="14.25" hidden="false" customHeight="false" outlineLevel="0" collapsed="false">
      <c r="B64" s="48" t="s">
        <v>522</v>
      </c>
      <c r="C64" s="48"/>
      <c r="D64" s="48"/>
      <c r="E64" s="48"/>
      <c r="F64" s="48"/>
      <c r="G64" s="48"/>
      <c r="H64" s="48"/>
      <c r="I64" s="48"/>
    </row>
    <row r="65" customFormat="false" ht="14.25" hidden="false" customHeight="false" outlineLevel="0" collapsed="false">
      <c r="C65" s="274" t="n">
        <f aca="false">C59</f>
        <v>43921</v>
      </c>
      <c r="D65" s="274" t="n">
        <f aca="false">D59</f>
        <v>44286</v>
      </c>
      <c r="E65" s="274" t="n">
        <f aca="false">E59</f>
        <v>44651</v>
      </c>
      <c r="F65" s="274" t="n">
        <f aca="false">F59</f>
        <v>45016</v>
      </c>
      <c r="G65" s="274" t="n">
        <f aca="false">G59</f>
        <v>45382</v>
      </c>
      <c r="H65" s="274" t="n">
        <f aca="false">H59</f>
        <v>45747</v>
      </c>
      <c r="I65" s="274" t="n">
        <f aca="false">I59</f>
        <v>46112</v>
      </c>
    </row>
    <row r="66" customFormat="false" ht="14.25" hidden="false" customHeight="false" outlineLevel="0" collapsed="false">
      <c r="B66" s="0" t="s">
        <v>243</v>
      </c>
      <c r="C66" s="39" t="n">
        <f aca="false">HistoricalFS!F27</f>
        <v>3731.37</v>
      </c>
      <c r="D66" s="39" t="n">
        <f aca="false">HistoricalFS!G27</f>
        <v>4395.98</v>
      </c>
      <c r="E66" s="39" t="n">
        <f aca="false">HistoricalFS!H27</f>
        <v>4283.13</v>
      </c>
      <c r="F66" s="39" t="n">
        <f aca="false">HistoricalFS!I27</f>
        <v>5833.28</v>
      </c>
      <c r="G66" s="39" t="n">
        <f aca="false">HistoricalFS!J27</f>
        <v>7552.94</v>
      </c>
      <c r="H66" s="39" t="n">
        <f aca="false">HistoricalFS!K27</f>
        <v>5330.09000000001</v>
      </c>
      <c r="I66" s="39" t="n">
        <f aca="false">HistoricalFS!L27</f>
        <v>6198.85</v>
      </c>
    </row>
    <row r="67" customFormat="false" ht="14.25" hidden="false" customHeight="false" outlineLevel="0" collapsed="false">
      <c r="B67" s="0" t="s">
        <v>119</v>
      </c>
      <c r="C67" s="39" t="n">
        <f aca="false">C61</f>
        <v>16137.97</v>
      </c>
      <c r="D67" s="39" t="n">
        <f aca="false">D61</f>
        <v>20355.34</v>
      </c>
      <c r="E67" s="39" t="n">
        <f aca="false">E61</f>
        <v>22958.43</v>
      </c>
      <c r="F67" s="39" t="n">
        <f aca="false">F61</f>
        <v>25779.33</v>
      </c>
      <c r="G67" s="39" t="n">
        <f aca="false">G61</f>
        <v>29900.77</v>
      </c>
      <c r="H67" s="39" t="n">
        <f aca="false">H61</f>
        <v>30355.25</v>
      </c>
      <c r="I67" s="39" t="n">
        <f aca="false">I61</f>
        <v>34518.75</v>
      </c>
    </row>
    <row r="68" customFormat="false" ht="14.25" hidden="false" customHeight="false" outlineLevel="0" collapsed="false">
      <c r="B68" s="129" t="s">
        <v>523</v>
      </c>
      <c r="C68" s="275" t="n">
        <f aca="false">C66/C67</f>
        <v>0.231216813514959</v>
      </c>
      <c r="D68" s="275" t="n">
        <f aca="false">D66/D67</f>
        <v>0.215962003091081</v>
      </c>
      <c r="E68" s="275" t="n">
        <f aca="false">E66/E67</f>
        <v>0.186560230817177</v>
      </c>
      <c r="F68" s="275" t="n">
        <f aca="false">F66/F67</f>
        <v>0.226277409071531</v>
      </c>
      <c r="G68" s="275" t="n">
        <f aca="false">G66/G67</f>
        <v>0.252600183874864</v>
      </c>
      <c r="H68" s="275" t="n">
        <f aca="false">H66/H67</f>
        <v>0.175590383870995</v>
      </c>
      <c r="I68" s="275" t="n">
        <f aca="false">I66/I67</f>
        <v>0.179579214195184</v>
      </c>
    </row>
    <row r="70" customFormat="false" ht="14.25" hidden="false" customHeight="false" outlineLevel="0" collapsed="false">
      <c r="B70" s="48" t="s">
        <v>524</v>
      </c>
      <c r="C70" s="48"/>
      <c r="D70" s="48"/>
      <c r="E70" s="48"/>
      <c r="F70" s="48"/>
      <c r="G70" s="48"/>
      <c r="H70" s="48"/>
      <c r="I70" s="48"/>
    </row>
    <row r="71" customFormat="false" ht="14.25" hidden="false" customHeight="false" outlineLevel="0" collapsed="false">
      <c r="C71" s="274" t="n">
        <f aca="false">C65</f>
        <v>43921</v>
      </c>
      <c r="D71" s="274" t="n">
        <f aca="false">D65</f>
        <v>44286</v>
      </c>
      <c r="E71" s="274" t="n">
        <f aca="false">E65</f>
        <v>44651</v>
      </c>
      <c r="F71" s="274" t="n">
        <f aca="false">F65</f>
        <v>45016</v>
      </c>
      <c r="G71" s="274" t="n">
        <f aca="false">G65</f>
        <v>45382</v>
      </c>
      <c r="H71" s="274" t="n">
        <f aca="false">H65</f>
        <v>45747</v>
      </c>
      <c r="I71" s="274" t="n">
        <f aca="false">I65</f>
        <v>46112</v>
      </c>
    </row>
    <row r="72" customFormat="false" ht="14.25" hidden="false" customHeight="false" outlineLevel="0" collapsed="false">
      <c r="B72" s="0" t="s">
        <v>525</v>
      </c>
      <c r="C72" s="39" t="n">
        <f aca="false">'Data Sheet'!E90*'Data Sheet'!E93</f>
        <v>159850.68</v>
      </c>
      <c r="D72" s="39" t="n">
        <f aca="false">'Data Sheet'!F90*'Data Sheet'!F93</f>
        <v>243387.408</v>
      </c>
      <c r="E72" s="39" t="n">
        <f aca="false">'Data Sheet'!G90*'Data Sheet'!G93</f>
        <v>295428.804</v>
      </c>
      <c r="F72" s="39" t="n">
        <f aca="false">'Data Sheet'!H90*'Data Sheet'!H93</f>
        <v>264897.468</v>
      </c>
      <c r="G72" s="39" t="n">
        <f aca="false">'Data Sheet'!I90*'Data Sheet'!I93</f>
        <v>273060.26</v>
      </c>
      <c r="H72" s="39" t="n">
        <f aca="false">'Data Sheet'!J90*'Data Sheet'!J93</f>
        <v>224515.148</v>
      </c>
      <c r="I72" s="39" t="n">
        <f aca="false">'Data Sheet'!K90*'Data Sheet'!K93</f>
        <v>207685.984</v>
      </c>
    </row>
    <row r="73" customFormat="false" ht="14.25" hidden="false" customHeight="false" outlineLevel="0" collapsed="false">
      <c r="B73" s="0" t="s">
        <v>109</v>
      </c>
      <c r="C73" s="39" t="n">
        <f aca="false">'Data Sheet'!E59+'Data Sheet'!E60</f>
        <v>6007.81</v>
      </c>
      <c r="D73" s="39" t="n">
        <f aca="false">'Data Sheet'!F59+'Data Sheet'!F60</f>
        <v>7549.05</v>
      </c>
      <c r="E73" s="39" t="n">
        <f aca="false">'Data Sheet'!G59+'Data Sheet'!G60</f>
        <v>9146.87</v>
      </c>
      <c r="F73" s="39" t="n">
        <f aca="false">'Data Sheet'!H59+'Data Sheet'!H60</f>
        <v>9787.1</v>
      </c>
      <c r="G73" s="39" t="n">
        <f aca="false">'Data Sheet'!I59+'Data Sheet'!I60</f>
        <v>11172.47</v>
      </c>
      <c r="H73" s="39" t="n">
        <f aca="false">'Data Sheet'!J59+'Data Sheet'!J60</f>
        <v>10955.44</v>
      </c>
      <c r="I73" s="39" t="n">
        <f aca="false">'Data Sheet'!K59+'Data Sheet'!K60</f>
        <v>13147.16</v>
      </c>
    </row>
    <row r="74" customFormat="false" ht="14.25" hidden="false" customHeight="false" outlineLevel="0" collapsed="false">
      <c r="B74" s="129" t="s">
        <v>526</v>
      </c>
      <c r="C74" s="275" t="n">
        <f aca="false">C72/C73</f>
        <v>26.6071463644822</v>
      </c>
      <c r="D74" s="275" t="n">
        <f aca="false">D72/D73</f>
        <v>32.2407995708069</v>
      </c>
      <c r="E74" s="275" t="n">
        <f aca="false">E72/E73</f>
        <v>32.2983494900441</v>
      </c>
      <c r="F74" s="275" t="n">
        <f aca="false">F72/F73</f>
        <v>27.0659815471386</v>
      </c>
      <c r="G74" s="275" t="n">
        <f aca="false">G72/G73</f>
        <v>24.4404558705461</v>
      </c>
      <c r="H74" s="275" t="n">
        <f aca="false">H72/H73</f>
        <v>20.4934852456862</v>
      </c>
      <c r="I74" s="275" t="n">
        <f aca="false">I72/I73</f>
        <v>15.79702262694</v>
      </c>
    </row>
    <row r="76" customFormat="false" ht="14.25" hidden="false" customHeight="false" outlineLevel="0" collapsed="false">
      <c r="B76" s="48" t="s">
        <v>527</v>
      </c>
      <c r="C76" s="48"/>
      <c r="D76" s="48"/>
      <c r="E76" s="48"/>
      <c r="F76" s="48"/>
      <c r="G76" s="48"/>
      <c r="H76" s="48"/>
      <c r="I76" s="48"/>
    </row>
    <row r="77" customFormat="false" ht="14.25" hidden="false" customHeight="false" outlineLevel="0" collapsed="false">
      <c r="C77" s="274" t="n">
        <f aca="false">C53</f>
        <v>43921</v>
      </c>
      <c r="D77" s="274" t="n">
        <f aca="false">D53</f>
        <v>44286</v>
      </c>
      <c r="E77" s="274" t="n">
        <f aca="false">E53</f>
        <v>44651</v>
      </c>
      <c r="F77" s="274" t="n">
        <f aca="false">F53</f>
        <v>45016</v>
      </c>
      <c r="G77" s="274" t="n">
        <f aca="false">G53</f>
        <v>45382</v>
      </c>
      <c r="H77" s="274" t="n">
        <f aca="false">H53</f>
        <v>45747</v>
      </c>
      <c r="I77" s="274" t="n">
        <f aca="false">I53</f>
        <v>46112</v>
      </c>
    </row>
    <row r="78" customFormat="false" ht="14.25" hidden="false" customHeight="false" outlineLevel="0" collapsed="false">
      <c r="B78" s="0" t="s">
        <v>75</v>
      </c>
      <c r="C78" s="39" t="n">
        <f aca="false">'Data Sheet'!E17</f>
        <v>20211.25</v>
      </c>
      <c r="D78" s="39" t="n">
        <f aca="false">'Data Sheet'!F17</f>
        <v>21712.79</v>
      </c>
      <c r="E78" s="39" t="n">
        <f aca="false">'Data Sheet'!G17</f>
        <v>29101.28</v>
      </c>
      <c r="F78" s="39" t="n">
        <f aca="false">'Data Sheet'!H17</f>
        <v>34488.59</v>
      </c>
      <c r="G78" s="39" t="n">
        <f aca="false">'Data Sheet'!I17</f>
        <v>35494.73</v>
      </c>
      <c r="H78" s="39" t="n">
        <f aca="false">'Data Sheet'!J17</f>
        <v>33905.62</v>
      </c>
      <c r="I78" s="39" t="n">
        <f aca="false">'Data Sheet'!K17</f>
        <v>35583.54</v>
      </c>
    </row>
    <row r="79" customFormat="false" ht="14.25" hidden="false" customHeight="false" outlineLevel="0" collapsed="false">
      <c r="B79" s="0" t="s">
        <v>119</v>
      </c>
      <c r="C79" s="39" t="n">
        <f aca="false">'Data Sheet'!E66</f>
        <v>16137.97</v>
      </c>
      <c r="D79" s="39" t="n">
        <f aca="false">'Data Sheet'!F66</f>
        <v>20355.34</v>
      </c>
      <c r="E79" s="39" t="n">
        <f aca="false">'Data Sheet'!G66</f>
        <v>22958.43</v>
      </c>
      <c r="F79" s="39" t="n">
        <f aca="false">'Data Sheet'!H66</f>
        <v>25779.33</v>
      </c>
      <c r="G79" s="39" t="n">
        <f aca="false">'Data Sheet'!I66</f>
        <v>29900.77</v>
      </c>
      <c r="H79" s="39" t="n">
        <f aca="false">'Data Sheet'!J66</f>
        <v>30355.25</v>
      </c>
      <c r="I79" s="39" t="n">
        <f aca="false">'Data Sheet'!K66</f>
        <v>34518.75</v>
      </c>
    </row>
    <row r="80" customFormat="false" ht="14.25" hidden="false" customHeight="false" outlineLevel="0" collapsed="false">
      <c r="B80" s="129" t="s">
        <v>528</v>
      </c>
      <c r="C80" s="275" t="n">
        <f aca="false">C78/C79</f>
        <v>1.25240349312832</v>
      </c>
      <c r="D80" s="275" t="n">
        <f aca="false">D78/D79</f>
        <v>1.06668766033876</v>
      </c>
      <c r="E80" s="275" t="n">
        <f aca="false">E78/E79</f>
        <v>1.26756402767959</v>
      </c>
      <c r="F80" s="275" t="n">
        <f aca="false">F78/F79</f>
        <v>1.33783888099497</v>
      </c>
      <c r="G80" s="275" t="n">
        <f aca="false">G78/G79</f>
        <v>1.18708414532469</v>
      </c>
      <c r="H80" s="275" t="n">
        <f aca="false">H78/H79</f>
        <v>1.11696065754688</v>
      </c>
      <c r="I80" s="275" t="n">
        <f aca="false">I78/I79</f>
        <v>1.03084671374253</v>
      </c>
    </row>
    <row r="82" customFormat="false" ht="14.25" hidden="false" customHeight="false" outlineLevel="0" collapsed="false">
      <c r="B82" s="48" t="s">
        <v>529</v>
      </c>
      <c r="C82" s="48"/>
      <c r="D82" s="48"/>
      <c r="E82" s="48"/>
      <c r="F82" s="48"/>
      <c r="G82" s="48"/>
      <c r="H82" s="48"/>
      <c r="I82" s="48"/>
    </row>
    <row r="83" customFormat="false" ht="14.25" hidden="false" customHeight="false" outlineLevel="0" collapsed="false">
      <c r="C83" s="274" t="n">
        <f aca="false">C77</f>
        <v>43921</v>
      </c>
      <c r="D83" s="274" t="n">
        <f aca="false">D77</f>
        <v>44286</v>
      </c>
      <c r="E83" s="274" t="n">
        <f aca="false">E77</f>
        <v>44651</v>
      </c>
      <c r="F83" s="274" t="n">
        <f aca="false">F77</f>
        <v>45016</v>
      </c>
      <c r="G83" s="274" t="n">
        <f aca="false">G77</f>
        <v>45382</v>
      </c>
      <c r="H83" s="274" t="n">
        <f aca="false">H77</f>
        <v>45747</v>
      </c>
      <c r="I83" s="274" t="n">
        <f aca="false">I77</f>
        <v>46112</v>
      </c>
    </row>
    <row r="84" customFormat="false" ht="14.25" hidden="false" customHeight="false" outlineLevel="0" collapsed="false">
      <c r="B84" s="65" t="s">
        <v>530</v>
      </c>
      <c r="C84" s="279" t="n">
        <f aca="false">(C56*1.2)+(C62*1.4)+(C68*3.3)+(C74*0.6)+(C80*1)</f>
        <v>18.3300062454803</v>
      </c>
      <c r="D84" s="279" t="n">
        <f aca="false">(D56*1.2)+(D62*1.4)+(D68*3.3)+(D74*0.6)+(D80*1)</f>
        <v>21.410633783635</v>
      </c>
      <c r="E84" s="279" t="n">
        <f aca="false">(E56*1.2)+(E62*1.4)+(E68*3.3)+(E74*0.6)+(E80*1)</f>
        <v>21.662668855389</v>
      </c>
      <c r="F84" s="279" t="n">
        <f aca="false">(F56*1.2)+(F62*1.4)+(F68*3.3)+(F74*0.6)+(F80*1)</f>
        <v>18.7382998722836</v>
      </c>
      <c r="G84" s="279" t="n">
        <f aca="false">(G56*1.2)+(G62*1.4)+(G68*3.3)+(G74*0.6)+(G80*1)</f>
        <v>17.067292775678</v>
      </c>
      <c r="H84" s="279" t="n">
        <f aca="false">(H56*1.2)+(H62*1.4)+(H68*3.3)+(H74*0.6)+(H80*1)</f>
        <v>14.3104733383013</v>
      </c>
      <c r="I84" s="279" t="n">
        <f aca="false">(I56*1.2)+(I62*1.4)+(I68*3.3)+(I74*0.6)+(I80*1)</f>
        <v>11.4075762268973</v>
      </c>
    </row>
    <row r="85" customFormat="false" ht="14.25" hidden="false" customHeight="false" outlineLevel="0" collapsed="false">
      <c r="B85" s="280" t="s">
        <v>531</v>
      </c>
      <c r="C85" s="281" t="str">
        <f aca="false">IF(C84&lt;1.81,"Distressed",IF(C84&gt;3,"Strong","Grey Zone"))</f>
        <v>Strong</v>
      </c>
      <c r="D85" s="281" t="str">
        <f aca="false">IF(D84&lt;1.81,"Distressed",IF(D84&gt;3,"Strong","Grey Zone"))</f>
        <v>Strong</v>
      </c>
      <c r="E85" s="281" t="str">
        <f aca="false">IF(E84&lt;1.81,"Distressed",IF(E84&gt;3,"Strong","Grey Zone"))</f>
        <v>Strong</v>
      </c>
      <c r="F85" s="281" t="str">
        <f aca="false">IF(F84&lt;1.81,"Distressed",IF(F84&gt;3,"Strong","Grey Zone"))</f>
        <v>Strong</v>
      </c>
      <c r="G85" s="281" t="str">
        <f aca="false">IF(G84&lt;1.81,"Distressed",IF(G84&gt;3,"Strong","Grey Zone"))</f>
        <v>Strong</v>
      </c>
      <c r="H85" s="281" t="str">
        <f aca="false">IF(H84&lt;1.81,"Distressed",IF(H84&gt;3,"Strong","Grey Zone"))</f>
        <v>Strong</v>
      </c>
      <c r="I85" s="281" t="str">
        <f aca="false">IF(I84&lt;1.81,"Distressed",IF(I84&gt;3,"Strong","Grey Zone"))</f>
        <v>Strong</v>
      </c>
    </row>
    <row r="90" customFormat="false" ht="9" hidden="false" customHeight="true" outlineLevel="0" collapsed="false">
      <c r="B90" s="1"/>
      <c r="C90" s="1"/>
      <c r="D90" s="1"/>
      <c r="E90" s="1"/>
      <c r="F90" s="1"/>
      <c r="G90" s="1"/>
      <c r="H90" s="1"/>
      <c r="I90" s="1"/>
    </row>
    <row r="93" customFormat="false" ht="12.8" hidden="false" customHeight="false" outlineLevel="0" collapsed="false"/>
    <row r="105" customFormat="false" ht="10.5" hidden="false" customHeight="true" outlineLevel="0" collapsed="false"/>
    <row r="108" customFormat="false" ht="9.75" hidden="false" customHeight="true" outlineLevel="0" collapsed="false"/>
  </sheetData>
  <mergeCells count="8">
    <mergeCell ref="B7:I7"/>
    <mergeCell ref="B8:I10"/>
    <mergeCell ref="B52:I52"/>
    <mergeCell ref="B58:I58"/>
    <mergeCell ref="B64:I64"/>
    <mergeCell ref="B70:I70"/>
    <mergeCell ref="B76:I76"/>
    <mergeCell ref="B82:I82"/>
  </mergeCells>
  <printOptions headings="false" gridLines="false" gridLinesSet="true" horizontalCentered="false" verticalCentered="false"/>
  <pageMargins left="0.236111111111111" right="0.236111111111111" top="0.354166666666667" bottom="0"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rowBreaks count="2" manualBreakCount="2">
    <brk id="47" man="true" max="16383" min="0"/>
    <brk id="90" man="true" max="16383" min="0"/>
  </rowBreaks>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Q11" activeCellId="0" sqref="Q11"/>
    </sheetView>
  </sheetViews>
  <sheetFormatPr defaultColWidth="8.6796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Q11" activeCellId="0" sqref="Q11"/>
    </sheetView>
  </sheetViews>
  <sheetFormatPr defaultColWidth="8.6796875" defaultRowHeight="14.25" zeroHeight="false" outlineLevelRow="0" outlineLevelCol="0"/>
  <cols>
    <col collapsed="false" customWidth="true" hidden="false" outlineLevel="0" max="2" min="2" style="0" width="21"/>
    <col collapsed="false" customWidth="true" hidden="false" outlineLevel="0" max="3" min="3" style="282" width="98.88"/>
    <col collapsed="false" customWidth="true" hidden="false" outlineLevel="0" max="13" min="13" style="282" width="8.88"/>
  </cols>
  <sheetData>
    <row r="2" customFormat="false" ht="60" hidden="false" customHeight="true" outlineLevel="0" collapsed="false">
      <c r="B2" s="283" t="s">
        <v>532</v>
      </c>
      <c r="C2" s="284" t="s">
        <v>533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13" activeCellId="0" sqref="C13"/>
    </sheetView>
  </sheetViews>
  <sheetFormatPr defaultColWidth="8.66796875" defaultRowHeight="14.25" zeroHeight="false" outlineLevelRow="0" outlineLevelCol="0"/>
  <cols>
    <col collapsed="false" customWidth="true" hidden="false" outlineLevel="0" max="1" min="1" style="0" width="1.88"/>
  </cols>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K102"/>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7" activeCellId="0" sqref="A17"/>
    </sheetView>
  </sheetViews>
  <sheetFormatPr defaultColWidth="8.77734375" defaultRowHeight="14.25" zeroHeight="false" outlineLevelRow="0" outlineLevelCol="0"/>
  <cols>
    <col collapsed="false" customWidth="true" hidden="false" outlineLevel="0" max="1" min="1" style="61" width="27.67"/>
    <col collapsed="false" customWidth="true" hidden="false" outlineLevel="0" max="11" min="2" style="61" width="16.33"/>
    <col collapsed="false" customWidth="true" hidden="false" outlineLevel="0" max="13" min="12" style="61" width="9.78"/>
    <col collapsed="false" customWidth="false" hidden="false" outlineLevel="0" max="16384" min="14" style="61" width="8.77"/>
  </cols>
  <sheetData>
    <row r="1" s="63" customFormat="true" ht="14.25" hidden="false" customHeight="true" outlineLevel="0" collapsed="false">
      <c r="A1" s="63" t="s">
        <v>534</v>
      </c>
      <c r="B1" s="63" t="s">
        <v>1</v>
      </c>
      <c r="E1" s="285" t="str">
        <f aca="false">IF(B2&lt;&gt;B3, "A NEW VERSION OF THE WORKSHEET IS AVAILABLE", "")</f>
        <v/>
      </c>
      <c r="F1" s="285"/>
      <c r="G1" s="285"/>
      <c r="H1" s="285"/>
      <c r="I1" s="285"/>
      <c r="J1" s="285"/>
      <c r="K1" s="285"/>
    </row>
    <row r="2" customFormat="false" ht="14.25" hidden="false" customHeight="true" outlineLevel="0" collapsed="false">
      <c r="A2" s="63" t="s">
        <v>535</v>
      </c>
      <c r="B2" s="61" t="n">
        <v>2.1</v>
      </c>
      <c r="E2" s="286" t="s">
        <v>536</v>
      </c>
      <c r="F2" s="286"/>
      <c r="G2" s="286"/>
      <c r="H2" s="286"/>
      <c r="I2" s="286"/>
      <c r="J2" s="286"/>
      <c r="K2" s="286"/>
    </row>
    <row r="3" customFormat="false" ht="14.25" hidden="false" customHeight="true" outlineLevel="0" collapsed="false">
      <c r="A3" s="63" t="s">
        <v>537</v>
      </c>
      <c r="B3" s="61" t="n">
        <v>2.1</v>
      </c>
    </row>
    <row r="4" customFormat="false" ht="14.25" hidden="false" customHeight="true" outlineLevel="0" collapsed="false">
      <c r="A4" s="63"/>
    </row>
    <row r="5" customFormat="false" ht="14.25" hidden="false" customHeight="true" outlineLevel="0" collapsed="false">
      <c r="A5" s="63" t="s">
        <v>538</v>
      </c>
    </row>
    <row r="6" customFormat="false" ht="14.25" hidden="false" customHeight="true" outlineLevel="0" collapsed="false">
      <c r="A6" s="61" t="s">
        <v>539</v>
      </c>
      <c r="B6" s="61" t="n">
        <f aca="false">IF(B9&gt;0, B9/B8, 0)</f>
        <v>95.9197792227431</v>
      </c>
    </row>
    <row r="7" customFormat="false" ht="14.25" hidden="false" customHeight="true" outlineLevel="0" collapsed="false">
      <c r="A7" s="61" t="s">
        <v>540</v>
      </c>
      <c r="B7" s="61" t="n">
        <v>1</v>
      </c>
    </row>
    <row r="8" customFormat="false" ht="14.25" hidden="false" customHeight="true" outlineLevel="0" collapsed="false">
      <c r="A8" s="61" t="s">
        <v>541</v>
      </c>
      <c r="B8" s="61" t="n">
        <v>2645.2</v>
      </c>
      <c r="F8" s="61" t="s">
        <v>202</v>
      </c>
    </row>
    <row r="9" customFormat="false" ht="14.25" hidden="false" customHeight="true" outlineLevel="0" collapsed="false">
      <c r="A9" s="61" t="s">
        <v>61</v>
      </c>
      <c r="B9" s="61" t="n">
        <v>253727</v>
      </c>
    </row>
    <row r="15" customFormat="false" ht="14.25" hidden="false" customHeight="true" outlineLevel="0" collapsed="false">
      <c r="A15" s="63" t="s">
        <v>542</v>
      </c>
    </row>
    <row r="16" s="289" customFormat="true" ht="14.25" hidden="false" customHeight="true" outlineLevel="0" collapsed="false">
      <c r="A16" s="287" t="s">
        <v>543</v>
      </c>
      <c r="B16" s="288" t="n">
        <v>42825</v>
      </c>
      <c r="C16" s="288" t="n">
        <v>43190</v>
      </c>
      <c r="D16" s="288" t="n">
        <v>43555</v>
      </c>
      <c r="E16" s="288" t="n">
        <v>43921</v>
      </c>
      <c r="F16" s="288" t="n">
        <v>44286</v>
      </c>
      <c r="G16" s="288" t="n">
        <v>44651</v>
      </c>
      <c r="H16" s="288" t="n">
        <v>45016</v>
      </c>
      <c r="I16" s="288" t="n">
        <v>45382</v>
      </c>
      <c r="J16" s="288" t="n">
        <v>45747</v>
      </c>
      <c r="K16" s="288" t="n">
        <v>46112</v>
      </c>
    </row>
    <row r="17" customFormat="false" ht="14.25" hidden="false" customHeight="true" outlineLevel="0" collapsed="false">
      <c r="A17" s="61" t="s">
        <v>75</v>
      </c>
      <c r="B17" s="61" t="n">
        <v>15061.99</v>
      </c>
      <c r="C17" s="61" t="n">
        <v>16824.55</v>
      </c>
      <c r="D17" s="61" t="n">
        <v>19240.13</v>
      </c>
      <c r="E17" s="61" t="n">
        <v>20211.25</v>
      </c>
      <c r="F17" s="61" t="n">
        <v>21712.79</v>
      </c>
      <c r="G17" s="61" t="n">
        <v>29101.28</v>
      </c>
      <c r="H17" s="61" t="n">
        <v>34488.59</v>
      </c>
      <c r="I17" s="61" t="n">
        <v>35494.73</v>
      </c>
      <c r="J17" s="61" t="n">
        <v>33905.62</v>
      </c>
      <c r="K17" s="61" t="n">
        <v>35583.54</v>
      </c>
    </row>
    <row r="18" customFormat="false" ht="14.25" hidden="false" customHeight="true" outlineLevel="0" collapsed="false">
      <c r="A18" s="61" t="s">
        <v>180</v>
      </c>
      <c r="B18" s="61" t="n">
        <v>7452.6</v>
      </c>
      <c r="C18" s="61" t="n">
        <v>8128.17</v>
      </c>
      <c r="D18" s="61" t="n">
        <v>9974.4</v>
      </c>
      <c r="E18" s="61" t="n">
        <v>9981.99</v>
      </c>
      <c r="F18" s="61" t="n">
        <v>10425.55</v>
      </c>
      <c r="G18" s="61" t="n">
        <v>17123.25</v>
      </c>
      <c r="H18" s="61" t="n">
        <v>18985.53</v>
      </c>
      <c r="I18" s="61" t="n">
        <v>17410.84</v>
      </c>
      <c r="J18" s="61" t="n">
        <v>17504.51</v>
      </c>
      <c r="K18" s="61" t="n">
        <v>17142.01</v>
      </c>
    </row>
    <row r="19" customFormat="false" ht="14.25" hidden="false" customHeight="true" outlineLevel="0" collapsed="false">
      <c r="A19" s="61" t="s">
        <v>181</v>
      </c>
      <c r="B19" s="61" t="n">
        <v>528.6</v>
      </c>
      <c r="C19" s="61" t="n">
        <v>-142.13</v>
      </c>
      <c r="D19" s="61" t="n">
        <v>293.26</v>
      </c>
      <c r="E19" s="61" t="n">
        <v>239.15</v>
      </c>
      <c r="F19" s="61" t="n">
        <v>92.45</v>
      </c>
      <c r="G19" s="61" t="n">
        <v>1324.97</v>
      </c>
      <c r="H19" s="61" t="n">
        <v>309.73</v>
      </c>
      <c r="I19" s="61" t="n">
        <v>-363.8</v>
      </c>
      <c r="J19" s="61" t="n">
        <v>205</v>
      </c>
      <c r="K19" s="61" t="n">
        <v>-603.68</v>
      </c>
    </row>
    <row r="20" customFormat="false" ht="14.25" hidden="false" customHeight="true" outlineLevel="0" collapsed="false">
      <c r="A20" s="61" t="s">
        <v>182</v>
      </c>
      <c r="B20" s="61" t="n">
        <v>106.02</v>
      </c>
      <c r="C20" s="61" t="n">
        <v>110.3</v>
      </c>
      <c r="D20" s="61" t="n">
        <v>119.63</v>
      </c>
      <c r="E20" s="61" t="n">
        <v>97.79</v>
      </c>
      <c r="F20" s="61" t="n">
        <v>86.05</v>
      </c>
      <c r="G20" s="61" t="n">
        <v>117.23</v>
      </c>
      <c r="H20" s="61" t="n">
        <v>138.29</v>
      </c>
      <c r="I20" s="61" t="n">
        <v>133.25</v>
      </c>
      <c r="J20" s="61" t="n">
        <v>148.58</v>
      </c>
      <c r="K20" s="61" t="n">
        <v>167.1</v>
      </c>
    </row>
    <row r="21" customFormat="false" ht="14.25" hidden="false" customHeight="true" outlineLevel="0" collapsed="false">
      <c r="A21" s="61" t="s">
        <v>183</v>
      </c>
      <c r="B21" s="61" t="n">
        <v>1662.75</v>
      </c>
      <c r="C21" s="61" t="n">
        <v>1691.68</v>
      </c>
      <c r="D21" s="61" t="n">
        <v>1862.35</v>
      </c>
      <c r="E21" s="61" t="n">
        <v>1946.12</v>
      </c>
      <c r="F21" s="61" t="n">
        <v>2068.31</v>
      </c>
      <c r="G21" s="61" t="n">
        <v>2880.45</v>
      </c>
      <c r="H21" s="61" t="n">
        <v>2916.2</v>
      </c>
      <c r="I21" s="61" t="n">
        <v>2767.18</v>
      </c>
      <c r="J21" s="61" t="n">
        <v>2687.4</v>
      </c>
      <c r="K21" s="61" t="n">
        <v>2767.11</v>
      </c>
    </row>
    <row r="22" customFormat="false" ht="14.25" hidden="false" customHeight="true" outlineLevel="0" collapsed="false">
      <c r="A22" s="61" t="s">
        <v>184</v>
      </c>
      <c r="B22" s="61" t="n">
        <v>1039.89</v>
      </c>
      <c r="C22" s="61" t="n">
        <v>1121.89</v>
      </c>
      <c r="D22" s="61" t="n">
        <v>1242.69</v>
      </c>
      <c r="E22" s="61" t="n">
        <v>1371.27</v>
      </c>
      <c r="F22" s="61" t="n">
        <v>1547.61</v>
      </c>
      <c r="G22" s="61" t="n">
        <v>1794.61</v>
      </c>
      <c r="H22" s="61" t="n">
        <v>2036.41</v>
      </c>
      <c r="I22" s="61" t="n">
        <v>2334.92</v>
      </c>
      <c r="J22" s="61" t="n">
        <v>2605.78</v>
      </c>
      <c r="K22" s="61" t="n">
        <v>2809.73</v>
      </c>
    </row>
    <row r="23" customFormat="false" ht="14.25" hidden="false" customHeight="true" outlineLevel="0" collapsed="false">
      <c r="A23" s="61" t="s">
        <v>185</v>
      </c>
      <c r="B23" s="61" t="n">
        <v>4364.04</v>
      </c>
      <c r="C23" s="61" t="n">
        <v>2254.92</v>
      </c>
      <c r="D23" s="61" t="n">
        <v>2366.87</v>
      </c>
      <c r="E23" s="61" t="n">
        <v>2311.51</v>
      </c>
      <c r="F23" s="61" t="n">
        <v>2245.69</v>
      </c>
      <c r="G23" s="61" t="n">
        <v>2941.98</v>
      </c>
      <c r="H23" s="61" t="n">
        <v>3500.84</v>
      </c>
      <c r="I23" s="61" t="n">
        <v>3811.86</v>
      </c>
      <c r="J23" s="61" t="n">
        <v>3874.94</v>
      </c>
      <c r="K23" s="61" t="n">
        <v>4112.07</v>
      </c>
    </row>
    <row r="24" customFormat="false" ht="14.25" hidden="false" customHeight="true" outlineLevel="0" collapsed="false">
      <c r="A24" s="61" t="s">
        <v>186</v>
      </c>
      <c r="B24" s="61" t="n">
        <v>-2028.47</v>
      </c>
      <c r="C24" s="61" t="n">
        <v>171.45</v>
      </c>
      <c r="D24" s="61" t="n">
        <v>202.51</v>
      </c>
      <c r="E24" s="61" t="n">
        <v>579.95</v>
      </c>
      <c r="F24" s="61" t="n">
        <v>576.43</v>
      </c>
      <c r="G24" s="61" t="n">
        <v>765.12</v>
      </c>
      <c r="H24" s="61" t="n">
        <v>961.21</v>
      </c>
      <c r="I24" s="61" t="n">
        <v>1087.9</v>
      </c>
      <c r="J24" s="61" t="n">
        <v>1283.2</v>
      </c>
      <c r="K24" s="61" t="n">
        <v>1282.11</v>
      </c>
    </row>
    <row r="25" customFormat="false" ht="14.25" hidden="false" customHeight="true" outlineLevel="0" collapsed="false">
      <c r="A25" s="61" t="s">
        <v>84</v>
      </c>
      <c r="B25" s="61" t="n">
        <v>337.9</v>
      </c>
      <c r="C25" s="61" t="n">
        <v>336.41</v>
      </c>
      <c r="D25" s="61" t="n">
        <v>273.77</v>
      </c>
      <c r="E25" s="61" t="n">
        <v>350.1</v>
      </c>
      <c r="F25" s="61" t="n">
        <v>331.65</v>
      </c>
      <c r="G25" s="61" t="n">
        <v>295.88</v>
      </c>
      <c r="H25" s="61" t="n">
        <v>431.46</v>
      </c>
      <c r="I25" s="61" t="n">
        <v>820.96</v>
      </c>
      <c r="J25" s="61" t="n">
        <v>350.22</v>
      </c>
      <c r="K25" s="61" t="n">
        <v>727.97</v>
      </c>
    </row>
    <row r="26" customFormat="false" ht="14.25" hidden="false" customHeight="true" outlineLevel="0" collapsed="false">
      <c r="A26" s="61" t="s">
        <v>86</v>
      </c>
      <c r="B26" s="61" t="n">
        <v>334.79</v>
      </c>
      <c r="C26" s="61" t="n">
        <v>360.47</v>
      </c>
      <c r="D26" s="61" t="n">
        <v>622.14</v>
      </c>
      <c r="E26" s="61" t="n">
        <v>780.5</v>
      </c>
      <c r="F26" s="61" t="n">
        <v>791.27</v>
      </c>
      <c r="G26" s="61" t="n">
        <v>816.36</v>
      </c>
      <c r="H26" s="61" t="n">
        <v>858.02</v>
      </c>
      <c r="I26" s="61" t="n">
        <v>853</v>
      </c>
      <c r="J26" s="61" t="n">
        <v>1026.34</v>
      </c>
      <c r="K26" s="61" t="n">
        <v>1228.85</v>
      </c>
    </row>
    <row r="27" customFormat="false" ht="14.25" hidden="false" customHeight="true" outlineLevel="0" collapsed="false">
      <c r="A27" s="61" t="s">
        <v>90</v>
      </c>
      <c r="B27" s="61" t="n">
        <v>37.33</v>
      </c>
      <c r="C27" s="61" t="n">
        <v>41.47</v>
      </c>
      <c r="D27" s="61" t="n">
        <v>110.47</v>
      </c>
      <c r="E27" s="61" t="n">
        <v>102.33</v>
      </c>
      <c r="F27" s="61" t="n">
        <v>91.63</v>
      </c>
      <c r="G27" s="61" t="n">
        <v>95.41</v>
      </c>
      <c r="H27" s="61" t="n">
        <v>144.45</v>
      </c>
      <c r="I27" s="61" t="n">
        <v>205.17</v>
      </c>
      <c r="J27" s="61" t="n">
        <v>227.02</v>
      </c>
      <c r="K27" s="61" t="n">
        <v>195.41</v>
      </c>
    </row>
    <row r="28" customFormat="false" ht="14.25" hidden="false" customHeight="true" outlineLevel="0" collapsed="false">
      <c r="A28" s="61" t="s">
        <v>187</v>
      </c>
      <c r="B28" s="61" t="n">
        <v>2959.54</v>
      </c>
      <c r="C28" s="61" t="n">
        <v>3138.48</v>
      </c>
      <c r="D28" s="61" t="n">
        <v>3306.1</v>
      </c>
      <c r="E28" s="61" t="n">
        <v>3629.04</v>
      </c>
      <c r="F28" s="61" t="n">
        <v>4304.35</v>
      </c>
      <c r="G28" s="61" t="n">
        <v>4187.72</v>
      </c>
      <c r="H28" s="61" t="n">
        <v>5688.83</v>
      </c>
      <c r="I28" s="61" t="n">
        <v>7347.77</v>
      </c>
      <c r="J28" s="61" t="n">
        <v>5103.07</v>
      </c>
      <c r="K28" s="61" t="n">
        <v>6003.44</v>
      </c>
    </row>
    <row r="29" customFormat="false" ht="14.25" hidden="false" customHeight="true" outlineLevel="0" collapsed="false">
      <c r="A29" s="61" t="s">
        <v>94</v>
      </c>
      <c r="B29" s="61" t="n">
        <v>943.29</v>
      </c>
      <c r="C29" s="61" t="n">
        <v>1040.96</v>
      </c>
      <c r="D29" s="61" t="n">
        <v>1098.06</v>
      </c>
      <c r="E29" s="61" t="n">
        <v>854.85</v>
      </c>
      <c r="F29" s="61" t="n">
        <v>1097.6</v>
      </c>
      <c r="G29" s="61" t="n">
        <v>1102.91</v>
      </c>
      <c r="H29" s="61" t="n">
        <v>1493.5</v>
      </c>
      <c r="I29" s="61" t="n">
        <v>1790.08</v>
      </c>
      <c r="J29" s="61" t="n">
        <v>1393.36</v>
      </c>
      <c r="K29" s="61" t="n">
        <v>1608.75</v>
      </c>
    </row>
    <row r="30" customFormat="false" ht="14.25" hidden="false" customHeight="true" outlineLevel="0" collapsed="false">
      <c r="A30" s="61" t="s">
        <v>188</v>
      </c>
      <c r="B30" s="61" t="n">
        <v>1939.43</v>
      </c>
      <c r="C30" s="61" t="n">
        <v>2038.93</v>
      </c>
      <c r="D30" s="61" t="n">
        <v>2155.92</v>
      </c>
      <c r="E30" s="61" t="n">
        <v>2705.17</v>
      </c>
      <c r="F30" s="61" t="n">
        <v>3139.29</v>
      </c>
      <c r="G30" s="61" t="n">
        <v>3030.57</v>
      </c>
      <c r="H30" s="61" t="n">
        <v>4106.45</v>
      </c>
      <c r="I30" s="61" t="n">
        <v>5460.23</v>
      </c>
      <c r="J30" s="61" t="n">
        <v>3667.23</v>
      </c>
      <c r="K30" s="61" t="n">
        <v>4325.35</v>
      </c>
    </row>
    <row r="31" customFormat="false" ht="14.25" hidden="false" customHeight="true" outlineLevel="0" collapsed="false">
      <c r="A31" s="61" t="s">
        <v>189</v>
      </c>
      <c r="B31" s="61" t="n">
        <v>987.98</v>
      </c>
      <c r="C31" s="61" t="n">
        <v>834.5</v>
      </c>
      <c r="D31" s="61" t="n">
        <v>1007.16</v>
      </c>
      <c r="E31" s="61" t="n">
        <v>1151.04</v>
      </c>
      <c r="F31" s="61" t="n">
        <v>1712.17</v>
      </c>
      <c r="G31" s="61" t="n">
        <v>1836.87</v>
      </c>
      <c r="H31" s="61" t="n">
        <v>2460.35</v>
      </c>
      <c r="I31" s="61" t="n">
        <v>3194.14</v>
      </c>
      <c r="J31" s="61" t="n">
        <v>2378.82</v>
      </c>
      <c r="K31" s="61" t="n">
        <v>2637.8</v>
      </c>
    </row>
    <row r="33" customFormat="false" ht="14.25" hidden="false" customHeight="false" outlineLevel="0" collapsed="false">
      <c r="A33" s="61" t="s">
        <v>35</v>
      </c>
      <c r="B33" s="61" t="n">
        <f aca="false">'Data Sheet'!B31/HistoricalFS!C42</f>
        <v>10.3000417014178</v>
      </c>
      <c r="C33" s="61" t="n">
        <f aca="false">'Data Sheet'!C31/HistoricalFS!D42</f>
        <v>8.69995829858215</v>
      </c>
      <c r="D33" s="61" t="n">
        <f aca="false">'Data Sheet'!D31/HistoricalFS!E42</f>
        <v>10.5</v>
      </c>
      <c r="E33" s="61" t="n">
        <f aca="false">'Data Sheet'!E31/HistoricalFS!F42</f>
        <v>12</v>
      </c>
      <c r="F33" s="61" t="n">
        <f aca="false">'Data Sheet'!F31/HistoricalFS!G42</f>
        <v>17.8499791492911</v>
      </c>
      <c r="G33" s="61" t="n">
        <f aca="false">'Data Sheet'!G31/HistoricalFS!H42</f>
        <v>19.1500208507089</v>
      </c>
      <c r="H33" s="61" t="n">
        <f aca="false">'Data Sheet'!H31/HistoricalFS!I42</f>
        <v>25.6500208507089</v>
      </c>
      <c r="I33" s="61" t="n">
        <f aca="false">'Data Sheet'!I31/HistoricalFS!J42</f>
        <v>33.3000417014179</v>
      </c>
      <c r="J33" s="61" t="n">
        <f aca="false">'Data Sheet'!J31/HistoricalFS!K42</f>
        <v>24.8000417014179</v>
      </c>
      <c r="K33" s="61" t="n">
        <f aca="false">'Data Sheet'!K31/HistoricalFS!L42</f>
        <v>27.5</v>
      </c>
    </row>
    <row r="34" customFormat="false" ht="14.25" hidden="false" customHeight="false" outlineLevel="0" collapsed="false">
      <c r="A34" s="61" t="s">
        <v>36</v>
      </c>
      <c r="C34" s="76" t="n">
        <f aca="false">C33/B33-1</f>
        <v>-0.155347274236321</v>
      </c>
      <c r="D34" s="76" t="n">
        <f aca="false">D33/C33-1</f>
        <v>0.20690233672858</v>
      </c>
      <c r="E34" s="76" t="n">
        <f aca="false">E33/D33-1</f>
        <v>0.142857142857143</v>
      </c>
      <c r="F34" s="76" t="n">
        <f aca="false">F33/E33-1</f>
        <v>0.487498262440923</v>
      </c>
      <c r="G34" s="76" t="n">
        <f aca="false">G33/F33-1</f>
        <v>0.0728315529415886</v>
      </c>
      <c r="H34" s="76" t="n">
        <f aca="false">H33/G33-1</f>
        <v>0.339425217897837</v>
      </c>
      <c r="I34" s="76" t="n">
        <f aca="false">I33/H33-1</f>
        <v>0.298246184485947</v>
      </c>
      <c r="J34" s="76" t="n">
        <f aca="false">J33/I33-1</f>
        <v>-0.255254935600819</v>
      </c>
      <c r="K34" s="76" t="n">
        <f aca="false">K33/J33-1</f>
        <v>0.108869103168798</v>
      </c>
    </row>
    <row r="35" customFormat="false" ht="14.25" hidden="false" customHeight="true" outlineLevel="0" collapsed="false">
      <c r="J35" s="28"/>
    </row>
    <row r="36" customFormat="false" ht="14.25" hidden="false" customHeight="false" outlineLevel="0" collapsed="false">
      <c r="A36" s="63"/>
    </row>
    <row r="40" customFormat="false" ht="14.25" hidden="false" customHeight="true" outlineLevel="0" collapsed="false">
      <c r="A40" s="63" t="s">
        <v>544</v>
      </c>
    </row>
    <row r="41" s="289" customFormat="true" ht="14.25" hidden="false" customHeight="true" outlineLevel="0" collapsed="false">
      <c r="A41" s="287" t="s">
        <v>543</v>
      </c>
      <c r="B41" s="288" t="n">
        <v>45291</v>
      </c>
      <c r="C41" s="288" t="n">
        <v>45382</v>
      </c>
      <c r="D41" s="288" t="n">
        <v>45473</v>
      </c>
      <c r="E41" s="288" t="n">
        <v>45565</v>
      </c>
      <c r="F41" s="288" t="n">
        <v>45657</v>
      </c>
      <c r="G41" s="288" t="n">
        <v>45747</v>
      </c>
      <c r="H41" s="288" t="n">
        <v>45838</v>
      </c>
      <c r="I41" s="288" t="n">
        <v>45930</v>
      </c>
      <c r="J41" s="288" t="n">
        <v>46022</v>
      </c>
      <c r="K41" s="288" t="n">
        <v>46112</v>
      </c>
    </row>
    <row r="42" customFormat="false" ht="14.25" hidden="false" customHeight="true" outlineLevel="0" collapsed="false">
      <c r="A42" s="61" t="s">
        <v>75</v>
      </c>
      <c r="B42" s="61" t="n">
        <v>9103.09</v>
      </c>
      <c r="C42" s="61" t="n">
        <v>8730.76</v>
      </c>
      <c r="D42" s="61" t="n">
        <v>8969.73</v>
      </c>
      <c r="E42" s="61" t="n">
        <v>8027.54</v>
      </c>
      <c r="F42" s="61" t="n">
        <v>8549.44</v>
      </c>
      <c r="G42" s="61" t="n">
        <v>8358.91</v>
      </c>
      <c r="H42" s="61" t="n">
        <v>8938.55</v>
      </c>
      <c r="I42" s="61" t="n">
        <v>8531.27</v>
      </c>
      <c r="J42" s="61" t="n">
        <v>8867.02</v>
      </c>
      <c r="K42" s="61" t="n">
        <v>9246.7</v>
      </c>
    </row>
    <row r="43" customFormat="false" ht="14.25" hidden="false" customHeight="true" outlineLevel="0" collapsed="false">
      <c r="A43" s="61" t="s">
        <v>545</v>
      </c>
      <c r="B43" s="61" t="n">
        <v>7047</v>
      </c>
      <c r="C43" s="61" t="n">
        <v>7039.39</v>
      </c>
      <c r="D43" s="61" t="n">
        <v>7275.96</v>
      </c>
      <c r="E43" s="61" t="n">
        <v>6788.03</v>
      </c>
      <c r="F43" s="61" t="n">
        <v>6912.71</v>
      </c>
      <c r="G43" s="61" t="n">
        <v>6922.71</v>
      </c>
      <c r="H43" s="61" t="n">
        <v>7313.58</v>
      </c>
      <c r="I43" s="61" t="n">
        <v>7027.89</v>
      </c>
      <c r="J43" s="61" t="n">
        <v>7086.06</v>
      </c>
      <c r="K43" s="61" t="n">
        <v>7460.09</v>
      </c>
    </row>
    <row r="44" customFormat="false" ht="14.25" hidden="false" customHeight="true" outlineLevel="0" collapsed="false">
      <c r="A44" s="61" t="s">
        <v>84</v>
      </c>
      <c r="B44" s="61" t="n">
        <v>186.46</v>
      </c>
      <c r="C44" s="61" t="n">
        <v>212.43</v>
      </c>
      <c r="D44" s="61" t="n">
        <v>192.93</v>
      </c>
      <c r="E44" s="61" t="n">
        <v>24.53</v>
      </c>
      <c r="F44" s="61" t="n">
        <v>192.82</v>
      </c>
      <c r="G44" s="61" t="n">
        <v>-60.06</v>
      </c>
      <c r="H44" s="61" t="n">
        <v>229.11</v>
      </c>
      <c r="I44" s="61" t="n">
        <v>236.94</v>
      </c>
      <c r="J44" s="61" t="n">
        <v>69.14</v>
      </c>
      <c r="K44" s="61" t="n">
        <v>196.59</v>
      </c>
    </row>
    <row r="45" customFormat="false" ht="14.25" hidden="false" customHeight="true" outlineLevel="0" collapsed="false">
      <c r="A45" s="61" t="s">
        <v>86</v>
      </c>
      <c r="B45" s="61" t="n">
        <v>220.35</v>
      </c>
      <c r="C45" s="61" t="n">
        <v>225.61</v>
      </c>
      <c r="D45" s="61" t="n">
        <v>227.7</v>
      </c>
      <c r="E45" s="61" t="n">
        <v>241.99</v>
      </c>
      <c r="F45" s="61" t="n">
        <v>255.55</v>
      </c>
      <c r="G45" s="61" t="n">
        <v>301.1</v>
      </c>
      <c r="H45" s="61" t="n">
        <v>300.87</v>
      </c>
      <c r="I45" s="61" t="n">
        <v>304.93</v>
      </c>
      <c r="J45" s="61" t="n">
        <v>313.07</v>
      </c>
      <c r="K45" s="61" t="n">
        <v>309.98</v>
      </c>
    </row>
    <row r="46" customFormat="false" ht="14.25" hidden="false" customHeight="true" outlineLevel="0" collapsed="false">
      <c r="A46" s="61" t="s">
        <v>90</v>
      </c>
      <c r="B46" s="61" t="n">
        <v>54.42</v>
      </c>
      <c r="C46" s="61" t="n">
        <v>54.1</v>
      </c>
      <c r="D46" s="61" t="n">
        <v>55.38</v>
      </c>
      <c r="E46" s="61" t="n">
        <v>63.01</v>
      </c>
      <c r="F46" s="61" t="n">
        <v>55.84</v>
      </c>
      <c r="G46" s="61" t="n">
        <v>52.79</v>
      </c>
      <c r="H46" s="61" t="n">
        <v>44.5</v>
      </c>
      <c r="I46" s="61" t="n">
        <v>43.87</v>
      </c>
      <c r="J46" s="61" t="n">
        <v>47.94</v>
      </c>
      <c r="K46" s="61" t="n">
        <v>59.1</v>
      </c>
    </row>
    <row r="47" customFormat="false" ht="14.25" hidden="false" customHeight="true" outlineLevel="0" collapsed="false">
      <c r="A47" s="61" t="s">
        <v>187</v>
      </c>
      <c r="B47" s="61" t="n">
        <v>1967.78</v>
      </c>
      <c r="C47" s="61" t="n">
        <v>1624.09</v>
      </c>
      <c r="D47" s="61" t="n">
        <v>1603.62</v>
      </c>
      <c r="E47" s="61" t="n">
        <v>959.04</v>
      </c>
      <c r="F47" s="61" t="n">
        <v>1518.16</v>
      </c>
      <c r="G47" s="61" t="n">
        <v>1022.25</v>
      </c>
      <c r="H47" s="61" t="n">
        <v>1508.71</v>
      </c>
      <c r="I47" s="61" t="n">
        <v>1391.52</v>
      </c>
      <c r="J47" s="61" t="n">
        <v>1489.09</v>
      </c>
      <c r="K47" s="61" t="n">
        <v>1614.12</v>
      </c>
    </row>
    <row r="48" customFormat="false" ht="14.25" hidden="false" customHeight="true" outlineLevel="0" collapsed="false">
      <c r="A48" s="61" t="s">
        <v>94</v>
      </c>
      <c r="B48" s="61" t="n">
        <v>492.62</v>
      </c>
      <c r="C48" s="61" t="n">
        <v>348.79</v>
      </c>
      <c r="D48" s="61" t="n">
        <v>416.83</v>
      </c>
      <c r="E48" s="61" t="n">
        <v>265.38</v>
      </c>
      <c r="F48" s="61" t="n">
        <v>389.73</v>
      </c>
      <c r="G48" s="61" t="n">
        <v>321.42</v>
      </c>
      <c r="H48" s="61" t="n">
        <v>391.66</v>
      </c>
      <c r="I48" s="61" t="n">
        <v>373.29</v>
      </c>
      <c r="J48" s="61" t="n">
        <v>415.17</v>
      </c>
      <c r="K48" s="61" t="n">
        <v>428.63</v>
      </c>
    </row>
    <row r="49" customFormat="false" ht="14.25" hidden="false" customHeight="true" outlineLevel="0" collapsed="false">
      <c r="A49" s="61" t="s">
        <v>188</v>
      </c>
      <c r="B49" s="61" t="n">
        <v>1447.72</v>
      </c>
      <c r="C49" s="61" t="n">
        <v>1256.72</v>
      </c>
      <c r="D49" s="61" t="n">
        <v>1169.98</v>
      </c>
      <c r="E49" s="61" t="n">
        <v>694.64</v>
      </c>
      <c r="F49" s="61" t="n">
        <v>1110.48</v>
      </c>
      <c r="G49" s="61" t="n">
        <v>692.13</v>
      </c>
      <c r="H49" s="61" t="n">
        <v>1099.77</v>
      </c>
      <c r="I49" s="61" t="n">
        <v>993.59</v>
      </c>
      <c r="J49" s="61" t="n">
        <v>1059.87</v>
      </c>
      <c r="K49" s="61" t="n">
        <v>1172.12</v>
      </c>
    </row>
    <row r="50" customFormat="false" ht="14.25" hidden="false" customHeight="true" outlineLevel="0" collapsed="false">
      <c r="A50" s="61" t="s">
        <v>546</v>
      </c>
      <c r="B50" s="61" t="n">
        <v>2056.09</v>
      </c>
      <c r="C50" s="61" t="n">
        <v>1691.37</v>
      </c>
      <c r="D50" s="61" t="n">
        <v>1693.77</v>
      </c>
      <c r="E50" s="61" t="n">
        <v>1239.51</v>
      </c>
      <c r="F50" s="61" t="n">
        <v>1636.73</v>
      </c>
      <c r="G50" s="61" t="n">
        <v>1436.2</v>
      </c>
      <c r="H50" s="61" t="n">
        <v>1624.97</v>
      </c>
      <c r="I50" s="61" t="n">
        <v>1503.38</v>
      </c>
      <c r="J50" s="61" t="n">
        <v>1780.96</v>
      </c>
      <c r="K50" s="61" t="n">
        <v>1786.61</v>
      </c>
    </row>
    <row r="55" customFormat="false" ht="14.25" hidden="false" customHeight="true" outlineLevel="0" collapsed="false">
      <c r="A55" s="63" t="s">
        <v>547</v>
      </c>
    </row>
    <row r="56" s="289" customFormat="true" ht="14.25" hidden="false" customHeight="true" outlineLevel="0" collapsed="false">
      <c r="A56" s="287" t="s">
        <v>543</v>
      </c>
      <c r="B56" s="288" t="n">
        <v>42825</v>
      </c>
      <c r="C56" s="288" t="n">
        <v>43190</v>
      </c>
      <c r="D56" s="288" t="n">
        <v>43555</v>
      </c>
      <c r="E56" s="288" t="n">
        <v>43921</v>
      </c>
      <c r="F56" s="288" t="n">
        <v>44286</v>
      </c>
      <c r="G56" s="288" t="n">
        <v>44651</v>
      </c>
      <c r="H56" s="288" t="n">
        <v>45016</v>
      </c>
      <c r="I56" s="288" t="n">
        <v>45382</v>
      </c>
      <c r="J56" s="288" t="n">
        <v>45747</v>
      </c>
      <c r="K56" s="288" t="n">
        <v>46112</v>
      </c>
    </row>
    <row r="57" customFormat="false" ht="14.25" hidden="false" customHeight="true" outlineLevel="0" collapsed="false">
      <c r="A57" s="61" t="s">
        <v>104</v>
      </c>
      <c r="B57" s="61" t="n">
        <v>95.92</v>
      </c>
      <c r="C57" s="61" t="n">
        <v>95.92</v>
      </c>
      <c r="D57" s="61" t="n">
        <v>95.92</v>
      </c>
      <c r="E57" s="61" t="n">
        <v>95.92</v>
      </c>
      <c r="F57" s="61" t="n">
        <v>95.92</v>
      </c>
      <c r="G57" s="61" t="n">
        <v>95.92</v>
      </c>
      <c r="H57" s="61" t="n">
        <v>95.92</v>
      </c>
      <c r="I57" s="61" t="n">
        <v>95.92</v>
      </c>
      <c r="J57" s="61" t="n">
        <v>95.92</v>
      </c>
      <c r="K57" s="61" t="n">
        <v>95.92</v>
      </c>
    </row>
    <row r="58" customFormat="false" ht="14.25" hidden="false" customHeight="true" outlineLevel="0" collapsed="false">
      <c r="A58" s="61" t="s">
        <v>105</v>
      </c>
      <c r="B58" s="61" t="n">
        <v>7507.97</v>
      </c>
      <c r="C58" s="61" t="n">
        <v>8314.31</v>
      </c>
      <c r="D58" s="61" t="n">
        <v>9374.63</v>
      </c>
      <c r="E58" s="61" t="n">
        <v>10034.24</v>
      </c>
      <c r="F58" s="61" t="n">
        <v>12710.37</v>
      </c>
      <c r="G58" s="61" t="n">
        <v>13715.64</v>
      </c>
      <c r="H58" s="61" t="n">
        <v>15896.31</v>
      </c>
      <c r="I58" s="61" t="n">
        <v>18632.38</v>
      </c>
      <c r="J58" s="61" t="n">
        <v>19303.89</v>
      </c>
      <c r="K58" s="61" t="n">
        <v>21275.67</v>
      </c>
    </row>
    <row r="59" customFormat="false" ht="14.25" hidden="false" customHeight="true" outlineLevel="0" collapsed="false">
      <c r="A59" s="61" t="s">
        <v>106</v>
      </c>
      <c r="B59" s="61" t="n">
        <v>560.34</v>
      </c>
      <c r="C59" s="61" t="n">
        <v>533.43</v>
      </c>
      <c r="D59" s="61" t="n">
        <v>1319.6</v>
      </c>
      <c r="E59" s="61" t="n">
        <v>1118.5</v>
      </c>
      <c r="F59" s="61" t="n">
        <v>1093.12</v>
      </c>
      <c r="G59" s="61" t="n">
        <v>1586.88</v>
      </c>
      <c r="H59" s="61" t="n">
        <v>1932.62</v>
      </c>
      <c r="I59" s="61" t="n">
        <v>2474.38</v>
      </c>
      <c r="J59" s="61" t="n">
        <v>2290.29</v>
      </c>
      <c r="K59" s="61" t="n">
        <v>3928.93</v>
      </c>
    </row>
    <row r="60" customFormat="false" ht="14.25" hidden="false" customHeight="true" outlineLevel="0" collapsed="false">
      <c r="A60" s="61" t="s">
        <v>108</v>
      </c>
      <c r="B60" s="61" t="n">
        <v>4240.96</v>
      </c>
      <c r="C60" s="61" t="n">
        <v>4819.82</v>
      </c>
      <c r="D60" s="61" t="n">
        <v>5458.69</v>
      </c>
      <c r="E60" s="61" t="n">
        <v>4889.31</v>
      </c>
      <c r="F60" s="61" t="n">
        <v>6455.93</v>
      </c>
      <c r="G60" s="61" t="n">
        <v>7559.99</v>
      </c>
      <c r="H60" s="61" t="n">
        <v>7854.48</v>
      </c>
      <c r="I60" s="61" t="n">
        <v>8698.09</v>
      </c>
      <c r="J60" s="61" t="n">
        <v>8665.15</v>
      </c>
      <c r="K60" s="61" t="n">
        <v>9218.23</v>
      </c>
    </row>
    <row r="61" s="63" customFormat="true" ht="14.25" hidden="false" customHeight="true" outlineLevel="0" collapsed="false">
      <c r="A61" s="63" t="s">
        <v>316</v>
      </c>
      <c r="B61" s="63" t="n">
        <v>12405.19</v>
      </c>
      <c r="C61" s="63" t="n">
        <v>13763.48</v>
      </c>
      <c r="D61" s="63" t="n">
        <v>16248.84</v>
      </c>
      <c r="E61" s="63" t="n">
        <v>16137.97</v>
      </c>
      <c r="F61" s="63" t="n">
        <v>20355.34</v>
      </c>
      <c r="G61" s="63" t="n">
        <v>22958.43</v>
      </c>
      <c r="H61" s="63" t="n">
        <v>25779.33</v>
      </c>
      <c r="I61" s="63" t="n">
        <v>29900.77</v>
      </c>
      <c r="J61" s="63" t="n">
        <v>30355.25</v>
      </c>
      <c r="K61" s="63" t="n">
        <v>34518.75</v>
      </c>
    </row>
    <row r="62" customFormat="false" ht="14.25" hidden="false" customHeight="true" outlineLevel="0" collapsed="false">
      <c r="A62" s="61" t="s">
        <v>190</v>
      </c>
      <c r="B62" s="61" t="n">
        <v>3303.74</v>
      </c>
      <c r="C62" s="61" t="n">
        <v>3732.24</v>
      </c>
      <c r="D62" s="61" t="n">
        <v>6496.56</v>
      </c>
      <c r="E62" s="61" t="n">
        <v>6272.31</v>
      </c>
      <c r="F62" s="61" t="n">
        <v>5858.52</v>
      </c>
      <c r="G62" s="61" t="n">
        <v>5519.06</v>
      </c>
      <c r="H62" s="61" t="n">
        <v>5770.46</v>
      </c>
      <c r="I62" s="61" t="n">
        <v>7146.62</v>
      </c>
      <c r="J62" s="61" t="n">
        <v>9220.1</v>
      </c>
      <c r="K62" s="61" t="n">
        <v>9640.28</v>
      </c>
    </row>
    <row r="63" customFormat="false" ht="14.25" hidden="false" customHeight="true" outlineLevel="0" collapsed="false">
      <c r="A63" s="61" t="s">
        <v>111</v>
      </c>
      <c r="B63" s="61" t="n">
        <v>257.54</v>
      </c>
      <c r="C63" s="61" t="n">
        <v>1405.11</v>
      </c>
      <c r="D63" s="61" t="n">
        <v>209.67</v>
      </c>
      <c r="E63" s="61" t="n">
        <v>140.24</v>
      </c>
      <c r="F63" s="61" t="n">
        <v>182.98</v>
      </c>
      <c r="G63" s="61" t="n">
        <v>426.43</v>
      </c>
      <c r="H63" s="61" t="n">
        <v>1019.59</v>
      </c>
      <c r="I63" s="61" t="n">
        <v>2698.37</v>
      </c>
      <c r="J63" s="61" t="n">
        <v>1254.49</v>
      </c>
      <c r="K63" s="61" t="n">
        <v>1848.67</v>
      </c>
    </row>
    <row r="64" customFormat="false" ht="14.25" hidden="false" customHeight="true" outlineLevel="0" collapsed="false">
      <c r="A64" s="61" t="s">
        <v>112</v>
      </c>
      <c r="B64" s="61" t="n">
        <v>2651.99</v>
      </c>
      <c r="C64" s="61" t="n">
        <v>2140.7</v>
      </c>
      <c r="D64" s="61" t="n">
        <v>2568.58</v>
      </c>
      <c r="E64" s="61" t="n">
        <v>2018.85</v>
      </c>
      <c r="F64" s="61" t="n">
        <v>4736.8</v>
      </c>
      <c r="G64" s="61" t="n">
        <v>3247.53</v>
      </c>
      <c r="H64" s="61" t="n">
        <v>4261.71</v>
      </c>
      <c r="I64" s="61" t="n">
        <v>4587.92</v>
      </c>
      <c r="J64" s="61" t="n">
        <v>4724.75</v>
      </c>
      <c r="K64" s="61" t="n">
        <v>7061.74</v>
      </c>
    </row>
    <row r="65" customFormat="false" ht="14.25" hidden="false" customHeight="true" outlineLevel="0" collapsed="false">
      <c r="A65" s="61" t="s">
        <v>113</v>
      </c>
      <c r="B65" s="61" t="n">
        <v>6191.92</v>
      </c>
      <c r="C65" s="61" t="n">
        <v>6485.43</v>
      </c>
      <c r="D65" s="61" t="n">
        <v>6974.03</v>
      </c>
      <c r="E65" s="61" t="n">
        <v>7706.57</v>
      </c>
      <c r="F65" s="61" t="n">
        <v>9577.04</v>
      </c>
      <c r="G65" s="61" t="n">
        <v>13765.41</v>
      </c>
      <c r="H65" s="61" t="n">
        <v>14727.57</v>
      </c>
      <c r="I65" s="61" t="n">
        <v>15467.86</v>
      </c>
      <c r="J65" s="61" t="n">
        <v>15155.91</v>
      </c>
      <c r="K65" s="61" t="n">
        <v>15968.06</v>
      </c>
    </row>
    <row r="66" s="63" customFormat="true" ht="14.25" hidden="false" customHeight="true" outlineLevel="0" collapsed="false">
      <c r="A66" s="63" t="s">
        <v>316</v>
      </c>
      <c r="B66" s="63" t="n">
        <v>12405.19</v>
      </c>
      <c r="C66" s="63" t="n">
        <v>13763.48</v>
      </c>
      <c r="D66" s="63" t="n">
        <v>16248.84</v>
      </c>
      <c r="E66" s="63" t="n">
        <v>16137.97</v>
      </c>
      <c r="F66" s="63" t="n">
        <v>20355.34</v>
      </c>
      <c r="G66" s="63" t="n">
        <v>22958.43</v>
      </c>
      <c r="H66" s="63" t="n">
        <v>25779.33</v>
      </c>
      <c r="I66" s="63" t="n">
        <v>29900.77</v>
      </c>
      <c r="J66" s="63" t="n">
        <v>30355.25</v>
      </c>
      <c r="K66" s="63" t="n">
        <v>34518.75</v>
      </c>
    </row>
    <row r="67" customFormat="false" ht="14.25" hidden="false" customHeight="true" outlineLevel="0" collapsed="false">
      <c r="A67" s="61" t="s">
        <v>115</v>
      </c>
      <c r="B67" s="61" t="n">
        <v>1446.6</v>
      </c>
      <c r="C67" s="61" t="n">
        <v>1730.63</v>
      </c>
      <c r="D67" s="61" t="n">
        <v>1907.33</v>
      </c>
      <c r="E67" s="61" t="n">
        <v>1795.22</v>
      </c>
      <c r="F67" s="61" t="n">
        <v>2602.17</v>
      </c>
      <c r="G67" s="61" t="n">
        <v>3871.44</v>
      </c>
      <c r="H67" s="61" t="n">
        <v>4636.94</v>
      </c>
      <c r="I67" s="61" t="n">
        <v>4889.05</v>
      </c>
      <c r="J67" s="61" t="n">
        <v>4313.65</v>
      </c>
      <c r="K67" s="61" t="n">
        <v>4461.8</v>
      </c>
    </row>
    <row r="68" customFormat="false" ht="14.25" hidden="false" customHeight="true" outlineLevel="0" collapsed="false">
      <c r="A68" s="61" t="s">
        <v>116</v>
      </c>
      <c r="B68" s="61" t="n">
        <v>2626.94</v>
      </c>
      <c r="C68" s="61" t="n">
        <v>2658.31</v>
      </c>
      <c r="D68" s="61" t="n">
        <v>3149.86</v>
      </c>
      <c r="E68" s="61" t="n">
        <v>3389.81</v>
      </c>
      <c r="F68" s="61" t="n">
        <v>3798.6</v>
      </c>
      <c r="G68" s="61" t="n">
        <v>6152.98</v>
      </c>
      <c r="H68" s="61" t="n">
        <v>6210.64</v>
      </c>
      <c r="I68" s="61" t="n">
        <v>5923.41</v>
      </c>
      <c r="J68" s="61" t="n">
        <v>6719.27</v>
      </c>
      <c r="K68" s="61" t="n">
        <v>5743.69</v>
      </c>
    </row>
    <row r="69" customFormat="false" ht="14.25" hidden="false" customHeight="true" outlineLevel="0" collapsed="false">
      <c r="A69" s="61" t="s">
        <v>117</v>
      </c>
      <c r="B69" s="61" t="n">
        <v>801.21</v>
      </c>
      <c r="C69" s="61" t="n">
        <v>404.65</v>
      </c>
      <c r="D69" s="61" t="n">
        <v>444.88</v>
      </c>
      <c r="E69" s="61" t="n">
        <v>782.83</v>
      </c>
      <c r="F69" s="61" t="n">
        <v>610.75</v>
      </c>
      <c r="G69" s="61" t="n">
        <v>864.33</v>
      </c>
      <c r="H69" s="61" t="n">
        <v>843.82</v>
      </c>
      <c r="I69" s="61" t="n">
        <v>1084.01</v>
      </c>
      <c r="J69" s="61" t="n">
        <v>781.98</v>
      </c>
      <c r="K69" s="61" t="n">
        <v>1073.68</v>
      </c>
    </row>
    <row r="70" customFormat="false" ht="14.25" hidden="false" customHeight="true" outlineLevel="0" collapsed="false">
      <c r="A70" s="61" t="s">
        <v>548</v>
      </c>
      <c r="B70" s="61" t="n">
        <v>959197790</v>
      </c>
      <c r="C70" s="61" t="n">
        <v>959197790</v>
      </c>
      <c r="D70" s="61" t="n">
        <v>959197790</v>
      </c>
      <c r="E70" s="61" t="n">
        <v>959197790</v>
      </c>
      <c r="F70" s="61" t="n">
        <v>959197790</v>
      </c>
      <c r="G70" s="61" t="n">
        <v>959197790</v>
      </c>
      <c r="H70" s="61" t="n">
        <v>959197790</v>
      </c>
      <c r="I70" s="61" t="n">
        <v>959197790</v>
      </c>
      <c r="J70" s="61" t="n">
        <v>959197790</v>
      </c>
      <c r="K70" s="61" t="n">
        <v>959197790</v>
      </c>
    </row>
    <row r="71" customFormat="false" ht="14.25" hidden="false" customHeight="true" outlineLevel="0" collapsed="false">
      <c r="A71" s="61" t="s">
        <v>549</v>
      </c>
    </row>
    <row r="72" customFormat="false" ht="14.25" hidden="false" customHeight="true" outlineLevel="0" collapsed="false">
      <c r="A72" s="61" t="s">
        <v>550</v>
      </c>
      <c r="B72" s="61" t="n">
        <v>1</v>
      </c>
      <c r="C72" s="61" t="n">
        <v>1</v>
      </c>
      <c r="D72" s="61" t="n">
        <v>1</v>
      </c>
      <c r="E72" s="61" t="n">
        <v>1</v>
      </c>
      <c r="F72" s="61" t="n">
        <v>1</v>
      </c>
      <c r="G72" s="61" t="n">
        <v>1</v>
      </c>
      <c r="H72" s="61" t="n">
        <v>1</v>
      </c>
      <c r="I72" s="61" t="n">
        <v>1</v>
      </c>
      <c r="J72" s="61" t="n">
        <v>1</v>
      </c>
      <c r="K72" s="61" t="n">
        <v>1</v>
      </c>
    </row>
    <row r="74" customFormat="false" ht="14.25" hidden="false" customHeight="true" outlineLevel="0" collapsed="false">
      <c r="A74" s="63" t="s">
        <v>107</v>
      </c>
      <c r="B74" s="63" t="n">
        <v>1923</v>
      </c>
      <c r="C74" s="63" t="n">
        <v>2160</v>
      </c>
      <c r="D74" s="63" t="n">
        <v>2394</v>
      </c>
      <c r="E74" s="63" t="n">
        <v>2137</v>
      </c>
      <c r="F74" s="63" t="n">
        <v>3379</v>
      </c>
      <c r="G74" s="63" t="n">
        <v>4164</v>
      </c>
      <c r="H74" s="63" t="n">
        <v>3635</v>
      </c>
      <c r="I74" s="63" t="n">
        <v>3831</v>
      </c>
      <c r="J74" s="63" t="n">
        <v>3848</v>
      </c>
      <c r="K74" s="63" t="n">
        <v>3863</v>
      </c>
    </row>
    <row r="75" customFormat="false" ht="14.25" hidden="false" customHeight="false" outlineLevel="0" collapsed="false">
      <c r="A75" s="63" t="s">
        <v>113</v>
      </c>
      <c r="B75" s="63" t="n">
        <f aca="false">B65-SUM(B67:B69)</f>
        <v>1317.17</v>
      </c>
      <c r="C75" s="63" t="n">
        <f aca="false">C65-SUM(C67:C69)</f>
        <v>1691.84</v>
      </c>
      <c r="D75" s="63" t="n">
        <f aca="false">D65-SUM(D67:D69)</f>
        <v>1471.96</v>
      </c>
      <c r="E75" s="63" t="n">
        <f aca="false">E65-SUM(E67:E69)</f>
        <v>1738.71</v>
      </c>
      <c r="F75" s="63" t="n">
        <f aca="false">F65-SUM(F67:F69)</f>
        <v>2565.52</v>
      </c>
      <c r="G75" s="63" t="n">
        <f aca="false">G65-SUM(G67:G69)</f>
        <v>2876.66</v>
      </c>
      <c r="H75" s="63" t="n">
        <f aca="false">H65-SUM(H67:H69)</f>
        <v>3036.17</v>
      </c>
      <c r="I75" s="63" t="n">
        <f aca="false">I65-SUM(I67:I69)</f>
        <v>3571.39</v>
      </c>
      <c r="J75" s="63" t="n">
        <f aca="false">J65-SUM(J67:J69)</f>
        <v>3341.01</v>
      </c>
      <c r="K75" s="63" t="n">
        <f aca="false">K65-SUM(K67:K69)</f>
        <v>4688.89</v>
      </c>
    </row>
    <row r="80" customFormat="false" ht="14.25" hidden="false" customHeight="true" outlineLevel="0" collapsed="false">
      <c r="A80" s="63" t="s">
        <v>551</v>
      </c>
    </row>
    <row r="81" s="289" customFormat="true" ht="14.25" hidden="false" customHeight="true" outlineLevel="0" collapsed="false">
      <c r="A81" s="287" t="s">
        <v>543</v>
      </c>
      <c r="B81" s="288" t="n">
        <v>42825</v>
      </c>
      <c r="C81" s="288" t="n">
        <v>43190</v>
      </c>
      <c r="D81" s="288" t="n">
        <v>43555</v>
      </c>
      <c r="E81" s="288" t="n">
        <v>43921</v>
      </c>
      <c r="F81" s="288" t="n">
        <v>44286</v>
      </c>
      <c r="G81" s="288" t="n">
        <v>44651</v>
      </c>
      <c r="H81" s="288" t="n">
        <v>45016</v>
      </c>
      <c r="I81" s="288" t="n">
        <v>45382</v>
      </c>
      <c r="J81" s="288" t="n">
        <v>45747</v>
      </c>
      <c r="K81" s="288" t="n">
        <v>46112</v>
      </c>
    </row>
    <row r="82" s="63" customFormat="true" ht="14.25" hidden="false" customHeight="true" outlineLevel="0" collapsed="false">
      <c r="A82" s="61" t="s">
        <v>127</v>
      </c>
      <c r="B82" s="63" t="n">
        <v>1527.33</v>
      </c>
      <c r="C82" s="63" t="n">
        <v>2113.44</v>
      </c>
      <c r="D82" s="63" t="n">
        <v>2469.54</v>
      </c>
      <c r="E82" s="63" t="n">
        <v>3038.15</v>
      </c>
      <c r="F82" s="63" t="n">
        <v>3683.35</v>
      </c>
      <c r="G82" s="63" t="n">
        <v>986.49</v>
      </c>
      <c r="H82" s="63" t="n">
        <v>4193.43</v>
      </c>
      <c r="I82" s="63" t="n">
        <v>6103.6</v>
      </c>
      <c r="J82" s="63" t="n">
        <v>4423.96</v>
      </c>
      <c r="K82" s="63" t="n">
        <v>7088.18</v>
      </c>
    </row>
    <row r="83" customFormat="false" ht="14.25" hidden="false" customHeight="true" outlineLevel="0" collapsed="false">
      <c r="A83" s="61" t="s">
        <v>552</v>
      </c>
      <c r="B83" s="61" t="n">
        <v>-681.11</v>
      </c>
      <c r="C83" s="61" t="n">
        <v>-1556.14</v>
      </c>
      <c r="D83" s="61" t="n">
        <v>-917.79</v>
      </c>
      <c r="E83" s="61" t="n">
        <v>-517.91</v>
      </c>
      <c r="F83" s="61" t="n">
        <v>-540.54</v>
      </c>
      <c r="G83" s="61" t="n">
        <v>-316.75</v>
      </c>
      <c r="H83" s="61" t="n">
        <v>-1282.34</v>
      </c>
      <c r="I83" s="61" t="n">
        <v>-2548.48</v>
      </c>
      <c r="J83" s="61" t="n">
        <v>-940.91</v>
      </c>
      <c r="K83" s="61" t="n">
        <v>-1328.23</v>
      </c>
    </row>
    <row r="84" customFormat="false" ht="14.25" hidden="false" customHeight="true" outlineLevel="0" collapsed="false">
      <c r="A84" s="61" t="s">
        <v>553</v>
      </c>
      <c r="B84" s="61" t="n">
        <v>-756.43</v>
      </c>
      <c r="C84" s="61" t="n">
        <v>-1379.14</v>
      </c>
      <c r="D84" s="61" t="n">
        <v>-1117.46</v>
      </c>
      <c r="E84" s="61" t="n">
        <v>-2871.46</v>
      </c>
      <c r="F84" s="61" t="n">
        <v>-650.4</v>
      </c>
      <c r="G84" s="61" t="n">
        <v>-1807.61</v>
      </c>
      <c r="H84" s="61" t="n">
        <v>-2140.05</v>
      </c>
      <c r="I84" s="61" t="n">
        <v>-2982.5</v>
      </c>
      <c r="J84" s="61" t="n">
        <v>-3752.58</v>
      </c>
      <c r="K84" s="61" t="n">
        <v>-2376.51</v>
      </c>
    </row>
    <row r="85" s="63" customFormat="true" ht="14.25" hidden="false" customHeight="true" outlineLevel="0" collapsed="false">
      <c r="A85" s="61" t="s">
        <v>149</v>
      </c>
      <c r="B85" s="63" t="n">
        <v>89.79</v>
      </c>
      <c r="C85" s="63" t="n">
        <v>-821.84</v>
      </c>
      <c r="D85" s="63" t="n">
        <v>434.29</v>
      </c>
      <c r="E85" s="63" t="n">
        <v>-351.22</v>
      </c>
      <c r="F85" s="63" t="n">
        <v>2492.41</v>
      </c>
      <c r="G85" s="63" t="n">
        <v>-1137.87</v>
      </c>
      <c r="H85" s="63" t="n">
        <v>771.04</v>
      </c>
      <c r="I85" s="63" t="n">
        <v>572.62</v>
      </c>
      <c r="J85" s="63" t="n">
        <v>-269.53</v>
      </c>
      <c r="K85" s="63" t="n">
        <v>3383.44</v>
      </c>
    </row>
    <row r="90" s="63" customFormat="true" ht="14.25" hidden="false" customHeight="true" outlineLevel="0" collapsed="false">
      <c r="A90" s="63" t="s">
        <v>554</v>
      </c>
      <c r="B90" s="63" t="n">
        <v>1073.5</v>
      </c>
      <c r="C90" s="63" t="n">
        <v>1120.4</v>
      </c>
      <c r="D90" s="63" t="n">
        <v>1492.7</v>
      </c>
      <c r="E90" s="63" t="n">
        <v>1666.5</v>
      </c>
      <c r="F90" s="63" t="n">
        <v>2537.4</v>
      </c>
      <c r="G90" s="63" t="n">
        <v>3079.95</v>
      </c>
      <c r="H90" s="63" t="n">
        <v>2761.65</v>
      </c>
      <c r="I90" s="63" t="n">
        <v>2846.75</v>
      </c>
      <c r="J90" s="63" t="n">
        <v>2340.65</v>
      </c>
      <c r="K90" s="63" t="n">
        <v>2165.2</v>
      </c>
    </row>
    <row r="92" s="63" customFormat="true" ht="14.25" hidden="false" customHeight="true" outlineLevel="0" collapsed="false">
      <c r="A92" s="63" t="s">
        <v>555</v>
      </c>
    </row>
    <row r="93" customFormat="false" ht="14.25" hidden="false" customHeight="true" outlineLevel="0" collapsed="false">
      <c r="A93" s="61" t="s">
        <v>556</v>
      </c>
      <c r="B93" s="60" t="n">
        <v>95.92</v>
      </c>
      <c r="C93" s="60" t="n">
        <v>95.92</v>
      </c>
      <c r="D93" s="60" t="n">
        <v>95.92</v>
      </c>
      <c r="E93" s="60" t="n">
        <v>95.92</v>
      </c>
      <c r="F93" s="60" t="n">
        <v>95.92</v>
      </c>
      <c r="G93" s="60" t="n">
        <v>95.92</v>
      </c>
      <c r="H93" s="60" t="n">
        <v>95.92</v>
      </c>
      <c r="I93" s="60" t="n">
        <v>95.92</v>
      </c>
      <c r="J93" s="60" t="n">
        <v>95.92</v>
      </c>
      <c r="K93" s="60" t="n">
        <v>95.92</v>
      </c>
    </row>
    <row r="96" customFormat="false" ht="14.25" hidden="false" customHeight="false" outlineLevel="0" collapsed="false">
      <c r="A96" s="63" t="s">
        <v>557</v>
      </c>
      <c r="B96" s="63" t="n">
        <f aca="false">$B$8/HistoricalFS!C44</f>
        <v>125.841331184129</v>
      </c>
      <c r="C96" s="63" t="n">
        <f aca="false">$B$8/HistoricalFS!D44</f>
        <v>120.96551355887</v>
      </c>
      <c r="D96" s="63" t="n">
        <f aca="false">$B$8/HistoricalFS!E44</f>
        <v>114.910773355555</v>
      </c>
      <c r="E96" s="63" t="n">
        <f aca="false">$B$8/HistoricalFS!F44</f>
        <v>91.4600600535652</v>
      </c>
      <c r="F96" s="63" t="n">
        <f aca="false">$B$8/HistoricalFS!G44</f>
        <v>79.1229699851874</v>
      </c>
      <c r="G96" s="63" t="n">
        <f aca="false">$B$8/HistoricalFS!H44</f>
        <v>82.2506358576379</v>
      </c>
      <c r="H96" s="63" t="n">
        <f aca="false">$B$8/HistoricalFS!I44</f>
        <v>60.4785759403909</v>
      </c>
      <c r="I96" s="63" t="n">
        <f aca="false">$B$8/HistoricalFS!J44</f>
        <v>45.6534250740865</v>
      </c>
      <c r="J96" s="63" t="n">
        <f aca="false">$B$8/HistoricalFS!K44</f>
        <v>68.3955306479481</v>
      </c>
      <c r="K96" s="63" t="n">
        <f aca="false">$B$8/HistoricalFS!L44</f>
        <v>57.7350356907995</v>
      </c>
    </row>
    <row r="97" customFormat="false" ht="14.25" hidden="false" customHeight="false" outlineLevel="0" collapsed="false">
      <c r="A97" s="63" t="s">
        <v>61</v>
      </c>
      <c r="B97" s="63" t="n">
        <f aca="false">B93*B96</f>
        <v>12070.7004871816</v>
      </c>
      <c r="C97" s="63" t="n">
        <f aca="false">C93*C96</f>
        <v>11603.0120605668</v>
      </c>
      <c r="D97" s="63" t="n">
        <f aca="false">D93*D96</f>
        <v>11022.2413802648</v>
      </c>
      <c r="E97" s="63" t="n">
        <f aca="false">E93*E96</f>
        <v>8772.84896033797</v>
      </c>
      <c r="F97" s="63" t="n">
        <f aca="false">F93*F96</f>
        <v>7589.47528097918</v>
      </c>
      <c r="G97" s="63" t="n">
        <f aca="false">G93*G96</f>
        <v>7889.48099146463</v>
      </c>
      <c r="H97" s="63" t="n">
        <f aca="false">H93*H96</f>
        <v>5801.1050042023</v>
      </c>
      <c r="I97" s="63" t="n">
        <f aca="false">I93*I96</f>
        <v>4379.07653310638</v>
      </c>
      <c r="J97" s="63" t="n">
        <f aca="false">J93*J96</f>
        <v>6560.49929975118</v>
      </c>
      <c r="K97" s="63" t="n">
        <f aca="false">K93*K96</f>
        <v>5537.94462346149</v>
      </c>
    </row>
    <row r="98" customFormat="false" ht="14.25" hidden="false" customHeight="false" outlineLevel="0" collapsed="false">
      <c r="A98" s="63" t="s">
        <v>558</v>
      </c>
      <c r="B98" s="63" t="n">
        <f aca="false">B97+B59-B69</f>
        <v>11829.8304871816</v>
      </c>
      <c r="C98" s="63" t="n">
        <f aca="false">C97+C59-C69</f>
        <v>11731.7920605668</v>
      </c>
      <c r="D98" s="63" t="n">
        <f aca="false">D97+D59-D69</f>
        <v>11896.9613802648</v>
      </c>
      <c r="E98" s="63" t="n">
        <f aca="false">E97+E59-E69</f>
        <v>9108.51896033797</v>
      </c>
      <c r="F98" s="63" t="n">
        <f aca="false">F97+F59-F69</f>
        <v>8071.84528097918</v>
      </c>
      <c r="G98" s="63" t="n">
        <f aca="false">G97+G59-G69</f>
        <v>8612.03099146463</v>
      </c>
      <c r="H98" s="63" t="n">
        <f aca="false">H97+H59-H69</f>
        <v>6889.9050042023</v>
      </c>
      <c r="I98" s="63" t="n">
        <f aca="false">I97+I59-I69</f>
        <v>5769.44653310638</v>
      </c>
      <c r="J98" s="63" t="n">
        <f aca="false">J97+J59-J69</f>
        <v>8068.80929975119</v>
      </c>
      <c r="K98" s="63" t="n">
        <f aca="false">K97+K59-K69</f>
        <v>8393.19462346149</v>
      </c>
    </row>
    <row r="99" customFormat="false" ht="14.25" hidden="false" customHeight="false" outlineLevel="0" collapsed="false">
      <c r="A99" s="63" t="s">
        <v>40</v>
      </c>
      <c r="B99" s="63" t="n">
        <f aca="false">B98/HistoricalFS!C18</f>
        <v>3.95149594061703</v>
      </c>
      <c r="C99" s="63" t="n">
        <f aca="false">C98/HistoricalFS!D18</f>
        <v>3.66159658071191</v>
      </c>
      <c r="D99" s="63" t="n">
        <f aca="false">D98/HistoricalFS!E18</f>
        <v>3.15993385824604</v>
      </c>
      <c r="E99" s="63" t="n">
        <f aca="false">E98/HistoricalFS!F18</f>
        <v>2.18861661272439</v>
      </c>
      <c r="F99" s="63" t="n">
        <f aca="false">F98/HistoricalFS!G18</f>
        <v>1.66237854868176</v>
      </c>
      <c r="G99" s="63" t="n">
        <f aca="false">G98/HistoricalFS!H18</f>
        <v>1.792824769593</v>
      </c>
      <c r="H99" s="63" t="n">
        <f aca="false">H98/HistoricalFS!I18</f>
        <v>1.10065193426706</v>
      </c>
      <c r="I99" s="63" t="n">
        <f aca="false">I98/HistoricalFS!J18</f>
        <v>0.760640968480652</v>
      </c>
      <c r="J99" s="63" t="n">
        <f aca="false">J98/HistoricalFS!K18</f>
        <v>1.3434111194499</v>
      </c>
      <c r="K99" s="63" t="n">
        <f aca="false">K98/HistoricalFS!L18</f>
        <v>1.25276610004604</v>
      </c>
    </row>
    <row r="100" customFormat="false" ht="14.25" hidden="false" customHeight="false" outlineLevel="0" collapsed="false">
      <c r="A100" s="63" t="s">
        <v>41</v>
      </c>
      <c r="B100" s="63" t="n">
        <f aca="false">B98/B17</f>
        <v>0.785409530027682</v>
      </c>
      <c r="C100" s="63" t="n">
        <f aca="false">C98/C17</f>
        <v>0.69730198195891</v>
      </c>
      <c r="D100" s="63" t="n">
        <f aca="false">D98/D17</f>
        <v>0.618341008104667</v>
      </c>
      <c r="E100" s="63" t="n">
        <f aca="false">E98/E17</f>
        <v>0.450665790603648</v>
      </c>
      <c r="F100" s="63" t="n">
        <f aca="false">F98/F17</f>
        <v>0.371755323980897</v>
      </c>
      <c r="G100" s="63" t="n">
        <f aca="false">G98/G17</f>
        <v>0.295933065193855</v>
      </c>
      <c r="H100" s="63" t="n">
        <f aca="false">H98/H17</f>
        <v>0.199773461431804</v>
      </c>
      <c r="I100" s="63" t="n">
        <f aca="false">I98/I17</f>
        <v>0.162543750385096</v>
      </c>
      <c r="J100" s="63" t="n">
        <f aca="false">J98/J17</f>
        <v>0.237978520957622</v>
      </c>
      <c r="K100" s="63" t="n">
        <f aca="false">K98/K17</f>
        <v>0.235872952029548</v>
      </c>
    </row>
    <row r="101" customFormat="false" ht="14.25" hidden="false" customHeight="false" outlineLevel="0" collapsed="false">
      <c r="A101" s="63" t="s">
        <v>559</v>
      </c>
      <c r="B101" s="63" t="n">
        <f aca="false">SUM(B57:B58)</f>
        <v>7603.89</v>
      </c>
      <c r="C101" s="63" t="n">
        <f aca="false">SUM(C57:C58)</f>
        <v>8410.23</v>
      </c>
      <c r="D101" s="63" t="n">
        <f aca="false">SUM(D57:D58)</f>
        <v>9470.55</v>
      </c>
      <c r="E101" s="63" t="n">
        <f aca="false">SUM(E57:E58)</f>
        <v>10130.16</v>
      </c>
      <c r="F101" s="63" t="n">
        <f aca="false">SUM(F57:F58)</f>
        <v>12806.29</v>
      </c>
      <c r="G101" s="63" t="n">
        <f aca="false">SUM(G57:G58)</f>
        <v>13811.56</v>
      </c>
      <c r="H101" s="63" t="n">
        <f aca="false">SUM(H57:H58)</f>
        <v>15992.23</v>
      </c>
      <c r="I101" s="63" t="n">
        <f aca="false">SUM(I57:I58)</f>
        <v>18728.3</v>
      </c>
      <c r="J101" s="63" t="n">
        <f aca="false">SUM(J57:J58)</f>
        <v>19399.81</v>
      </c>
      <c r="K101" s="63" t="n">
        <f aca="false">SUM(K57:K58)</f>
        <v>21371.59</v>
      </c>
    </row>
    <row r="102" customFormat="false" ht="14.25" hidden="false" customHeight="false" outlineLevel="0" collapsed="false">
      <c r="A102" s="63" t="s">
        <v>560</v>
      </c>
      <c r="B102" s="63" t="n">
        <f aca="false">B97/B101</f>
        <v>1.58743754672696</v>
      </c>
      <c r="C102" s="63" t="n">
        <f aca="false">C97/C101</f>
        <v>1.37963076640791</v>
      </c>
      <c r="D102" s="63" t="n">
        <f aca="false">D97/D101</f>
        <v>1.1638438507019</v>
      </c>
      <c r="E102" s="63" t="n">
        <f aca="false">E97/E101</f>
        <v>0.866012872485526</v>
      </c>
      <c r="F102" s="63" t="n">
        <f aca="false">F97/F101</f>
        <v>0.592636531031171</v>
      </c>
      <c r="G102" s="63" t="n">
        <f aca="false">G97/G101</f>
        <v>0.571223018360318</v>
      </c>
      <c r="H102" s="63" t="n">
        <f aca="false">H97/H101</f>
        <v>0.362745220910548</v>
      </c>
      <c r="I102" s="63" t="n">
        <f aca="false">I97/I101</f>
        <v>0.233821357683633</v>
      </c>
      <c r="J102" s="63" t="n">
        <f aca="false">J97/J101</f>
        <v>0.338173379004804</v>
      </c>
      <c r="K102" s="63" t="n">
        <f aca="false">K97/K101</f>
        <v>0.259126467589051</v>
      </c>
    </row>
  </sheetData>
  <mergeCells count="2">
    <mergeCell ref="E1:K1"/>
    <mergeCell ref="E2:K2"/>
  </mergeCells>
  <conditionalFormatting sqref="E1:K1">
    <cfRule type="cellIs" priority="2" operator="notEqual" aboveAverage="0" equalAverage="0" bottom="0" percent="0" rank="0" text="" dxfId="2">
      <formula>""</formula>
    </cfRule>
  </conditionalFormatting>
  <hyperlinks>
    <hyperlink ref="E1" r:id="rId1" display="https://www.screener.in/exce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30"/>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C9" activeCellId="0" sqref="C9"/>
    </sheetView>
  </sheetViews>
  <sheetFormatPr defaultColWidth="8.66796875" defaultRowHeight="14.25" zeroHeight="false" outlineLevelRow="0" outlineLevelCol="0"/>
  <cols>
    <col collapsed="false" customWidth="true" hidden="false" outlineLevel="0" max="1" min="1" style="0" width="1.88"/>
    <col collapsed="false" customWidth="true" hidden="false" outlineLevel="0" max="2" min="2" style="0" width="25.77"/>
  </cols>
  <sheetData>
    <row r="2" customFormat="false" ht="14.25" hidden="false" customHeight="true" outlineLevel="0" collapsed="false">
      <c r="C2" s="91" t="n">
        <v>42064</v>
      </c>
      <c r="D2" s="91" t="n">
        <v>42430</v>
      </c>
      <c r="E2" s="91" t="n">
        <v>42795</v>
      </c>
      <c r="F2" s="91" t="n">
        <v>43160</v>
      </c>
      <c r="G2" s="91" t="n">
        <v>43525</v>
      </c>
      <c r="H2" s="91" t="n">
        <v>43891</v>
      </c>
      <c r="I2" s="91" t="n">
        <v>44256</v>
      </c>
      <c r="J2" s="91" t="n">
        <v>44621</v>
      </c>
      <c r="K2" s="91" t="n">
        <v>44986</v>
      </c>
      <c r="L2" s="91" t="n">
        <v>45352</v>
      </c>
      <c r="M2" s="91" t="n">
        <v>45717</v>
      </c>
      <c r="N2" s="91" t="n">
        <v>46082</v>
      </c>
    </row>
    <row r="3" customFormat="false" ht="14.25" hidden="false" customHeight="true" outlineLevel="0" collapsed="false">
      <c r="B3" s="65" t="s">
        <v>561</v>
      </c>
      <c r="C3" s="290" t="n">
        <v>1188</v>
      </c>
      <c r="D3" s="290" t="n">
        <v>2243</v>
      </c>
      <c r="E3" s="290" t="n">
        <v>1527</v>
      </c>
      <c r="F3" s="290" t="n">
        <v>2113</v>
      </c>
      <c r="G3" s="290" t="n">
        <v>2470</v>
      </c>
      <c r="H3" s="290" t="n">
        <v>3038</v>
      </c>
      <c r="I3" s="290" t="n">
        <v>3683</v>
      </c>
      <c r="J3" s="65" t="n">
        <v>986</v>
      </c>
      <c r="K3" s="290" t="n">
        <v>4193</v>
      </c>
      <c r="L3" s="290" t="n">
        <v>6104</v>
      </c>
      <c r="M3" s="290" t="n">
        <v>4424</v>
      </c>
      <c r="N3" s="290" t="n">
        <v>7088</v>
      </c>
    </row>
    <row r="4" customFormat="false" ht="14.25" hidden="false" customHeight="true" outlineLevel="0" collapsed="false">
      <c r="B4" s="0" t="s">
        <v>122</v>
      </c>
      <c r="C4" s="291" t="n">
        <v>2271</v>
      </c>
      <c r="D4" s="291" t="n">
        <v>2848</v>
      </c>
      <c r="E4" s="291" t="n">
        <v>3056</v>
      </c>
      <c r="F4" s="291" t="n">
        <v>3274</v>
      </c>
      <c r="G4" s="291" t="n">
        <v>3861</v>
      </c>
      <c r="H4" s="291" t="n">
        <v>4380</v>
      </c>
      <c r="I4" s="291" t="n">
        <v>4970</v>
      </c>
      <c r="J4" s="291" t="n">
        <v>4957</v>
      </c>
      <c r="K4" s="291" t="n">
        <v>6460</v>
      </c>
      <c r="L4" s="291" t="n">
        <v>7929</v>
      </c>
      <c r="M4" s="291" t="n">
        <v>6390</v>
      </c>
      <c r="N4" s="291" t="n">
        <v>7186</v>
      </c>
    </row>
    <row r="5" customFormat="false" ht="14.25" hidden="false" customHeight="true" outlineLevel="0" collapsed="false">
      <c r="B5" s="0" t="s">
        <v>115</v>
      </c>
      <c r="C5" s="0" t="n">
        <v>-155</v>
      </c>
      <c r="D5" s="0" t="n">
        <v>-146</v>
      </c>
      <c r="E5" s="0" t="n">
        <v>-475</v>
      </c>
      <c r="F5" s="0" t="n">
        <v>-483</v>
      </c>
      <c r="G5" s="0" t="n">
        <v>-205</v>
      </c>
      <c r="H5" s="0" t="n">
        <v>160</v>
      </c>
      <c r="I5" s="0" t="n">
        <v>-849</v>
      </c>
      <c r="J5" s="291" t="n">
        <v>-1326</v>
      </c>
      <c r="K5" s="0" t="n">
        <v>-834</v>
      </c>
      <c r="L5" s="0" t="n">
        <v>-362</v>
      </c>
      <c r="M5" s="0" t="n">
        <v>282</v>
      </c>
      <c r="N5" s="0" t="n">
        <v>-274</v>
      </c>
    </row>
    <row r="6" customFormat="false" ht="14.25" hidden="false" customHeight="true" outlineLevel="0" collapsed="false">
      <c r="B6" s="0" t="s">
        <v>116</v>
      </c>
      <c r="C6" s="0" t="n">
        <v>-144</v>
      </c>
      <c r="D6" s="0" t="n">
        <v>202</v>
      </c>
      <c r="E6" s="0" t="n">
        <v>-629</v>
      </c>
      <c r="F6" s="0" t="n">
        <v>-39</v>
      </c>
      <c r="G6" s="0" t="n">
        <v>-492</v>
      </c>
      <c r="H6" s="0" t="n">
        <v>-251</v>
      </c>
      <c r="I6" s="0" t="n">
        <v>-409</v>
      </c>
      <c r="J6" s="291" t="n">
        <v>-2354</v>
      </c>
      <c r="K6" s="0" t="n">
        <v>-56</v>
      </c>
      <c r="L6" s="0" t="n">
        <v>315</v>
      </c>
      <c r="M6" s="0" t="n">
        <v>-805</v>
      </c>
      <c r="N6" s="0" t="n">
        <v>976</v>
      </c>
    </row>
    <row r="7" customFormat="false" ht="14.25" hidden="false" customHeight="true" outlineLevel="0" collapsed="false">
      <c r="B7" s="0" t="s">
        <v>123</v>
      </c>
      <c r="C7" s="0" t="n">
        <v>-151</v>
      </c>
      <c r="D7" s="0" t="n">
        <v>142</v>
      </c>
      <c r="E7" s="0" t="n">
        <v>501</v>
      </c>
      <c r="F7" s="0" t="n">
        <v>442</v>
      </c>
      <c r="G7" s="0" t="n">
        <v>287</v>
      </c>
      <c r="H7" s="0" t="n">
        <v>-241</v>
      </c>
      <c r="I7" s="291" t="n">
        <v>1143</v>
      </c>
      <c r="J7" s="0" t="n">
        <v>644</v>
      </c>
      <c r="K7" s="0" t="n">
        <v>-539</v>
      </c>
      <c r="L7" s="0" t="n">
        <v>269</v>
      </c>
      <c r="M7" s="0" t="n">
        <v>-160</v>
      </c>
      <c r="N7" s="0" t="n">
        <v>396</v>
      </c>
    </row>
    <row r="8" customFormat="false" ht="14.25" hidden="false" customHeight="true" outlineLevel="0" collapsed="false">
      <c r="B8" s="0" t="s">
        <v>124</v>
      </c>
      <c r="C8" s="0" t="n">
        <v>0</v>
      </c>
      <c r="D8" s="0" t="n">
        <v>0</v>
      </c>
      <c r="E8" s="0" t="n">
        <v>0</v>
      </c>
      <c r="F8" s="0" t="n">
        <v>0</v>
      </c>
      <c r="G8" s="0" t="n">
        <v>0</v>
      </c>
      <c r="H8" s="0" t="n">
        <v>0</v>
      </c>
      <c r="I8" s="0" t="n">
        <v>-92</v>
      </c>
      <c r="J8" s="0" t="n">
        <v>242</v>
      </c>
      <c r="K8" s="0" t="n">
        <v>657</v>
      </c>
      <c r="L8" s="0" t="n">
        <v>-212</v>
      </c>
      <c r="M8" s="0" t="n">
        <v>114</v>
      </c>
      <c r="N8" s="0" t="n">
        <v>378</v>
      </c>
    </row>
    <row r="9" customFormat="false" ht="14.25" hidden="false" customHeight="true" outlineLevel="0" collapsed="false">
      <c r="B9" s="0" t="s">
        <v>125</v>
      </c>
      <c r="C9" s="0" t="n">
        <v>-450</v>
      </c>
      <c r="D9" s="0" t="n">
        <v>198</v>
      </c>
      <c r="E9" s="0" t="n">
        <v>-603</v>
      </c>
      <c r="F9" s="0" t="n">
        <v>-80</v>
      </c>
      <c r="G9" s="0" t="n">
        <v>-410</v>
      </c>
      <c r="H9" s="0" t="n">
        <v>-331</v>
      </c>
      <c r="I9" s="0" t="n">
        <v>-206</v>
      </c>
      <c r="J9" s="291" t="n">
        <v>-2795</v>
      </c>
      <c r="K9" s="0" t="n">
        <v>-772</v>
      </c>
      <c r="L9" s="0" t="n">
        <v>10</v>
      </c>
      <c r="M9" s="0" t="n">
        <v>-570</v>
      </c>
      <c r="N9" s="291" t="n">
        <v>1476</v>
      </c>
    </row>
    <row r="10" customFormat="false" ht="14.25" hidden="false" customHeight="true" outlineLevel="0" collapsed="false">
      <c r="B10" s="0" t="s">
        <v>126</v>
      </c>
      <c r="C10" s="0" t="n">
        <v>-633</v>
      </c>
      <c r="D10" s="0" t="n">
        <v>-802</v>
      </c>
      <c r="E10" s="0" t="n">
        <v>-925</v>
      </c>
      <c r="F10" s="291" t="n">
        <v>-1081</v>
      </c>
      <c r="G10" s="0" t="n">
        <v>-982</v>
      </c>
      <c r="H10" s="291" t="n">
        <v>-1011</v>
      </c>
      <c r="I10" s="291" t="n">
        <v>-1080</v>
      </c>
      <c r="J10" s="291" t="n">
        <v>-1176</v>
      </c>
      <c r="K10" s="291" t="n">
        <v>-1494</v>
      </c>
      <c r="L10" s="291" t="n">
        <v>-1835</v>
      </c>
      <c r="M10" s="291" t="n">
        <v>-1396</v>
      </c>
      <c r="N10" s="291" t="n">
        <v>-1574</v>
      </c>
    </row>
    <row r="11" customFormat="false" ht="14.25" hidden="false" customHeight="true" outlineLevel="0" collapsed="false">
      <c r="B11" s="65" t="s">
        <v>562</v>
      </c>
      <c r="C11" s="65" t="n">
        <v>-465</v>
      </c>
      <c r="D11" s="65" t="n">
        <v>-866</v>
      </c>
      <c r="E11" s="65" t="n">
        <v>-681</v>
      </c>
      <c r="F11" s="290" t="n">
        <v>-1556</v>
      </c>
      <c r="G11" s="65" t="n">
        <v>-918</v>
      </c>
      <c r="H11" s="65" t="n">
        <v>-518</v>
      </c>
      <c r="I11" s="65" t="n">
        <v>-541</v>
      </c>
      <c r="J11" s="65" t="n">
        <v>-317</v>
      </c>
      <c r="K11" s="290" t="n">
        <v>-1282</v>
      </c>
      <c r="L11" s="290" t="n">
        <v>-2548</v>
      </c>
      <c r="M11" s="65" t="n">
        <v>-941</v>
      </c>
      <c r="N11" s="290" t="n">
        <v>-1328</v>
      </c>
    </row>
    <row r="12" customFormat="false" ht="14.25" hidden="false" customHeight="true" outlineLevel="0" collapsed="false">
      <c r="B12" s="0" t="s">
        <v>129</v>
      </c>
      <c r="C12" s="0" t="n">
        <v>-454</v>
      </c>
      <c r="D12" s="0" t="n">
        <v>-817</v>
      </c>
      <c r="E12" s="0" t="n">
        <v>-684</v>
      </c>
      <c r="F12" s="291" t="n">
        <v>-1426</v>
      </c>
      <c r="G12" s="291" t="n">
        <v>-1151</v>
      </c>
      <c r="H12" s="0" t="n">
        <v>-414</v>
      </c>
      <c r="I12" s="0" t="n">
        <v>-289</v>
      </c>
      <c r="J12" s="0" t="n">
        <v>-551</v>
      </c>
      <c r="K12" s="291" t="n">
        <v>-1446</v>
      </c>
      <c r="L12" s="291" t="n">
        <v>-2496</v>
      </c>
      <c r="M12" s="291" t="n">
        <v>-1830</v>
      </c>
      <c r="N12" s="291" t="n">
        <v>-1487</v>
      </c>
    </row>
    <row r="13" customFormat="false" ht="14.25" hidden="false" customHeight="true" outlineLevel="0" collapsed="false">
      <c r="B13" s="0" t="s">
        <v>130</v>
      </c>
      <c r="C13" s="0" t="n">
        <v>16</v>
      </c>
      <c r="D13" s="0" t="n">
        <v>15</v>
      </c>
      <c r="E13" s="0" t="n">
        <v>17</v>
      </c>
      <c r="F13" s="0" t="n">
        <v>17</v>
      </c>
      <c r="G13" s="0" t="n">
        <v>17</v>
      </c>
      <c r="H13" s="0" t="n">
        <v>37</v>
      </c>
      <c r="I13" s="0" t="n">
        <v>28</v>
      </c>
      <c r="J13" s="0" t="n">
        <v>40</v>
      </c>
      <c r="K13" s="0" t="n">
        <v>26</v>
      </c>
      <c r="L13" s="0" t="n">
        <v>5</v>
      </c>
      <c r="M13" s="0" t="n">
        <v>10</v>
      </c>
      <c r="N13" s="0" t="n">
        <v>3</v>
      </c>
    </row>
    <row r="14" customFormat="false" ht="14.25" hidden="false" customHeight="true" outlineLevel="0" collapsed="false">
      <c r="B14" s="0" t="s">
        <v>131</v>
      </c>
      <c r="C14" s="0" t="n">
        <v>-243</v>
      </c>
      <c r="D14" s="0" t="n">
        <v>-282</v>
      </c>
      <c r="E14" s="0" t="n">
        <v>-153</v>
      </c>
      <c r="F14" s="0" t="n">
        <v>-320</v>
      </c>
      <c r="G14" s="0" t="n">
        <v>-573</v>
      </c>
      <c r="H14" s="0" t="n">
        <v>-25</v>
      </c>
      <c r="I14" s="0" t="n">
        <v>-140</v>
      </c>
      <c r="J14" s="0" t="n">
        <v>0</v>
      </c>
      <c r="K14" s="0" t="n">
        <v>-146</v>
      </c>
      <c r="L14" s="0" t="n">
        <v>-212</v>
      </c>
      <c r="M14" s="0" t="n">
        <v>-1</v>
      </c>
      <c r="N14" s="0" t="n">
        <v>0</v>
      </c>
      <c r="Q14" s="291"/>
    </row>
    <row r="15" customFormat="false" ht="14.25" hidden="false" customHeight="true" outlineLevel="0" collapsed="false">
      <c r="B15" s="0" t="s">
        <v>132</v>
      </c>
      <c r="C15" s="0" t="n">
        <v>278</v>
      </c>
      <c r="D15" s="0" t="n">
        <v>205</v>
      </c>
      <c r="E15" s="0" t="n">
        <v>357</v>
      </c>
      <c r="F15" s="0" t="n">
        <v>362</v>
      </c>
      <c r="G15" s="0" t="n">
        <v>733</v>
      </c>
      <c r="H15" s="0" t="n">
        <v>118</v>
      </c>
      <c r="I15" s="0" t="n">
        <v>272</v>
      </c>
      <c r="J15" s="0" t="n">
        <v>207</v>
      </c>
      <c r="K15" s="0" t="n">
        <v>446</v>
      </c>
      <c r="L15" s="0" t="n">
        <v>240</v>
      </c>
      <c r="M15" s="0" t="n">
        <v>421</v>
      </c>
      <c r="N15" s="291" t="n">
        <v>1197</v>
      </c>
    </row>
    <row r="16" customFormat="false" ht="14.25" hidden="false" customHeight="true" outlineLevel="0" collapsed="false">
      <c r="B16" s="0" t="s">
        <v>133</v>
      </c>
      <c r="C16" s="0" t="n">
        <v>11</v>
      </c>
      <c r="D16" s="0" t="n">
        <v>15</v>
      </c>
      <c r="E16" s="0" t="n">
        <v>32</v>
      </c>
      <c r="F16" s="0" t="n">
        <v>39</v>
      </c>
      <c r="G16" s="0" t="n">
        <v>40</v>
      </c>
      <c r="H16" s="0" t="n">
        <v>65</v>
      </c>
      <c r="I16" s="0" t="n">
        <v>73</v>
      </c>
      <c r="J16" s="0" t="n">
        <v>77</v>
      </c>
      <c r="K16" s="0" t="n">
        <v>87</v>
      </c>
      <c r="L16" s="0" t="n">
        <v>135</v>
      </c>
      <c r="M16" s="0" t="n">
        <v>155</v>
      </c>
      <c r="N16" s="0" t="n">
        <v>153</v>
      </c>
    </row>
    <row r="17" customFormat="false" ht="14.25" hidden="false" customHeight="true" outlineLevel="0" collapsed="false">
      <c r="B17" s="0" t="s">
        <v>134</v>
      </c>
      <c r="C17" s="0" t="n">
        <v>71</v>
      </c>
      <c r="D17" s="0" t="n">
        <v>69</v>
      </c>
      <c r="E17" s="0" t="n">
        <v>74</v>
      </c>
      <c r="F17" s="0" t="n">
        <v>38</v>
      </c>
      <c r="G17" s="0" t="n">
        <v>40</v>
      </c>
      <c r="H17" s="0" t="n">
        <v>27</v>
      </c>
      <c r="I17" s="0" t="n">
        <v>8</v>
      </c>
      <c r="J17" s="0" t="n">
        <v>15</v>
      </c>
      <c r="K17" s="0" t="n">
        <v>56</v>
      </c>
      <c r="L17" s="0" t="n">
        <v>129</v>
      </c>
      <c r="M17" s="0" t="n">
        <v>136</v>
      </c>
      <c r="N17" s="0" t="n">
        <v>118</v>
      </c>
    </row>
    <row r="18" customFormat="false" ht="14.25" hidden="false" customHeight="true" outlineLevel="0" collapsed="false">
      <c r="B18" s="0" t="s">
        <v>135</v>
      </c>
      <c r="C18" s="0" t="n">
        <v>0</v>
      </c>
      <c r="D18" s="0" t="n">
        <v>0</v>
      </c>
      <c r="E18" s="0" t="n">
        <v>0</v>
      </c>
      <c r="F18" s="0" t="n">
        <v>0</v>
      </c>
      <c r="G18" s="0" t="n">
        <v>0</v>
      </c>
      <c r="H18" s="0" t="n">
        <v>0</v>
      </c>
      <c r="I18" s="0" t="n">
        <v>0</v>
      </c>
      <c r="J18" s="0" t="n">
        <v>0</v>
      </c>
      <c r="K18" s="0" t="n">
        <v>-180</v>
      </c>
      <c r="L18" s="0" t="n">
        <v>0</v>
      </c>
      <c r="M18" s="0" t="n">
        <v>0</v>
      </c>
      <c r="N18" s="0" t="n">
        <v>0</v>
      </c>
    </row>
    <row r="19" customFormat="false" ht="14.25" hidden="false" customHeight="true" outlineLevel="0" collapsed="false">
      <c r="B19" s="0" t="s">
        <v>136</v>
      </c>
      <c r="C19" s="0" t="n">
        <v>0</v>
      </c>
      <c r="D19" s="0" t="n">
        <v>0</v>
      </c>
      <c r="E19" s="0" t="n">
        <v>0</v>
      </c>
      <c r="F19" s="0" t="n">
        <v>141</v>
      </c>
      <c r="G19" s="0" t="n">
        <v>0</v>
      </c>
      <c r="H19" s="0" t="n">
        <v>17</v>
      </c>
      <c r="I19" s="0" t="n">
        <v>0</v>
      </c>
      <c r="J19" s="0" t="n">
        <v>0</v>
      </c>
      <c r="K19" s="0" t="n">
        <v>0</v>
      </c>
      <c r="L19" s="0" t="n">
        <v>0</v>
      </c>
      <c r="M19" s="0" t="n">
        <v>38</v>
      </c>
      <c r="N19" s="0" t="n">
        <v>0</v>
      </c>
    </row>
    <row r="20" customFormat="false" ht="14.25" hidden="false" customHeight="true" outlineLevel="0" collapsed="false">
      <c r="B20" s="0" t="s">
        <v>137</v>
      </c>
      <c r="C20" s="0" t="n">
        <v>0</v>
      </c>
      <c r="D20" s="0" t="n">
        <v>0</v>
      </c>
      <c r="E20" s="0" t="n">
        <v>0</v>
      </c>
      <c r="F20" s="0" t="n">
        <v>-525</v>
      </c>
      <c r="G20" s="0" t="n">
        <v>0</v>
      </c>
      <c r="H20" s="0" t="n">
        <v>0</v>
      </c>
      <c r="I20" s="0" t="n">
        <v>0</v>
      </c>
      <c r="J20" s="0" t="n">
        <v>0</v>
      </c>
      <c r="K20" s="0" t="n">
        <v>0</v>
      </c>
      <c r="L20" s="0" t="n">
        <v>0</v>
      </c>
      <c r="M20" s="0" t="n">
        <v>0</v>
      </c>
      <c r="N20" s="0" t="n">
        <v>0</v>
      </c>
    </row>
    <row r="21" customFormat="false" ht="14.25" hidden="false" customHeight="true" outlineLevel="0" collapsed="false">
      <c r="B21" s="0" t="s">
        <v>138</v>
      </c>
      <c r="C21" s="0" t="n">
        <v>-144</v>
      </c>
      <c r="D21" s="0" t="n">
        <v>-70</v>
      </c>
      <c r="E21" s="0" t="n">
        <v>-324</v>
      </c>
      <c r="F21" s="0" t="n">
        <v>118</v>
      </c>
      <c r="G21" s="0" t="n">
        <v>-24</v>
      </c>
      <c r="H21" s="0" t="n">
        <v>-343</v>
      </c>
      <c r="I21" s="0" t="n">
        <v>-493</v>
      </c>
      <c r="J21" s="0" t="n">
        <v>-105</v>
      </c>
      <c r="K21" s="0" t="n">
        <v>-126</v>
      </c>
      <c r="L21" s="0" t="n">
        <v>-350</v>
      </c>
      <c r="M21" s="0" t="n">
        <v>130</v>
      </c>
      <c r="N21" s="291" t="n">
        <v>-1312</v>
      </c>
    </row>
    <row r="22" customFormat="false" ht="14.25" hidden="false" customHeight="true" outlineLevel="0" collapsed="false">
      <c r="B22" s="65" t="s">
        <v>563</v>
      </c>
      <c r="C22" s="65" t="n">
        <v>-576</v>
      </c>
      <c r="D22" s="65" t="n">
        <v>-849</v>
      </c>
      <c r="E22" s="65" t="n">
        <v>-756</v>
      </c>
      <c r="F22" s="290" t="n">
        <v>-1379</v>
      </c>
      <c r="G22" s="290" t="n">
        <v>-1117</v>
      </c>
      <c r="H22" s="290" t="n">
        <v>-2871</v>
      </c>
      <c r="I22" s="65" t="n">
        <v>-650</v>
      </c>
      <c r="J22" s="290" t="n">
        <v>-1808</v>
      </c>
      <c r="K22" s="290" t="n">
        <v>-2140</v>
      </c>
      <c r="L22" s="290" t="n">
        <v>-2982</v>
      </c>
      <c r="M22" s="290" t="n">
        <v>-3753</v>
      </c>
      <c r="N22" s="290" t="n">
        <v>-2377</v>
      </c>
    </row>
    <row r="23" customFormat="false" ht="14.25" hidden="false" customHeight="true" outlineLevel="0" collapsed="false">
      <c r="B23" s="0" t="s">
        <v>141</v>
      </c>
      <c r="C23" s="0" t="n">
        <v>0</v>
      </c>
      <c r="D23" s="0" t="n">
        <v>0</v>
      </c>
      <c r="E23" s="0" t="n">
        <v>0</v>
      </c>
      <c r="F23" s="0" t="n">
        <v>0</v>
      </c>
      <c r="G23" s="0" t="n">
        <v>0</v>
      </c>
      <c r="H23" s="0" t="n">
        <v>0</v>
      </c>
      <c r="I23" s="0" t="n">
        <v>0</v>
      </c>
      <c r="J23" s="0" t="n">
        <v>0</v>
      </c>
      <c r="K23" s="0" t="n">
        <v>0</v>
      </c>
      <c r="L23" s="0" t="n">
        <v>1</v>
      </c>
      <c r="M23" s="0" t="n">
        <v>0</v>
      </c>
      <c r="N23" s="0" t="n">
        <v>0</v>
      </c>
    </row>
    <row r="24" customFormat="false" ht="14.25" hidden="false" customHeight="true" outlineLevel="0" collapsed="false">
      <c r="B24" s="0" t="s">
        <v>142</v>
      </c>
      <c r="C24" s="0" t="n">
        <v>239</v>
      </c>
      <c r="D24" s="0" t="n">
        <v>8</v>
      </c>
      <c r="E24" s="0" t="n">
        <v>271</v>
      </c>
      <c r="F24" s="0" t="n">
        <v>10</v>
      </c>
      <c r="G24" s="0" t="n">
        <v>243</v>
      </c>
      <c r="H24" s="0" t="n">
        <v>18</v>
      </c>
      <c r="I24" s="0" t="n">
        <v>155</v>
      </c>
      <c r="J24" s="0" t="n">
        <v>418</v>
      </c>
      <c r="K24" s="0" t="n">
        <v>254</v>
      </c>
      <c r="L24" s="0" t="n">
        <v>101</v>
      </c>
      <c r="M24" s="0" t="n">
        <v>415</v>
      </c>
      <c r="N24" s="291" t="n">
        <v>1279</v>
      </c>
    </row>
    <row r="25" customFormat="false" ht="14.25" hidden="false" customHeight="true" outlineLevel="0" collapsed="false">
      <c r="B25" s="0" t="s">
        <v>143</v>
      </c>
      <c r="C25" s="0" t="n">
        <v>-86</v>
      </c>
      <c r="D25" s="0" t="n">
        <v>-119</v>
      </c>
      <c r="E25" s="0" t="n">
        <v>-58</v>
      </c>
      <c r="F25" s="0" t="n">
        <v>-54</v>
      </c>
      <c r="G25" s="0" t="n">
        <v>-26</v>
      </c>
      <c r="H25" s="0" t="n">
        <v>-482</v>
      </c>
      <c r="I25" s="0" t="n">
        <v>-14</v>
      </c>
      <c r="J25" s="0" t="n">
        <v>-8</v>
      </c>
      <c r="K25" s="0" t="n">
        <v>-25</v>
      </c>
      <c r="L25" s="0" t="n">
        <v>-98</v>
      </c>
      <c r="M25" s="0" t="n">
        <v>-428</v>
      </c>
      <c r="N25" s="0" t="n">
        <v>-452</v>
      </c>
    </row>
    <row r="26" customFormat="false" ht="14.25" hidden="false" customHeight="true" outlineLevel="0" collapsed="false">
      <c r="B26" s="0" t="s">
        <v>144</v>
      </c>
      <c r="C26" s="0" t="n">
        <v>-35</v>
      </c>
      <c r="D26" s="0" t="n">
        <v>-40</v>
      </c>
      <c r="E26" s="0" t="n">
        <v>-36</v>
      </c>
      <c r="F26" s="0" t="n">
        <v>-35</v>
      </c>
      <c r="G26" s="0" t="n">
        <v>-106</v>
      </c>
      <c r="H26" s="0" t="n">
        <v>-101</v>
      </c>
      <c r="I26" s="0" t="n">
        <v>-89</v>
      </c>
      <c r="J26" s="0" t="n">
        <v>-94</v>
      </c>
      <c r="K26" s="0" t="n">
        <v>-142</v>
      </c>
      <c r="L26" s="0" t="n">
        <v>-191</v>
      </c>
      <c r="M26" s="0" t="n">
        <v>-203</v>
      </c>
      <c r="N26" s="0" t="n">
        <v>-228</v>
      </c>
    </row>
    <row r="27" customFormat="false" ht="14.25" hidden="false" customHeight="true" outlineLevel="0" collapsed="false">
      <c r="B27" s="0" t="s">
        <v>145</v>
      </c>
      <c r="C27" s="0" t="n">
        <v>-695</v>
      </c>
      <c r="D27" s="0" t="n">
        <v>-764</v>
      </c>
      <c r="E27" s="0" t="n">
        <v>-947</v>
      </c>
      <c r="F27" s="291" t="n">
        <v>-1218</v>
      </c>
      <c r="G27" s="291" t="n">
        <v>-1049</v>
      </c>
      <c r="H27" s="291" t="n">
        <v>-2121</v>
      </c>
      <c r="I27" s="0" t="n">
        <v>-499</v>
      </c>
      <c r="J27" s="291" t="n">
        <v>-1763</v>
      </c>
      <c r="K27" s="291" t="n">
        <v>-1936</v>
      </c>
      <c r="L27" s="291" t="n">
        <v>-2551</v>
      </c>
      <c r="M27" s="291" t="n">
        <v>-3140</v>
      </c>
      <c r="N27" s="291" t="n">
        <v>-2425</v>
      </c>
    </row>
    <row r="28" customFormat="false" ht="14.25" hidden="false" customHeight="true" outlineLevel="0" collapsed="false">
      <c r="B28" s="0" t="s">
        <v>146</v>
      </c>
      <c r="C28" s="0" t="n">
        <v>0</v>
      </c>
      <c r="D28" s="0" t="n">
        <v>0</v>
      </c>
      <c r="E28" s="0" t="n">
        <v>0</v>
      </c>
      <c r="F28" s="0" t="n">
        <v>0</v>
      </c>
      <c r="G28" s="0" t="n">
        <v>-180</v>
      </c>
      <c r="H28" s="0" t="n">
        <v>-179</v>
      </c>
      <c r="I28" s="0" t="n">
        <v>-203</v>
      </c>
      <c r="J28" s="0" t="n">
        <v>-221</v>
      </c>
      <c r="K28" s="0" t="n">
        <v>-256</v>
      </c>
      <c r="L28" s="0" t="n">
        <v>-286</v>
      </c>
      <c r="M28" s="0" t="n">
        <v>-325</v>
      </c>
      <c r="N28" s="0" t="n">
        <v>-340</v>
      </c>
    </row>
    <row r="29" customFormat="false" ht="14.25" hidden="false" customHeight="true" outlineLevel="0" collapsed="false">
      <c r="B29" s="0" t="s">
        <v>147</v>
      </c>
      <c r="C29" s="0" t="n">
        <v>0</v>
      </c>
      <c r="D29" s="0" t="n">
        <v>66</v>
      </c>
      <c r="E29" s="0" t="n">
        <v>13</v>
      </c>
      <c r="F29" s="0" t="n">
        <v>-82</v>
      </c>
      <c r="G29" s="0" t="n">
        <v>0</v>
      </c>
      <c r="H29" s="0" t="n">
        <v>-6</v>
      </c>
      <c r="I29" s="0" t="n">
        <v>0</v>
      </c>
      <c r="J29" s="0" t="n">
        <v>-140</v>
      </c>
      <c r="K29" s="0" t="n">
        <v>-36</v>
      </c>
      <c r="L29" s="0" t="n">
        <v>41</v>
      </c>
      <c r="M29" s="0" t="n">
        <v>-72</v>
      </c>
      <c r="N29" s="0" t="n">
        <v>-210</v>
      </c>
    </row>
    <row r="30" customFormat="false" ht="14.25" hidden="false" customHeight="true" outlineLevel="0" collapsed="false">
      <c r="B30" s="65" t="s">
        <v>149</v>
      </c>
      <c r="C30" s="65" t="n">
        <v>147</v>
      </c>
      <c r="D30" s="65" t="n">
        <v>528</v>
      </c>
      <c r="E30" s="65" t="n">
        <v>90</v>
      </c>
      <c r="F30" s="65" t="n">
        <v>-822</v>
      </c>
      <c r="G30" s="65" t="n">
        <v>434</v>
      </c>
      <c r="H30" s="65" t="n">
        <v>-351</v>
      </c>
      <c r="I30" s="290" t="n">
        <v>2492</v>
      </c>
      <c r="J30" s="290" t="n">
        <v>-1138</v>
      </c>
      <c r="K30" s="65" t="n">
        <v>771</v>
      </c>
      <c r="L30" s="65" t="n">
        <v>573</v>
      </c>
      <c r="M30" s="65" t="n">
        <v>-270</v>
      </c>
      <c r="N30" s="290" t="n">
        <v>3383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7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P31" activeCellId="0" sqref="P31"/>
    </sheetView>
  </sheetViews>
  <sheetFormatPr defaultColWidth="8.6796875" defaultRowHeight="14.25" zeroHeight="false" outlineLevelRow="0" outlineLevelCol="0"/>
  <cols>
    <col collapsed="false" customWidth="true" hidden="false" outlineLevel="0" max="1" min="1" style="0" width="1.88"/>
    <col collapsed="false" customWidth="true" hidden="false" outlineLevel="0" max="2" min="2" style="0" width="25.77"/>
    <col collapsed="false" customWidth="true" hidden="false" outlineLevel="0" max="3" min="3" style="0" width="9"/>
    <col collapsed="false" customWidth="true" hidden="false" outlineLevel="0" max="14" min="4" style="0" width="9.44"/>
  </cols>
  <sheetData>
    <row r="2" customFormat="false" ht="14.25" hidden="false" customHeight="false" outlineLevel="0" collapsed="false">
      <c r="B2" s="93" t="s">
        <v>179</v>
      </c>
      <c r="C2" s="21" t="n">
        <v>42064</v>
      </c>
      <c r="D2" s="21" t="n">
        <v>42430</v>
      </c>
      <c r="E2" s="21" t="n">
        <v>42795</v>
      </c>
      <c r="F2" s="21" t="n">
        <v>43160</v>
      </c>
      <c r="G2" s="21" t="n">
        <v>43525</v>
      </c>
      <c r="H2" s="21" t="n">
        <v>43891</v>
      </c>
      <c r="I2" s="21" t="n">
        <v>44256</v>
      </c>
      <c r="J2" s="21" t="n">
        <v>44621</v>
      </c>
      <c r="K2" s="21" t="n">
        <v>44986</v>
      </c>
      <c r="L2" s="21" t="n">
        <v>45352</v>
      </c>
      <c r="M2" s="21" t="n">
        <v>45717</v>
      </c>
      <c r="N2" s="21" t="n">
        <v>46082</v>
      </c>
    </row>
    <row r="4" customFormat="false" ht="14.25" hidden="false" customHeight="false" outlineLevel="0" collapsed="false">
      <c r="B4" s="197" t="s">
        <v>564</v>
      </c>
      <c r="C4" s="187" t="n">
        <v>96</v>
      </c>
      <c r="D4" s="187" t="n">
        <v>96</v>
      </c>
      <c r="E4" s="187" t="n">
        <v>96</v>
      </c>
      <c r="F4" s="187" t="n">
        <v>96</v>
      </c>
      <c r="G4" s="187" t="n">
        <v>96</v>
      </c>
      <c r="H4" s="187" t="n">
        <v>96</v>
      </c>
      <c r="I4" s="187" t="n">
        <v>96</v>
      </c>
      <c r="J4" s="187" t="n">
        <v>96</v>
      </c>
      <c r="K4" s="187" t="n">
        <v>96</v>
      </c>
      <c r="L4" s="187" t="n">
        <v>96</v>
      </c>
      <c r="M4" s="187" t="n">
        <v>96</v>
      </c>
      <c r="N4" s="187" t="n">
        <v>96</v>
      </c>
    </row>
    <row r="5" customFormat="false" ht="14.25" hidden="false" customHeight="false" outlineLevel="0" collapsed="false">
      <c r="B5" s="197" t="s">
        <v>105</v>
      </c>
      <c r="C5" s="187" t="n">
        <v>4646</v>
      </c>
      <c r="D5" s="187" t="n">
        <v>6429</v>
      </c>
      <c r="E5" s="187" t="n">
        <v>7508</v>
      </c>
      <c r="F5" s="187" t="n">
        <v>8314</v>
      </c>
      <c r="G5" s="187" t="n">
        <v>9375</v>
      </c>
      <c r="H5" s="187" t="n">
        <v>10034</v>
      </c>
      <c r="I5" s="187" t="n">
        <v>12710</v>
      </c>
      <c r="J5" s="187" t="n">
        <v>13716</v>
      </c>
      <c r="K5" s="187" t="n">
        <v>15896</v>
      </c>
      <c r="L5" s="187" t="n">
        <v>18632</v>
      </c>
      <c r="M5" s="187" t="n">
        <v>19304</v>
      </c>
      <c r="N5" s="187" t="n">
        <v>21276</v>
      </c>
    </row>
    <row r="6" customFormat="false" ht="14.25" hidden="false" customHeight="false" outlineLevel="0" collapsed="false">
      <c r="B6" s="197" t="s">
        <v>565</v>
      </c>
      <c r="C6" s="187"/>
      <c r="D6" s="187"/>
      <c r="E6" s="187"/>
      <c r="F6" s="187"/>
      <c r="G6" s="187"/>
      <c r="H6" s="187"/>
      <c r="I6" s="187"/>
      <c r="J6" s="187"/>
      <c r="K6" s="187"/>
      <c r="L6" s="187"/>
      <c r="M6" s="187"/>
      <c r="N6" s="187"/>
    </row>
    <row r="7" customFormat="false" ht="14.25" hidden="false" customHeight="false" outlineLevel="0" collapsed="false">
      <c r="B7" s="186" t="s">
        <v>566</v>
      </c>
      <c r="C7" s="187" t="n">
        <v>78</v>
      </c>
      <c r="D7" s="187" t="n">
        <v>73</v>
      </c>
      <c r="E7" s="187" t="n">
        <v>41</v>
      </c>
      <c r="F7" s="187" t="n">
        <v>28</v>
      </c>
      <c r="G7" s="187" t="n">
        <v>19</v>
      </c>
      <c r="H7" s="187" t="n">
        <v>19</v>
      </c>
      <c r="I7" s="187" t="n">
        <v>15</v>
      </c>
      <c r="J7" s="187" t="n">
        <v>45</v>
      </c>
      <c r="K7" s="187" t="n">
        <v>76</v>
      </c>
      <c r="L7" s="187" t="n">
        <v>54</v>
      </c>
      <c r="M7" s="187" t="n">
        <v>260</v>
      </c>
      <c r="N7" s="187" t="n">
        <v>1247</v>
      </c>
    </row>
    <row r="8" customFormat="false" ht="14.25" hidden="false" customHeight="false" outlineLevel="0" collapsed="false">
      <c r="B8" s="186" t="s">
        <v>567</v>
      </c>
      <c r="C8" s="187" t="n">
        <v>332</v>
      </c>
      <c r="D8" s="187" t="n">
        <v>231</v>
      </c>
      <c r="E8" s="187" t="n">
        <v>504</v>
      </c>
      <c r="F8" s="187" t="n">
        <v>492</v>
      </c>
      <c r="G8" s="187" t="n">
        <v>597</v>
      </c>
      <c r="H8" s="187" t="n">
        <v>321</v>
      </c>
      <c r="I8" s="187" t="n">
        <v>334</v>
      </c>
      <c r="J8" s="187" t="n">
        <v>731</v>
      </c>
      <c r="K8" s="187" t="n">
        <v>896</v>
      </c>
      <c r="L8" s="187" t="n">
        <v>1053</v>
      </c>
      <c r="M8" s="187" t="n">
        <v>604</v>
      </c>
      <c r="N8" s="187" t="n">
        <v>1046</v>
      </c>
    </row>
    <row r="9" customFormat="false" ht="14.25" hidden="false" customHeight="false" outlineLevel="0" collapsed="false">
      <c r="B9" s="186" t="s">
        <v>568</v>
      </c>
      <c r="C9" s="187" t="n">
        <v>0</v>
      </c>
      <c r="D9" s="187" t="n">
        <v>0</v>
      </c>
      <c r="E9" s="187" t="n">
        <v>0</v>
      </c>
      <c r="F9" s="187" t="n">
        <v>0</v>
      </c>
      <c r="G9" s="187" t="n">
        <v>693</v>
      </c>
      <c r="H9" s="187" t="n">
        <v>764</v>
      </c>
      <c r="I9" s="187" t="n">
        <v>745</v>
      </c>
      <c r="J9" s="187" t="n">
        <v>811</v>
      </c>
      <c r="K9" s="187" t="n">
        <v>960</v>
      </c>
      <c r="L9" s="187" t="n">
        <v>1367</v>
      </c>
      <c r="M9" s="187" t="n">
        <v>1427</v>
      </c>
      <c r="N9" s="187" t="n">
        <v>1636</v>
      </c>
    </row>
    <row r="10" customFormat="false" ht="14.25" hidden="false" customHeight="false" outlineLevel="0" collapsed="false">
      <c r="B10" s="186" t="s">
        <v>569</v>
      </c>
      <c r="C10" s="187" t="n">
        <v>8</v>
      </c>
      <c r="D10" s="187" t="n">
        <v>20</v>
      </c>
      <c r="E10" s="187" t="n">
        <v>15</v>
      </c>
      <c r="F10" s="187" t="n">
        <v>13</v>
      </c>
      <c r="G10" s="187" t="n">
        <v>11</v>
      </c>
      <c r="H10" s="187" t="n">
        <v>15</v>
      </c>
      <c r="I10" s="187" t="n">
        <v>0</v>
      </c>
      <c r="J10" s="187" t="n">
        <v>0</v>
      </c>
      <c r="K10" s="187" t="n">
        <v>0</v>
      </c>
      <c r="L10" s="187" t="n">
        <v>0</v>
      </c>
      <c r="M10" s="187" t="n">
        <v>0</v>
      </c>
      <c r="N10" s="187" t="n">
        <v>0</v>
      </c>
    </row>
    <row r="11" customFormat="false" ht="14.25" hidden="false" customHeight="false" outlineLevel="0" collapsed="false">
      <c r="B11" s="197" t="s">
        <v>570</v>
      </c>
      <c r="C11" s="187"/>
      <c r="D11" s="187"/>
      <c r="E11" s="187"/>
      <c r="F11" s="187"/>
      <c r="G11" s="187"/>
      <c r="H11" s="187"/>
      <c r="I11" s="187"/>
      <c r="J11" s="187"/>
      <c r="K11" s="187"/>
      <c r="L11" s="187"/>
      <c r="M11" s="187"/>
      <c r="N11" s="187"/>
    </row>
    <row r="12" customFormat="false" ht="14.25" hidden="false" customHeight="false" outlineLevel="0" collapsed="false">
      <c r="B12" s="186" t="s">
        <v>571</v>
      </c>
      <c r="C12" s="187" t="n">
        <v>264</v>
      </c>
      <c r="D12" s="187" t="n">
        <v>384</v>
      </c>
      <c r="E12" s="187" t="n">
        <v>375</v>
      </c>
      <c r="F12" s="187" t="n">
        <v>328</v>
      </c>
      <c r="G12" s="187" t="n">
        <v>361</v>
      </c>
      <c r="H12" s="187" t="n">
        <v>404</v>
      </c>
      <c r="I12" s="187" t="n">
        <v>423</v>
      </c>
      <c r="J12" s="187" t="n">
        <v>388</v>
      </c>
      <c r="K12" s="187" t="n">
        <v>454</v>
      </c>
      <c r="L12" s="187" t="n">
        <v>695</v>
      </c>
      <c r="M12" s="187" t="n">
        <v>659</v>
      </c>
      <c r="N12" s="187" t="n">
        <v>643</v>
      </c>
    </row>
    <row r="13" customFormat="false" ht="14.25" hidden="false" customHeight="false" outlineLevel="0" collapsed="false">
      <c r="B13" s="186" t="s">
        <v>107</v>
      </c>
      <c r="C13" s="187" t="n">
        <v>1549</v>
      </c>
      <c r="D13" s="187" t="n">
        <v>1565</v>
      </c>
      <c r="E13" s="187" t="n">
        <v>1923</v>
      </c>
      <c r="F13" s="187" t="n">
        <v>2160</v>
      </c>
      <c r="G13" s="187" t="n">
        <v>2394</v>
      </c>
      <c r="H13" s="187" t="n">
        <v>2137</v>
      </c>
      <c r="I13" s="187" t="n">
        <v>3379</v>
      </c>
      <c r="J13" s="187" t="n">
        <v>4164</v>
      </c>
      <c r="K13" s="187" t="n">
        <v>3635</v>
      </c>
      <c r="L13" s="187" t="n">
        <v>3831</v>
      </c>
      <c r="M13" s="187" t="n">
        <v>3848</v>
      </c>
      <c r="N13" s="187" t="n">
        <v>3863</v>
      </c>
    </row>
    <row r="14" customFormat="false" ht="14.25" hidden="false" customHeight="false" outlineLevel="0" collapsed="false">
      <c r="B14" s="186" t="s">
        <v>572</v>
      </c>
      <c r="C14" s="187" t="n">
        <v>5</v>
      </c>
      <c r="D14" s="187" t="n">
        <v>12</v>
      </c>
      <c r="E14" s="187" t="n">
        <v>17</v>
      </c>
      <c r="F14" s="187" t="n">
        <v>16</v>
      </c>
      <c r="G14" s="187" t="n">
        <v>13</v>
      </c>
      <c r="H14" s="187" t="n">
        <v>29</v>
      </c>
      <c r="I14" s="187" t="n">
        <v>41</v>
      </c>
      <c r="J14" s="187" t="n">
        <v>76</v>
      </c>
      <c r="K14" s="187" t="n">
        <v>108</v>
      </c>
      <c r="L14" s="187" t="n">
        <v>154</v>
      </c>
      <c r="M14" s="187" t="n">
        <v>174</v>
      </c>
      <c r="N14" s="187" t="n">
        <v>107</v>
      </c>
    </row>
    <row r="15" customFormat="false" ht="15" hidden="false" customHeight="true" outlineLevel="0" collapsed="false">
      <c r="B15" s="0" t="s">
        <v>573</v>
      </c>
      <c r="C15" s="54" t="n">
        <v>1937</v>
      </c>
      <c r="D15" s="54" t="n">
        <v>1750</v>
      </c>
      <c r="E15" s="54" t="n">
        <v>1925</v>
      </c>
      <c r="F15" s="54" t="n">
        <v>2316</v>
      </c>
      <c r="G15" s="54" t="n">
        <v>2690</v>
      </c>
      <c r="H15" s="54" t="n">
        <v>2320</v>
      </c>
      <c r="I15" s="54" t="n">
        <v>2613</v>
      </c>
      <c r="J15" s="54" t="n">
        <v>2932</v>
      </c>
      <c r="K15" s="54" t="n">
        <v>3657</v>
      </c>
      <c r="L15" s="54" t="n">
        <v>4017</v>
      </c>
      <c r="M15" s="54" t="n">
        <v>3984</v>
      </c>
      <c r="N15" s="54" t="n">
        <v>4604</v>
      </c>
    </row>
    <row r="16" customFormat="false" ht="15" hidden="false" customHeight="true" outlineLevel="0" collapsed="false">
      <c r="B16" s="188" t="s">
        <v>109</v>
      </c>
      <c r="C16" s="190" t="n">
        <v>8914</v>
      </c>
      <c r="D16" s="190" t="n">
        <v>10559</v>
      </c>
      <c r="E16" s="190" t="n">
        <v>12405</v>
      </c>
      <c r="F16" s="190" t="n">
        <v>13763</v>
      </c>
      <c r="G16" s="190" t="n">
        <v>16249</v>
      </c>
      <c r="H16" s="190" t="n">
        <v>16138</v>
      </c>
      <c r="I16" s="190" t="n">
        <v>20355</v>
      </c>
      <c r="J16" s="190" t="n">
        <v>22958</v>
      </c>
      <c r="K16" s="190" t="n">
        <v>25779</v>
      </c>
      <c r="L16" s="190" t="n">
        <v>29901</v>
      </c>
      <c r="M16" s="190" t="n">
        <v>30355</v>
      </c>
      <c r="N16" s="190" t="n">
        <v>34519</v>
      </c>
    </row>
    <row r="17" customFormat="false" ht="15" hidden="false" customHeight="true" outlineLevel="0" collapsed="false">
      <c r="B17" s="65"/>
      <c r="C17" s="54"/>
      <c r="D17" s="54"/>
      <c r="E17" s="54"/>
      <c r="F17" s="54"/>
      <c r="G17" s="54"/>
      <c r="H17" s="54"/>
      <c r="I17" s="54"/>
      <c r="J17" s="54"/>
      <c r="K17" s="54"/>
      <c r="L17" s="54"/>
      <c r="M17" s="54"/>
      <c r="N17" s="54"/>
    </row>
    <row r="18" customFormat="false" ht="14.25" hidden="false" customHeight="false" outlineLevel="0" collapsed="false">
      <c r="B18" s="197" t="s">
        <v>574</v>
      </c>
      <c r="C18" s="187"/>
      <c r="D18" s="187"/>
      <c r="E18" s="187"/>
      <c r="F18" s="187"/>
      <c r="G18" s="187"/>
      <c r="H18" s="187"/>
      <c r="I18" s="187"/>
      <c r="J18" s="187"/>
      <c r="K18" s="187"/>
      <c r="L18" s="187"/>
      <c r="M18" s="187"/>
      <c r="N18" s="187"/>
    </row>
    <row r="19" customFormat="false" ht="14.25" hidden="false" customHeight="false" outlineLevel="0" collapsed="false">
      <c r="B19" s="186" t="s">
        <v>575</v>
      </c>
      <c r="C19" s="187" t="n">
        <v>251</v>
      </c>
      <c r="D19" s="187" t="n">
        <v>429</v>
      </c>
      <c r="E19" s="187" t="n">
        <v>408</v>
      </c>
      <c r="F19" s="187" t="n">
        <v>586</v>
      </c>
      <c r="G19" s="187" t="n">
        <v>605</v>
      </c>
      <c r="H19" s="187" t="n">
        <v>640</v>
      </c>
      <c r="I19" s="187" t="n">
        <v>644</v>
      </c>
      <c r="J19" s="187" t="n">
        <v>644</v>
      </c>
      <c r="K19" s="187" t="n">
        <v>804</v>
      </c>
      <c r="L19" s="187" t="n">
        <v>1126</v>
      </c>
      <c r="M19" s="187" t="n">
        <v>1035</v>
      </c>
      <c r="N19" s="187" t="n">
        <v>1204</v>
      </c>
    </row>
    <row r="20" customFormat="false" ht="14.25" hidden="false" customHeight="false" outlineLevel="0" collapsed="false">
      <c r="B20" s="186" t="s">
        <v>576</v>
      </c>
      <c r="C20" s="187" t="n">
        <v>962</v>
      </c>
      <c r="D20" s="187" t="n">
        <v>923</v>
      </c>
      <c r="E20" s="187" t="n">
        <v>931</v>
      </c>
      <c r="F20" s="187" t="n">
        <v>957</v>
      </c>
      <c r="G20" s="187" t="n">
        <v>2402</v>
      </c>
      <c r="H20" s="187" t="n">
        <v>2257</v>
      </c>
      <c r="I20" s="187" t="n">
        <v>2249</v>
      </c>
      <c r="J20" s="187" t="n">
        <v>2325</v>
      </c>
      <c r="K20" s="187" t="n">
        <v>2883</v>
      </c>
      <c r="L20" s="187" t="n">
        <v>3390</v>
      </c>
      <c r="M20" s="187" t="n">
        <v>3771</v>
      </c>
      <c r="N20" s="187" t="n">
        <v>4124</v>
      </c>
    </row>
    <row r="21" customFormat="false" ht="14.25" hidden="false" customHeight="false" outlineLevel="0" collapsed="false">
      <c r="B21" s="186" t="s">
        <v>577</v>
      </c>
      <c r="C21" s="187" t="n">
        <v>2132</v>
      </c>
      <c r="D21" s="187" t="n">
        <v>1793</v>
      </c>
      <c r="E21" s="187" t="n">
        <v>1980</v>
      </c>
      <c r="F21" s="187" t="n">
        <v>2157</v>
      </c>
      <c r="G21" s="187" t="n">
        <v>4006</v>
      </c>
      <c r="H21" s="187" t="n">
        <v>4208</v>
      </c>
      <c r="I21" s="187" t="n">
        <v>4340</v>
      </c>
      <c r="J21" s="187" t="n">
        <v>4531</v>
      </c>
      <c r="K21" s="187" t="n">
        <v>4825</v>
      </c>
      <c r="L21" s="187" t="n">
        <v>5422</v>
      </c>
      <c r="M21" s="187" t="n">
        <v>7576</v>
      </c>
      <c r="N21" s="187" t="n">
        <v>8210</v>
      </c>
    </row>
    <row r="22" customFormat="false" ht="14.25" hidden="false" customHeight="false" outlineLevel="0" collapsed="false">
      <c r="B22" s="186" t="s">
        <v>578</v>
      </c>
      <c r="C22" s="187" t="n">
        <v>171</v>
      </c>
      <c r="D22" s="187" t="n">
        <v>97</v>
      </c>
      <c r="E22" s="187" t="n">
        <v>119</v>
      </c>
      <c r="F22" s="187" t="n">
        <v>200</v>
      </c>
      <c r="G22" s="187" t="n">
        <v>221</v>
      </c>
      <c r="H22" s="187" t="n">
        <v>241</v>
      </c>
      <c r="I22" s="187" t="n">
        <v>243</v>
      </c>
      <c r="J22" s="187" t="n">
        <v>253</v>
      </c>
      <c r="K22" s="187" t="n">
        <v>270</v>
      </c>
      <c r="L22" s="187" t="n">
        <v>298</v>
      </c>
      <c r="M22" s="187" t="n">
        <v>325</v>
      </c>
      <c r="N22" s="187" t="n">
        <v>351</v>
      </c>
    </row>
    <row r="23" customFormat="false" ht="14.25" hidden="false" customHeight="false" outlineLevel="0" collapsed="false">
      <c r="B23" s="186" t="s">
        <v>579</v>
      </c>
      <c r="C23" s="187" t="n">
        <v>83</v>
      </c>
      <c r="D23" s="187" t="n">
        <v>49</v>
      </c>
      <c r="E23" s="187" t="n">
        <v>59</v>
      </c>
      <c r="F23" s="187" t="n">
        <v>72</v>
      </c>
      <c r="G23" s="187" t="n">
        <v>88</v>
      </c>
      <c r="H23" s="187" t="n">
        <v>94</v>
      </c>
      <c r="I23" s="187" t="n">
        <v>99</v>
      </c>
      <c r="J23" s="187" t="n">
        <v>113</v>
      </c>
      <c r="K23" s="187" t="n">
        <v>146</v>
      </c>
      <c r="L23" s="187" t="n">
        <v>175</v>
      </c>
      <c r="M23" s="187" t="n">
        <v>203</v>
      </c>
      <c r="N23" s="187" t="n">
        <v>216</v>
      </c>
    </row>
    <row r="24" customFormat="false" ht="14.25" hidden="false" customHeight="false" outlineLevel="0" collapsed="false">
      <c r="B24" s="186" t="s">
        <v>580</v>
      </c>
      <c r="C24" s="187" t="n">
        <v>18</v>
      </c>
      <c r="D24" s="187" t="n">
        <v>11</v>
      </c>
      <c r="E24" s="187" t="n">
        <v>14</v>
      </c>
      <c r="F24" s="187" t="n">
        <v>27</v>
      </c>
      <c r="G24" s="187" t="n">
        <v>47</v>
      </c>
      <c r="H24" s="187" t="n">
        <v>43</v>
      </c>
      <c r="I24" s="187" t="n">
        <v>38</v>
      </c>
      <c r="J24" s="187" t="n">
        <v>32</v>
      </c>
      <c r="K24" s="187" t="n">
        <v>36</v>
      </c>
      <c r="L24" s="187" t="n">
        <v>40</v>
      </c>
      <c r="M24" s="187" t="n">
        <v>34</v>
      </c>
      <c r="N24" s="187" t="n">
        <v>45</v>
      </c>
    </row>
    <row r="25" customFormat="false" ht="14.25" hidden="false" customHeight="false" outlineLevel="0" collapsed="false">
      <c r="B25" s="186" t="s">
        <v>581</v>
      </c>
      <c r="C25" s="187" t="n">
        <v>351</v>
      </c>
      <c r="D25" s="187" t="n">
        <v>339</v>
      </c>
      <c r="E25" s="187" t="n">
        <v>276</v>
      </c>
      <c r="F25" s="187" t="n">
        <v>468</v>
      </c>
      <c r="G25" s="187" t="n">
        <v>512</v>
      </c>
      <c r="H25" s="187" t="n">
        <v>505</v>
      </c>
      <c r="I25" s="187" t="n">
        <v>476</v>
      </c>
      <c r="J25" s="187" t="n">
        <v>345</v>
      </c>
      <c r="K25" s="187" t="n">
        <v>422</v>
      </c>
      <c r="L25" s="187" t="n">
        <v>850</v>
      </c>
      <c r="M25" s="187" t="n">
        <v>827</v>
      </c>
      <c r="N25" s="187" t="n">
        <v>833</v>
      </c>
    </row>
    <row r="26" customFormat="false" ht="15" hidden="false" customHeight="true" outlineLevel="0" collapsed="false">
      <c r="B26" s="0" t="s">
        <v>582</v>
      </c>
      <c r="C26" s="54" t="n">
        <v>145</v>
      </c>
      <c r="D26" s="54" t="n">
        <v>103</v>
      </c>
      <c r="E26" s="54" t="n">
        <v>128</v>
      </c>
      <c r="F26" s="54" t="n">
        <v>238</v>
      </c>
      <c r="G26" s="54" t="n">
        <v>261</v>
      </c>
      <c r="H26" s="54" t="n">
        <v>293</v>
      </c>
      <c r="I26" s="54" t="n">
        <v>302</v>
      </c>
      <c r="J26" s="54" t="n">
        <v>294</v>
      </c>
      <c r="K26" s="54" t="n">
        <v>289</v>
      </c>
      <c r="L26" s="54" t="n">
        <v>321</v>
      </c>
      <c r="M26" s="54" t="n">
        <v>328</v>
      </c>
      <c r="N26" s="54" t="n">
        <v>335</v>
      </c>
    </row>
    <row r="27" customFormat="false" ht="15" hidden="false" customHeight="true" outlineLevel="0" collapsed="false">
      <c r="B27" s="292" t="s">
        <v>583</v>
      </c>
      <c r="C27" s="293" t="n">
        <v>4112</v>
      </c>
      <c r="D27" s="293" t="n">
        <v>3744</v>
      </c>
      <c r="E27" s="293" t="n">
        <v>3914</v>
      </c>
      <c r="F27" s="293" t="n">
        <v>4705</v>
      </c>
      <c r="G27" s="293" t="n">
        <v>8141</v>
      </c>
      <c r="H27" s="293" t="n">
        <v>8282</v>
      </c>
      <c r="I27" s="293" t="n">
        <v>8392</v>
      </c>
      <c r="J27" s="293" t="n">
        <v>8538</v>
      </c>
      <c r="K27" s="293" t="n">
        <v>9676</v>
      </c>
      <c r="L27" s="293" t="n">
        <v>11622</v>
      </c>
      <c r="M27" s="293" t="n">
        <v>14099</v>
      </c>
      <c r="N27" s="293" t="n">
        <v>15316</v>
      </c>
    </row>
    <row r="28" customFormat="false" ht="15" hidden="false" customHeight="true" outlineLevel="0" collapsed="false">
      <c r="B28" s="294" t="s">
        <v>584</v>
      </c>
      <c r="C28" s="295" t="n">
        <v>1452</v>
      </c>
      <c r="D28" s="295" t="n">
        <v>327</v>
      </c>
      <c r="E28" s="295" t="n">
        <v>610</v>
      </c>
      <c r="F28" s="295" t="n">
        <v>973</v>
      </c>
      <c r="G28" s="295" t="n">
        <v>1644</v>
      </c>
      <c r="H28" s="295" t="n">
        <v>2010</v>
      </c>
      <c r="I28" s="295" t="n">
        <v>2533</v>
      </c>
      <c r="J28" s="295" t="n">
        <v>3019</v>
      </c>
      <c r="K28" s="295" t="n">
        <v>3905</v>
      </c>
      <c r="L28" s="295" t="n">
        <v>4475</v>
      </c>
      <c r="M28" s="295" t="n">
        <v>4879</v>
      </c>
      <c r="N28" s="295" t="n">
        <v>5676</v>
      </c>
    </row>
    <row r="29" customFormat="false" ht="15" hidden="false" customHeight="true" outlineLevel="0" collapsed="false">
      <c r="B29" s="65" t="s">
        <v>190</v>
      </c>
      <c r="C29" s="54" t="n">
        <f aca="false">C27-C28</f>
        <v>2660</v>
      </c>
      <c r="D29" s="54" t="n">
        <f aca="false">D27-D28</f>
        <v>3417</v>
      </c>
      <c r="E29" s="54" t="n">
        <f aca="false">E27-E28</f>
        <v>3304</v>
      </c>
      <c r="F29" s="54" t="n">
        <f aca="false">F27-F28</f>
        <v>3732</v>
      </c>
      <c r="G29" s="54" t="n">
        <f aca="false">G27-G28</f>
        <v>6497</v>
      </c>
      <c r="H29" s="54" t="n">
        <f aca="false">H27-H28</f>
        <v>6272</v>
      </c>
      <c r="I29" s="54" t="n">
        <f aca="false">I27-I28</f>
        <v>5859</v>
      </c>
      <c r="J29" s="54" t="n">
        <f aca="false">J27-J28</f>
        <v>5519</v>
      </c>
      <c r="K29" s="54" t="n">
        <f aca="false">K27-K28</f>
        <v>5771</v>
      </c>
      <c r="L29" s="54" t="n">
        <f aca="false">L27-L28</f>
        <v>7147</v>
      </c>
      <c r="M29" s="54" t="n">
        <f aca="false">M27-M28</f>
        <v>9220</v>
      </c>
      <c r="N29" s="54" t="n">
        <f aca="false">N27-N28</f>
        <v>9640</v>
      </c>
    </row>
    <row r="30" customFormat="false" ht="14.25" hidden="false" customHeight="false" outlineLevel="0" collapsed="false">
      <c r="B30" s="65"/>
      <c r="C30" s="54"/>
      <c r="D30" s="54"/>
      <c r="E30" s="54"/>
      <c r="F30" s="54"/>
      <c r="G30" s="54"/>
      <c r="H30" s="54"/>
      <c r="I30" s="54"/>
      <c r="J30" s="54"/>
      <c r="K30" s="54"/>
      <c r="L30" s="54"/>
      <c r="M30" s="54"/>
      <c r="N30" s="54"/>
    </row>
    <row r="31" customFormat="false" ht="14.25" hidden="false" customHeight="false" outlineLevel="0" collapsed="false">
      <c r="B31" s="186" t="s">
        <v>585</v>
      </c>
      <c r="C31" s="187" t="n">
        <v>196</v>
      </c>
      <c r="D31" s="187" t="n">
        <v>107</v>
      </c>
      <c r="E31" s="187" t="n">
        <v>258</v>
      </c>
      <c r="F31" s="187" t="n">
        <v>1405</v>
      </c>
      <c r="G31" s="187" t="n">
        <v>210</v>
      </c>
      <c r="H31" s="187" t="n">
        <v>140</v>
      </c>
      <c r="I31" s="187" t="n">
        <v>183</v>
      </c>
      <c r="J31" s="187" t="n">
        <v>426</v>
      </c>
      <c r="K31" s="187" t="n">
        <v>1020</v>
      </c>
      <c r="L31" s="187" t="n">
        <v>2698</v>
      </c>
      <c r="M31" s="187" t="n">
        <v>1254</v>
      </c>
      <c r="N31" s="187" t="n">
        <v>1849</v>
      </c>
    </row>
    <row r="32" customFormat="false" ht="14.25" hidden="false" customHeight="false" outlineLevel="0" collapsed="false">
      <c r="B32" s="186" t="s">
        <v>112</v>
      </c>
      <c r="C32" s="187" t="n">
        <v>1588</v>
      </c>
      <c r="D32" s="187" t="n">
        <v>2712</v>
      </c>
      <c r="E32" s="187" t="n">
        <v>2652</v>
      </c>
      <c r="F32" s="187" t="n">
        <v>2141</v>
      </c>
      <c r="G32" s="187" t="n">
        <v>2569</v>
      </c>
      <c r="H32" s="187" t="n">
        <v>2019</v>
      </c>
      <c r="I32" s="187" t="n">
        <v>4737</v>
      </c>
      <c r="J32" s="187" t="n">
        <v>3248</v>
      </c>
      <c r="K32" s="187" t="n">
        <v>4262</v>
      </c>
      <c r="L32" s="187" t="n">
        <v>4588</v>
      </c>
      <c r="M32" s="187" t="n">
        <v>4725</v>
      </c>
      <c r="N32" s="187" t="n">
        <v>7062</v>
      </c>
    </row>
    <row r="33" customFormat="false" ht="14.25" hidden="false" customHeight="false" outlineLevel="0" collapsed="false">
      <c r="C33" s="54"/>
      <c r="D33" s="54"/>
      <c r="E33" s="54"/>
      <c r="F33" s="54"/>
      <c r="G33" s="54"/>
      <c r="H33" s="54"/>
      <c r="I33" s="54"/>
      <c r="J33" s="54"/>
      <c r="K33" s="54"/>
      <c r="L33" s="54"/>
      <c r="M33" s="54"/>
      <c r="N33" s="54"/>
    </row>
    <row r="34" customFormat="false" ht="14.25" hidden="false" customHeight="false" outlineLevel="0" collapsed="false">
      <c r="B34" s="197" t="s">
        <v>586</v>
      </c>
      <c r="C34" s="187"/>
      <c r="D34" s="187"/>
      <c r="E34" s="187"/>
      <c r="F34" s="187"/>
      <c r="G34" s="187"/>
      <c r="H34" s="187"/>
      <c r="I34" s="187"/>
      <c r="J34" s="187"/>
      <c r="K34" s="187"/>
      <c r="L34" s="187"/>
      <c r="M34" s="187"/>
      <c r="N34" s="187"/>
    </row>
    <row r="35" customFormat="false" ht="14.25" hidden="false" customHeight="false" outlineLevel="0" collapsed="false">
      <c r="B35" s="186" t="s">
        <v>587</v>
      </c>
      <c r="C35" s="187" t="n">
        <v>2259</v>
      </c>
      <c r="D35" s="187" t="n">
        <v>1998</v>
      </c>
      <c r="E35" s="187" t="n">
        <v>2627</v>
      </c>
      <c r="F35" s="187" t="n">
        <v>2658</v>
      </c>
      <c r="G35" s="187" t="n">
        <v>3150</v>
      </c>
      <c r="H35" s="187" t="n">
        <v>3390</v>
      </c>
      <c r="I35" s="187" t="n">
        <v>3799</v>
      </c>
      <c r="J35" s="187" t="n">
        <v>6153</v>
      </c>
      <c r="K35" s="187" t="n">
        <v>6211</v>
      </c>
      <c r="L35" s="187" t="n">
        <v>5923</v>
      </c>
      <c r="M35" s="187" t="n">
        <v>6719</v>
      </c>
      <c r="N35" s="187" t="n">
        <v>5744</v>
      </c>
    </row>
    <row r="36" customFormat="false" ht="14.25" hidden="false" customHeight="false" outlineLevel="0" collapsed="false">
      <c r="B36" s="186" t="s">
        <v>588</v>
      </c>
      <c r="C36" s="187" t="n">
        <v>1182</v>
      </c>
      <c r="D36" s="187" t="n">
        <v>1187</v>
      </c>
      <c r="E36" s="187" t="n">
        <v>1447</v>
      </c>
      <c r="F36" s="187" t="n">
        <v>1731</v>
      </c>
      <c r="G36" s="187" t="n">
        <v>1907</v>
      </c>
      <c r="H36" s="187" t="n">
        <v>1795</v>
      </c>
      <c r="I36" s="187" t="n">
        <v>2602</v>
      </c>
      <c r="J36" s="187" t="n">
        <v>3871</v>
      </c>
      <c r="K36" s="187" t="n">
        <v>4637</v>
      </c>
      <c r="L36" s="187" t="n">
        <v>4889</v>
      </c>
      <c r="M36" s="187" t="n">
        <v>4314</v>
      </c>
      <c r="N36" s="187" t="n">
        <v>4462</v>
      </c>
    </row>
    <row r="37" customFormat="false" ht="14.25" hidden="false" customHeight="false" outlineLevel="0" collapsed="false">
      <c r="B37" s="186" t="s">
        <v>589</v>
      </c>
      <c r="C37" s="187" t="n">
        <v>204</v>
      </c>
      <c r="D37" s="187" t="n">
        <v>424</v>
      </c>
      <c r="E37" s="187" t="n">
        <v>801</v>
      </c>
      <c r="F37" s="187" t="n">
        <v>405</v>
      </c>
      <c r="G37" s="187" t="n">
        <v>445</v>
      </c>
      <c r="H37" s="187" t="n">
        <v>783</v>
      </c>
      <c r="I37" s="187" t="n">
        <v>611</v>
      </c>
      <c r="J37" s="187" t="n">
        <v>864</v>
      </c>
      <c r="K37" s="187" t="n">
        <v>844</v>
      </c>
      <c r="L37" s="187" t="n">
        <v>1084</v>
      </c>
      <c r="M37" s="187" t="n">
        <v>782</v>
      </c>
      <c r="N37" s="187" t="n">
        <v>1074</v>
      </c>
    </row>
    <row r="38" customFormat="false" ht="14.25" hidden="false" customHeight="false" outlineLevel="0" collapsed="false">
      <c r="B38" s="186" t="s">
        <v>590</v>
      </c>
      <c r="C38" s="187" t="n">
        <v>8</v>
      </c>
      <c r="D38" s="187" t="n">
        <v>9</v>
      </c>
      <c r="E38" s="187" t="n">
        <v>14</v>
      </c>
      <c r="F38" s="187" t="n">
        <v>13</v>
      </c>
      <c r="G38" s="187" t="n">
        <v>16</v>
      </c>
      <c r="H38" s="187" t="n">
        <v>12</v>
      </c>
      <c r="I38" s="187" t="n">
        <v>11</v>
      </c>
      <c r="J38" s="187" t="n">
        <v>8</v>
      </c>
      <c r="K38" s="187" t="n">
        <v>12</v>
      </c>
      <c r="L38" s="187" t="n">
        <v>17</v>
      </c>
      <c r="M38" s="187" t="n">
        <v>22</v>
      </c>
      <c r="N38" s="187" t="n">
        <v>27</v>
      </c>
    </row>
    <row r="39" customFormat="false" ht="15" hidden="false" customHeight="true" outlineLevel="0" collapsed="false">
      <c r="B39" s="0" t="s">
        <v>591</v>
      </c>
      <c r="C39" s="54" t="n">
        <v>817</v>
      </c>
      <c r="D39" s="54" t="n">
        <v>705</v>
      </c>
      <c r="E39" s="54" t="n">
        <v>1303</v>
      </c>
      <c r="F39" s="54" t="n">
        <v>1678</v>
      </c>
      <c r="G39" s="54" t="n">
        <v>1456</v>
      </c>
      <c r="H39" s="54" t="n">
        <v>1727</v>
      </c>
      <c r="I39" s="54" t="n">
        <v>2555</v>
      </c>
      <c r="J39" s="54" t="n">
        <v>2869</v>
      </c>
      <c r="K39" s="54" t="n">
        <v>3024</v>
      </c>
      <c r="L39" s="54" t="n">
        <v>3555</v>
      </c>
      <c r="M39" s="54" t="n">
        <v>3319</v>
      </c>
      <c r="N39" s="54" t="n">
        <v>4662</v>
      </c>
    </row>
    <row r="40" customFormat="false" ht="15" hidden="false" customHeight="true" outlineLevel="0" collapsed="false">
      <c r="B40" s="188" t="s">
        <v>119</v>
      </c>
      <c r="C40" s="190" t="n">
        <f aca="false">SUM(C35:C39,C31:C32,C29)</f>
        <v>8914</v>
      </c>
      <c r="D40" s="190" t="n">
        <f aca="false">SUM(D35:D39,D31:D32,D29)</f>
        <v>10559</v>
      </c>
      <c r="E40" s="190" t="n">
        <f aca="false">SUM(E35:E39,E31:E32,E29)</f>
        <v>12406</v>
      </c>
      <c r="F40" s="190" t="n">
        <f aca="false">SUM(F35:F39,F31:F32,F29)</f>
        <v>13763</v>
      </c>
      <c r="G40" s="190" t="n">
        <f aca="false">SUM(G35:G39,G31:G32,G29)</f>
        <v>16250</v>
      </c>
      <c r="H40" s="190" t="n">
        <f aca="false">SUM(H35:H39,H31:H32,H29)</f>
        <v>16138</v>
      </c>
      <c r="I40" s="190" t="n">
        <f aca="false">SUM(I35:I39,I31:I32,I29)</f>
        <v>20357</v>
      </c>
      <c r="J40" s="190" t="n">
        <f aca="false">SUM(J35:J39,J31:J32,J29)</f>
        <v>22958</v>
      </c>
      <c r="K40" s="190" t="n">
        <f aca="false">SUM(K35:K39,K31:K32,K29)</f>
        <v>25781</v>
      </c>
      <c r="L40" s="190" t="n">
        <f aca="false">SUM(L35:L39,L31:L32,L29)</f>
        <v>29901</v>
      </c>
      <c r="M40" s="190" t="n">
        <f aca="false">SUM(M35:M39,M31:M32,M29)</f>
        <v>30355</v>
      </c>
      <c r="N40" s="190" t="n">
        <f aca="false">SUM(N35:N39,N31:N32,N29)</f>
        <v>34520</v>
      </c>
    </row>
    <row r="41" customFormat="false" ht="15" hidden="false" customHeight="true" outlineLevel="0" collapsed="false"/>
    <row r="42" customFormat="false" ht="14.25" hidden="false" customHeight="false" outlineLevel="0" collapsed="false">
      <c r="B42" s="93" t="s">
        <v>179</v>
      </c>
      <c r="C42" s="21" t="n">
        <v>42064</v>
      </c>
      <c r="D42" s="21" t="n">
        <v>42430</v>
      </c>
      <c r="E42" s="21" t="n">
        <v>42795</v>
      </c>
      <c r="F42" s="21" t="n">
        <v>43160</v>
      </c>
      <c r="G42" s="21" t="n">
        <v>43525</v>
      </c>
      <c r="H42" s="21" t="n">
        <v>43891</v>
      </c>
      <c r="I42" s="21" t="n">
        <v>44256</v>
      </c>
      <c r="J42" s="21" t="n">
        <v>44621</v>
      </c>
      <c r="K42" s="21" t="n">
        <v>44986</v>
      </c>
      <c r="L42" s="21" t="n">
        <v>45352</v>
      </c>
      <c r="M42" s="21" t="n">
        <v>45717</v>
      </c>
      <c r="N42" s="21" t="n">
        <v>46082</v>
      </c>
    </row>
    <row r="43" customFormat="false" ht="15" hidden="false" customHeight="true" outlineLevel="0" collapsed="false"/>
    <row r="44" customFormat="false" ht="15" hidden="false" customHeight="true" outlineLevel="0" collapsed="false">
      <c r="B44" s="296" t="s">
        <v>561</v>
      </c>
      <c r="C44" s="297" t="n">
        <v>1188</v>
      </c>
      <c r="D44" s="297" t="n">
        <v>2243</v>
      </c>
      <c r="E44" s="297" t="n">
        <v>1527</v>
      </c>
      <c r="F44" s="297" t="n">
        <v>2113</v>
      </c>
      <c r="G44" s="297" t="n">
        <v>2470</v>
      </c>
      <c r="H44" s="297" t="n">
        <v>3038</v>
      </c>
      <c r="I44" s="297" t="n">
        <v>3683</v>
      </c>
      <c r="J44" s="296" t="n">
        <v>986</v>
      </c>
      <c r="K44" s="297" t="n">
        <v>4193</v>
      </c>
      <c r="L44" s="297" t="n">
        <v>6104</v>
      </c>
      <c r="M44" s="297" t="n">
        <v>4424</v>
      </c>
      <c r="N44" s="297" t="n">
        <v>7088</v>
      </c>
    </row>
    <row r="45" customFormat="false" ht="14.25" hidden="false" customHeight="false" outlineLevel="0" collapsed="false">
      <c r="B45" s="186" t="s">
        <v>122</v>
      </c>
      <c r="C45" s="298" t="n">
        <v>2271</v>
      </c>
      <c r="D45" s="298" t="n">
        <v>2848</v>
      </c>
      <c r="E45" s="298" t="n">
        <v>3056</v>
      </c>
      <c r="F45" s="298" t="n">
        <v>3274</v>
      </c>
      <c r="G45" s="298" t="n">
        <v>3861</v>
      </c>
      <c r="H45" s="298" t="n">
        <v>4380</v>
      </c>
      <c r="I45" s="298" t="n">
        <v>4970</v>
      </c>
      <c r="J45" s="298" t="n">
        <v>4957</v>
      </c>
      <c r="K45" s="298" t="n">
        <v>6460</v>
      </c>
      <c r="L45" s="298" t="n">
        <v>7929</v>
      </c>
      <c r="M45" s="298" t="n">
        <v>6390</v>
      </c>
      <c r="N45" s="298" t="n">
        <v>7186</v>
      </c>
    </row>
    <row r="46" customFormat="false" ht="14.25" hidden="false" customHeight="false" outlineLevel="0" collapsed="false">
      <c r="B46" s="186" t="s">
        <v>115</v>
      </c>
      <c r="C46" s="186" t="n">
        <v>-155</v>
      </c>
      <c r="D46" s="186" t="n">
        <v>-146</v>
      </c>
      <c r="E46" s="186" t="n">
        <v>-475</v>
      </c>
      <c r="F46" s="186" t="n">
        <v>-483</v>
      </c>
      <c r="G46" s="186" t="n">
        <v>-205</v>
      </c>
      <c r="H46" s="186" t="n">
        <v>160</v>
      </c>
      <c r="I46" s="186" t="n">
        <v>-849</v>
      </c>
      <c r="J46" s="298" t="n">
        <v>-1326</v>
      </c>
      <c r="K46" s="186" t="n">
        <v>-834</v>
      </c>
      <c r="L46" s="186" t="n">
        <v>-362</v>
      </c>
      <c r="M46" s="186" t="n">
        <v>282</v>
      </c>
      <c r="N46" s="186" t="n">
        <v>-274</v>
      </c>
    </row>
    <row r="47" customFormat="false" ht="14.25" hidden="false" customHeight="false" outlineLevel="0" collapsed="false">
      <c r="B47" s="186" t="s">
        <v>116</v>
      </c>
      <c r="C47" s="186" t="n">
        <v>-144</v>
      </c>
      <c r="D47" s="186" t="n">
        <v>202</v>
      </c>
      <c r="E47" s="186" t="n">
        <v>-629</v>
      </c>
      <c r="F47" s="186" t="n">
        <v>-39</v>
      </c>
      <c r="G47" s="186" t="n">
        <v>-492</v>
      </c>
      <c r="H47" s="186" t="n">
        <v>-251</v>
      </c>
      <c r="I47" s="186" t="n">
        <v>-409</v>
      </c>
      <c r="J47" s="298" t="n">
        <v>-2354</v>
      </c>
      <c r="K47" s="186" t="n">
        <v>-56</v>
      </c>
      <c r="L47" s="186" t="n">
        <v>315</v>
      </c>
      <c r="M47" s="186" t="n">
        <v>-805</v>
      </c>
      <c r="N47" s="186" t="n">
        <v>976</v>
      </c>
    </row>
    <row r="48" customFormat="false" ht="14.25" hidden="false" customHeight="false" outlineLevel="0" collapsed="false">
      <c r="B48" s="186" t="s">
        <v>123</v>
      </c>
      <c r="C48" s="186" t="n">
        <v>-151</v>
      </c>
      <c r="D48" s="186" t="n">
        <v>142</v>
      </c>
      <c r="E48" s="186" t="n">
        <v>501</v>
      </c>
      <c r="F48" s="186" t="n">
        <v>442</v>
      </c>
      <c r="G48" s="186" t="n">
        <v>287</v>
      </c>
      <c r="H48" s="186" t="n">
        <v>-241</v>
      </c>
      <c r="I48" s="298" t="n">
        <v>1143</v>
      </c>
      <c r="J48" s="186" t="n">
        <v>644</v>
      </c>
      <c r="K48" s="186" t="n">
        <v>-539</v>
      </c>
      <c r="L48" s="186" t="n">
        <v>269</v>
      </c>
      <c r="M48" s="186" t="n">
        <v>-160</v>
      </c>
      <c r="N48" s="186" t="n">
        <v>396</v>
      </c>
    </row>
    <row r="49" customFormat="false" ht="14.25" hidden="false" customHeight="false" outlineLevel="0" collapsed="false">
      <c r="B49" s="186" t="s">
        <v>124</v>
      </c>
      <c r="C49" s="186" t="n">
        <v>0</v>
      </c>
      <c r="D49" s="186" t="n">
        <v>0</v>
      </c>
      <c r="E49" s="186" t="n">
        <v>0</v>
      </c>
      <c r="F49" s="186" t="n">
        <v>0</v>
      </c>
      <c r="G49" s="186" t="n">
        <v>0</v>
      </c>
      <c r="H49" s="186" t="n">
        <v>0</v>
      </c>
      <c r="I49" s="186" t="n">
        <v>-92</v>
      </c>
      <c r="J49" s="186" t="n">
        <v>242</v>
      </c>
      <c r="K49" s="186" t="n">
        <v>657</v>
      </c>
      <c r="L49" s="186" t="n">
        <v>-212</v>
      </c>
      <c r="M49" s="186" t="n">
        <v>114</v>
      </c>
      <c r="N49" s="186" t="n">
        <v>378</v>
      </c>
    </row>
    <row r="50" customFormat="false" ht="14.25" hidden="false" customHeight="false" outlineLevel="0" collapsed="false">
      <c r="B50" s="197" t="s">
        <v>125</v>
      </c>
      <c r="C50" s="197" t="n">
        <v>-450</v>
      </c>
      <c r="D50" s="197" t="n">
        <v>198</v>
      </c>
      <c r="E50" s="197" t="n">
        <v>-603</v>
      </c>
      <c r="F50" s="197" t="n">
        <v>-80</v>
      </c>
      <c r="G50" s="197" t="n">
        <v>-410</v>
      </c>
      <c r="H50" s="197" t="n">
        <v>-331</v>
      </c>
      <c r="I50" s="197" t="n">
        <v>-206</v>
      </c>
      <c r="J50" s="299" t="n">
        <v>-2795</v>
      </c>
      <c r="K50" s="197" t="n">
        <v>-772</v>
      </c>
      <c r="L50" s="197" t="n">
        <v>10</v>
      </c>
      <c r="M50" s="197" t="n">
        <v>-570</v>
      </c>
      <c r="N50" s="299" t="n">
        <v>1476</v>
      </c>
    </row>
    <row r="51" customFormat="false" ht="15" hidden="false" customHeight="true" outlineLevel="0" collapsed="false">
      <c r="B51" s="192" t="s">
        <v>126</v>
      </c>
      <c r="C51" s="192" t="n">
        <v>-633</v>
      </c>
      <c r="D51" s="192" t="n">
        <v>-802</v>
      </c>
      <c r="E51" s="192" t="n">
        <v>-925</v>
      </c>
      <c r="F51" s="300" t="n">
        <v>-1081</v>
      </c>
      <c r="G51" s="192" t="n">
        <v>-982</v>
      </c>
      <c r="H51" s="300" t="n">
        <v>-1011</v>
      </c>
      <c r="I51" s="300" t="n">
        <v>-1080</v>
      </c>
      <c r="J51" s="300" t="n">
        <v>-1176</v>
      </c>
      <c r="K51" s="300" t="n">
        <v>-1494</v>
      </c>
      <c r="L51" s="300" t="n">
        <v>-1835</v>
      </c>
      <c r="M51" s="300" t="n">
        <v>-1396</v>
      </c>
      <c r="N51" s="300" t="n">
        <v>-1574</v>
      </c>
    </row>
    <row r="52" customFormat="false" ht="15" hidden="false" customHeight="true" outlineLevel="0" collapsed="false">
      <c r="F52" s="291"/>
      <c r="H52" s="291"/>
      <c r="I52" s="291"/>
      <c r="J52" s="291"/>
      <c r="K52" s="291"/>
      <c r="L52" s="291"/>
      <c r="M52" s="291"/>
      <c r="N52" s="291"/>
    </row>
    <row r="53" customFormat="false" ht="15" hidden="false" customHeight="true" outlineLevel="0" collapsed="false">
      <c r="B53" s="296" t="s">
        <v>562</v>
      </c>
      <c r="C53" s="296" t="n">
        <v>-465</v>
      </c>
      <c r="D53" s="296" t="n">
        <v>-866</v>
      </c>
      <c r="E53" s="296" t="n">
        <v>-681</v>
      </c>
      <c r="F53" s="297" t="n">
        <v>-1556</v>
      </c>
      <c r="G53" s="296" t="n">
        <v>-918</v>
      </c>
      <c r="H53" s="296" t="n">
        <v>-518</v>
      </c>
      <c r="I53" s="296" t="n">
        <v>-541</v>
      </c>
      <c r="J53" s="296" t="n">
        <v>-317</v>
      </c>
      <c r="K53" s="297" t="n">
        <v>-1282</v>
      </c>
      <c r="L53" s="297" t="n">
        <v>-2548</v>
      </c>
      <c r="M53" s="296" t="n">
        <v>-941</v>
      </c>
      <c r="N53" s="297" t="n">
        <v>-1328</v>
      </c>
    </row>
    <row r="54" customFormat="false" ht="14.25" hidden="false" customHeight="false" outlineLevel="0" collapsed="false">
      <c r="B54" s="186" t="s">
        <v>129</v>
      </c>
      <c r="C54" s="186" t="n">
        <v>-454</v>
      </c>
      <c r="D54" s="186" t="n">
        <v>-817</v>
      </c>
      <c r="E54" s="186" t="n">
        <v>-684</v>
      </c>
      <c r="F54" s="298" t="n">
        <v>-1426</v>
      </c>
      <c r="G54" s="298" t="n">
        <v>-1151</v>
      </c>
      <c r="H54" s="186" t="n">
        <v>-414</v>
      </c>
      <c r="I54" s="186" t="n">
        <v>-289</v>
      </c>
      <c r="J54" s="186" t="n">
        <v>-551</v>
      </c>
      <c r="K54" s="298" t="n">
        <v>-1446</v>
      </c>
      <c r="L54" s="298" t="n">
        <v>-2496</v>
      </c>
      <c r="M54" s="298" t="n">
        <v>-1830</v>
      </c>
      <c r="N54" s="298" t="n">
        <v>-1487</v>
      </c>
    </row>
    <row r="55" customFormat="false" ht="14.25" hidden="false" customHeight="false" outlineLevel="0" collapsed="false">
      <c r="B55" s="186" t="s">
        <v>130</v>
      </c>
      <c r="C55" s="186" t="n">
        <v>16</v>
      </c>
      <c r="D55" s="186" t="n">
        <v>15</v>
      </c>
      <c r="E55" s="186" t="n">
        <v>17</v>
      </c>
      <c r="F55" s="186" t="n">
        <v>17</v>
      </c>
      <c r="G55" s="186" t="n">
        <v>17</v>
      </c>
      <c r="H55" s="186" t="n">
        <v>37</v>
      </c>
      <c r="I55" s="186" t="n">
        <v>28</v>
      </c>
      <c r="J55" s="186" t="n">
        <v>40</v>
      </c>
      <c r="K55" s="186" t="n">
        <v>26</v>
      </c>
      <c r="L55" s="186" t="n">
        <v>5</v>
      </c>
      <c r="M55" s="186" t="n">
        <v>10</v>
      </c>
      <c r="N55" s="186" t="n">
        <v>3</v>
      </c>
    </row>
    <row r="56" customFormat="false" ht="14.25" hidden="false" customHeight="false" outlineLevel="0" collapsed="false">
      <c r="B56" s="186" t="s">
        <v>131</v>
      </c>
      <c r="C56" s="186" t="n">
        <v>-243</v>
      </c>
      <c r="D56" s="186" t="n">
        <v>-282</v>
      </c>
      <c r="E56" s="186" t="n">
        <v>-153</v>
      </c>
      <c r="F56" s="186" t="n">
        <v>-320</v>
      </c>
      <c r="G56" s="186" t="n">
        <v>-573</v>
      </c>
      <c r="H56" s="186" t="n">
        <v>-25</v>
      </c>
      <c r="I56" s="186" t="n">
        <v>-140</v>
      </c>
      <c r="J56" s="186" t="n">
        <v>0</v>
      </c>
      <c r="K56" s="186" t="n">
        <v>-146</v>
      </c>
      <c r="L56" s="186" t="n">
        <v>-212</v>
      </c>
      <c r="M56" s="186" t="n">
        <v>-1</v>
      </c>
      <c r="N56" s="186" t="n">
        <v>0</v>
      </c>
    </row>
    <row r="57" customFormat="false" ht="14.25" hidden="false" customHeight="false" outlineLevel="0" collapsed="false">
      <c r="B57" s="186" t="s">
        <v>132</v>
      </c>
      <c r="C57" s="186" t="n">
        <v>278</v>
      </c>
      <c r="D57" s="186" t="n">
        <v>205</v>
      </c>
      <c r="E57" s="186" t="n">
        <v>357</v>
      </c>
      <c r="F57" s="186" t="n">
        <v>362</v>
      </c>
      <c r="G57" s="186" t="n">
        <v>733</v>
      </c>
      <c r="H57" s="186" t="n">
        <v>118</v>
      </c>
      <c r="I57" s="186" t="n">
        <v>272</v>
      </c>
      <c r="J57" s="186" t="n">
        <v>207</v>
      </c>
      <c r="K57" s="186" t="n">
        <v>446</v>
      </c>
      <c r="L57" s="186" t="n">
        <v>240</v>
      </c>
      <c r="M57" s="186" t="n">
        <v>421</v>
      </c>
      <c r="N57" s="298" t="n">
        <v>1197</v>
      </c>
    </row>
    <row r="58" customFormat="false" ht="14.25" hidden="false" customHeight="false" outlineLevel="0" collapsed="false">
      <c r="B58" s="186" t="s">
        <v>133</v>
      </c>
      <c r="C58" s="186" t="n">
        <v>11</v>
      </c>
      <c r="D58" s="186" t="n">
        <v>15</v>
      </c>
      <c r="E58" s="186" t="n">
        <v>32</v>
      </c>
      <c r="F58" s="186" t="n">
        <v>39</v>
      </c>
      <c r="G58" s="186" t="n">
        <v>40</v>
      </c>
      <c r="H58" s="186" t="n">
        <v>65</v>
      </c>
      <c r="I58" s="186" t="n">
        <v>73</v>
      </c>
      <c r="J58" s="186" t="n">
        <v>77</v>
      </c>
      <c r="K58" s="186" t="n">
        <v>87</v>
      </c>
      <c r="L58" s="186" t="n">
        <v>135</v>
      </c>
      <c r="M58" s="186" t="n">
        <v>155</v>
      </c>
      <c r="N58" s="186" t="n">
        <v>153</v>
      </c>
    </row>
    <row r="59" customFormat="false" ht="14.25" hidden="false" customHeight="false" outlineLevel="0" collapsed="false">
      <c r="B59" s="186" t="s">
        <v>134</v>
      </c>
      <c r="C59" s="186" t="n">
        <v>71</v>
      </c>
      <c r="D59" s="186" t="n">
        <v>69</v>
      </c>
      <c r="E59" s="186" t="n">
        <v>74</v>
      </c>
      <c r="F59" s="186" t="n">
        <v>38</v>
      </c>
      <c r="G59" s="186" t="n">
        <v>40</v>
      </c>
      <c r="H59" s="186" t="n">
        <v>27</v>
      </c>
      <c r="I59" s="186" t="n">
        <v>8</v>
      </c>
      <c r="J59" s="186" t="n">
        <v>15</v>
      </c>
      <c r="K59" s="186" t="n">
        <v>56</v>
      </c>
      <c r="L59" s="186" t="n">
        <v>129</v>
      </c>
      <c r="M59" s="186" t="n">
        <v>136</v>
      </c>
      <c r="N59" s="186" t="n">
        <v>118</v>
      </c>
    </row>
    <row r="60" customFormat="false" ht="14.25" hidden="false" customHeight="false" outlineLevel="0" collapsed="false">
      <c r="B60" s="186" t="s">
        <v>135</v>
      </c>
      <c r="C60" s="186" t="n">
        <v>0</v>
      </c>
      <c r="D60" s="186" t="n">
        <v>0</v>
      </c>
      <c r="E60" s="186" t="n">
        <v>0</v>
      </c>
      <c r="F60" s="186" t="n">
        <v>0</v>
      </c>
      <c r="G60" s="186" t="n">
        <v>0</v>
      </c>
      <c r="H60" s="186" t="n">
        <v>0</v>
      </c>
      <c r="I60" s="186" t="n">
        <v>0</v>
      </c>
      <c r="J60" s="186" t="n">
        <v>0</v>
      </c>
      <c r="K60" s="186" t="n">
        <v>-180</v>
      </c>
      <c r="L60" s="186" t="n">
        <v>0</v>
      </c>
      <c r="M60" s="186" t="n">
        <v>0</v>
      </c>
      <c r="N60" s="186" t="n">
        <v>0</v>
      </c>
    </row>
    <row r="61" customFormat="false" ht="14.25" hidden="false" customHeight="false" outlineLevel="0" collapsed="false">
      <c r="B61" s="186" t="s">
        <v>136</v>
      </c>
      <c r="C61" s="186" t="n">
        <v>0</v>
      </c>
      <c r="D61" s="186" t="n">
        <v>0</v>
      </c>
      <c r="E61" s="186" t="n">
        <v>0</v>
      </c>
      <c r="F61" s="186" t="n">
        <v>141</v>
      </c>
      <c r="G61" s="186" t="n">
        <v>0</v>
      </c>
      <c r="H61" s="186" t="n">
        <v>17</v>
      </c>
      <c r="I61" s="186" t="n">
        <v>0</v>
      </c>
      <c r="J61" s="186" t="n">
        <v>0</v>
      </c>
      <c r="K61" s="186" t="n">
        <v>0</v>
      </c>
      <c r="L61" s="186" t="n">
        <v>0</v>
      </c>
      <c r="M61" s="186" t="n">
        <v>38</v>
      </c>
      <c r="N61" s="186" t="n">
        <v>0</v>
      </c>
    </row>
    <row r="62" customFormat="false" ht="14.25" hidden="false" customHeight="false" outlineLevel="0" collapsed="false">
      <c r="B62" s="186" t="s">
        <v>137</v>
      </c>
      <c r="C62" s="186" t="n">
        <v>0</v>
      </c>
      <c r="D62" s="186" t="n">
        <v>0</v>
      </c>
      <c r="E62" s="186" t="n">
        <v>0</v>
      </c>
      <c r="F62" s="186" t="n">
        <v>-525</v>
      </c>
      <c r="G62" s="186" t="n">
        <v>0</v>
      </c>
      <c r="H62" s="186" t="n">
        <v>0</v>
      </c>
      <c r="I62" s="186" t="n">
        <v>0</v>
      </c>
      <c r="J62" s="186" t="n">
        <v>0</v>
      </c>
      <c r="K62" s="186" t="n">
        <v>0</v>
      </c>
      <c r="L62" s="186" t="n">
        <v>0</v>
      </c>
      <c r="M62" s="186" t="n">
        <v>0</v>
      </c>
      <c r="N62" s="186" t="n">
        <v>0</v>
      </c>
    </row>
    <row r="63" customFormat="false" ht="15" hidden="false" customHeight="true" outlineLevel="0" collapsed="false">
      <c r="B63" s="192" t="s">
        <v>138</v>
      </c>
      <c r="C63" s="192" t="n">
        <v>-144</v>
      </c>
      <c r="D63" s="192" t="n">
        <v>-70</v>
      </c>
      <c r="E63" s="192" t="n">
        <v>-324</v>
      </c>
      <c r="F63" s="192" t="n">
        <v>118</v>
      </c>
      <c r="G63" s="192" t="n">
        <v>-24</v>
      </c>
      <c r="H63" s="192" t="n">
        <v>-343</v>
      </c>
      <c r="I63" s="192" t="n">
        <v>-493</v>
      </c>
      <c r="J63" s="192" t="n">
        <v>-105</v>
      </c>
      <c r="K63" s="192" t="n">
        <v>-126</v>
      </c>
      <c r="L63" s="192" t="n">
        <v>-350</v>
      </c>
      <c r="M63" s="192" t="n">
        <v>130</v>
      </c>
      <c r="N63" s="300" t="n">
        <v>-1312</v>
      </c>
    </row>
    <row r="64" customFormat="false" ht="15" hidden="false" customHeight="true" outlineLevel="0" collapsed="false">
      <c r="N64" s="291"/>
    </row>
    <row r="65" customFormat="false" ht="15" hidden="false" customHeight="true" outlineLevel="0" collapsed="false">
      <c r="B65" s="296" t="s">
        <v>563</v>
      </c>
      <c r="C65" s="296" t="n">
        <v>-576</v>
      </c>
      <c r="D65" s="296" t="n">
        <v>-849</v>
      </c>
      <c r="E65" s="296" t="n">
        <v>-756</v>
      </c>
      <c r="F65" s="297" t="n">
        <v>-1379</v>
      </c>
      <c r="G65" s="297" t="n">
        <v>-1117</v>
      </c>
      <c r="H65" s="297" t="n">
        <v>-2871</v>
      </c>
      <c r="I65" s="296" t="n">
        <v>-650</v>
      </c>
      <c r="J65" s="297" t="n">
        <v>-1808</v>
      </c>
      <c r="K65" s="297" t="n">
        <v>-2140</v>
      </c>
      <c r="L65" s="297" t="n">
        <v>-2982</v>
      </c>
      <c r="M65" s="297" t="n">
        <v>-3753</v>
      </c>
      <c r="N65" s="297" t="n">
        <v>-2377</v>
      </c>
    </row>
    <row r="66" customFormat="false" ht="14.25" hidden="false" customHeight="false" outlineLevel="0" collapsed="false">
      <c r="B66" s="186" t="s">
        <v>141</v>
      </c>
      <c r="C66" s="186" t="n">
        <v>0</v>
      </c>
      <c r="D66" s="186" t="n">
        <v>0</v>
      </c>
      <c r="E66" s="186" t="n">
        <v>0</v>
      </c>
      <c r="F66" s="186" t="n">
        <v>0</v>
      </c>
      <c r="G66" s="186" t="n">
        <v>0</v>
      </c>
      <c r="H66" s="186" t="n">
        <v>0</v>
      </c>
      <c r="I66" s="186" t="n">
        <v>0</v>
      </c>
      <c r="J66" s="186" t="n">
        <v>0</v>
      </c>
      <c r="K66" s="186" t="n">
        <v>0</v>
      </c>
      <c r="L66" s="186" t="n">
        <v>1</v>
      </c>
      <c r="M66" s="186" t="n">
        <v>0</v>
      </c>
      <c r="N66" s="186" t="n">
        <v>0</v>
      </c>
    </row>
    <row r="67" customFormat="false" ht="14.25" hidden="false" customHeight="false" outlineLevel="0" collapsed="false">
      <c r="B67" s="186" t="s">
        <v>142</v>
      </c>
      <c r="C67" s="186" t="n">
        <v>239</v>
      </c>
      <c r="D67" s="186" t="n">
        <v>8</v>
      </c>
      <c r="E67" s="186" t="n">
        <v>271</v>
      </c>
      <c r="F67" s="186" t="n">
        <v>10</v>
      </c>
      <c r="G67" s="186" t="n">
        <v>243</v>
      </c>
      <c r="H67" s="186" t="n">
        <v>18</v>
      </c>
      <c r="I67" s="186" t="n">
        <v>155</v>
      </c>
      <c r="J67" s="186" t="n">
        <v>418</v>
      </c>
      <c r="K67" s="186" t="n">
        <v>254</v>
      </c>
      <c r="L67" s="186" t="n">
        <v>101</v>
      </c>
      <c r="M67" s="186" t="n">
        <v>415</v>
      </c>
      <c r="N67" s="298" t="n">
        <v>1279</v>
      </c>
    </row>
    <row r="68" customFormat="false" ht="14.25" hidden="false" customHeight="false" outlineLevel="0" collapsed="false">
      <c r="B68" s="186" t="s">
        <v>143</v>
      </c>
      <c r="C68" s="186" t="n">
        <v>-86</v>
      </c>
      <c r="D68" s="186" t="n">
        <v>-119</v>
      </c>
      <c r="E68" s="186" t="n">
        <v>-58</v>
      </c>
      <c r="F68" s="186" t="n">
        <v>-54</v>
      </c>
      <c r="G68" s="186" t="n">
        <v>-26</v>
      </c>
      <c r="H68" s="186" t="n">
        <v>-482</v>
      </c>
      <c r="I68" s="186" t="n">
        <v>-14</v>
      </c>
      <c r="J68" s="186" t="n">
        <v>-8</v>
      </c>
      <c r="K68" s="186" t="n">
        <v>-25</v>
      </c>
      <c r="L68" s="186" t="n">
        <v>-98</v>
      </c>
      <c r="M68" s="186" t="n">
        <v>-428</v>
      </c>
      <c r="N68" s="186" t="n">
        <v>-452</v>
      </c>
    </row>
    <row r="69" customFormat="false" ht="14.25" hidden="false" customHeight="false" outlineLevel="0" collapsed="false">
      <c r="B69" s="186" t="s">
        <v>144</v>
      </c>
      <c r="C69" s="186" t="n">
        <v>-35</v>
      </c>
      <c r="D69" s="186" t="n">
        <v>-40</v>
      </c>
      <c r="E69" s="186" t="n">
        <v>-36</v>
      </c>
      <c r="F69" s="186" t="n">
        <v>-35</v>
      </c>
      <c r="G69" s="186" t="n">
        <v>-106</v>
      </c>
      <c r="H69" s="186" t="n">
        <v>-101</v>
      </c>
      <c r="I69" s="186" t="n">
        <v>-89</v>
      </c>
      <c r="J69" s="186" t="n">
        <v>-94</v>
      </c>
      <c r="K69" s="186" t="n">
        <v>-142</v>
      </c>
      <c r="L69" s="186" t="n">
        <v>-191</v>
      </c>
      <c r="M69" s="186" t="n">
        <v>-203</v>
      </c>
      <c r="N69" s="186" t="n">
        <v>-228</v>
      </c>
    </row>
    <row r="70" customFormat="false" ht="14.25" hidden="false" customHeight="false" outlineLevel="0" collapsed="false">
      <c r="B70" s="186" t="s">
        <v>145</v>
      </c>
      <c r="C70" s="186" t="n">
        <v>-695</v>
      </c>
      <c r="D70" s="186" t="n">
        <v>-764</v>
      </c>
      <c r="E70" s="186" t="n">
        <v>-947</v>
      </c>
      <c r="F70" s="298" t="n">
        <v>-1218</v>
      </c>
      <c r="G70" s="298" t="n">
        <v>-1049</v>
      </c>
      <c r="H70" s="298" t="n">
        <v>-2121</v>
      </c>
      <c r="I70" s="186" t="n">
        <v>-499</v>
      </c>
      <c r="J70" s="298" t="n">
        <v>-1763</v>
      </c>
      <c r="K70" s="298" t="n">
        <v>-1936</v>
      </c>
      <c r="L70" s="298" t="n">
        <v>-2551</v>
      </c>
      <c r="M70" s="298" t="n">
        <v>-3140</v>
      </c>
      <c r="N70" s="298" t="n">
        <v>-2425</v>
      </c>
    </row>
    <row r="71" customFormat="false" ht="14.25" hidden="false" customHeight="false" outlineLevel="0" collapsed="false">
      <c r="B71" s="186" t="s">
        <v>146</v>
      </c>
      <c r="C71" s="186" t="n">
        <v>0</v>
      </c>
      <c r="D71" s="186" t="n">
        <v>0</v>
      </c>
      <c r="E71" s="186" t="n">
        <v>0</v>
      </c>
      <c r="F71" s="186" t="n">
        <v>0</v>
      </c>
      <c r="G71" s="186" t="n">
        <v>-180</v>
      </c>
      <c r="H71" s="186" t="n">
        <v>-179</v>
      </c>
      <c r="I71" s="186" t="n">
        <v>-203</v>
      </c>
      <c r="J71" s="186" t="n">
        <v>-221</v>
      </c>
      <c r="K71" s="186" t="n">
        <v>-256</v>
      </c>
      <c r="L71" s="186" t="n">
        <v>-286</v>
      </c>
      <c r="M71" s="186" t="n">
        <v>-325</v>
      </c>
      <c r="N71" s="186" t="n">
        <v>-340</v>
      </c>
    </row>
    <row r="72" customFormat="false" ht="14.25" hidden="false" customHeight="false" outlineLevel="0" collapsed="false">
      <c r="B72" s="186" t="s">
        <v>147</v>
      </c>
      <c r="C72" s="186" t="n">
        <v>0</v>
      </c>
      <c r="D72" s="186" t="n">
        <v>66</v>
      </c>
      <c r="E72" s="186" t="n">
        <v>13</v>
      </c>
      <c r="F72" s="186" t="n">
        <v>-82</v>
      </c>
      <c r="G72" s="186" t="n">
        <v>0</v>
      </c>
      <c r="H72" s="186" t="n">
        <v>-6</v>
      </c>
      <c r="I72" s="186" t="n">
        <v>0</v>
      </c>
      <c r="J72" s="186" t="n">
        <v>-140</v>
      </c>
      <c r="K72" s="186" t="n">
        <v>-36</v>
      </c>
      <c r="L72" s="186" t="n">
        <v>41</v>
      </c>
      <c r="M72" s="186" t="n">
        <v>-72</v>
      </c>
      <c r="N72" s="186" t="n">
        <v>-210</v>
      </c>
    </row>
    <row r="73" customFormat="false" ht="15" hidden="false" customHeight="true" outlineLevel="0" collapsed="false">
      <c r="B73" s="191" t="s">
        <v>149</v>
      </c>
      <c r="C73" s="191" t="n">
        <v>147</v>
      </c>
      <c r="D73" s="191" t="n">
        <v>528</v>
      </c>
      <c r="E73" s="191" t="n">
        <v>90</v>
      </c>
      <c r="F73" s="191" t="n">
        <v>-822</v>
      </c>
      <c r="G73" s="191" t="n">
        <v>434</v>
      </c>
      <c r="H73" s="191" t="n">
        <v>-351</v>
      </c>
      <c r="I73" s="301" t="n">
        <v>2492</v>
      </c>
      <c r="J73" s="301" t="n">
        <v>-1138</v>
      </c>
      <c r="K73" s="191" t="n">
        <v>771</v>
      </c>
      <c r="L73" s="191" t="n">
        <v>573</v>
      </c>
      <c r="M73" s="191" t="n">
        <v>-270</v>
      </c>
      <c r="N73" s="301" t="n">
        <v>3383</v>
      </c>
    </row>
    <row r="74" customFormat="false" ht="15" hidden="false" customHeight="true" outlineLevel="0" collapsed="false">
      <c r="B74" s="65"/>
      <c r="C74" s="65"/>
      <c r="D74" s="65"/>
      <c r="E74" s="65"/>
      <c r="F74" s="65"/>
      <c r="G74" s="65"/>
      <c r="H74" s="65"/>
      <c r="I74" s="290"/>
      <c r="J74" s="290"/>
      <c r="K74" s="65"/>
      <c r="L74" s="65"/>
      <c r="M74" s="65"/>
      <c r="N74" s="290"/>
    </row>
    <row r="75" customFormat="false" ht="15" hidden="false" customHeight="true" outlineLevel="0" collapsed="false">
      <c r="B75" s="302" t="s">
        <v>592</v>
      </c>
      <c r="C75" s="302" t="n">
        <v>750</v>
      </c>
      <c r="D75" s="303" t="n">
        <v>1441</v>
      </c>
      <c r="E75" s="302" t="n">
        <v>860</v>
      </c>
      <c r="F75" s="302" t="n">
        <v>705</v>
      </c>
      <c r="G75" s="303" t="n">
        <v>1336</v>
      </c>
      <c r="H75" s="303" t="n">
        <v>2661</v>
      </c>
      <c r="I75" s="303" t="n">
        <v>3422</v>
      </c>
      <c r="J75" s="302" t="n">
        <v>475</v>
      </c>
      <c r="K75" s="303" t="n">
        <v>2774</v>
      </c>
      <c r="L75" s="303" t="n">
        <v>3613</v>
      </c>
      <c r="M75" s="303" t="n">
        <v>2604</v>
      </c>
      <c r="N75" s="303" t="n">
        <v>5604</v>
      </c>
    </row>
    <row r="76" customFormat="false" ht="15" hidden="false" customHeight="true" outlineLevel="0" collapsed="false">
      <c r="B76" s="192" t="s">
        <v>593</v>
      </c>
      <c r="C76" s="304" t="n">
        <v>0.81</v>
      </c>
      <c r="D76" s="304" t="n">
        <v>1.12</v>
      </c>
      <c r="E76" s="304" t="n">
        <v>0.82</v>
      </c>
      <c r="F76" s="304" t="n">
        <v>1</v>
      </c>
      <c r="G76" s="304" t="n">
        <v>0.92</v>
      </c>
      <c r="H76" s="304" t="n">
        <v>0.97</v>
      </c>
      <c r="I76" s="304" t="n">
        <v>0.98</v>
      </c>
      <c r="J76" s="304" t="n">
        <v>0.45</v>
      </c>
      <c r="K76" s="304" t="n">
        <v>0.91</v>
      </c>
      <c r="L76" s="304" t="n">
        <v>1.05</v>
      </c>
      <c r="M76" s="304" t="n">
        <v>0.97</v>
      </c>
      <c r="N76" s="304" t="n">
        <v>1.29</v>
      </c>
    </row>
    <row r="77" customFormat="false" ht="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6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B1:AN94"/>
  <sheetViews>
    <sheetView showFormulas="false" showGridLines="false" showRowColHeaders="true" showZeros="true" rightToLeft="false" tabSelected="false" showOutlineSymbols="true" defaultGridColor="true" view="normal" topLeftCell="H1" colorId="64" zoomScale="65" zoomScaleNormal="65" zoomScalePageLayoutView="100" workbookViewId="0">
      <selection pane="topLeft" activeCell="AI24" activeCellId="0" sqref="AI24"/>
    </sheetView>
  </sheetViews>
  <sheetFormatPr defaultColWidth="8.66796875" defaultRowHeight="14.25" zeroHeight="false" outlineLevelRow="0" outlineLevelCol="0"/>
  <cols>
    <col collapsed="false" customWidth="true" hidden="false" outlineLevel="0" max="1" min="1" style="0" width="1.88"/>
    <col collapsed="false" customWidth="true" hidden="false" outlineLevel="0" max="2" min="2" style="0" width="5.44"/>
    <col collapsed="false" customWidth="true" hidden="false" outlineLevel="0" max="3" min="3" style="0" width="13.22"/>
    <col collapsed="false" customWidth="true" hidden="false" outlineLevel="0" max="4" min="4" style="0" width="7.67"/>
    <col collapsed="false" customWidth="true" hidden="false" outlineLevel="0" max="5" min="5" style="0" width="13.22"/>
    <col collapsed="false" customWidth="true" hidden="false" outlineLevel="0" max="6" min="6" style="0" width="10.44"/>
    <col collapsed="false" customWidth="true" hidden="false" outlineLevel="0" max="7" min="7" style="0" width="2.44"/>
    <col collapsed="false" customWidth="true" hidden="false" outlineLevel="0" max="8" min="8" style="0" width="12"/>
    <col collapsed="false" customWidth="true" hidden="false" outlineLevel="0" max="9" min="9" style="0" width="9"/>
    <col collapsed="false" customWidth="true" hidden="false" outlineLevel="0" max="10" min="10" style="0" width="10"/>
    <col collapsed="false" customWidth="true" hidden="false" outlineLevel="0" max="11" min="11" style="0" width="2.77"/>
    <col collapsed="false" customWidth="true" hidden="false" outlineLevel="0" max="14" min="14" style="0" width="2.56"/>
    <col collapsed="false" customWidth="true" hidden="false" outlineLevel="0" max="16" min="16" style="0" width="10.88"/>
    <col collapsed="false" customWidth="true" hidden="false" outlineLevel="0" max="17" min="17" style="0" width="2.67"/>
    <col collapsed="false" customWidth="true" hidden="false" outlineLevel="0" max="20" min="20" style="0" width="2.44"/>
    <col collapsed="false" customWidth="true" hidden="false" outlineLevel="0" max="23" min="23" style="0" width="2.56"/>
    <col collapsed="false" customWidth="true" hidden="false" outlineLevel="0" max="27" min="27" style="0" width="54.44"/>
    <col collapsed="false" customWidth="true" hidden="false" outlineLevel="0" max="28" min="28" style="0" width="16.11"/>
    <col collapsed="false" customWidth="true" hidden="false" outlineLevel="0" max="29" min="29" style="0" width="15.66"/>
    <col collapsed="false" customWidth="true" hidden="false" outlineLevel="0" max="30" min="30" style="0" width="14.11"/>
  </cols>
  <sheetData>
    <row r="1" customFormat="false" ht="14.25" hidden="false" customHeight="true" outlineLevel="0" collapsed="false"/>
    <row r="2" customFormat="false" ht="14.25" hidden="false" customHeight="true" outlineLevel="0" collapsed="false">
      <c r="B2" s="305" t="s">
        <v>594</v>
      </c>
      <c r="C2" s="306" t="s">
        <v>595</v>
      </c>
      <c r="D2" s="306"/>
      <c r="E2" s="306" t="s">
        <v>596</v>
      </c>
      <c r="F2" s="307" t="s">
        <v>597</v>
      </c>
      <c r="G2" s="308"/>
      <c r="H2" s="150" t="s">
        <v>598</v>
      </c>
      <c r="I2" s="151"/>
      <c r="J2" s="309"/>
      <c r="L2" s="150" t="s">
        <v>599</v>
      </c>
      <c r="M2" s="309"/>
      <c r="O2" s="150" t="s">
        <v>600</v>
      </c>
      <c r="P2" s="309"/>
      <c r="R2" s="150" t="s">
        <v>601</v>
      </c>
      <c r="S2" s="309"/>
      <c r="U2" s="150" t="s">
        <v>602</v>
      </c>
      <c r="V2" s="309"/>
      <c r="X2" s="150" t="s">
        <v>603</v>
      </c>
      <c r="Y2" s="309"/>
      <c r="AA2" s="38" t="s">
        <v>604</v>
      </c>
      <c r="AB2" s="38" t="s">
        <v>605</v>
      </c>
      <c r="AC2" s="38" t="s">
        <v>606</v>
      </c>
      <c r="AD2" s="38" t="s">
        <v>607</v>
      </c>
    </row>
    <row r="3" customFormat="false" ht="14.25" hidden="false" customHeight="true" outlineLevel="0" collapsed="false">
      <c r="B3" s="153" t="n">
        <v>1</v>
      </c>
      <c r="C3" s="38" t="s">
        <v>385</v>
      </c>
      <c r="E3" s="0" t="n">
        <v>262791.1</v>
      </c>
      <c r="F3" s="138" t="n">
        <v>3928.93</v>
      </c>
      <c r="H3" s="310" t="s">
        <v>269</v>
      </c>
      <c r="I3" s="311" t="s">
        <v>487</v>
      </c>
      <c r="J3" s="312" t="s">
        <v>608</v>
      </c>
      <c r="L3" s="153" t="s">
        <v>269</v>
      </c>
      <c r="M3" s="313" t="s">
        <v>487</v>
      </c>
      <c r="O3" s="137" t="s">
        <v>269</v>
      </c>
      <c r="P3" s="138" t="s">
        <v>487</v>
      </c>
      <c r="R3" s="137" t="s">
        <v>269</v>
      </c>
      <c r="S3" s="138" t="s">
        <v>487</v>
      </c>
      <c r="U3" s="137" t="s">
        <v>269</v>
      </c>
      <c r="V3" s="138" t="s">
        <v>487</v>
      </c>
      <c r="X3" s="153" t="s">
        <v>364</v>
      </c>
      <c r="Y3" s="313" t="s">
        <v>365</v>
      </c>
      <c r="AA3" s="38" t="s">
        <v>609</v>
      </c>
      <c r="AB3" s="314" t="n">
        <v>7.7822006</v>
      </c>
      <c r="AC3" s="76" t="n">
        <v>0.0811</v>
      </c>
      <c r="AD3" s="315" t="n">
        <v>46082</v>
      </c>
    </row>
    <row r="4" customFormat="false" ht="14.25" hidden="false" customHeight="true" outlineLevel="0" collapsed="false">
      <c r="B4" s="153" t="n">
        <v>2</v>
      </c>
      <c r="C4" s="38" t="s">
        <v>387</v>
      </c>
      <c r="E4" s="0" t="n">
        <v>60457.55</v>
      </c>
      <c r="F4" s="138" t="n">
        <v>635.13</v>
      </c>
      <c r="H4" s="316" t="s">
        <v>273</v>
      </c>
      <c r="I4" s="254" t="n">
        <v>2737.8</v>
      </c>
      <c r="J4" s="138" t="n">
        <v>0.472095</v>
      </c>
      <c r="L4" s="153" t="s">
        <v>273</v>
      </c>
      <c r="M4" s="313" t="n">
        <v>24270.85</v>
      </c>
      <c r="O4" s="137" t="s">
        <v>273</v>
      </c>
      <c r="P4" s="138" t="n">
        <v>519.45</v>
      </c>
      <c r="R4" s="137" t="s">
        <v>273</v>
      </c>
      <c r="S4" s="138" t="n">
        <v>211.83</v>
      </c>
      <c r="U4" s="137" t="s">
        <v>273</v>
      </c>
      <c r="V4" s="138" t="n">
        <v>1065.9</v>
      </c>
      <c r="X4" s="153" t="n">
        <v>2000</v>
      </c>
      <c r="Y4" s="313" t="n">
        <v>-14.65</v>
      </c>
      <c r="AA4" s="38" t="s">
        <v>610</v>
      </c>
      <c r="AB4" s="314" t="n">
        <v>5.4789183</v>
      </c>
      <c r="AC4" s="76" t="n">
        <v>0.0571</v>
      </c>
      <c r="AD4" s="315" t="n">
        <v>46082</v>
      </c>
    </row>
    <row r="5" customFormat="false" ht="14.25" hidden="false" customHeight="true" outlineLevel="0" collapsed="false">
      <c r="B5" s="153" t="n">
        <v>3</v>
      </c>
      <c r="C5" s="38" t="s">
        <v>388</v>
      </c>
      <c r="E5" s="0" t="n">
        <v>17156.01</v>
      </c>
      <c r="F5" s="138" t="n">
        <v>302.73</v>
      </c>
      <c r="H5" s="316" t="s">
        <v>274</v>
      </c>
      <c r="I5" s="254" t="n">
        <v>2744.5</v>
      </c>
      <c r="J5" s="138" t="n">
        <v>2.727079</v>
      </c>
      <c r="L5" s="153" t="s">
        <v>274</v>
      </c>
      <c r="M5" s="313" t="n">
        <v>24175.7</v>
      </c>
      <c r="O5" s="137" t="s">
        <v>274</v>
      </c>
      <c r="P5" s="138" t="n">
        <v>520.75</v>
      </c>
      <c r="R5" s="137" t="s">
        <v>274</v>
      </c>
      <c r="S5" s="138" t="n">
        <v>212.56</v>
      </c>
      <c r="U5" s="137" t="s">
        <v>274</v>
      </c>
      <c r="V5" s="138" t="n">
        <v>1077.1</v>
      </c>
      <c r="X5" s="153" t="n">
        <v>2001</v>
      </c>
      <c r="Y5" s="313" t="n">
        <v>-16.18</v>
      </c>
      <c r="AA5" s="38" t="s">
        <v>611</v>
      </c>
      <c r="AB5" s="314" t="n">
        <v>5.1442638</v>
      </c>
      <c r="AC5" s="76" t="n">
        <v>0.0536</v>
      </c>
      <c r="AD5" s="315" t="n">
        <v>46082</v>
      </c>
    </row>
    <row r="6" customFormat="false" ht="14.25" hidden="false" customHeight="true" outlineLevel="0" collapsed="false">
      <c r="B6" s="153" t="n">
        <v>4</v>
      </c>
      <c r="C6" s="38" t="s">
        <v>467</v>
      </c>
      <c r="E6" s="0" t="n">
        <v>14868.24</v>
      </c>
      <c r="F6" s="138" t="n">
        <v>79.1</v>
      </c>
      <c r="H6" s="316" t="s">
        <v>276</v>
      </c>
      <c r="I6" s="254" t="n">
        <v>2635.7</v>
      </c>
      <c r="J6" s="138" t="n">
        <v>31.407028</v>
      </c>
      <c r="L6" s="153" t="s">
        <v>276</v>
      </c>
      <c r="M6" s="313" t="n">
        <v>23865.75</v>
      </c>
      <c r="O6" s="137" t="s">
        <v>276</v>
      </c>
      <c r="P6" s="138" t="n">
        <v>510.1</v>
      </c>
      <c r="R6" s="137" t="s">
        <v>276</v>
      </c>
      <c r="S6" s="138" t="n">
        <v>204.06</v>
      </c>
      <c r="U6" s="137" t="s">
        <v>276</v>
      </c>
      <c r="V6" s="138" t="n">
        <v>1015.25</v>
      </c>
      <c r="X6" s="153" t="n">
        <v>2002</v>
      </c>
      <c r="Y6" s="313" t="n">
        <v>3.25</v>
      </c>
      <c r="AA6" s="38" t="s">
        <v>612</v>
      </c>
      <c r="AB6" s="314" t="n">
        <v>4.9885007</v>
      </c>
      <c r="AC6" s="76" t="n">
        <v>0.052</v>
      </c>
      <c r="AD6" s="315" t="n">
        <v>46082</v>
      </c>
    </row>
    <row r="7" customFormat="false" ht="14.25" hidden="false" customHeight="true" outlineLevel="0" collapsed="false">
      <c r="B7" s="159" t="n">
        <v>5</v>
      </c>
      <c r="C7" s="147" t="s">
        <v>389</v>
      </c>
      <c r="D7" s="147"/>
      <c r="E7" s="147" t="n">
        <v>5080.81</v>
      </c>
      <c r="F7" s="317" t="n">
        <v>18.37</v>
      </c>
      <c r="H7" s="316" t="s">
        <v>278</v>
      </c>
      <c r="I7" s="254" t="n">
        <v>2648.62</v>
      </c>
      <c r="J7" s="138" t="n">
        <v>24.922732</v>
      </c>
      <c r="L7" s="153" t="s">
        <v>278</v>
      </c>
      <c r="M7" s="313" t="n">
        <v>23547.75</v>
      </c>
      <c r="O7" s="137" t="s">
        <v>278</v>
      </c>
      <c r="P7" s="138" t="n">
        <v>500.6</v>
      </c>
      <c r="R7" s="137" t="s">
        <v>278</v>
      </c>
      <c r="S7" s="138" t="n">
        <v>215.49</v>
      </c>
      <c r="U7" s="137" t="s">
        <v>278</v>
      </c>
      <c r="V7" s="138" t="n">
        <v>990.9</v>
      </c>
      <c r="X7" s="153" t="n">
        <v>2003</v>
      </c>
      <c r="Y7" s="313" t="n">
        <v>71.9</v>
      </c>
      <c r="AA7" s="38" t="s">
        <v>613</v>
      </c>
      <c r="AB7" s="314" t="n">
        <v>4.570614</v>
      </c>
      <c r="AC7" s="76" t="n">
        <v>0.0477</v>
      </c>
      <c r="AD7" s="315" t="n">
        <v>46082</v>
      </c>
    </row>
    <row r="8" customFormat="false" ht="14.25" hidden="false" customHeight="true" outlineLevel="0" collapsed="false">
      <c r="H8" s="316" t="s">
        <v>279</v>
      </c>
      <c r="I8" s="254" t="n">
        <v>2423.47</v>
      </c>
      <c r="J8" s="138" t="n">
        <v>28.781051</v>
      </c>
      <c r="L8" s="153" t="s">
        <v>279</v>
      </c>
      <c r="M8" s="313" t="n">
        <v>23997.55</v>
      </c>
      <c r="O8" s="137" t="s">
        <v>279</v>
      </c>
      <c r="P8" s="138" t="n">
        <v>473.1</v>
      </c>
      <c r="R8" s="137" t="s">
        <v>279</v>
      </c>
      <c r="S8" s="138" t="n">
        <v>194.87</v>
      </c>
      <c r="U8" s="137" t="s">
        <v>279</v>
      </c>
      <c r="V8" s="138" t="n">
        <v>860.2</v>
      </c>
      <c r="X8" s="153" t="n">
        <v>2004</v>
      </c>
      <c r="Y8" s="313" t="n">
        <v>10.68</v>
      </c>
      <c r="AA8" s="38" t="s">
        <v>614</v>
      </c>
      <c r="AB8" s="314" t="n">
        <v>2.831386</v>
      </c>
      <c r="AC8" s="76" t="n">
        <v>0.0295</v>
      </c>
      <c r="AD8" s="315" t="n">
        <v>46082</v>
      </c>
    </row>
    <row r="9" customFormat="false" ht="14.25" hidden="false" customHeight="true" outlineLevel="0" collapsed="false">
      <c r="H9" s="316" t="s">
        <v>281</v>
      </c>
      <c r="I9" s="254" t="n">
        <v>2146.58</v>
      </c>
      <c r="J9" s="138" t="n">
        <v>23.464907</v>
      </c>
      <c r="L9" s="153" t="s">
        <v>281</v>
      </c>
      <c r="M9" s="313" t="n">
        <v>22331.4</v>
      </c>
      <c r="O9" s="137" t="s">
        <v>281</v>
      </c>
      <c r="P9" s="138" t="n">
        <v>410</v>
      </c>
      <c r="R9" s="137" t="s">
        <v>281</v>
      </c>
      <c r="S9" s="138" t="n">
        <v>165.25</v>
      </c>
      <c r="U9" s="137" t="s">
        <v>281</v>
      </c>
      <c r="V9" s="138" t="n">
        <v>710.8</v>
      </c>
      <c r="X9" s="153" t="n">
        <v>2005</v>
      </c>
      <c r="Y9" s="313" t="n">
        <v>36.34</v>
      </c>
      <c r="AA9" s="38" t="s">
        <v>615</v>
      </c>
      <c r="AB9" s="314" t="n">
        <v>2.315073</v>
      </c>
      <c r="AC9" s="76" t="n">
        <v>0.0241</v>
      </c>
      <c r="AD9" s="315" t="n">
        <v>46082</v>
      </c>
    </row>
    <row r="10" customFormat="false" ht="14.25" hidden="false" customHeight="true" outlineLevel="0" collapsed="false">
      <c r="H10" s="316" t="s">
        <v>283</v>
      </c>
      <c r="I10" s="254" t="n">
        <v>2355.76</v>
      </c>
      <c r="J10" s="138" t="n">
        <v>22.708371</v>
      </c>
      <c r="L10" s="153" t="s">
        <v>283</v>
      </c>
      <c r="M10" s="313" t="n">
        <v>25178.65</v>
      </c>
      <c r="O10" s="137" t="s">
        <v>283</v>
      </c>
      <c r="P10" s="138" t="n">
        <v>456.1</v>
      </c>
      <c r="R10" s="137" t="s">
        <v>283</v>
      </c>
      <c r="S10" s="138" t="n">
        <v>201.11</v>
      </c>
      <c r="U10" s="137" t="s">
        <v>283</v>
      </c>
      <c r="V10" s="138" t="n">
        <v>936.8</v>
      </c>
      <c r="X10" s="153" t="n">
        <v>2006</v>
      </c>
      <c r="Y10" s="313" t="n">
        <v>39.83</v>
      </c>
      <c r="AA10" s="38" t="s">
        <v>616</v>
      </c>
      <c r="AB10" s="314" t="n">
        <v>2.1582801</v>
      </c>
      <c r="AC10" s="76" t="n">
        <v>0.0225</v>
      </c>
      <c r="AD10" s="315" t="n">
        <v>46082</v>
      </c>
    </row>
    <row r="11" customFormat="false" ht="14.25" hidden="false" customHeight="true" outlineLevel="0" collapsed="false">
      <c r="H11" s="316" t="s">
        <v>284</v>
      </c>
      <c r="I11" s="254" t="n">
        <v>2407.41</v>
      </c>
      <c r="J11" s="138" t="n">
        <v>29.42148</v>
      </c>
      <c r="L11" s="153" t="s">
        <v>284</v>
      </c>
      <c r="M11" s="313" t="n">
        <v>25320.65</v>
      </c>
      <c r="O11" s="137" t="s">
        <v>284</v>
      </c>
      <c r="P11" s="138" t="n">
        <v>462.9</v>
      </c>
      <c r="R11" s="137" t="s">
        <v>284</v>
      </c>
      <c r="S11" s="138" t="n">
        <v>227.48</v>
      </c>
      <c r="U11" s="137" t="s">
        <v>284</v>
      </c>
      <c r="V11" s="138" t="n">
        <v>1044.4</v>
      </c>
      <c r="X11" s="153" t="n">
        <v>2007</v>
      </c>
      <c r="Y11" s="313" t="n">
        <v>54.77</v>
      </c>
      <c r="AA11" s="38" t="s">
        <v>617</v>
      </c>
      <c r="AB11" s="314" t="n">
        <v>1.900176</v>
      </c>
      <c r="AC11" s="76" t="n">
        <v>0.0198</v>
      </c>
      <c r="AD11" s="315" t="n">
        <v>46082</v>
      </c>
    </row>
    <row r="12" customFormat="false" ht="14.25" hidden="false" customHeight="true" outlineLevel="0" collapsed="false">
      <c r="H12" s="316" t="s">
        <v>286</v>
      </c>
      <c r="I12" s="254" t="n">
        <v>2745.68</v>
      </c>
      <c r="J12" s="138" t="n">
        <v>27.446915</v>
      </c>
      <c r="L12" s="153" t="s">
        <v>286</v>
      </c>
      <c r="M12" s="313" t="n">
        <v>26129.6</v>
      </c>
      <c r="O12" s="137" t="s">
        <v>286</v>
      </c>
      <c r="P12" s="138" t="n">
        <v>536.55</v>
      </c>
      <c r="R12" s="137" t="s">
        <v>286</v>
      </c>
      <c r="S12" s="138" t="n">
        <v>232.68</v>
      </c>
      <c r="U12" s="137" t="s">
        <v>286</v>
      </c>
      <c r="V12" s="138" t="n">
        <v>1143.8</v>
      </c>
      <c r="X12" s="153" t="n">
        <v>2008</v>
      </c>
      <c r="Y12" s="313" t="n">
        <v>-51.79</v>
      </c>
      <c r="AA12" s="38" t="s">
        <v>618</v>
      </c>
      <c r="AB12" s="314" t="n">
        <v>1.8849825</v>
      </c>
      <c r="AC12" s="76" t="n">
        <v>0.0197</v>
      </c>
      <c r="AD12" s="315" t="n">
        <v>46082</v>
      </c>
    </row>
    <row r="13" customFormat="false" ht="14.25" hidden="false" customHeight="true" outlineLevel="0" collapsed="false">
      <c r="H13" s="316" t="s">
        <v>287</v>
      </c>
      <c r="I13" s="254" t="n">
        <v>2849.68</v>
      </c>
      <c r="J13" s="138" t="n">
        <v>35.174896</v>
      </c>
      <c r="L13" s="153" t="s">
        <v>287</v>
      </c>
      <c r="M13" s="313" t="n">
        <v>26202.95</v>
      </c>
      <c r="O13" s="137" t="s">
        <v>287</v>
      </c>
      <c r="P13" s="138" t="n">
        <v>564.6</v>
      </c>
      <c r="R13" s="137" t="s">
        <v>287</v>
      </c>
      <c r="S13" s="138" t="n">
        <v>233.71</v>
      </c>
      <c r="U13" s="137" t="s">
        <v>287</v>
      </c>
      <c r="V13" s="138" t="n">
        <v>1283.65</v>
      </c>
      <c r="X13" s="153" t="n">
        <v>2009</v>
      </c>
      <c r="Y13" s="313" t="n">
        <v>75.76</v>
      </c>
    </row>
    <row r="14" customFormat="false" ht="14.25" hidden="false" customHeight="true" outlineLevel="0" collapsed="false">
      <c r="H14" s="316" t="s">
        <v>289</v>
      </c>
      <c r="I14" s="254" t="n">
        <v>2485.32</v>
      </c>
      <c r="J14" s="138" t="n">
        <v>16.363165</v>
      </c>
      <c r="L14" s="153" t="s">
        <v>289</v>
      </c>
      <c r="M14" s="313" t="n">
        <v>25722.1</v>
      </c>
      <c r="O14" s="137" t="s">
        <v>289</v>
      </c>
      <c r="P14" s="138" t="n">
        <v>542.1</v>
      </c>
      <c r="R14" s="137" t="s">
        <v>289</v>
      </c>
      <c r="S14" s="138" t="n">
        <v>245.04</v>
      </c>
      <c r="U14" s="137" t="s">
        <v>289</v>
      </c>
      <c r="V14" s="138" t="n">
        <v>999.9</v>
      </c>
      <c r="X14" s="153" t="n">
        <v>2010</v>
      </c>
      <c r="Y14" s="313" t="n">
        <v>17.95</v>
      </c>
    </row>
    <row r="15" customFormat="false" ht="14.25" hidden="false" customHeight="true" outlineLevel="0" collapsed="false">
      <c r="H15" s="316" t="s">
        <v>290</v>
      </c>
      <c r="I15" s="254" t="n">
        <v>2326.16</v>
      </c>
      <c r="J15" s="138" t="n">
        <v>21.304014</v>
      </c>
      <c r="L15" s="153" t="s">
        <v>290</v>
      </c>
      <c r="M15" s="313" t="n">
        <v>24611.1</v>
      </c>
      <c r="O15" s="137" t="s">
        <v>290</v>
      </c>
      <c r="P15" s="138" t="n">
        <v>515.2</v>
      </c>
      <c r="R15" s="137" t="s">
        <v>290</v>
      </c>
      <c r="S15" s="138" t="n">
        <v>244.47</v>
      </c>
      <c r="U15" s="137" t="s">
        <v>290</v>
      </c>
      <c r="V15" s="138" t="n">
        <v>1052.2</v>
      </c>
      <c r="X15" s="153" t="n">
        <v>2011</v>
      </c>
      <c r="Y15" s="313" t="n">
        <v>-24.62</v>
      </c>
      <c r="AB15" s="318" t="n">
        <v>10000000</v>
      </c>
      <c r="AC15" s="282" t="n">
        <v>100</v>
      </c>
    </row>
    <row r="16" customFormat="false" ht="14.25" hidden="false" customHeight="true" outlineLevel="0" collapsed="false">
      <c r="H16" s="316" t="s">
        <v>292</v>
      </c>
      <c r="I16" s="254" t="n">
        <v>2493.05</v>
      </c>
      <c r="J16" s="138" t="n">
        <v>26.744337</v>
      </c>
      <c r="L16" s="153" t="s">
        <v>292</v>
      </c>
      <c r="M16" s="313" t="n">
        <v>24426.85</v>
      </c>
      <c r="O16" s="137" t="s">
        <v>292</v>
      </c>
      <c r="P16" s="138" t="n">
        <v>533</v>
      </c>
      <c r="R16" s="137" t="s">
        <v>292</v>
      </c>
      <c r="S16" s="138" t="n">
        <v>237.17</v>
      </c>
      <c r="U16" s="137" t="s">
        <v>292</v>
      </c>
      <c r="V16" s="138" t="n">
        <v>1099.7</v>
      </c>
      <c r="X16" s="153" t="n">
        <v>2012</v>
      </c>
      <c r="Y16" s="313" t="n">
        <v>27.7</v>
      </c>
    </row>
    <row r="17" customFormat="false" ht="14.25" hidden="false" customHeight="true" outlineLevel="0" collapsed="false">
      <c r="H17" s="316" t="s">
        <v>294</v>
      </c>
      <c r="I17" s="254" t="n">
        <v>2371.79</v>
      </c>
      <c r="J17" s="138" t="n">
        <v>22.879351</v>
      </c>
      <c r="L17" s="153" t="s">
        <v>294</v>
      </c>
      <c r="M17" s="313" t="n">
        <v>24768.35</v>
      </c>
      <c r="O17" s="137" t="s">
        <v>294</v>
      </c>
      <c r="P17" s="138" t="n">
        <v>561.13</v>
      </c>
      <c r="R17" s="137" t="s">
        <v>294</v>
      </c>
      <c r="S17" s="138" t="n">
        <v>242.02</v>
      </c>
      <c r="U17" s="137" t="s">
        <v>294</v>
      </c>
      <c r="V17" s="138" t="n">
        <v>1196.31</v>
      </c>
      <c r="X17" s="153" t="n">
        <v>2013</v>
      </c>
      <c r="Y17" s="313" t="n">
        <v>6.76</v>
      </c>
      <c r="AB17" s="315" t="n">
        <v>45078</v>
      </c>
      <c r="AC17" s="315" t="n">
        <v>45170</v>
      </c>
      <c r="AD17" s="315" t="n">
        <v>45261</v>
      </c>
      <c r="AE17" s="315" t="n">
        <v>45352</v>
      </c>
      <c r="AF17" s="315" t="n">
        <v>45444</v>
      </c>
      <c r="AG17" s="315" t="n">
        <v>45536</v>
      </c>
      <c r="AH17" s="315" t="n">
        <v>45627</v>
      </c>
      <c r="AI17" s="315" t="n">
        <v>45717</v>
      </c>
      <c r="AJ17" s="315" t="n">
        <v>45809</v>
      </c>
      <c r="AK17" s="315" t="n">
        <v>45901</v>
      </c>
      <c r="AL17" s="315" t="n">
        <v>45992</v>
      </c>
      <c r="AM17" s="315" t="n">
        <v>46082</v>
      </c>
    </row>
    <row r="18" customFormat="false" ht="14.25" hidden="false" customHeight="true" outlineLevel="0" collapsed="false">
      <c r="H18" s="316" t="s">
        <v>296</v>
      </c>
      <c r="I18" s="254" t="n">
        <v>2317.35</v>
      </c>
      <c r="J18" s="138" t="n">
        <v>25.721771</v>
      </c>
      <c r="L18" s="153" t="s">
        <v>296</v>
      </c>
      <c r="M18" s="313" t="n">
        <v>25517.05</v>
      </c>
      <c r="O18" s="137" t="s">
        <v>296</v>
      </c>
      <c r="P18" s="138" t="n">
        <v>588.7</v>
      </c>
      <c r="R18" s="137" t="s">
        <v>296</v>
      </c>
      <c r="S18" s="138" t="n">
        <v>249.18</v>
      </c>
      <c r="U18" s="137" t="s">
        <v>296</v>
      </c>
      <c r="V18" s="138" t="n">
        <v>1158.63</v>
      </c>
      <c r="X18" s="153" t="n">
        <v>2014</v>
      </c>
      <c r="Y18" s="313" t="n">
        <v>31.39</v>
      </c>
      <c r="AA18" s="38" t="s">
        <v>619</v>
      </c>
      <c r="AB18" s="28" t="n">
        <v>0.5263</v>
      </c>
      <c r="AC18" s="28" t="n">
        <v>0.5263</v>
      </c>
      <c r="AD18" s="28" t="n">
        <v>0.5263</v>
      </c>
      <c r="AE18" s="28" t="n">
        <v>0.5263</v>
      </c>
      <c r="AF18" s="28" t="n">
        <v>0.5263</v>
      </c>
      <c r="AG18" s="28" t="n">
        <v>0.5263</v>
      </c>
      <c r="AH18" s="28" t="n">
        <v>0.5263</v>
      </c>
      <c r="AI18" s="28" t="n">
        <v>0.5263</v>
      </c>
      <c r="AJ18" s="28" t="n">
        <v>0.5263</v>
      </c>
      <c r="AK18" s="28" t="n">
        <v>0.5263</v>
      </c>
      <c r="AL18" s="28" t="n">
        <v>0.5263</v>
      </c>
      <c r="AM18" s="28" t="n">
        <v>0.5263</v>
      </c>
    </row>
    <row r="19" customFormat="false" ht="14.25" hidden="false" customHeight="true" outlineLevel="0" collapsed="false">
      <c r="H19" s="316" t="s">
        <v>298</v>
      </c>
      <c r="I19" s="254" t="n">
        <v>2215.74</v>
      </c>
      <c r="J19" s="138" t="n">
        <v>27.390695</v>
      </c>
      <c r="L19" s="153" t="s">
        <v>298</v>
      </c>
      <c r="M19" s="313" t="n">
        <v>24750.7</v>
      </c>
      <c r="O19" s="137" t="s">
        <v>298</v>
      </c>
      <c r="P19" s="138" t="n">
        <v>564.51</v>
      </c>
      <c r="R19" s="137" t="s">
        <v>298</v>
      </c>
      <c r="S19" s="138" t="n">
        <v>246.79</v>
      </c>
      <c r="U19" s="137" t="s">
        <v>298</v>
      </c>
      <c r="V19" s="138" t="n">
        <v>1076.13</v>
      </c>
      <c r="X19" s="153" t="n">
        <v>2015</v>
      </c>
      <c r="Y19" s="313" t="n">
        <v>-4.06</v>
      </c>
      <c r="AA19" s="38" t="s">
        <v>620</v>
      </c>
      <c r="AB19" s="28" t="n">
        <v>0.1748</v>
      </c>
      <c r="AC19" s="28" t="n">
        <v>0.1765</v>
      </c>
      <c r="AD19" s="28" t="n">
        <v>0.1732</v>
      </c>
      <c r="AE19" s="28" t="n">
        <v>0.1589</v>
      </c>
      <c r="AF19" s="28" t="n">
        <v>0.1527</v>
      </c>
      <c r="AG19" s="28" t="n">
        <v>0.1528</v>
      </c>
      <c r="AH19" s="28" t="n">
        <v>0.1361</v>
      </c>
      <c r="AI19" s="28" t="n">
        <v>0.1223</v>
      </c>
      <c r="AJ19" s="28" t="n">
        <v>0.1185</v>
      </c>
      <c r="AK19" s="28" t="n">
        <v>0.1164</v>
      </c>
      <c r="AL19" s="28" t="n">
        <v>0.1278</v>
      </c>
      <c r="AM19" s="28" t="n">
        <v>0.1211</v>
      </c>
    </row>
    <row r="20" customFormat="false" ht="14.25" hidden="false" customHeight="true" outlineLevel="0" collapsed="false">
      <c r="H20" s="316" t="s">
        <v>300</v>
      </c>
      <c r="I20" s="254" t="n">
        <v>2379.14</v>
      </c>
      <c r="J20" s="138" t="n">
        <v>19.512308</v>
      </c>
      <c r="L20" s="153" t="s">
        <v>300</v>
      </c>
      <c r="M20" s="313" t="n">
        <v>24334.2</v>
      </c>
      <c r="O20" s="137" t="s">
        <v>300</v>
      </c>
      <c r="P20" s="138" t="n">
        <v>540.57</v>
      </c>
      <c r="R20" s="137" t="s">
        <v>300</v>
      </c>
      <c r="S20" s="138" t="n">
        <v>250.17</v>
      </c>
      <c r="U20" s="137" t="s">
        <v>300</v>
      </c>
      <c r="V20" s="138" t="n">
        <v>971.75</v>
      </c>
      <c r="X20" s="153" t="n">
        <v>2016</v>
      </c>
      <c r="Y20" s="313" t="n">
        <v>3.01</v>
      </c>
      <c r="AA20" s="38" t="s">
        <v>621</v>
      </c>
      <c r="AB20" s="28" t="n">
        <v>0.1001</v>
      </c>
      <c r="AC20" s="28" t="n">
        <v>0.1001</v>
      </c>
      <c r="AD20" s="28" t="n">
        <v>0.1052</v>
      </c>
      <c r="AE20" s="28" t="n">
        <v>0.1161</v>
      </c>
      <c r="AF20" s="28" t="n">
        <v>0.123</v>
      </c>
      <c r="AG20" s="28" t="n">
        <v>0.131</v>
      </c>
      <c r="AH20" s="28" t="n">
        <v>0.1398</v>
      </c>
      <c r="AI20" s="28" t="n">
        <v>0.1551</v>
      </c>
      <c r="AJ20" s="28" t="n">
        <v>0.2098</v>
      </c>
      <c r="AK20" s="28" t="n">
        <v>0.215</v>
      </c>
      <c r="AL20" s="28" t="n">
        <v>0.2108</v>
      </c>
      <c r="AM20" s="28" t="n">
        <v>0.2174</v>
      </c>
    </row>
    <row r="21" customFormat="false" ht="14.25" hidden="false" customHeight="true" outlineLevel="0" collapsed="false">
      <c r="H21" s="316" t="s">
        <v>302</v>
      </c>
      <c r="I21" s="254" t="n">
        <v>2295.72</v>
      </c>
      <c r="J21" s="138" t="n">
        <v>22.686751</v>
      </c>
      <c r="L21" s="153" t="s">
        <v>302</v>
      </c>
      <c r="M21" s="313" t="n">
        <v>23519.35</v>
      </c>
      <c r="O21" s="137" t="s">
        <v>302</v>
      </c>
      <c r="P21" s="138" t="n">
        <v>496.87</v>
      </c>
      <c r="R21" s="137" t="s">
        <v>302</v>
      </c>
      <c r="S21" s="138" t="n">
        <v>226.56</v>
      </c>
      <c r="U21" s="137" t="s">
        <v>302</v>
      </c>
      <c r="V21" s="138" t="n">
        <v>939.8</v>
      </c>
      <c r="X21" s="153" t="n">
        <v>2017</v>
      </c>
      <c r="Y21" s="313" t="n">
        <v>28.65</v>
      </c>
      <c r="AA21" s="38" t="s">
        <v>622</v>
      </c>
      <c r="AB21" s="28" t="n">
        <v>0.1982</v>
      </c>
      <c r="AC21" s="28" t="n">
        <v>0.1964</v>
      </c>
      <c r="AD21" s="28" t="n">
        <v>0.1944</v>
      </c>
      <c r="AE21" s="28" t="n">
        <v>0.1978</v>
      </c>
      <c r="AF21" s="28" t="n">
        <v>0.1968</v>
      </c>
      <c r="AG21" s="28" t="n">
        <v>0.1888</v>
      </c>
      <c r="AH21" s="28" t="n">
        <v>0.1966</v>
      </c>
      <c r="AI21" s="28" t="n">
        <v>0.1951</v>
      </c>
      <c r="AJ21" s="28" t="n">
        <v>0.1441</v>
      </c>
      <c r="AK21" s="28" t="n">
        <v>0.1409</v>
      </c>
      <c r="AL21" s="28" t="n">
        <v>0.1337</v>
      </c>
      <c r="AM21" s="28" t="n">
        <v>0.1352</v>
      </c>
      <c r="AN21" s="319"/>
    </row>
    <row r="22" customFormat="false" ht="14.25" hidden="false" customHeight="true" outlineLevel="0" collapsed="false">
      <c r="H22" s="316" t="s">
        <v>303</v>
      </c>
      <c r="I22" s="254" t="n">
        <v>2137.91</v>
      </c>
      <c r="J22" s="138" t="n">
        <v>28.272421</v>
      </c>
      <c r="L22" s="153" t="s">
        <v>303</v>
      </c>
      <c r="M22" s="313" t="n">
        <v>22124.7</v>
      </c>
      <c r="O22" s="137" t="s">
        <v>303</v>
      </c>
      <c r="P22" s="138" t="n">
        <v>485.29</v>
      </c>
      <c r="R22" s="137" t="s">
        <v>303</v>
      </c>
      <c r="S22" s="138" t="n">
        <v>220.49</v>
      </c>
      <c r="U22" s="137" t="s">
        <v>303</v>
      </c>
      <c r="V22" s="138" t="n">
        <v>1016.72</v>
      </c>
      <c r="X22" s="153" t="n">
        <v>2018</v>
      </c>
      <c r="Y22" s="313" t="n">
        <v>3.15</v>
      </c>
      <c r="AB22" s="28"/>
      <c r="AC22" s="28"/>
      <c r="AD22" s="28"/>
      <c r="AE22" s="28"/>
      <c r="AF22" s="28"/>
      <c r="AG22" s="28"/>
      <c r="AH22" s="28"/>
      <c r="AI22" s="28"/>
      <c r="AJ22" s="28"/>
      <c r="AK22" s="28"/>
      <c r="AL22" s="28"/>
      <c r="AM22" s="28"/>
      <c r="AN22" s="320"/>
    </row>
    <row r="23" customFormat="false" ht="14.25" hidden="false" customHeight="true" outlineLevel="0" collapsed="false">
      <c r="H23" s="316" t="s">
        <v>305</v>
      </c>
      <c r="I23" s="254" t="n">
        <v>2256.64</v>
      </c>
      <c r="J23" s="138" t="n">
        <v>26.548648</v>
      </c>
      <c r="L23" s="153" t="s">
        <v>305</v>
      </c>
      <c r="M23" s="313" t="n">
        <v>23508.4</v>
      </c>
      <c r="O23" s="137" t="s">
        <v>305</v>
      </c>
      <c r="P23" s="138" t="n">
        <v>469.6</v>
      </c>
      <c r="R23" s="137" t="s">
        <v>305</v>
      </c>
      <c r="S23" s="138" t="n">
        <v>226.75</v>
      </c>
      <c r="U23" s="137" t="s">
        <v>305</v>
      </c>
      <c r="V23" s="138" t="n">
        <v>1263.31</v>
      </c>
      <c r="X23" s="153" t="n">
        <v>2019</v>
      </c>
      <c r="Y23" s="313" t="n">
        <v>12.02</v>
      </c>
      <c r="AB23" s="28"/>
      <c r="AC23" s="28"/>
      <c r="AD23" s="28"/>
      <c r="AE23" s="28"/>
      <c r="AF23" s="28"/>
      <c r="AG23" s="28"/>
      <c r="AH23" s="28"/>
      <c r="AI23" s="28"/>
      <c r="AJ23" s="28"/>
      <c r="AK23" s="28"/>
      <c r="AL23" s="28"/>
      <c r="AM23" s="28"/>
      <c r="AN23" s="320"/>
    </row>
    <row r="24" customFormat="false" ht="14.25" hidden="false" customHeight="true" outlineLevel="0" collapsed="false">
      <c r="H24" s="316" t="s">
        <v>311</v>
      </c>
      <c r="I24" s="254" t="n">
        <v>2237.56</v>
      </c>
      <c r="J24" s="138" t="n">
        <v>28.639502</v>
      </c>
      <c r="L24" s="153" t="s">
        <v>311</v>
      </c>
      <c r="M24" s="313" t="n">
        <v>23644.8</v>
      </c>
      <c r="O24" s="137" t="s">
        <v>311</v>
      </c>
      <c r="P24" s="138" t="n">
        <v>445.56</v>
      </c>
      <c r="R24" s="137" t="s">
        <v>311</v>
      </c>
      <c r="S24" s="138" t="n">
        <v>257.79</v>
      </c>
      <c r="U24" s="137" t="s">
        <v>311</v>
      </c>
      <c r="V24" s="138" t="n">
        <v>1397.74</v>
      </c>
      <c r="X24" s="153" t="n">
        <v>2020</v>
      </c>
      <c r="Y24" s="313" t="n">
        <v>14.9</v>
      </c>
      <c r="AM24" s="28"/>
    </row>
    <row r="25" customFormat="false" ht="14.25" hidden="false" customHeight="true" outlineLevel="0" collapsed="false">
      <c r="H25" s="316" t="s">
        <v>313</v>
      </c>
      <c r="I25" s="254" t="n">
        <v>2432</v>
      </c>
      <c r="J25" s="138" t="n">
        <v>35.976547</v>
      </c>
      <c r="L25" s="153" t="s">
        <v>313</v>
      </c>
      <c r="M25" s="313" t="n">
        <v>24131.1</v>
      </c>
      <c r="O25" s="137" t="s">
        <v>313</v>
      </c>
      <c r="P25" s="138" t="n">
        <v>490.41</v>
      </c>
      <c r="R25" s="137" t="s">
        <v>313</v>
      </c>
      <c r="S25" s="138" t="n">
        <v>273.3</v>
      </c>
      <c r="U25" s="137" t="s">
        <v>313</v>
      </c>
      <c r="V25" s="138" t="n">
        <v>1429.15</v>
      </c>
      <c r="X25" s="153" t="n">
        <v>2021</v>
      </c>
      <c r="Y25" s="313" t="n">
        <v>24.12</v>
      </c>
    </row>
    <row r="26" customFormat="false" ht="14.25" hidden="false" customHeight="true" outlineLevel="0" collapsed="false">
      <c r="H26" s="316" t="s">
        <v>315</v>
      </c>
      <c r="I26" s="254" t="n">
        <v>2874.37</v>
      </c>
      <c r="J26" s="138" t="n">
        <v>20.203893</v>
      </c>
      <c r="L26" s="153" t="s">
        <v>315</v>
      </c>
      <c r="M26" s="313" t="n">
        <v>24205.35</v>
      </c>
      <c r="O26" s="137" t="s">
        <v>315</v>
      </c>
      <c r="P26" s="138" t="n">
        <v>533.22</v>
      </c>
      <c r="R26" s="137" t="s">
        <v>315</v>
      </c>
      <c r="S26" s="138" t="n">
        <v>277.34</v>
      </c>
      <c r="U26" s="137" t="s">
        <v>315</v>
      </c>
      <c r="V26" s="138" t="n">
        <v>1640.34</v>
      </c>
      <c r="X26" s="153" t="n">
        <v>2022</v>
      </c>
      <c r="Y26" s="313" t="n">
        <v>4.32</v>
      </c>
    </row>
    <row r="27" customFormat="false" ht="14.25" hidden="false" customHeight="true" outlineLevel="0" collapsed="false">
      <c r="H27" s="316" t="s">
        <v>317</v>
      </c>
      <c r="I27" s="254" t="n">
        <v>3259.61</v>
      </c>
      <c r="J27" s="138" t="n">
        <v>24.86929</v>
      </c>
      <c r="L27" s="153" t="s">
        <v>317</v>
      </c>
      <c r="M27" s="313" t="n">
        <v>25810.85</v>
      </c>
      <c r="O27" s="137" t="s">
        <v>317</v>
      </c>
      <c r="P27" s="138" t="n">
        <v>618.15</v>
      </c>
      <c r="R27" s="137" t="s">
        <v>317</v>
      </c>
      <c r="S27" s="138" t="n">
        <v>301.07</v>
      </c>
      <c r="U27" s="137" t="s">
        <v>317</v>
      </c>
      <c r="V27" s="138" t="n">
        <v>1454.72</v>
      </c>
      <c r="X27" s="153" t="n">
        <v>2023</v>
      </c>
      <c r="Y27" s="313" t="n">
        <v>19.42</v>
      </c>
    </row>
    <row r="28" customFormat="false" ht="14.25" hidden="false" customHeight="true" outlineLevel="0" collapsed="false">
      <c r="H28" s="316" t="s">
        <v>318</v>
      </c>
      <c r="I28" s="254" t="n">
        <v>3061.53</v>
      </c>
      <c r="J28" s="138" t="n">
        <v>23.138941</v>
      </c>
      <c r="L28" s="153" t="s">
        <v>318</v>
      </c>
      <c r="M28" s="313" t="n">
        <v>25235.9</v>
      </c>
      <c r="O28" s="137" t="s">
        <v>318</v>
      </c>
      <c r="P28" s="138" t="n">
        <v>567.24</v>
      </c>
      <c r="R28" s="137" t="s">
        <v>318</v>
      </c>
      <c r="S28" s="138" t="n">
        <v>288.43</v>
      </c>
      <c r="U28" s="137" t="s">
        <v>318</v>
      </c>
      <c r="V28" s="138" t="n">
        <v>1446.04</v>
      </c>
      <c r="X28" s="153" t="n">
        <v>2024</v>
      </c>
      <c r="Y28" s="313" t="n">
        <v>8.75</v>
      </c>
    </row>
    <row r="29" customFormat="false" ht="14.25" hidden="false" customHeight="true" outlineLevel="0" collapsed="false">
      <c r="H29" s="316" t="s">
        <v>326</v>
      </c>
      <c r="I29" s="254" t="n">
        <v>3020.07</v>
      </c>
      <c r="J29" s="138" t="n">
        <v>38.749558</v>
      </c>
      <c r="L29" s="153" t="s">
        <v>326</v>
      </c>
      <c r="M29" s="313" t="n">
        <v>24951.15</v>
      </c>
      <c r="O29" s="137" t="s">
        <v>326</v>
      </c>
      <c r="P29" s="138" t="n">
        <v>547.69</v>
      </c>
      <c r="R29" s="137" t="s">
        <v>326</v>
      </c>
      <c r="S29" s="138" t="n">
        <v>298.84</v>
      </c>
      <c r="U29" s="137" t="s">
        <v>326</v>
      </c>
      <c r="V29" s="138" t="n">
        <v>1490.86</v>
      </c>
      <c r="X29" s="159" t="n">
        <v>2025</v>
      </c>
      <c r="Y29" s="321" t="n">
        <v>10.51</v>
      </c>
    </row>
    <row r="30" customFormat="false" ht="14.25" hidden="false" customHeight="true" outlineLevel="0" collapsed="false">
      <c r="H30" s="316" t="s">
        <v>328</v>
      </c>
      <c r="I30" s="254" t="n">
        <v>2856.16</v>
      </c>
      <c r="J30" s="138" t="n">
        <v>24.99677</v>
      </c>
      <c r="L30" s="153" t="s">
        <v>328</v>
      </c>
      <c r="M30" s="313" t="n">
        <v>24010.6</v>
      </c>
      <c r="O30" s="137" t="s">
        <v>328</v>
      </c>
      <c r="P30" s="138" t="n">
        <v>497.65</v>
      </c>
      <c r="R30" s="137" t="s">
        <v>328</v>
      </c>
      <c r="S30" s="138" t="n">
        <v>262.75</v>
      </c>
      <c r="U30" s="137" t="s">
        <v>328</v>
      </c>
      <c r="V30" s="138" t="n">
        <v>1365.59</v>
      </c>
    </row>
    <row r="31" customFormat="false" ht="14.25" hidden="false" customHeight="true" outlineLevel="0" collapsed="false">
      <c r="H31" s="316" t="s">
        <v>330</v>
      </c>
      <c r="I31" s="254" t="n">
        <v>2794.03</v>
      </c>
      <c r="J31" s="138" t="n">
        <v>32.374118</v>
      </c>
      <c r="L31" s="153" t="s">
        <v>330</v>
      </c>
      <c r="M31" s="313" t="n">
        <v>22530.7</v>
      </c>
      <c r="O31" s="137" t="s">
        <v>330</v>
      </c>
      <c r="P31" s="138" t="n">
        <v>454.03</v>
      </c>
      <c r="R31" s="137" t="s">
        <v>330</v>
      </c>
      <c r="S31" s="138" t="n">
        <v>258.79</v>
      </c>
      <c r="U31" s="137" t="s">
        <v>330</v>
      </c>
      <c r="V31" s="138" t="n">
        <v>1333.07</v>
      </c>
    </row>
    <row r="32" customFormat="false" ht="14.25" hidden="false" customHeight="true" outlineLevel="0" collapsed="false">
      <c r="H32" s="316" t="s">
        <v>331</v>
      </c>
      <c r="I32" s="254" t="n">
        <v>2788.89</v>
      </c>
      <c r="J32" s="138" t="n">
        <v>20.285504</v>
      </c>
      <c r="L32" s="153" t="s">
        <v>331</v>
      </c>
      <c r="M32" s="313" t="n">
        <v>22604.85</v>
      </c>
      <c r="O32" s="137" t="s">
        <v>331</v>
      </c>
      <c r="P32" s="138" t="n">
        <v>501.95</v>
      </c>
      <c r="R32" s="137" t="s">
        <v>331</v>
      </c>
      <c r="S32" s="138" t="n">
        <v>268.53</v>
      </c>
      <c r="U32" s="137" t="s">
        <v>331</v>
      </c>
      <c r="V32" s="138" t="n">
        <v>1366.54</v>
      </c>
      <c r="X32" s="9"/>
    </row>
    <row r="33" customFormat="false" ht="14.25" hidden="false" customHeight="true" outlineLevel="0" collapsed="false">
      <c r="H33" s="316" t="s">
        <v>332</v>
      </c>
      <c r="I33" s="254" t="n">
        <v>2760.62</v>
      </c>
      <c r="J33" s="138" t="n">
        <v>21.368906</v>
      </c>
      <c r="L33" s="153" t="s">
        <v>332</v>
      </c>
      <c r="M33" s="313" t="n">
        <v>22326.9</v>
      </c>
      <c r="O33" s="137" t="s">
        <v>332</v>
      </c>
      <c r="P33" s="138" t="n">
        <v>565.61</v>
      </c>
      <c r="R33" s="137" t="s">
        <v>332</v>
      </c>
      <c r="S33" s="138" t="n">
        <v>251.73</v>
      </c>
      <c r="U33" s="137" t="s">
        <v>332</v>
      </c>
      <c r="V33" s="138" t="n">
        <v>1249.82</v>
      </c>
      <c r="X33" s="9"/>
    </row>
    <row r="34" customFormat="false" ht="14.25" hidden="false" customHeight="true" outlineLevel="0" collapsed="false">
      <c r="H34" s="316" t="s">
        <v>333</v>
      </c>
      <c r="I34" s="254" t="n">
        <v>2736.52</v>
      </c>
      <c r="J34" s="138" t="n">
        <v>31.586526</v>
      </c>
      <c r="L34" s="153" t="s">
        <v>333</v>
      </c>
      <c r="M34" s="313" t="n">
        <v>21982.8</v>
      </c>
      <c r="O34" s="137" t="s">
        <v>333</v>
      </c>
      <c r="P34" s="138" t="n">
        <v>598.82</v>
      </c>
      <c r="R34" s="137" t="s">
        <v>333</v>
      </c>
      <c r="S34" s="138" t="n">
        <v>277.98</v>
      </c>
      <c r="U34" s="137" t="s">
        <v>333</v>
      </c>
      <c r="V34" s="138" t="n">
        <v>1391.3</v>
      </c>
      <c r="X34" s="9"/>
    </row>
    <row r="35" customFormat="false" ht="14.25" hidden="false" customHeight="true" outlineLevel="0" collapsed="false">
      <c r="H35" s="316" t="s">
        <v>334</v>
      </c>
      <c r="I35" s="254" t="n">
        <v>2868.36</v>
      </c>
      <c r="J35" s="138" t="n">
        <v>24.098927</v>
      </c>
      <c r="L35" s="153" t="s">
        <v>334</v>
      </c>
      <c r="M35" s="313" t="n">
        <v>21725.7</v>
      </c>
      <c r="O35" s="137" t="s">
        <v>334</v>
      </c>
      <c r="P35" s="138" t="n">
        <v>557.81</v>
      </c>
      <c r="R35" s="137" t="s">
        <v>334</v>
      </c>
      <c r="S35" s="138" t="n">
        <v>328.04</v>
      </c>
      <c r="U35" s="137" t="s">
        <v>334</v>
      </c>
      <c r="V35" s="138" t="n">
        <v>1435.66</v>
      </c>
    </row>
    <row r="36" customFormat="false" ht="14.25" hidden="false" customHeight="true" outlineLevel="0" collapsed="false">
      <c r="H36" s="316" t="s">
        <v>335</v>
      </c>
      <c r="I36" s="254" t="n">
        <v>3299.46</v>
      </c>
      <c r="J36" s="138" t="n">
        <v>19.737885</v>
      </c>
      <c r="L36" s="153" t="s">
        <v>335</v>
      </c>
      <c r="M36" s="313" t="n">
        <v>21731.4</v>
      </c>
      <c r="O36" s="137" t="s">
        <v>335</v>
      </c>
      <c r="P36" s="138" t="n">
        <v>596.8</v>
      </c>
      <c r="R36" s="137" t="s">
        <v>335</v>
      </c>
      <c r="S36" s="138" t="n">
        <v>319.88</v>
      </c>
      <c r="U36" s="137" t="s">
        <v>335</v>
      </c>
      <c r="V36" s="138" t="n">
        <v>1482.46</v>
      </c>
    </row>
    <row r="37" customFormat="false" ht="14.25" hidden="false" customHeight="true" outlineLevel="0" collapsed="false">
      <c r="H37" s="316" t="s">
        <v>336</v>
      </c>
      <c r="I37" s="254" t="n">
        <v>3025.5</v>
      </c>
      <c r="J37" s="138" t="n">
        <v>15.149982</v>
      </c>
      <c r="L37" s="153" t="s">
        <v>336</v>
      </c>
      <c r="M37" s="313" t="n">
        <v>20133.15</v>
      </c>
      <c r="O37" s="137" t="s">
        <v>336</v>
      </c>
      <c r="P37" s="138" t="n">
        <v>566.94</v>
      </c>
      <c r="R37" s="137" t="s">
        <v>336</v>
      </c>
      <c r="S37" s="138" t="n">
        <v>307.4</v>
      </c>
      <c r="U37" s="137" t="s">
        <v>336</v>
      </c>
      <c r="V37" s="138" t="n">
        <v>1480.62</v>
      </c>
    </row>
    <row r="38" customFormat="false" ht="14.25" hidden="false" customHeight="true" outlineLevel="0" collapsed="false">
      <c r="H38" s="316" t="s">
        <v>337</v>
      </c>
      <c r="I38" s="254" t="n">
        <v>2900</v>
      </c>
      <c r="J38" s="138" t="n">
        <v>18.372958</v>
      </c>
      <c r="L38" s="153" t="s">
        <v>337</v>
      </c>
      <c r="M38" s="313" t="n">
        <v>19079.6</v>
      </c>
      <c r="O38" s="137" t="s">
        <v>337</v>
      </c>
      <c r="P38" s="138" t="n">
        <v>551.35</v>
      </c>
      <c r="R38" s="137" t="s">
        <v>337</v>
      </c>
      <c r="S38" s="138" t="n">
        <v>302.46</v>
      </c>
      <c r="U38" s="137" t="s">
        <v>337</v>
      </c>
      <c r="V38" s="138" t="n">
        <v>1392.45</v>
      </c>
    </row>
    <row r="39" customFormat="false" ht="14.25" hidden="false" customHeight="true" outlineLevel="0" collapsed="false">
      <c r="H39" s="316" t="s">
        <v>338</v>
      </c>
      <c r="I39" s="254" t="n">
        <v>3060.07</v>
      </c>
      <c r="J39" s="138" t="n">
        <v>18.227698</v>
      </c>
      <c r="L39" s="153" t="s">
        <v>338</v>
      </c>
      <c r="M39" s="313" t="n">
        <v>19638.3</v>
      </c>
      <c r="O39" s="137" t="s">
        <v>338</v>
      </c>
      <c r="P39" s="138" t="n">
        <v>561.46</v>
      </c>
      <c r="R39" s="137" t="s">
        <v>338</v>
      </c>
      <c r="S39" s="138" t="n">
        <v>304.72</v>
      </c>
      <c r="U39" s="137" t="s">
        <v>338</v>
      </c>
      <c r="V39" s="138" t="n">
        <v>1477.78</v>
      </c>
    </row>
    <row r="40" customFormat="false" ht="14.25" hidden="false" customHeight="true" outlineLevel="0" collapsed="false">
      <c r="H40" s="316" t="s">
        <v>339</v>
      </c>
      <c r="I40" s="254" t="n">
        <v>3152.08</v>
      </c>
      <c r="J40" s="138" t="n">
        <v>16.415451</v>
      </c>
      <c r="L40" s="153" t="s">
        <v>339</v>
      </c>
      <c r="M40" s="313" t="n">
        <v>19253.8</v>
      </c>
      <c r="O40" s="137" t="s">
        <v>339</v>
      </c>
      <c r="P40" s="138" t="n">
        <v>591.06</v>
      </c>
      <c r="R40" s="137" t="s">
        <v>339</v>
      </c>
      <c r="S40" s="138" t="n">
        <v>319.31</v>
      </c>
      <c r="U40" s="137" t="s">
        <v>339</v>
      </c>
      <c r="V40" s="138" t="n">
        <v>1561.83</v>
      </c>
    </row>
    <row r="41" customFormat="false" ht="14.25" hidden="false" customHeight="true" outlineLevel="0" collapsed="false">
      <c r="H41" s="316" t="s">
        <v>340</v>
      </c>
      <c r="I41" s="254" t="n">
        <v>3269.46</v>
      </c>
      <c r="J41" s="138" t="n">
        <v>17.229102</v>
      </c>
      <c r="L41" s="153" t="s">
        <v>340</v>
      </c>
      <c r="M41" s="313" t="n">
        <v>19753.8</v>
      </c>
      <c r="O41" s="137" t="s">
        <v>340</v>
      </c>
      <c r="P41" s="138" t="n">
        <v>558.71</v>
      </c>
      <c r="R41" s="137" t="s">
        <v>340</v>
      </c>
      <c r="S41" s="138" t="n">
        <v>321.95</v>
      </c>
      <c r="U41" s="137" t="s">
        <v>340</v>
      </c>
      <c r="V41" s="138" t="n">
        <v>1583.76</v>
      </c>
    </row>
    <row r="42" customFormat="false" ht="14.25" hidden="false" customHeight="true" outlineLevel="0" collapsed="false">
      <c r="H42" s="316" t="s">
        <v>341</v>
      </c>
      <c r="I42" s="254" t="n">
        <v>3254.65</v>
      </c>
      <c r="J42" s="138" t="n">
        <v>18.302973</v>
      </c>
      <c r="L42" s="153" t="s">
        <v>341</v>
      </c>
      <c r="M42" s="313" t="n">
        <v>19189.05</v>
      </c>
      <c r="O42" s="137" t="s">
        <v>341</v>
      </c>
      <c r="P42" s="138" t="n">
        <v>555.19</v>
      </c>
      <c r="R42" s="137" t="s">
        <v>341</v>
      </c>
      <c r="S42" s="138" t="n">
        <v>288.25</v>
      </c>
      <c r="U42" s="137" t="s">
        <v>341</v>
      </c>
      <c r="V42" s="138" t="n">
        <v>1417.95</v>
      </c>
    </row>
    <row r="43" customFormat="false" ht="14.25" hidden="false" customHeight="true" outlineLevel="0" collapsed="false">
      <c r="H43" s="316" t="s">
        <v>342</v>
      </c>
      <c r="I43" s="254" t="n">
        <v>3070.5</v>
      </c>
      <c r="J43" s="138" t="n">
        <v>21.922294</v>
      </c>
      <c r="L43" s="153" t="s">
        <v>342</v>
      </c>
      <c r="M43" s="313" t="n">
        <v>18534.4</v>
      </c>
      <c r="O43" s="137" t="s">
        <v>342</v>
      </c>
      <c r="P43" s="138" t="n">
        <v>532.55</v>
      </c>
      <c r="R43" s="137" t="s">
        <v>342</v>
      </c>
      <c r="S43" s="138" t="n">
        <v>282.11</v>
      </c>
      <c r="U43" s="137" t="s">
        <v>342</v>
      </c>
      <c r="V43" s="138" t="n">
        <v>1445.09</v>
      </c>
    </row>
    <row r="44" customFormat="false" ht="14.25" hidden="false" customHeight="true" outlineLevel="0" collapsed="false">
      <c r="H44" s="316" t="s">
        <v>343</v>
      </c>
      <c r="I44" s="254" t="n">
        <v>2791.04</v>
      </c>
      <c r="J44" s="138" t="n">
        <v>15.227696</v>
      </c>
      <c r="L44" s="153" t="s">
        <v>343</v>
      </c>
      <c r="M44" s="313" t="n">
        <v>18065</v>
      </c>
      <c r="O44" s="137" t="s">
        <v>343</v>
      </c>
      <c r="P44" s="138" t="n">
        <v>499.72</v>
      </c>
      <c r="R44" s="137" t="s">
        <v>343</v>
      </c>
      <c r="S44" s="138" t="n">
        <v>241.67</v>
      </c>
      <c r="U44" s="137" t="s">
        <v>343</v>
      </c>
      <c r="V44" s="138" t="n">
        <v>1144.71</v>
      </c>
    </row>
    <row r="45" customFormat="false" ht="14.25" hidden="false" customHeight="true" outlineLevel="0" collapsed="false">
      <c r="H45" s="316" t="s">
        <v>344</v>
      </c>
      <c r="I45" s="254" t="n">
        <v>2655.74</v>
      </c>
      <c r="J45" s="138" t="n">
        <v>21.347057</v>
      </c>
      <c r="L45" s="153" t="s">
        <v>344</v>
      </c>
      <c r="M45" s="313" t="n">
        <v>17359.75</v>
      </c>
      <c r="O45" s="137" t="s">
        <v>344</v>
      </c>
      <c r="P45" s="138" t="n">
        <v>476.26</v>
      </c>
      <c r="R45" s="137" t="s">
        <v>344</v>
      </c>
      <c r="S45" s="138" t="n">
        <v>245.9</v>
      </c>
      <c r="U45" s="137" t="s">
        <v>344</v>
      </c>
      <c r="V45" s="138" t="n">
        <v>1000.62</v>
      </c>
    </row>
    <row r="46" customFormat="false" ht="14.25" hidden="false" customHeight="true" outlineLevel="0" collapsed="false">
      <c r="H46" s="316" t="s">
        <v>345</v>
      </c>
      <c r="I46" s="254" t="n">
        <v>2720.31</v>
      </c>
      <c r="J46" s="138" t="n">
        <v>18.969238</v>
      </c>
      <c r="L46" s="153" t="s">
        <v>345</v>
      </c>
      <c r="M46" s="313" t="n">
        <v>17303.95</v>
      </c>
      <c r="O46" s="137" t="s">
        <v>345</v>
      </c>
      <c r="P46" s="138" t="n">
        <v>474.54</v>
      </c>
      <c r="R46" s="137" t="s">
        <v>345</v>
      </c>
      <c r="S46" s="138" t="n">
        <v>256.01</v>
      </c>
      <c r="U46" s="137" t="s">
        <v>345</v>
      </c>
      <c r="V46" s="138" t="n">
        <v>990.65</v>
      </c>
    </row>
    <row r="47" customFormat="false" ht="14.25" hidden="false" customHeight="true" outlineLevel="0" collapsed="false">
      <c r="H47" s="316" t="s">
        <v>346</v>
      </c>
      <c r="I47" s="254" t="n">
        <v>2621.31</v>
      </c>
      <c r="J47" s="138" t="n">
        <v>26.563904</v>
      </c>
      <c r="L47" s="153" t="s">
        <v>346</v>
      </c>
      <c r="M47" s="313" t="n">
        <v>17662.15</v>
      </c>
      <c r="O47" s="137" t="s">
        <v>346</v>
      </c>
      <c r="P47" s="138" t="n">
        <v>449.61</v>
      </c>
      <c r="R47" s="137" t="s">
        <v>346</v>
      </c>
      <c r="S47" s="138" t="n">
        <v>269.01</v>
      </c>
      <c r="U47" s="137" t="s">
        <v>346</v>
      </c>
      <c r="V47" s="138" t="n">
        <v>1168.13</v>
      </c>
    </row>
    <row r="48" customFormat="false" ht="14.25" hidden="false" customHeight="true" outlineLevel="0" collapsed="false">
      <c r="H48" s="316" t="s">
        <v>347</v>
      </c>
      <c r="I48" s="254" t="n">
        <v>2969.48</v>
      </c>
      <c r="J48" s="138" t="n">
        <v>19.992087</v>
      </c>
      <c r="L48" s="153" t="s">
        <v>347</v>
      </c>
      <c r="M48" s="313" t="n">
        <v>18105.3</v>
      </c>
      <c r="O48" s="137" t="s">
        <v>347</v>
      </c>
      <c r="P48" s="138" t="n">
        <v>475.98</v>
      </c>
      <c r="R48" s="137" t="s">
        <v>347</v>
      </c>
      <c r="S48" s="138" t="n">
        <v>279.24</v>
      </c>
      <c r="U48" s="137" t="s">
        <v>347</v>
      </c>
      <c r="V48" s="138" t="n">
        <v>1292.62</v>
      </c>
    </row>
    <row r="49" customFormat="false" ht="14.25" hidden="false" customHeight="true" outlineLevel="0" collapsed="false">
      <c r="H49" s="316" t="s">
        <v>348</v>
      </c>
      <c r="I49" s="254" t="n">
        <v>3053.38</v>
      </c>
      <c r="J49" s="138" t="n">
        <v>20.242762</v>
      </c>
      <c r="L49" s="153" t="s">
        <v>348</v>
      </c>
      <c r="M49" s="313" t="n">
        <v>18758.35</v>
      </c>
      <c r="O49" s="137" t="s">
        <v>348</v>
      </c>
      <c r="P49" s="138" t="n">
        <v>509.59</v>
      </c>
      <c r="R49" s="137" t="s">
        <v>348</v>
      </c>
      <c r="S49" s="138" t="n">
        <v>285.06</v>
      </c>
      <c r="U49" s="137" t="s">
        <v>348</v>
      </c>
      <c r="V49" s="138" t="n">
        <v>1331.96</v>
      </c>
    </row>
    <row r="50" customFormat="false" ht="14.25" hidden="false" customHeight="true" outlineLevel="0" collapsed="false">
      <c r="H50" s="316" t="s">
        <v>349</v>
      </c>
      <c r="I50" s="254" t="n">
        <v>2988.52</v>
      </c>
      <c r="J50" s="138" t="n">
        <v>20.990793</v>
      </c>
      <c r="L50" s="153" t="s">
        <v>349</v>
      </c>
      <c r="M50" s="313" t="n">
        <v>18012.2</v>
      </c>
      <c r="O50" s="137" t="s">
        <v>349</v>
      </c>
      <c r="P50" s="138" t="n">
        <v>479.62</v>
      </c>
      <c r="R50" s="137" t="s">
        <v>349</v>
      </c>
      <c r="S50" s="138" t="n">
        <v>308.96</v>
      </c>
      <c r="U50" s="137" t="s">
        <v>349</v>
      </c>
      <c r="V50" s="138" t="n">
        <v>1432.74</v>
      </c>
    </row>
    <row r="51" customFormat="false" ht="14.25" hidden="false" customHeight="true" outlineLevel="0" collapsed="false">
      <c r="H51" s="316" t="s">
        <v>350</v>
      </c>
      <c r="I51" s="254" t="n">
        <v>3209.63</v>
      </c>
      <c r="J51" s="138" t="n">
        <v>23.352453</v>
      </c>
      <c r="L51" s="153" t="s">
        <v>350</v>
      </c>
      <c r="M51" s="313" t="n">
        <v>17094.35</v>
      </c>
      <c r="O51" s="137" t="s">
        <v>350</v>
      </c>
      <c r="P51" s="138" t="n">
        <v>505.17</v>
      </c>
      <c r="R51" s="137" t="s">
        <v>350</v>
      </c>
      <c r="S51" s="138" t="n">
        <v>311.28</v>
      </c>
      <c r="U51" s="137" t="s">
        <v>350</v>
      </c>
      <c r="V51" s="138" t="n">
        <v>1487.91</v>
      </c>
    </row>
    <row r="52" customFormat="false" ht="14.25" hidden="false" customHeight="true" outlineLevel="0" collapsed="false">
      <c r="H52" s="316" t="s">
        <v>351</v>
      </c>
      <c r="I52" s="254" t="n">
        <v>3256.83</v>
      </c>
      <c r="J52" s="138" t="n">
        <v>21.161293</v>
      </c>
      <c r="L52" s="153" t="s">
        <v>351</v>
      </c>
      <c r="M52" s="313" t="n">
        <v>17759.3</v>
      </c>
      <c r="O52" s="137" t="s">
        <v>351</v>
      </c>
      <c r="P52" s="138" t="n">
        <v>551.59</v>
      </c>
      <c r="R52" s="137" t="s">
        <v>351</v>
      </c>
      <c r="S52" s="138" t="n">
        <v>321.23</v>
      </c>
      <c r="U52" s="137" t="s">
        <v>351</v>
      </c>
      <c r="V52" s="138" t="n">
        <v>1666.38</v>
      </c>
    </row>
    <row r="53" customFormat="false" ht="14.25" hidden="false" customHeight="true" outlineLevel="0" collapsed="false">
      <c r="H53" s="316" t="s">
        <v>352</v>
      </c>
      <c r="I53" s="254" t="n">
        <v>3201.28</v>
      </c>
      <c r="J53" s="138" t="n">
        <v>28.722838</v>
      </c>
      <c r="L53" s="153" t="s">
        <v>352</v>
      </c>
      <c r="M53" s="313" t="n">
        <v>17158.25</v>
      </c>
      <c r="O53" s="137" t="s">
        <v>352</v>
      </c>
      <c r="P53" s="138" t="n">
        <v>509.22</v>
      </c>
      <c r="R53" s="137" t="s">
        <v>352</v>
      </c>
      <c r="S53" s="138" t="n">
        <v>254.29</v>
      </c>
      <c r="U53" s="137" t="s">
        <v>352</v>
      </c>
      <c r="V53" s="138" t="n">
        <v>1378.57</v>
      </c>
    </row>
    <row r="54" customFormat="false" ht="14.25" hidden="false" customHeight="true" outlineLevel="0" collapsed="false">
      <c r="H54" s="316" t="s">
        <v>353</v>
      </c>
      <c r="I54" s="254" t="n">
        <v>2588.1</v>
      </c>
      <c r="J54" s="138" t="n">
        <v>34.007282</v>
      </c>
      <c r="L54" s="153" t="s">
        <v>353</v>
      </c>
      <c r="M54" s="313" t="n">
        <v>15780.25</v>
      </c>
      <c r="O54" s="137" t="s">
        <v>353</v>
      </c>
      <c r="P54" s="138" t="n">
        <v>463.25</v>
      </c>
      <c r="R54" s="137" t="s">
        <v>353</v>
      </c>
      <c r="S54" s="138" t="n">
        <v>235.54</v>
      </c>
      <c r="U54" s="137" t="s">
        <v>353</v>
      </c>
      <c r="V54" s="138" t="n">
        <v>1382.48</v>
      </c>
    </row>
    <row r="55" customFormat="false" ht="14.25" hidden="false" customHeight="true" outlineLevel="0" collapsed="false">
      <c r="H55" s="316" t="s">
        <v>354</v>
      </c>
      <c r="I55" s="254" t="n">
        <v>2730.29</v>
      </c>
      <c r="J55" s="138" t="n">
        <v>30.837045</v>
      </c>
      <c r="L55" s="153" t="s">
        <v>354</v>
      </c>
      <c r="M55" s="313" t="n">
        <v>16584.55</v>
      </c>
      <c r="O55" s="137" t="s">
        <v>354</v>
      </c>
      <c r="P55" s="138" t="n">
        <v>501.23</v>
      </c>
      <c r="R55" s="137" t="s">
        <v>354</v>
      </c>
      <c r="S55" s="138" t="n">
        <v>253.79</v>
      </c>
      <c r="U55" s="137" t="s">
        <v>354</v>
      </c>
      <c r="V55" s="138" t="n">
        <v>1585.25</v>
      </c>
    </row>
    <row r="56" customFormat="false" ht="14.25" hidden="false" customHeight="true" outlineLevel="0" collapsed="false">
      <c r="H56" s="316" t="s">
        <v>355</v>
      </c>
      <c r="I56" s="254" t="n">
        <v>3090.76</v>
      </c>
      <c r="J56" s="138" t="n">
        <v>18.570571</v>
      </c>
      <c r="L56" s="153" t="s">
        <v>355</v>
      </c>
      <c r="M56" s="313" t="n">
        <v>17102.55</v>
      </c>
      <c r="O56" s="137" t="s">
        <v>355</v>
      </c>
      <c r="P56" s="138" t="n">
        <v>585.23</v>
      </c>
      <c r="R56" s="137" t="s">
        <v>355</v>
      </c>
      <c r="S56" s="138" t="n">
        <v>297.77</v>
      </c>
      <c r="U56" s="137" t="s">
        <v>355</v>
      </c>
      <c r="V56" s="138" t="n">
        <v>1541.32</v>
      </c>
    </row>
    <row r="57" customFormat="false" ht="14.25" hidden="false" customHeight="true" outlineLevel="0" collapsed="false">
      <c r="H57" s="316" t="s">
        <v>356</v>
      </c>
      <c r="I57" s="254" t="n">
        <v>2940.62</v>
      </c>
      <c r="J57" s="138" t="n">
        <v>46.951421</v>
      </c>
      <c r="L57" s="153" t="s">
        <v>356</v>
      </c>
      <c r="M57" s="313" t="n">
        <v>17464.75</v>
      </c>
      <c r="O57" s="137" t="s">
        <v>356</v>
      </c>
      <c r="P57" s="138" t="n">
        <v>570.36</v>
      </c>
      <c r="R57" s="137" t="s">
        <v>356</v>
      </c>
      <c r="S57" s="138" t="n">
        <v>296.63</v>
      </c>
      <c r="U57" s="137" t="s">
        <v>356</v>
      </c>
      <c r="V57" s="138" t="n">
        <v>1590.7</v>
      </c>
    </row>
    <row r="58" customFormat="false" ht="14.25" hidden="false" customHeight="true" outlineLevel="0" collapsed="false">
      <c r="H58" s="316" t="s">
        <v>357</v>
      </c>
      <c r="I58" s="254" t="n">
        <v>3031.03</v>
      </c>
      <c r="J58" s="138" t="n">
        <v>17.145295</v>
      </c>
      <c r="L58" s="153" t="s">
        <v>357</v>
      </c>
      <c r="M58" s="313" t="n">
        <v>16793.9</v>
      </c>
      <c r="O58" s="137" t="s">
        <v>357</v>
      </c>
      <c r="P58" s="138" t="n">
        <v>562.82</v>
      </c>
      <c r="R58" s="137" t="s">
        <v>357</v>
      </c>
      <c r="S58" s="138" t="n">
        <v>288.32</v>
      </c>
      <c r="U58" s="137" t="s">
        <v>357</v>
      </c>
      <c r="V58" s="138" t="n">
        <v>1773.76</v>
      </c>
    </row>
    <row r="59" customFormat="false" ht="14.25" hidden="false" customHeight="true" outlineLevel="0" collapsed="false">
      <c r="H59" s="316" t="s">
        <v>358</v>
      </c>
      <c r="I59" s="254" t="n">
        <v>3009.65</v>
      </c>
      <c r="J59" s="138" t="n">
        <v>25.109145</v>
      </c>
      <c r="L59" s="153" t="s">
        <v>358</v>
      </c>
      <c r="M59" s="313" t="n">
        <v>17339.85</v>
      </c>
      <c r="O59" s="137" t="s">
        <v>358</v>
      </c>
      <c r="P59" s="138" t="n">
        <v>588.86</v>
      </c>
      <c r="R59" s="137" t="s">
        <v>358</v>
      </c>
      <c r="S59" s="138" t="n">
        <v>359.57</v>
      </c>
      <c r="U59" s="137" t="s">
        <v>358</v>
      </c>
      <c r="V59" s="138" t="n">
        <v>2003.52</v>
      </c>
    </row>
    <row r="60" customFormat="false" ht="14.25" hidden="false" customHeight="true" outlineLevel="0" collapsed="false">
      <c r="H60" s="316" t="s">
        <v>359</v>
      </c>
      <c r="I60" s="254" t="n">
        <v>3229.91</v>
      </c>
      <c r="J60" s="138" t="n">
        <v>24.234063</v>
      </c>
      <c r="L60" s="153" t="s">
        <v>359</v>
      </c>
      <c r="M60" s="313" t="n">
        <v>17354.05</v>
      </c>
      <c r="O60" s="137" t="s">
        <v>359</v>
      </c>
      <c r="P60" s="138" t="n">
        <v>629.09</v>
      </c>
      <c r="R60" s="137" t="s">
        <v>359</v>
      </c>
      <c r="S60" s="138" t="n">
        <v>374.92</v>
      </c>
      <c r="U60" s="137" t="s">
        <v>359</v>
      </c>
      <c r="V60" s="138" t="n">
        <v>2110.65</v>
      </c>
    </row>
    <row r="61" customFormat="false" ht="14.25" hidden="false" customHeight="true" outlineLevel="0" collapsed="false">
      <c r="H61" s="316" t="s">
        <v>360</v>
      </c>
      <c r="I61" s="254" t="n">
        <v>3001.44</v>
      </c>
      <c r="J61" s="138" t="n">
        <v>21.72899</v>
      </c>
      <c r="L61" s="153" t="s">
        <v>360</v>
      </c>
      <c r="M61" s="313" t="n">
        <v>16983.2</v>
      </c>
      <c r="O61" s="137" t="s">
        <v>360</v>
      </c>
      <c r="P61" s="138" t="n">
        <v>612.78</v>
      </c>
      <c r="R61" s="137" t="s">
        <v>360</v>
      </c>
      <c r="S61" s="138" t="n">
        <v>378.12</v>
      </c>
      <c r="U61" s="137" t="s">
        <v>360</v>
      </c>
      <c r="V61" s="138" t="n">
        <v>2201.43</v>
      </c>
    </row>
    <row r="62" customFormat="false" ht="14.25" hidden="false" customHeight="true" outlineLevel="0" collapsed="false">
      <c r="H62" s="316" t="s">
        <v>361</v>
      </c>
      <c r="I62" s="254" t="n">
        <v>2959.86</v>
      </c>
      <c r="J62" s="138" t="n">
        <v>32.085053</v>
      </c>
      <c r="L62" s="153" t="s">
        <v>361</v>
      </c>
      <c r="M62" s="313" t="n">
        <v>17671.65</v>
      </c>
      <c r="O62" s="137" t="s">
        <v>361</v>
      </c>
      <c r="P62" s="138" t="n">
        <v>604.43</v>
      </c>
      <c r="R62" s="137" t="s">
        <v>361</v>
      </c>
      <c r="S62" s="138" t="n">
        <v>344.9</v>
      </c>
      <c r="U62" s="137" t="s">
        <v>361</v>
      </c>
      <c r="V62" s="138" t="n">
        <v>2367.8</v>
      </c>
    </row>
    <row r="63" customFormat="false" ht="14.25" hidden="false" customHeight="true" outlineLevel="0" collapsed="false">
      <c r="H63" s="316" t="s">
        <v>362</v>
      </c>
      <c r="I63" s="254" t="n">
        <v>3094.21</v>
      </c>
      <c r="J63" s="138" t="n">
        <v>22.000891</v>
      </c>
      <c r="L63" s="153" t="s">
        <v>362</v>
      </c>
      <c r="M63" s="313" t="n">
        <v>17618.15</v>
      </c>
      <c r="O63" s="137" t="s">
        <v>362</v>
      </c>
      <c r="P63" s="138" t="n">
        <v>659.45</v>
      </c>
      <c r="R63" s="137" t="s">
        <v>362</v>
      </c>
      <c r="S63" s="138" t="n">
        <v>400.71</v>
      </c>
      <c r="U63" s="137" t="s">
        <v>362</v>
      </c>
      <c r="V63" s="138" t="n">
        <v>2536.1</v>
      </c>
    </row>
    <row r="64" customFormat="false" ht="14.25" hidden="false" customHeight="false" outlineLevel="0" collapsed="false">
      <c r="H64" s="322" t="s">
        <v>363</v>
      </c>
      <c r="I64" s="162" t="n">
        <v>3052.92</v>
      </c>
      <c r="J64" s="317" t="n">
        <v>25.145608</v>
      </c>
      <c r="L64" s="159" t="s">
        <v>363</v>
      </c>
      <c r="M64" s="321" t="n">
        <v>17132.2</v>
      </c>
      <c r="O64" s="146" t="s">
        <v>363</v>
      </c>
      <c r="P64" s="317" t="n">
        <v>669.07</v>
      </c>
      <c r="R64" s="146" t="s">
        <v>363</v>
      </c>
      <c r="S64" s="317" t="n">
        <v>392.04</v>
      </c>
      <c r="U64" s="146" t="s">
        <v>363</v>
      </c>
      <c r="V64" s="317" t="n">
        <v>2561.55</v>
      </c>
    </row>
    <row r="66"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L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6" activeCellId="0" sqref="H16"/>
    </sheetView>
  </sheetViews>
  <sheetFormatPr defaultColWidth="8.6796875" defaultRowHeight="14.25" zeroHeight="false" outlineLevelRow="0" outlineLevelCol="0"/>
  <cols>
    <col collapsed="false" customWidth="true" hidden="false" outlineLevel="0" max="2" min="2" style="0" width="11.77"/>
    <col collapsed="false" customWidth="true" hidden="false" outlineLevel="0" max="3" min="3" style="0" width="13.44"/>
    <col collapsed="false" customWidth="true" hidden="false" outlineLevel="0" max="4" min="4" style="0" width="15.56"/>
    <col collapsed="false" customWidth="true" hidden="false" outlineLevel="0" max="5" min="5" style="0" width="15.66"/>
    <col collapsed="false" customWidth="true" hidden="false" outlineLevel="0" max="6" min="6" style="0" width="14.21"/>
    <col collapsed="false" customWidth="true" hidden="false" outlineLevel="0" max="7" min="7" style="0" width="15"/>
    <col collapsed="false" customWidth="true" hidden="false" outlineLevel="0" max="8" min="8" style="0" width="14.56"/>
    <col collapsed="false" customWidth="true" hidden="false" outlineLevel="0" max="9" min="9" style="0" width="14.67"/>
  </cols>
  <sheetData>
    <row r="3" customFormat="false" ht="14.25" hidden="false" customHeight="false" outlineLevel="0" collapsed="false">
      <c r="B3" s="9" t="s">
        <v>594</v>
      </c>
      <c r="C3" s="38" t="s">
        <v>595</v>
      </c>
      <c r="D3" s="38" t="s">
        <v>623</v>
      </c>
      <c r="E3" s="38" t="s">
        <v>624</v>
      </c>
      <c r="F3" s="38" t="s">
        <v>597</v>
      </c>
      <c r="G3" s="38" t="s">
        <v>625</v>
      </c>
      <c r="H3" s="38" t="s">
        <v>626</v>
      </c>
      <c r="I3" s="38" t="s">
        <v>627</v>
      </c>
      <c r="J3" s="38" t="s">
        <v>628</v>
      </c>
      <c r="K3" s="38" t="s">
        <v>629</v>
      </c>
      <c r="L3" s="38" t="s">
        <v>630</v>
      </c>
    </row>
    <row r="4" customFormat="false" ht="14.25" hidden="false" customHeight="false" outlineLevel="0" collapsed="false">
      <c r="B4" s="9" t="n">
        <v>1</v>
      </c>
      <c r="C4" s="38" t="s">
        <v>385</v>
      </c>
      <c r="D4" s="0" t="n">
        <v>2737.8</v>
      </c>
      <c r="E4" s="0" t="n">
        <v>95.92</v>
      </c>
      <c r="F4" s="0" t="n">
        <v>3928.93</v>
      </c>
      <c r="G4" s="0" t="n">
        <v>1073.68</v>
      </c>
      <c r="H4" s="0" t="n">
        <v>265464.42</v>
      </c>
      <c r="I4" s="0" t="n">
        <v>35583.54</v>
      </c>
      <c r="J4" s="0" t="n">
        <v>34.98</v>
      </c>
      <c r="K4" s="0" t="n">
        <v>4394.69</v>
      </c>
      <c r="L4" s="0" t="n">
        <v>7589.12</v>
      </c>
    </row>
    <row r="5" customFormat="false" ht="14.25" hidden="false" customHeight="false" outlineLevel="0" collapsed="false">
      <c r="B5" s="9" t="n">
        <v>2</v>
      </c>
      <c r="C5" s="38" t="s">
        <v>387</v>
      </c>
      <c r="D5" s="0" t="n">
        <v>519.45</v>
      </c>
      <c r="E5" s="0" t="n">
        <v>116.6</v>
      </c>
      <c r="F5" s="0" t="n">
        <v>635.13</v>
      </c>
      <c r="G5" s="0" t="n">
        <v>305.31</v>
      </c>
      <c r="H5" s="0" t="n">
        <v>60897.84</v>
      </c>
      <c r="I5" s="0" t="n">
        <v>11880.25</v>
      </c>
      <c r="J5" s="0" t="n">
        <v>30.59</v>
      </c>
      <c r="K5" s="0" t="n">
        <v>1128.02</v>
      </c>
      <c r="L5" s="0" t="n">
        <v>1991.05</v>
      </c>
    </row>
    <row r="6" customFormat="false" ht="14.25" hidden="false" customHeight="false" outlineLevel="0" collapsed="false">
      <c r="B6" s="9" t="n">
        <v>3</v>
      </c>
      <c r="C6" s="38" t="s">
        <v>388</v>
      </c>
      <c r="D6" s="0" t="n">
        <v>211.83</v>
      </c>
      <c r="E6" s="0" t="n">
        <v>80.87</v>
      </c>
      <c r="F6" s="0" t="n">
        <v>302.73</v>
      </c>
      <c r="G6" s="0" t="n">
        <v>225.78</v>
      </c>
      <c r="H6" s="0" t="n">
        <v>17207.95</v>
      </c>
      <c r="I6" s="0" t="n">
        <v>8051.91</v>
      </c>
      <c r="J6" s="0" t="n">
        <v>16.4</v>
      </c>
      <c r="K6" s="0" t="n">
        <v>575.84</v>
      </c>
      <c r="L6" s="0" t="n">
        <v>1049.22</v>
      </c>
    </row>
    <row r="7" customFormat="false" ht="14.25" hidden="false" customHeight="false" outlineLevel="0" collapsed="false">
      <c r="B7" s="9" t="n">
        <v>4</v>
      </c>
      <c r="C7" s="38" t="s">
        <v>467</v>
      </c>
      <c r="D7" s="0" t="n">
        <v>3276.6</v>
      </c>
      <c r="E7" s="0" t="n">
        <v>4.55</v>
      </c>
      <c r="F7" s="0" t="n">
        <v>79.1</v>
      </c>
      <c r="G7" s="0" t="n">
        <v>323.7</v>
      </c>
      <c r="H7" s="0" t="n">
        <v>14677.14</v>
      </c>
      <c r="I7" s="0" t="n">
        <v>3599.2</v>
      </c>
      <c r="J7" s="0" t="n">
        <v>28.16</v>
      </c>
      <c r="K7" s="0" t="n">
        <v>1973.8</v>
      </c>
      <c r="L7" s="0" t="n">
        <v>521.2</v>
      </c>
    </row>
    <row r="8" customFormat="false" ht="14.25" hidden="false" customHeight="false" outlineLevel="0" collapsed="false">
      <c r="B8" s="9" t="n">
        <v>5</v>
      </c>
      <c r="C8" s="38" t="s">
        <v>389</v>
      </c>
      <c r="D8" s="0" t="n">
        <v>1065.9</v>
      </c>
      <c r="E8" s="0" t="n">
        <v>4.77</v>
      </c>
      <c r="F8" s="0" t="n">
        <v>18.37</v>
      </c>
      <c r="G8" s="0" t="n">
        <v>28.55</v>
      </c>
      <c r="H8" s="0" t="n">
        <v>5071.57</v>
      </c>
      <c r="I8" s="0" t="n">
        <v>1330.12</v>
      </c>
      <c r="J8" s="0" t="n">
        <v>19.59</v>
      </c>
      <c r="K8" s="0" t="n">
        <v>145.39</v>
      </c>
      <c r="L8" s="0" t="n">
        <v>258.94</v>
      </c>
    </row>
    <row r="9" customFormat="false" ht="14.25" hidden="false" customHeight="false" outlineLevel="0" collapsed="false">
      <c r="B9" s="9" t="n">
        <v>6</v>
      </c>
      <c r="C9" s="38" t="s">
        <v>468</v>
      </c>
      <c r="D9" s="0" t="n">
        <v>402.45</v>
      </c>
      <c r="E9" s="0" t="n">
        <v>5.68</v>
      </c>
      <c r="F9" s="0" t="n">
        <v>32.32</v>
      </c>
      <c r="G9" s="0" t="n">
        <v>57.98</v>
      </c>
      <c r="H9" s="0" t="n">
        <v>2259.97</v>
      </c>
      <c r="I9" s="0" t="n">
        <v>492.48</v>
      </c>
      <c r="J9" s="0" t="n">
        <v>21.99</v>
      </c>
      <c r="K9" s="0" t="n">
        <v>65.05</v>
      </c>
      <c r="L9" s="0" t="n">
        <v>102.75</v>
      </c>
    </row>
    <row r="10" customFormat="false" ht="14.25" hidden="false" customHeight="false" outlineLevel="0" collapsed="false">
      <c r="B10" s="9" t="n">
        <v>7</v>
      </c>
      <c r="C10" s="38" t="s">
        <v>469</v>
      </c>
      <c r="D10" s="0" t="n">
        <v>51.82</v>
      </c>
      <c r="E10" s="0" t="n">
        <v>8.37</v>
      </c>
      <c r="F10" s="0" t="n">
        <v>164.76</v>
      </c>
      <c r="G10" s="0" t="n">
        <v>47.09</v>
      </c>
      <c r="H10" s="0" t="n">
        <v>551.46</v>
      </c>
      <c r="I10" s="0" t="n">
        <v>575.63</v>
      </c>
      <c r="J10" s="0" t="n">
        <v>-34.73</v>
      </c>
      <c r="K10" s="0" t="n">
        <v>-64.95</v>
      </c>
      <c r="L10" s="0" t="n">
        <v>-15.88</v>
      </c>
    </row>
    <row r="12" customFormat="false" ht="14.25" hidden="false" customHeight="false" outlineLevel="0" collapsed="false">
      <c r="B12" s="0" t="s">
        <v>631</v>
      </c>
      <c r="C12" s="254" t="s">
        <v>632</v>
      </c>
      <c r="D12" s="254" t="s">
        <v>470</v>
      </c>
      <c r="E12" s="254" t="s">
        <v>473</v>
      </c>
      <c r="F12" s="254" t="s">
        <v>270</v>
      </c>
      <c r="G12" s="254" t="s">
        <v>633</v>
      </c>
    </row>
    <row r="13" customFormat="false" ht="14.25" hidden="false" customHeight="false" outlineLevel="0" collapsed="false">
      <c r="B13" s="323" t="n">
        <v>46204</v>
      </c>
      <c r="C13" s="254" t="s">
        <v>634</v>
      </c>
      <c r="D13" s="254" t="s">
        <v>635</v>
      </c>
      <c r="E13" s="254" t="s">
        <v>636</v>
      </c>
      <c r="F13" s="254" t="s">
        <v>637</v>
      </c>
      <c r="G13" s="324" t="n">
        <v>0.0364</v>
      </c>
    </row>
    <row r="14" customFormat="false" ht="14.25" hidden="false" customHeight="false" outlineLevel="0" collapsed="false">
      <c r="B14" s="323" t="n">
        <v>46174</v>
      </c>
      <c r="C14" s="254" t="s">
        <v>638</v>
      </c>
      <c r="D14" s="254" t="s">
        <v>639</v>
      </c>
      <c r="E14" s="254" t="s">
        <v>640</v>
      </c>
      <c r="F14" s="254" t="s">
        <v>641</v>
      </c>
      <c r="G14" s="324" t="n">
        <v>-0.0355</v>
      </c>
    </row>
    <row r="15" customFormat="false" ht="14.25" hidden="false" customHeight="false" outlineLevel="0" collapsed="false">
      <c r="B15" s="323" t="n">
        <v>46143</v>
      </c>
      <c r="C15" s="254" t="s">
        <v>642</v>
      </c>
      <c r="D15" s="254" t="s">
        <v>643</v>
      </c>
      <c r="E15" s="254" t="s">
        <v>644</v>
      </c>
      <c r="F15" s="254" t="s">
        <v>645</v>
      </c>
      <c r="G15" s="324" t="n">
        <v>0.086</v>
      </c>
    </row>
    <row r="16" customFormat="false" ht="14.25" hidden="false" customHeight="false" outlineLevel="0" collapsed="false">
      <c r="B16" s="323" t="n">
        <v>46113</v>
      </c>
      <c r="C16" s="254" t="s">
        <v>646</v>
      </c>
      <c r="D16" s="254" t="s">
        <v>647</v>
      </c>
      <c r="E16" s="254" t="s">
        <v>648</v>
      </c>
      <c r="F16" s="254" t="s">
        <v>649</v>
      </c>
      <c r="G16" s="324" t="n">
        <v>0.0988</v>
      </c>
    </row>
    <row r="17" customFormat="false" ht="14.25" hidden="false" customHeight="false" outlineLevel="0" collapsed="false">
      <c r="B17" s="323" t="n">
        <v>46082</v>
      </c>
      <c r="C17" s="254" t="s">
        <v>650</v>
      </c>
      <c r="D17" s="254" t="s">
        <v>651</v>
      </c>
      <c r="E17" s="254" t="s">
        <v>652</v>
      </c>
      <c r="F17" s="254" t="s">
        <v>653</v>
      </c>
      <c r="G17" s="324" t="n">
        <v>-0.0586</v>
      </c>
    </row>
    <row r="18" customFormat="false" ht="14.25" hidden="false" customHeight="false" outlineLevel="0" collapsed="false">
      <c r="B18" s="323" t="n">
        <v>46054</v>
      </c>
      <c r="C18" s="254" t="s">
        <v>654</v>
      </c>
      <c r="D18" s="254" t="s">
        <v>655</v>
      </c>
      <c r="E18" s="254" t="s">
        <v>656</v>
      </c>
      <c r="F18" s="254" t="s">
        <v>657</v>
      </c>
      <c r="G18" s="324" t="n">
        <v>0.0005</v>
      </c>
    </row>
    <row r="19" customFormat="false" ht="14.25" hidden="false" customHeight="false" outlineLevel="0" collapsed="false">
      <c r="B19" s="323" t="n">
        <v>46023</v>
      </c>
      <c r="C19" s="254" t="s">
        <v>658</v>
      </c>
      <c r="D19" s="254" t="s">
        <v>659</v>
      </c>
      <c r="E19" s="254" t="s">
        <v>660</v>
      </c>
      <c r="F19" s="254" t="s">
        <v>661</v>
      </c>
      <c r="G19" s="324" t="n">
        <v>-0.1252</v>
      </c>
    </row>
    <row r="20" customFormat="false" ht="14.25" hidden="false" customHeight="false" outlineLevel="0" collapsed="false">
      <c r="B20" s="323" t="n">
        <v>45992</v>
      </c>
      <c r="C20" s="254" t="s">
        <v>662</v>
      </c>
      <c r="D20" s="254" t="s">
        <v>663</v>
      </c>
      <c r="E20" s="254" t="s">
        <v>664</v>
      </c>
      <c r="F20" s="254" t="s">
        <v>665</v>
      </c>
      <c r="G20" s="324" t="n">
        <v>-0.0376</v>
      </c>
    </row>
    <row r="21" customFormat="false" ht="14.25" hidden="false" customHeight="false" outlineLevel="0" collapsed="false">
      <c r="B21" s="323" t="n">
        <v>45962</v>
      </c>
      <c r="C21" s="254" t="s">
        <v>666</v>
      </c>
      <c r="D21" s="254" t="s">
        <v>667</v>
      </c>
      <c r="E21" s="254" t="s">
        <v>668</v>
      </c>
      <c r="F21" s="254" t="s">
        <v>669</v>
      </c>
      <c r="G21" s="324" t="n">
        <v>0.1515</v>
      </c>
    </row>
    <row r="22" customFormat="false" ht="14.25" hidden="false" customHeight="false" outlineLevel="0" collapsed="false">
      <c r="B22" s="323" t="n">
        <v>45931</v>
      </c>
      <c r="C22" s="254" t="s">
        <v>670</v>
      </c>
      <c r="D22" s="254" t="s">
        <v>671</v>
      </c>
      <c r="E22" s="254" t="s">
        <v>672</v>
      </c>
      <c r="F22" s="254" t="s">
        <v>673</v>
      </c>
      <c r="G22" s="324" t="n">
        <v>0.0669</v>
      </c>
    </row>
    <row r="23" customFormat="false" ht="14.25" hidden="false" customHeight="false" outlineLevel="0" collapsed="false">
      <c r="B23" s="323" t="n">
        <v>45901</v>
      </c>
      <c r="C23" s="254" t="s">
        <v>674</v>
      </c>
      <c r="D23" s="254" t="s">
        <v>675</v>
      </c>
      <c r="E23" s="254" t="s">
        <v>676</v>
      </c>
      <c r="F23" s="254" t="s">
        <v>677</v>
      </c>
      <c r="G23" s="324" t="n">
        <v>-0.0667</v>
      </c>
    </row>
    <row r="24" customFormat="false" ht="14.25" hidden="false" customHeight="false" outlineLevel="0" collapsed="false">
      <c r="B24" s="323" t="n">
        <v>45870</v>
      </c>
      <c r="C24" s="254" t="s">
        <v>678</v>
      </c>
      <c r="D24" s="254" t="s">
        <v>679</v>
      </c>
      <c r="E24" s="254" t="s">
        <v>678</v>
      </c>
      <c r="F24" s="254" t="s">
        <v>680</v>
      </c>
      <c r="G24" s="324" t="n">
        <v>0.0591</v>
      </c>
    </row>
    <row r="25" customFormat="false" ht="14.25" hidden="false" customHeight="false" outlineLevel="0" collapsed="false">
      <c r="B25" s="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0" width="1.88"/>
  </cols>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2026-06-28T08:20:57Z</dcterms:created>
  <dc:creator>lokesh rajput</dc:creator>
  <dc:description/>
  <dc:language>en-US</dc:language>
  <cp:lastModifiedBy/>
  <cp:lastPrinted>2026-07-09T20:07:48Z</cp:lastPrinted>
  <dcterms:modified xsi:type="dcterms:W3CDTF">2026-08-04T19:01:59Z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