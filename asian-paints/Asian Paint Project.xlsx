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1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5.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4028d59bbc550eab/Desktop/"/>
    </mc:Choice>
  </mc:AlternateContent>
  <xr:revisionPtr revIDLastSave="0" documentId="8_{E81C8AF7-020B-4DC0-9C4B-382873E87794}" xr6:coauthVersionLast="47" xr6:coauthVersionMax="47" xr10:uidLastSave="{00000000-0000-0000-0000-000000000000}"/>
  <bookViews>
    <workbookView xWindow="-108" yWindow="-108" windowWidth="23256" windowHeight="12456" tabRatio="500" firstSheet="18" activeTab="21" xr2:uid="{00000000-000D-0000-FFFF-FFFF00000000}"/>
  </bookViews>
  <sheets>
    <sheet name="Front Page" sheetId="32" r:id="rId1"/>
    <sheet name="Content" sheetId="33" r:id="rId2"/>
    <sheet name="Teaser" sheetId="28" r:id="rId3"/>
    <sheet name="HistoricalFS" sheetId="2" r:id="rId4"/>
    <sheet name="Ratio Analysis" sheetId="18" r:id="rId5"/>
    <sheet name="Common Size Statement" sheetId="19" r:id="rId6"/>
    <sheet name="Assumption Sheet" sheetId="3" r:id="rId7"/>
    <sheet name="ForecastFS" sheetId="4" r:id="rId8"/>
    <sheet name="Beta-Regression" sheetId="11" r:id="rId9"/>
    <sheet name="Rm" sheetId="12" r:id="rId10"/>
    <sheet name="WACC" sheetId="10" r:id="rId11"/>
    <sheet name="IntrinsiGrowth" sheetId="15" r:id="rId12"/>
    <sheet name="DCF" sheetId="17" r:id="rId13"/>
    <sheet name="Comp_Valuation" sheetId="20" r:id="rId14"/>
    <sheet name="Football_Field" sheetId="22" r:id="rId15"/>
    <sheet name="VAR Historical Approach" sheetId="24" r:id="rId16"/>
    <sheet name="Monte Carlo Simulation" sheetId="25" r:id="rId17"/>
    <sheet name="DUPONT Analysis" sheetId="29" r:id="rId18"/>
    <sheet name="ALTMAN'S Z SCORE" sheetId="31" r:id="rId19"/>
    <sheet name="One Page Profile&gt;" sheetId="26" r:id="rId20"/>
    <sheet name="InputSheet" sheetId="27" r:id="rId21"/>
    <sheet name="Financials&gt;" sheetId="1" r:id="rId22"/>
    <sheet name="Data&gt;" sheetId="5" r:id="rId23"/>
    <sheet name="Data Sheet" sheetId="6" r:id="rId24"/>
    <sheet name="CashFlow Statement" sheetId="7" r:id="rId25"/>
    <sheet name="DCF&gt;" sheetId="8" r:id="rId26"/>
    <sheet name="RawFS" sheetId="16" r:id="rId27"/>
    <sheet name="RawData" sheetId="13" r:id="rId28"/>
    <sheet name="Data" sheetId="21" r:id="rId29"/>
    <sheet name="VAR&gt;" sheetId="23" r:id="rId30"/>
  </sheets>
  <definedNames>
    <definedName name="_xlnm._FilterDatabase" localSheetId="15" hidden="1">'VAR Historical Approach'!$B$2:$E$2</definedName>
    <definedName name="_xlchart.v1.0" hidden="1">'VAR Historical Approach'!$E$3:$E$62</definedName>
    <definedName name="_xlchart.v1.1" hidden="1">'Monte Carlo Simulation'!$G$3:$G$62</definedName>
    <definedName name="_xlnm.Print_Area" localSheetId="18">'ALTMAN''S Z SCORE'!$A$1:$I$90</definedName>
    <definedName name="_xlnm.Print_Area" localSheetId="6">'Assumption Sheet'!$A$1:$M$69</definedName>
    <definedName name="_xlnm.Print_Area" localSheetId="13">Comp_Valuation!$A$1:$Q$39</definedName>
    <definedName name="_xlnm.Print_Area" localSheetId="1">Content!$A$1:$M$41</definedName>
    <definedName name="_xlnm.Print_Area" localSheetId="12">DCF!$A$1:$M$52</definedName>
    <definedName name="_xlnm.Print_Area" localSheetId="17">'DUPONT Analysis'!$A$1:$I$103</definedName>
    <definedName name="_xlnm.Print_Area" localSheetId="14">Football_Field!$A$1:$L$41</definedName>
    <definedName name="_xlnm.Print_Area" localSheetId="7">ForecastFS!$A$1:$L$89</definedName>
    <definedName name="_xlnm.Print_Area" localSheetId="0">'Front Page'!$A$1:$M$53</definedName>
    <definedName name="_xlnm.Print_Area" localSheetId="11">IntrinsiGrowth!$A$1:$I$60</definedName>
    <definedName name="_xlnm.Print_Area" localSheetId="4">'Ratio Analysis'!$A$1:$O$48</definedName>
    <definedName name="_xlnm.Print_Area" localSheetId="2">Teaser!$A$1:$K$61</definedName>
    <definedName name="_xlnm.Print_Area" localSheetId="15">'VAR Historical Approach'!$A$1:$N$62</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46" i="10" l="1"/>
  <c r="C84" i="2"/>
  <c r="C74" i="31"/>
  <c r="B29" i="19"/>
  <c r="L31" i="19"/>
  <c r="D31" i="19"/>
  <c r="E31" i="19"/>
  <c r="F31" i="19"/>
  <c r="G31" i="19"/>
  <c r="H31" i="19"/>
  <c r="I31" i="19"/>
  <c r="J31" i="19"/>
  <c r="K31" i="19"/>
  <c r="C31" i="19"/>
  <c r="J16" i="17"/>
  <c r="K16" i="17" s="1"/>
  <c r="L16" i="17" s="1"/>
  <c r="I16" i="17"/>
  <c r="H16" i="17"/>
  <c r="G16" i="17"/>
  <c r="D84" i="2"/>
  <c r="E84" i="2"/>
  <c r="F84" i="2"/>
  <c r="G84" i="2"/>
  <c r="H84" i="2"/>
  <c r="I84" i="2"/>
  <c r="J84" i="2"/>
  <c r="K84" i="2"/>
  <c r="L84" i="2"/>
  <c r="E2" i="15"/>
  <c r="G8" i="12"/>
  <c r="B4" i="22"/>
  <c r="B2" i="22"/>
  <c r="B4" i="20"/>
  <c r="B2" i="20"/>
  <c r="B4" i="10"/>
  <c r="B2" i="10"/>
  <c r="B4" i="17"/>
  <c r="B2" i="17"/>
  <c r="B25" i="15"/>
  <c r="E25" i="15"/>
  <c r="F25" i="15"/>
  <c r="B26" i="15"/>
  <c r="E26" i="15"/>
  <c r="F26" i="15"/>
  <c r="B27" i="15"/>
  <c r="E27" i="15"/>
  <c r="F27" i="15"/>
  <c r="B28" i="15"/>
  <c r="E28" i="15"/>
  <c r="F28" i="15"/>
  <c r="B4" i="3"/>
  <c r="B2" i="3"/>
  <c r="B4" i="19"/>
  <c r="B2" i="19"/>
  <c r="B4" i="18"/>
  <c r="B2" i="18"/>
  <c r="D85" i="31"/>
  <c r="E85" i="31"/>
  <c r="F85" i="31"/>
  <c r="G85" i="31"/>
  <c r="H85" i="31"/>
  <c r="I85" i="31"/>
  <c r="C85" i="31"/>
  <c r="D84" i="31"/>
  <c r="E84" i="31"/>
  <c r="F84" i="31"/>
  <c r="G84" i="31"/>
  <c r="H84" i="31"/>
  <c r="I84" i="31"/>
  <c r="C84" i="31"/>
  <c r="I80" i="31"/>
  <c r="C80" i="31"/>
  <c r="D80" i="31"/>
  <c r="E80" i="31"/>
  <c r="F80" i="31"/>
  <c r="G80" i="31"/>
  <c r="H80" i="31"/>
  <c r="D79" i="31"/>
  <c r="E79" i="31"/>
  <c r="F79" i="31"/>
  <c r="G79" i="31"/>
  <c r="H79" i="31"/>
  <c r="I79" i="31"/>
  <c r="C79" i="31"/>
  <c r="D78" i="31"/>
  <c r="E78" i="31"/>
  <c r="F78" i="31"/>
  <c r="G78" i="31"/>
  <c r="H78" i="31"/>
  <c r="I78" i="31"/>
  <c r="C78" i="31"/>
  <c r="C77" i="31"/>
  <c r="D72" i="31"/>
  <c r="E72" i="31"/>
  <c r="F72" i="31"/>
  <c r="G72" i="31"/>
  <c r="H72" i="31"/>
  <c r="I72" i="31"/>
  <c r="C72" i="31"/>
  <c r="D73" i="31"/>
  <c r="E73" i="31"/>
  <c r="F73" i="31"/>
  <c r="G73" i="31"/>
  <c r="H73" i="31"/>
  <c r="I73" i="31"/>
  <c r="I74" i="31" s="1"/>
  <c r="C73" i="31"/>
  <c r="E97" i="6"/>
  <c r="D66" i="31"/>
  <c r="E66" i="31"/>
  <c r="F66" i="31"/>
  <c r="G66" i="31"/>
  <c r="H66" i="31"/>
  <c r="I66" i="31"/>
  <c r="I67" i="31"/>
  <c r="C66" i="31"/>
  <c r="D60" i="31"/>
  <c r="E60" i="31"/>
  <c r="F60" i="31"/>
  <c r="G60" i="31"/>
  <c r="H60" i="31"/>
  <c r="I60" i="31"/>
  <c r="C60" i="31"/>
  <c r="D50" i="2"/>
  <c r="D55" i="31"/>
  <c r="D61" i="31" s="1"/>
  <c r="D67" i="31" s="1"/>
  <c r="E55" i="31"/>
  <c r="F55" i="31"/>
  <c r="G55" i="31"/>
  <c r="H55" i="31"/>
  <c r="I55" i="31"/>
  <c r="I61" i="31" s="1"/>
  <c r="C55" i="31"/>
  <c r="D54" i="31"/>
  <c r="E54" i="31"/>
  <c r="F54" i="31"/>
  <c r="G54" i="31"/>
  <c r="H54" i="31"/>
  <c r="I54" i="31"/>
  <c r="C54" i="31"/>
  <c r="I53" i="31"/>
  <c r="I77" i="31" s="1"/>
  <c r="I83" i="31" s="1"/>
  <c r="H53" i="31"/>
  <c r="H77" i="31" s="1"/>
  <c r="H83" i="31" s="1"/>
  <c r="G53" i="31"/>
  <c r="G77" i="31" s="1"/>
  <c r="G83" i="31" s="1"/>
  <c r="F53" i="31"/>
  <c r="F77" i="31" s="1"/>
  <c r="F83" i="31" s="1"/>
  <c r="E53" i="31"/>
  <c r="E77" i="31" s="1"/>
  <c r="E83" i="31" s="1"/>
  <c r="D53" i="31"/>
  <c r="D77" i="31" s="1"/>
  <c r="D83" i="31" s="1"/>
  <c r="C53" i="31"/>
  <c r="C59" i="31" s="1"/>
  <c r="C65" i="31" s="1"/>
  <c r="C71" i="31" s="1"/>
  <c r="B4" i="31"/>
  <c r="B2" i="31"/>
  <c r="C53" i="29"/>
  <c r="C59" i="29" s="1"/>
  <c r="D53" i="29"/>
  <c r="D75" i="29" s="1"/>
  <c r="D81" i="29" s="1"/>
  <c r="E53" i="29"/>
  <c r="E75" i="29" s="1"/>
  <c r="E81" i="29" s="1"/>
  <c r="F53" i="29"/>
  <c r="F59" i="29" s="1"/>
  <c r="G53" i="29"/>
  <c r="G59" i="29" s="1"/>
  <c r="H53" i="29"/>
  <c r="H59" i="29" s="1"/>
  <c r="I53" i="29"/>
  <c r="I59" i="29" s="1"/>
  <c r="C54" i="29"/>
  <c r="C60" i="29" s="1"/>
  <c r="D54" i="29"/>
  <c r="D60" i="29" s="1"/>
  <c r="E54" i="29"/>
  <c r="E60" i="29" s="1"/>
  <c r="F54" i="29"/>
  <c r="F60" i="29" s="1"/>
  <c r="G54" i="29"/>
  <c r="G60" i="29" s="1"/>
  <c r="H54" i="29"/>
  <c r="H60" i="29" s="1"/>
  <c r="I54" i="29"/>
  <c r="I60" i="29" s="1"/>
  <c r="C55" i="29"/>
  <c r="C69" i="29" s="1"/>
  <c r="D55" i="29"/>
  <c r="D69" i="29" s="1"/>
  <c r="E55" i="29"/>
  <c r="E69" i="29" s="1"/>
  <c r="F55" i="29"/>
  <c r="F69" i="29" s="1"/>
  <c r="G55" i="29"/>
  <c r="H55" i="29"/>
  <c r="H69" i="29" s="1"/>
  <c r="I55" i="29"/>
  <c r="I69" i="29" s="1"/>
  <c r="E59" i="29"/>
  <c r="H65" i="29"/>
  <c r="H77" i="29" s="1"/>
  <c r="H87" i="29" s="1"/>
  <c r="G65" i="29"/>
  <c r="G77" i="29" s="1"/>
  <c r="F65" i="29"/>
  <c r="F77" i="29" s="1"/>
  <c r="E65" i="29"/>
  <c r="E77" i="29" s="1"/>
  <c r="E87" i="29" s="1"/>
  <c r="D65" i="29"/>
  <c r="D68" i="29" s="1"/>
  <c r="C65" i="29"/>
  <c r="C68" i="29" s="1"/>
  <c r="I65" i="29"/>
  <c r="I77" i="29" s="1"/>
  <c r="I87" i="29" s="1"/>
  <c r="H61" i="29"/>
  <c r="H64" i="29" s="1"/>
  <c r="G61" i="29"/>
  <c r="G83" i="29" s="1"/>
  <c r="G86" i="29" s="1"/>
  <c r="F61" i="29"/>
  <c r="F83" i="29" s="1"/>
  <c r="F86" i="29" s="1"/>
  <c r="E61" i="29"/>
  <c r="E83" i="29" s="1"/>
  <c r="E86" i="29" s="1"/>
  <c r="D61" i="29"/>
  <c r="D64" i="29" s="1"/>
  <c r="C61" i="29"/>
  <c r="C83" i="29" s="1"/>
  <c r="C86" i="29" s="1"/>
  <c r="I61" i="29"/>
  <c r="I83" i="29" s="1"/>
  <c r="I86" i="29" s="1"/>
  <c r="B4" i="29"/>
  <c r="B2" i="29"/>
  <c r="K50" i="28"/>
  <c r="K49" i="28"/>
  <c r="K47" i="28"/>
  <c r="K46" i="28"/>
  <c r="C34" i="28"/>
  <c r="F34" i="28" s="1"/>
  <c r="C35" i="28"/>
  <c r="F35" i="28" s="1"/>
  <c r="C36" i="28"/>
  <c r="F36" i="28" s="1"/>
  <c r="C37" i="28"/>
  <c r="F37" i="28" s="1"/>
  <c r="C38" i="28"/>
  <c r="F38" i="28" s="1"/>
  <c r="C39" i="28"/>
  <c r="F39" i="28" s="1"/>
  <c r="C40" i="28"/>
  <c r="F40" i="28" s="1"/>
  <c r="C41" i="28"/>
  <c r="F41" i="28" s="1"/>
  <c r="C42" i="28"/>
  <c r="F42" i="28" s="1"/>
  <c r="C33" i="28"/>
  <c r="F33" i="28" s="1"/>
  <c r="E34" i="28"/>
  <c r="E35" i="28"/>
  <c r="E36" i="28"/>
  <c r="E37" i="28"/>
  <c r="E38" i="28"/>
  <c r="E39" i="28"/>
  <c r="E40" i="28"/>
  <c r="E41" i="28"/>
  <c r="E42" i="28"/>
  <c r="E33" i="28"/>
  <c r="E31" i="28"/>
  <c r="C31" i="28"/>
  <c r="B34" i="28"/>
  <c r="B35" i="28"/>
  <c r="B36" i="28"/>
  <c r="B37" i="28"/>
  <c r="B38" i="28"/>
  <c r="B39" i="28"/>
  <c r="B40" i="28"/>
  <c r="B41" i="28"/>
  <c r="B42" i="28"/>
  <c r="B33" i="28"/>
  <c r="D25" i="28"/>
  <c r="E25" i="28"/>
  <c r="F25" i="28"/>
  <c r="G25" i="28"/>
  <c r="D26" i="28"/>
  <c r="E26" i="28"/>
  <c r="F26" i="28"/>
  <c r="G26" i="28"/>
  <c r="D27" i="28"/>
  <c r="E27" i="28"/>
  <c r="F27" i="28"/>
  <c r="G27" i="28"/>
  <c r="C27" i="28"/>
  <c r="C26" i="28"/>
  <c r="C25" i="28"/>
  <c r="B102" i="6"/>
  <c r="C102" i="6"/>
  <c r="D102" i="6"/>
  <c r="E102" i="6"/>
  <c r="F102" i="6"/>
  <c r="G102" i="6"/>
  <c r="H102" i="6"/>
  <c r="I102" i="6"/>
  <c r="J102" i="6"/>
  <c r="K102" i="6"/>
  <c r="D101" i="6"/>
  <c r="C101" i="6"/>
  <c r="E101" i="6"/>
  <c r="F101" i="6"/>
  <c r="G101" i="6"/>
  <c r="H101" i="6"/>
  <c r="I101" i="6"/>
  <c r="J101" i="6"/>
  <c r="K101" i="6"/>
  <c r="B101" i="6"/>
  <c r="C100" i="6"/>
  <c r="D100" i="6"/>
  <c r="E100" i="6"/>
  <c r="F100" i="6"/>
  <c r="G100" i="6"/>
  <c r="H100" i="6"/>
  <c r="I100" i="6"/>
  <c r="J100" i="6"/>
  <c r="K100" i="6"/>
  <c r="B100" i="6"/>
  <c r="K99" i="6"/>
  <c r="C99" i="6"/>
  <c r="D99" i="6"/>
  <c r="E99" i="6"/>
  <c r="F99" i="6"/>
  <c r="G99" i="6"/>
  <c r="H99" i="6"/>
  <c r="I99" i="6"/>
  <c r="J99" i="6"/>
  <c r="B99" i="6"/>
  <c r="C98" i="6"/>
  <c r="D98" i="6"/>
  <c r="E98" i="6"/>
  <c r="F98" i="6"/>
  <c r="G98" i="6"/>
  <c r="H98" i="6"/>
  <c r="I98" i="6"/>
  <c r="J98" i="6"/>
  <c r="K98" i="6"/>
  <c r="B98" i="6"/>
  <c r="C97" i="6"/>
  <c r="D97" i="6"/>
  <c r="F97" i="6"/>
  <c r="G97" i="6"/>
  <c r="H97" i="6"/>
  <c r="I97" i="6"/>
  <c r="J97" i="6"/>
  <c r="K97" i="6"/>
  <c r="B97" i="6"/>
  <c r="D49" i="17"/>
  <c r="C5" i="28"/>
  <c r="B3" i="28"/>
  <c r="M13" i="25"/>
  <c r="M14" i="25"/>
  <c r="M12" i="25"/>
  <c r="L12" i="25"/>
  <c r="I2" i="25"/>
  <c r="G4" i="25"/>
  <c r="G6" i="25"/>
  <c r="G7" i="25"/>
  <c r="G8" i="25"/>
  <c r="G9" i="25"/>
  <c r="G10" i="25"/>
  <c r="G11" i="25"/>
  <c r="G12" i="25"/>
  <c r="G13" i="25"/>
  <c r="G14" i="25"/>
  <c r="G20" i="25"/>
  <c r="G22" i="25"/>
  <c r="G23" i="25"/>
  <c r="G24" i="25"/>
  <c r="G25" i="25"/>
  <c r="G26" i="25"/>
  <c r="G27" i="25"/>
  <c r="G28" i="25"/>
  <c r="G29" i="25"/>
  <c r="G30" i="25"/>
  <c r="G36" i="25"/>
  <c r="G38" i="25"/>
  <c r="G39" i="25"/>
  <c r="G40" i="25"/>
  <c r="G41" i="25"/>
  <c r="G42" i="25"/>
  <c r="G43" i="25"/>
  <c r="G44" i="25"/>
  <c r="G45" i="25"/>
  <c r="G46" i="25"/>
  <c r="G52" i="25"/>
  <c r="G54" i="25"/>
  <c r="G55" i="25"/>
  <c r="G56" i="25"/>
  <c r="G57" i="25"/>
  <c r="G58" i="25"/>
  <c r="G59" i="25"/>
  <c r="G60" i="25"/>
  <c r="G61" i="25"/>
  <c r="G62" i="25"/>
  <c r="L14" i="25"/>
  <c r="J14" i="25"/>
  <c r="L13" i="25"/>
  <c r="J13" i="25"/>
  <c r="J12"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D33" i="25"/>
  <c r="D32" i="25"/>
  <c r="D31" i="25"/>
  <c r="D30" i="25"/>
  <c r="D29" i="25"/>
  <c r="D28" i="25"/>
  <c r="D27" i="25"/>
  <c r="D26" i="25"/>
  <c r="D25" i="25"/>
  <c r="D24" i="25"/>
  <c r="D23" i="25"/>
  <c r="D22" i="25"/>
  <c r="D21" i="25"/>
  <c r="D20" i="25"/>
  <c r="D19" i="25"/>
  <c r="D18" i="25"/>
  <c r="D17" i="25"/>
  <c r="D16" i="25"/>
  <c r="D15" i="25"/>
  <c r="D14" i="25"/>
  <c r="D13" i="25"/>
  <c r="D12" i="25"/>
  <c r="D11" i="25"/>
  <c r="D10" i="25"/>
  <c r="D9" i="25"/>
  <c r="D8" i="25"/>
  <c r="D7" i="25"/>
  <c r="D6" i="25"/>
  <c r="D5" i="25"/>
  <c r="D4" i="25"/>
  <c r="D3" i="25"/>
  <c r="G2" i="24"/>
  <c r="D62" i="24"/>
  <c r="I13" i="24"/>
  <c r="I14" i="24"/>
  <c r="I12" i="24"/>
  <c r="J13" i="24"/>
  <c r="K13" i="24" s="1"/>
  <c r="J14" i="24"/>
  <c r="K14" i="24" s="1"/>
  <c r="J12" i="24"/>
  <c r="K12" i="24" s="1"/>
  <c r="H13" i="24"/>
  <c r="H14" i="24"/>
  <c r="H12" i="24"/>
  <c r="K7" i="24"/>
  <c r="K6" i="24"/>
  <c r="K5" i="24"/>
  <c r="G17" i="25" s="1"/>
  <c r="K4" i="24"/>
  <c r="G15" i="25" s="1"/>
  <c r="D20" i="24"/>
  <c r="D37" i="24"/>
  <c r="D7" i="24"/>
  <c r="D5" i="24"/>
  <c r="D56" i="24"/>
  <c r="D39" i="24"/>
  <c r="D60" i="24"/>
  <c r="D45" i="24"/>
  <c r="D4" i="24"/>
  <c r="D11" i="24"/>
  <c r="D51" i="24"/>
  <c r="D15" i="24"/>
  <c r="D23" i="24"/>
  <c r="D18" i="24"/>
  <c r="D53" i="24"/>
  <c r="D22" i="24"/>
  <c r="D10" i="24"/>
  <c r="D50" i="24"/>
  <c r="D32" i="24"/>
  <c r="D55" i="24"/>
  <c r="D59" i="24"/>
  <c r="D12" i="24"/>
  <c r="D28" i="24"/>
  <c r="D14" i="24"/>
  <c r="D24" i="24"/>
  <c r="D35" i="24"/>
  <c r="D30" i="24"/>
  <c r="D31" i="24"/>
  <c r="D47" i="24"/>
  <c r="D61" i="24"/>
  <c r="D8" i="24"/>
  <c r="D19" i="24"/>
  <c r="D49" i="24"/>
  <c r="D42" i="24"/>
  <c r="D44" i="24"/>
  <c r="D34" i="24"/>
  <c r="D13" i="24"/>
  <c r="D6" i="24"/>
  <c r="D17" i="24"/>
  <c r="D40" i="24"/>
  <c r="D21" i="24"/>
  <c r="D58" i="24"/>
  <c r="D41" i="24"/>
  <c r="D25" i="24"/>
  <c r="D54" i="24"/>
  <c r="D38" i="24"/>
  <c r="D26" i="24"/>
  <c r="D3" i="24"/>
  <c r="D48" i="24"/>
  <c r="D57" i="24"/>
  <c r="D16" i="24"/>
  <c r="D43" i="24"/>
  <c r="D33" i="24"/>
  <c r="D52" i="24"/>
  <c r="D9" i="24"/>
  <c r="D27" i="24"/>
  <c r="D46" i="24"/>
  <c r="D29" i="24"/>
  <c r="D36" i="24"/>
  <c r="B9" i="22"/>
  <c r="F17" i="22"/>
  <c r="D17" i="22"/>
  <c r="G14" i="22"/>
  <c r="F14" i="22" s="1"/>
  <c r="E14" i="22"/>
  <c r="D14" i="22" s="1"/>
  <c r="G16" i="22"/>
  <c r="F16" i="22" s="1"/>
  <c r="E16" i="22"/>
  <c r="D16" i="22" s="1"/>
  <c r="G15" i="22"/>
  <c r="F15" i="22" s="1"/>
  <c r="E15" i="22"/>
  <c r="D15" i="22" s="1"/>
  <c r="P32" i="20"/>
  <c r="Q32" i="20"/>
  <c r="O32" i="20"/>
  <c r="M15" i="20"/>
  <c r="Q15" i="20" s="1"/>
  <c r="M16" i="20"/>
  <c r="M17" i="20"/>
  <c r="M18" i="20"/>
  <c r="M19" i="20"/>
  <c r="M20" i="20"/>
  <c r="M14" i="20"/>
  <c r="L15" i="20"/>
  <c r="L16" i="20"/>
  <c r="L17" i="20"/>
  <c r="L18" i="20"/>
  <c r="L19" i="20"/>
  <c r="L20" i="20"/>
  <c r="L14" i="20"/>
  <c r="K15" i="20"/>
  <c r="K16" i="20"/>
  <c r="K17" i="20"/>
  <c r="K18" i="20"/>
  <c r="K19" i="20"/>
  <c r="K20" i="20"/>
  <c r="K14" i="20"/>
  <c r="G15" i="20"/>
  <c r="G16" i="20"/>
  <c r="G17" i="20"/>
  <c r="G18" i="20"/>
  <c r="G19" i="20"/>
  <c r="G20" i="20"/>
  <c r="G14" i="20"/>
  <c r="D15" i="20"/>
  <c r="E15" i="20"/>
  <c r="F15" i="20"/>
  <c r="D16" i="20"/>
  <c r="E16" i="20"/>
  <c r="F16" i="20"/>
  <c r="H16" i="20" s="1"/>
  <c r="D17" i="20"/>
  <c r="E17" i="20"/>
  <c r="D18" i="20"/>
  <c r="E18" i="20"/>
  <c r="D19" i="20"/>
  <c r="E19" i="20"/>
  <c r="F19" i="20"/>
  <c r="D20" i="20"/>
  <c r="E20" i="20"/>
  <c r="E14" i="20"/>
  <c r="O34" i="20" s="1"/>
  <c r="D14" i="20"/>
  <c r="F14" i="20" s="1"/>
  <c r="D40" i="19"/>
  <c r="E40" i="19"/>
  <c r="F40" i="19"/>
  <c r="G40" i="19"/>
  <c r="H40" i="19"/>
  <c r="I40" i="19"/>
  <c r="J40" i="19"/>
  <c r="K40" i="19"/>
  <c r="L40" i="19"/>
  <c r="D41" i="19"/>
  <c r="E41" i="19"/>
  <c r="F41" i="19"/>
  <c r="G41" i="19"/>
  <c r="H41" i="19"/>
  <c r="I41" i="19"/>
  <c r="J41" i="19"/>
  <c r="K41" i="19"/>
  <c r="L41" i="19"/>
  <c r="D42" i="19"/>
  <c r="E42" i="19"/>
  <c r="F42" i="19"/>
  <c r="G42" i="19"/>
  <c r="H42" i="19"/>
  <c r="I42" i="19"/>
  <c r="J42" i="19"/>
  <c r="K42" i="19"/>
  <c r="L42" i="19"/>
  <c r="H43" i="19"/>
  <c r="I43" i="19"/>
  <c r="J43" i="19"/>
  <c r="K43" i="19"/>
  <c r="L43" i="19"/>
  <c r="D44" i="19"/>
  <c r="E44" i="19"/>
  <c r="F44" i="19"/>
  <c r="G44" i="19"/>
  <c r="H44" i="19"/>
  <c r="I44" i="19"/>
  <c r="J44" i="19"/>
  <c r="K44" i="19"/>
  <c r="L44" i="19"/>
  <c r="D45" i="19"/>
  <c r="E45" i="19"/>
  <c r="F45" i="19"/>
  <c r="G45" i="19"/>
  <c r="H45" i="19"/>
  <c r="I45" i="19"/>
  <c r="J45" i="19"/>
  <c r="K45" i="19"/>
  <c r="L45" i="19"/>
  <c r="D46" i="19"/>
  <c r="E46" i="19"/>
  <c r="F46" i="19"/>
  <c r="G46" i="19"/>
  <c r="H46" i="19"/>
  <c r="I46" i="19"/>
  <c r="J46" i="19"/>
  <c r="K46" i="19"/>
  <c r="L46" i="19"/>
  <c r="C43" i="19"/>
  <c r="C75" i="6"/>
  <c r="D43" i="19" s="1"/>
  <c r="D75" i="6"/>
  <c r="E43" i="19" s="1"/>
  <c r="E75" i="6"/>
  <c r="F43" i="19" s="1"/>
  <c r="F75" i="6"/>
  <c r="G43" i="19" s="1"/>
  <c r="G75" i="6"/>
  <c r="H75" i="6"/>
  <c r="I75" i="6"/>
  <c r="J75" i="6"/>
  <c r="K75" i="6"/>
  <c r="B75" i="6"/>
  <c r="C45" i="19"/>
  <c r="C46" i="19"/>
  <c r="C44" i="19"/>
  <c r="C41" i="19"/>
  <c r="C42" i="19"/>
  <c r="C40" i="19"/>
  <c r="D39" i="19"/>
  <c r="E39" i="19"/>
  <c r="F39" i="19"/>
  <c r="G39" i="19"/>
  <c r="H39" i="19"/>
  <c r="I39" i="19"/>
  <c r="J39" i="19"/>
  <c r="K39" i="19"/>
  <c r="L39" i="19"/>
  <c r="C39" i="19"/>
  <c r="D34" i="19"/>
  <c r="E34" i="19"/>
  <c r="F34" i="19"/>
  <c r="G34" i="19"/>
  <c r="H34" i="19"/>
  <c r="I34" i="19"/>
  <c r="J34" i="19"/>
  <c r="K34" i="19"/>
  <c r="L34" i="19"/>
  <c r="D35" i="19"/>
  <c r="E35" i="19"/>
  <c r="F35" i="19"/>
  <c r="G35" i="19"/>
  <c r="H35" i="19"/>
  <c r="I35" i="19"/>
  <c r="J35" i="19"/>
  <c r="K35" i="19"/>
  <c r="L35" i="19"/>
  <c r="D36" i="19"/>
  <c r="E36" i="19"/>
  <c r="F36" i="19"/>
  <c r="G36" i="19"/>
  <c r="H36" i="19"/>
  <c r="I36" i="19"/>
  <c r="J36" i="19"/>
  <c r="K36" i="19"/>
  <c r="L36" i="19"/>
  <c r="D37" i="19"/>
  <c r="E37" i="19"/>
  <c r="F37" i="19"/>
  <c r="G37" i="19"/>
  <c r="H37" i="19"/>
  <c r="I37" i="19"/>
  <c r="J37" i="19"/>
  <c r="K37" i="19"/>
  <c r="L37" i="19"/>
  <c r="C35" i="19"/>
  <c r="C36" i="19"/>
  <c r="C37" i="19"/>
  <c r="C34" i="19"/>
  <c r="D33" i="19"/>
  <c r="E33" i="19"/>
  <c r="F33" i="19"/>
  <c r="G33" i="19"/>
  <c r="H33" i="19"/>
  <c r="I33" i="19"/>
  <c r="J33" i="19"/>
  <c r="K33" i="19"/>
  <c r="L33" i="19"/>
  <c r="C33" i="19"/>
  <c r="D12" i="19"/>
  <c r="E12" i="19"/>
  <c r="F12" i="19"/>
  <c r="G12" i="19"/>
  <c r="H12" i="19"/>
  <c r="I12" i="19"/>
  <c r="J12" i="19"/>
  <c r="K12" i="19"/>
  <c r="L12" i="19"/>
  <c r="D13" i="19"/>
  <c r="E13" i="19"/>
  <c r="F13" i="19"/>
  <c r="G13" i="19"/>
  <c r="H13" i="19"/>
  <c r="I13" i="19"/>
  <c r="J13" i="19"/>
  <c r="K13" i="19"/>
  <c r="L13" i="19"/>
  <c r="D14" i="19"/>
  <c r="E14" i="19"/>
  <c r="F14" i="19"/>
  <c r="G14" i="19"/>
  <c r="H14" i="19"/>
  <c r="I14" i="19"/>
  <c r="J14" i="19"/>
  <c r="K14" i="19"/>
  <c r="L14" i="19"/>
  <c r="D15" i="19"/>
  <c r="E15" i="19"/>
  <c r="F15" i="19"/>
  <c r="G15" i="19"/>
  <c r="H15" i="19"/>
  <c r="I15" i="19"/>
  <c r="J15" i="19"/>
  <c r="K15" i="19"/>
  <c r="L15" i="19"/>
  <c r="D16" i="19"/>
  <c r="E16" i="19"/>
  <c r="F16" i="19"/>
  <c r="G16" i="19"/>
  <c r="H16" i="19"/>
  <c r="I16" i="19"/>
  <c r="J16" i="19"/>
  <c r="K16" i="19"/>
  <c r="L16" i="19"/>
  <c r="D17" i="19"/>
  <c r="E17" i="19"/>
  <c r="F17" i="19"/>
  <c r="G17" i="19"/>
  <c r="H17" i="19"/>
  <c r="I17" i="19"/>
  <c r="J17" i="19"/>
  <c r="K17" i="19"/>
  <c r="L17" i="19"/>
  <c r="D18" i="19"/>
  <c r="E18" i="19"/>
  <c r="F18" i="19"/>
  <c r="G18" i="19"/>
  <c r="H18" i="19"/>
  <c r="I18" i="19"/>
  <c r="J18" i="19"/>
  <c r="K18" i="19"/>
  <c r="L18" i="19"/>
  <c r="D19" i="19"/>
  <c r="E19" i="19"/>
  <c r="F19" i="19"/>
  <c r="G19" i="19"/>
  <c r="H19" i="19"/>
  <c r="I19" i="19"/>
  <c r="J19" i="19"/>
  <c r="K19" i="19"/>
  <c r="L19" i="19"/>
  <c r="D20" i="19"/>
  <c r="E20" i="19"/>
  <c r="F20" i="19"/>
  <c r="G20" i="19"/>
  <c r="H20" i="19"/>
  <c r="I20" i="19"/>
  <c r="J20" i="19"/>
  <c r="K20" i="19"/>
  <c r="L20" i="19"/>
  <c r="D21" i="19"/>
  <c r="E21" i="19"/>
  <c r="F21" i="19"/>
  <c r="G21" i="19"/>
  <c r="H21" i="19"/>
  <c r="I21" i="19"/>
  <c r="J21" i="19"/>
  <c r="K21" i="19"/>
  <c r="L21" i="19"/>
  <c r="D22" i="19"/>
  <c r="E22" i="19"/>
  <c r="F22" i="19"/>
  <c r="G22" i="19"/>
  <c r="H22" i="19"/>
  <c r="I22" i="19"/>
  <c r="J22" i="19"/>
  <c r="K22" i="19"/>
  <c r="L22" i="19"/>
  <c r="D23" i="19"/>
  <c r="E23" i="19"/>
  <c r="F23" i="19"/>
  <c r="G23" i="19"/>
  <c r="H23" i="19"/>
  <c r="I23" i="19"/>
  <c r="J23" i="19"/>
  <c r="K23" i="19"/>
  <c r="L23" i="19"/>
  <c r="D24" i="19"/>
  <c r="E24" i="19"/>
  <c r="F24" i="19"/>
  <c r="G24" i="19"/>
  <c r="H24" i="19"/>
  <c r="I24" i="19"/>
  <c r="J24" i="19"/>
  <c r="K24" i="19"/>
  <c r="L24" i="19"/>
  <c r="D25" i="19"/>
  <c r="E25" i="19"/>
  <c r="F25" i="19"/>
  <c r="G25" i="19"/>
  <c r="H25" i="19"/>
  <c r="I25" i="19"/>
  <c r="J25" i="19"/>
  <c r="K25" i="19"/>
  <c r="L25" i="19"/>
  <c r="D26" i="19"/>
  <c r="E26" i="19"/>
  <c r="F26" i="19"/>
  <c r="G26" i="19"/>
  <c r="H26" i="19"/>
  <c r="I26" i="19"/>
  <c r="J26" i="19"/>
  <c r="K26" i="19"/>
  <c r="L26" i="19"/>
  <c r="C13" i="19"/>
  <c r="C14" i="19"/>
  <c r="C15" i="19"/>
  <c r="C16" i="19"/>
  <c r="C17" i="19"/>
  <c r="C18" i="19"/>
  <c r="C19" i="19"/>
  <c r="C20" i="19"/>
  <c r="C21" i="19"/>
  <c r="C22" i="19"/>
  <c r="C23" i="19"/>
  <c r="C24" i="19"/>
  <c r="C25" i="19"/>
  <c r="C26" i="19"/>
  <c r="C12" i="19"/>
  <c r="D10" i="19"/>
  <c r="E10" i="19"/>
  <c r="F10" i="19"/>
  <c r="G10" i="19"/>
  <c r="H10" i="19"/>
  <c r="I10" i="19"/>
  <c r="J10" i="19"/>
  <c r="K10" i="19"/>
  <c r="L10" i="19"/>
  <c r="C10" i="19"/>
  <c r="B8" i="19"/>
  <c r="F17" i="20" l="1"/>
  <c r="H17" i="20" s="1"/>
  <c r="P17" i="20" s="1"/>
  <c r="F18" i="20"/>
  <c r="H18" i="20" s="1"/>
  <c r="H19" i="20"/>
  <c r="O19" i="20" s="1"/>
  <c r="Q14" i="20"/>
  <c r="H14" i="20"/>
  <c r="Q34" i="20"/>
  <c r="P34" i="20"/>
  <c r="H15" i="20"/>
  <c r="O15" i="20" s="1"/>
  <c r="F20" i="20"/>
  <c r="Q19" i="20"/>
  <c r="Q16" i="20"/>
  <c r="K48" i="28"/>
  <c r="K52" i="28" s="1"/>
  <c r="F56" i="31"/>
  <c r="E56" i="31"/>
  <c r="D59" i="31"/>
  <c r="D65" i="31" s="1"/>
  <c r="D71" i="31" s="1"/>
  <c r="H56" i="31"/>
  <c r="I68" i="31"/>
  <c r="E59" i="31"/>
  <c r="E65" i="31" s="1"/>
  <c r="E71" i="31" s="1"/>
  <c r="F59" i="31"/>
  <c r="F65" i="31" s="1"/>
  <c r="F71" i="31" s="1"/>
  <c r="G59" i="31"/>
  <c r="G65" i="31" s="1"/>
  <c r="G71" i="31" s="1"/>
  <c r="I59" i="31"/>
  <c r="I65" i="31" s="1"/>
  <c r="I71" i="31" s="1"/>
  <c r="H59" i="31"/>
  <c r="H65" i="31" s="1"/>
  <c r="H71" i="31" s="1"/>
  <c r="D62" i="31"/>
  <c r="C56" i="31"/>
  <c r="C61" i="31"/>
  <c r="C67" i="31" s="1"/>
  <c r="I56" i="31"/>
  <c r="H61" i="31"/>
  <c r="G61" i="31"/>
  <c r="F61" i="31"/>
  <c r="E61" i="31"/>
  <c r="D56" i="31"/>
  <c r="G56" i="31"/>
  <c r="D68" i="31"/>
  <c r="I62" i="31"/>
  <c r="C83" i="31"/>
  <c r="F75" i="29"/>
  <c r="F81" i="29" s="1"/>
  <c r="E88" i="29"/>
  <c r="H76" i="29"/>
  <c r="H82" i="29" s="1"/>
  <c r="G76" i="29"/>
  <c r="G82" i="29" s="1"/>
  <c r="F76" i="29"/>
  <c r="F82" i="29" s="1"/>
  <c r="D59" i="29"/>
  <c r="I76" i="29"/>
  <c r="I78" i="29" s="1"/>
  <c r="D76" i="29"/>
  <c r="D82" i="29" s="1"/>
  <c r="E76" i="29"/>
  <c r="E82" i="29" s="1"/>
  <c r="E84" i="29" s="1"/>
  <c r="I56" i="29"/>
  <c r="C56" i="29"/>
  <c r="H56" i="29"/>
  <c r="G56" i="29"/>
  <c r="F56" i="29"/>
  <c r="E56" i="29"/>
  <c r="D56" i="29"/>
  <c r="H66" i="29"/>
  <c r="C62" i="29"/>
  <c r="D70" i="29"/>
  <c r="C70" i="29"/>
  <c r="I68" i="29"/>
  <c r="I70" i="29" s="1"/>
  <c r="D62" i="29"/>
  <c r="C76" i="29"/>
  <c r="C82" i="29" s="1"/>
  <c r="C84" i="29" s="1"/>
  <c r="F62" i="29"/>
  <c r="G64" i="29"/>
  <c r="G66" i="29" s="1"/>
  <c r="G69" i="29"/>
  <c r="H68" i="29"/>
  <c r="H70" i="29" s="1"/>
  <c r="E62" i="29"/>
  <c r="G62" i="29"/>
  <c r="F64" i="29"/>
  <c r="F66" i="29" s="1"/>
  <c r="D66" i="29"/>
  <c r="I62" i="29"/>
  <c r="C64" i="29"/>
  <c r="C66" i="29" s="1"/>
  <c r="I88" i="29"/>
  <c r="F87" i="29"/>
  <c r="F88" i="29" s="1"/>
  <c r="G87" i="29"/>
  <c r="G88" i="29" s="1"/>
  <c r="F84" i="29"/>
  <c r="H83" i="29"/>
  <c r="H86" i="29" s="1"/>
  <c r="H88" i="29" s="1"/>
  <c r="E68" i="29"/>
  <c r="E70" i="29" s="1"/>
  <c r="D77" i="29"/>
  <c r="D87" i="29" s="1"/>
  <c r="H62" i="29"/>
  <c r="I64" i="29"/>
  <c r="I66" i="29" s="1"/>
  <c r="G68" i="29"/>
  <c r="F68" i="29"/>
  <c r="F70" i="29" s="1"/>
  <c r="C75" i="29"/>
  <c r="C81" i="29" s="1"/>
  <c r="I75" i="29"/>
  <c r="I81" i="29" s="1"/>
  <c r="C77" i="29"/>
  <c r="H75" i="29"/>
  <c r="H81" i="29" s="1"/>
  <c r="D83" i="29"/>
  <c r="D86" i="29" s="1"/>
  <c r="G75" i="29"/>
  <c r="G81" i="29" s="1"/>
  <c r="E64" i="29"/>
  <c r="E66" i="29" s="1"/>
  <c r="G84" i="29"/>
  <c r="G53" i="25"/>
  <c r="G37" i="25"/>
  <c r="G21" i="25"/>
  <c r="G5" i="25"/>
  <c r="G51" i="25"/>
  <c r="G35" i="25"/>
  <c r="G19" i="25"/>
  <c r="G50" i="25"/>
  <c r="G34" i="25"/>
  <c r="G18" i="25"/>
  <c r="G49" i="25"/>
  <c r="G33" i="25"/>
  <c r="G48" i="25"/>
  <c r="G32" i="25"/>
  <c r="G16" i="25"/>
  <c r="G3" i="25"/>
  <c r="G47" i="25"/>
  <c r="G31" i="25"/>
  <c r="P15" i="20"/>
  <c r="P19" i="20"/>
  <c r="P16" i="20"/>
  <c r="O16" i="20"/>
  <c r="O18" i="20" l="1"/>
  <c r="P18" i="20"/>
  <c r="Q18" i="20"/>
  <c r="Q17" i="20"/>
  <c r="O17" i="20"/>
  <c r="Q20" i="20"/>
  <c r="H20" i="20"/>
  <c r="P14" i="20"/>
  <c r="O14" i="20"/>
  <c r="F67" i="31"/>
  <c r="E62" i="31"/>
  <c r="E67" i="31"/>
  <c r="G67" i="31"/>
  <c r="H67" i="31"/>
  <c r="H62" i="31"/>
  <c r="F62" i="31"/>
  <c r="D74" i="31"/>
  <c r="C68" i="31"/>
  <c r="C62" i="31"/>
  <c r="G62" i="31"/>
  <c r="E90" i="29"/>
  <c r="E78" i="29"/>
  <c r="H78" i="29"/>
  <c r="I82" i="29"/>
  <c r="I84" i="29" s="1"/>
  <c r="I90" i="29" s="1"/>
  <c r="G78" i="29"/>
  <c r="F78" i="29"/>
  <c r="D84" i="29"/>
  <c r="G90" i="29"/>
  <c r="D78" i="29"/>
  <c r="C72" i="29"/>
  <c r="D72" i="29"/>
  <c r="G70" i="29"/>
  <c r="G72" i="29" s="1"/>
  <c r="I72" i="29"/>
  <c r="F90" i="29"/>
  <c r="E72" i="29"/>
  <c r="D88" i="29"/>
  <c r="C78" i="29"/>
  <c r="C87" i="29"/>
  <c r="C88" i="29" s="1"/>
  <c r="C90" i="29" s="1"/>
  <c r="F72" i="29"/>
  <c r="H84" i="29"/>
  <c r="H90" i="29" s="1"/>
  <c r="H72" i="29"/>
  <c r="K14" i="25"/>
  <c r="M5" i="25"/>
  <c r="M4" i="25"/>
  <c r="M7" i="25"/>
  <c r="M6" i="25"/>
  <c r="K13" i="25"/>
  <c r="K12" i="25"/>
  <c r="Q23" i="20" l="1"/>
  <c r="Q27" i="20"/>
  <c r="Q26" i="20"/>
  <c r="Q24" i="20"/>
  <c r="Q22" i="20"/>
  <c r="Q25" i="20"/>
  <c r="Q33" i="20" s="1"/>
  <c r="Q31" i="20" s="1"/>
  <c r="P20" i="20"/>
  <c r="P26" i="20" s="1"/>
  <c r="O20" i="20"/>
  <c r="O23" i="20" s="1"/>
  <c r="G74" i="31"/>
  <c r="H74" i="31"/>
  <c r="H68" i="31"/>
  <c r="G68" i="31"/>
  <c r="E74" i="31"/>
  <c r="E68" i="31"/>
  <c r="F74" i="31"/>
  <c r="F68" i="31"/>
  <c r="D90" i="29"/>
  <c r="B8" i="18"/>
  <c r="D44" i="17"/>
  <c r="D43" i="17"/>
  <c r="D33" i="17"/>
  <c r="I20" i="17"/>
  <c r="J20" i="17" s="1"/>
  <c r="F2" i="15"/>
  <c r="G2" i="15"/>
  <c r="G38" i="15" s="1"/>
  <c r="G53" i="15" s="1"/>
  <c r="H2" i="15"/>
  <c r="H38" i="15" s="1"/>
  <c r="H53" i="15" s="1"/>
  <c r="I2" i="15"/>
  <c r="I38" i="15" s="1"/>
  <c r="I53" i="15" s="1"/>
  <c r="G47" i="15"/>
  <c r="H47" i="15"/>
  <c r="I47" i="15"/>
  <c r="F47" i="15"/>
  <c r="G41" i="15"/>
  <c r="H41" i="15"/>
  <c r="I41" i="15"/>
  <c r="F41" i="15"/>
  <c r="F40" i="15"/>
  <c r="G40" i="15"/>
  <c r="H40" i="15"/>
  <c r="I40" i="15"/>
  <c r="E40" i="15"/>
  <c r="F38" i="15"/>
  <c r="F53" i="15" s="1"/>
  <c r="O25" i="20" l="1"/>
  <c r="O31" i="20" s="1"/>
  <c r="O33" i="20" s="1"/>
  <c r="O35" i="20" s="1"/>
  <c r="E13" i="22" s="1"/>
  <c r="D13" i="22" s="1"/>
  <c r="O24" i="20"/>
  <c r="P23" i="20"/>
  <c r="P27" i="20"/>
  <c r="P25" i="20"/>
  <c r="P31" i="20" s="1"/>
  <c r="P33" i="20" s="1"/>
  <c r="P35" i="20" s="1"/>
  <c r="P37" i="20" s="1"/>
  <c r="P24" i="20"/>
  <c r="P22" i="20"/>
  <c r="O26" i="20"/>
  <c r="O22" i="20"/>
  <c r="O27" i="20"/>
  <c r="K20" i="17"/>
  <c r="O37" i="20" l="1"/>
  <c r="L20" i="17"/>
  <c r="M20" i="17" l="1"/>
  <c r="F32" i="15" l="1"/>
  <c r="G32" i="15"/>
  <c r="H32" i="15"/>
  <c r="I32" i="15"/>
  <c r="E17" i="15"/>
  <c r="F30" i="15"/>
  <c r="G30" i="15"/>
  <c r="H30" i="15"/>
  <c r="I30" i="15"/>
  <c r="E30" i="15"/>
  <c r="E32" i="15" s="1"/>
  <c r="E21" i="15"/>
  <c r="F21" i="15"/>
  <c r="G21" i="15"/>
  <c r="H21" i="15"/>
  <c r="I21" i="15"/>
  <c r="E22" i="15"/>
  <c r="F22" i="15"/>
  <c r="G22" i="15"/>
  <c r="H22" i="15"/>
  <c r="I22" i="15"/>
  <c r="E23" i="15"/>
  <c r="F23" i="15"/>
  <c r="G23" i="15"/>
  <c r="H23" i="15"/>
  <c r="I23" i="15"/>
  <c r="E24" i="15"/>
  <c r="F24" i="15"/>
  <c r="G24" i="15"/>
  <c r="H24" i="15"/>
  <c r="I24" i="15"/>
  <c r="G25" i="15"/>
  <c r="H25" i="15"/>
  <c r="I25" i="15"/>
  <c r="G26" i="15"/>
  <c r="H26" i="15"/>
  <c r="I26" i="15"/>
  <c r="G27" i="15"/>
  <c r="H27" i="15"/>
  <c r="I27" i="15"/>
  <c r="G28" i="15"/>
  <c r="H28" i="15"/>
  <c r="I28" i="15"/>
  <c r="E29" i="15"/>
  <c r="F29" i="15"/>
  <c r="G29" i="15"/>
  <c r="H29" i="15"/>
  <c r="I29" i="15"/>
  <c r="F20" i="15"/>
  <c r="G20" i="15"/>
  <c r="H20" i="15"/>
  <c r="I20" i="15"/>
  <c r="E20" i="15"/>
  <c r="B21" i="15"/>
  <c r="B22" i="15"/>
  <c r="B23" i="15"/>
  <c r="B24" i="15"/>
  <c r="B29" i="15"/>
  <c r="B20" i="15"/>
  <c r="F17" i="15"/>
  <c r="G17" i="15"/>
  <c r="H17" i="15"/>
  <c r="I17" i="15"/>
  <c r="F15" i="15"/>
  <c r="G15" i="15"/>
  <c r="H15" i="15"/>
  <c r="I15" i="15"/>
  <c r="E15" i="15"/>
  <c r="F12" i="15"/>
  <c r="G12" i="15"/>
  <c r="H12" i="15"/>
  <c r="I12" i="15"/>
  <c r="F13" i="15"/>
  <c r="G13" i="15"/>
  <c r="H13" i="15"/>
  <c r="I13" i="15"/>
  <c r="F14" i="15"/>
  <c r="G14" i="15"/>
  <c r="H14" i="15"/>
  <c r="I14" i="15"/>
  <c r="E13" i="15"/>
  <c r="E14" i="15"/>
  <c r="E12" i="15"/>
  <c r="B13" i="15"/>
  <c r="B14" i="15"/>
  <c r="B12" i="15"/>
  <c r="F9" i="15"/>
  <c r="G9" i="15"/>
  <c r="H9" i="15"/>
  <c r="I9" i="15"/>
  <c r="E9" i="15"/>
  <c r="E8" i="15"/>
  <c r="F8" i="15"/>
  <c r="G8" i="15"/>
  <c r="H8" i="15"/>
  <c r="I8" i="15"/>
  <c r="F7" i="15"/>
  <c r="G7" i="15"/>
  <c r="H7" i="15"/>
  <c r="I7" i="15"/>
  <c r="E7" i="15"/>
  <c r="F5" i="15"/>
  <c r="G5" i="15"/>
  <c r="H5" i="15"/>
  <c r="I5" i="15"/>
  <c r="F6" i="15"/>
  <c r="G6" i="15"/>
  <c r="H6" i="15"/>
  <c r="I6" i="15"/>
  <c r="E6" i="15"/>
  <c r="E5" i="15"/>
  <c r="B6" i="15"/>
  <c r="B7" i="15"/>
  <c r="B8" i="15"/>
  <c r="B5" i="15"/>
  <c r="D29" i="16"/>
  <c r="D40" i="16" s="1"/>
  <c r="E29" i="16"/>
  <c r="E40" i="16" s="1"/>
  <c r="F29" i="16"/>
  <c r="F40" i="16" s="1"/>
  <c r="G29" i="16"/>
  <c r="G40" i="16" s="1"/>
  <c r="H29" i="16"/>
  <c r="H40" i="16" s="1"/>
  <c r="I29" i="16"/>
  <c r="I40" i="16" s="1"/>
  <c r="J29" i="16"/>
  <c r="J40" i="16" s="1"/>
  <c r="K29" i="16"/>
  <c r="K40" i="16" s="1"/>
  <c r="L29" i="16"/>
  <c r="L40" i="16" s="1"/>
  <c r="M29" i="16"/>
  <c r="M40" i="16" s="1"/>
  <c r="N29" i="16"/>
  <c r="N40" i="16" s="1"/>
  <c r="C29" i="16"/>
  <c r="C40" i="16" s="1"/>
  <c r="G10" i="12"/>
  <c r="K28" i="10" s="1"/>
  <c r="G6" i="12"/>
  <c r="G4" i="12" l="1"/>
  <c r="J19" i="10"/>
  <c r="J18" i="10"/>
  <c r="J17" i="10"/>
  <c r="J16" i="10"/>
  <c r="L8" i="11"/>
  <c r="L14" i="11" s="1"/>
  <c r="O6" i="11"/>
  <c r="AC3" i="11"/>
  <c r="Y3" i="11"/>
  <c r="U3" i="11"/>
  <c r="AD67" i="11"/>
  <c r="AD66" i="11"/>
  <c r="AD65" i="11"/>
  <c r="AD64" i="11"/>
  <c r="AD63" i="11"/>
  <c r="AD62" i="11"/>
  <c r="AD61" i="11"/>
  <c r="AD60" i="11"/>
  <c r="AD59" i="11"/>
  <c r="AD58" i="11"/>
  <c r="AD57" i="11"/>
  <c r="AD56" i="11"/>
  <c r="AD55" i="11"/>
  <c r="AD54" i="11"/>
  <c r="AD53" i="11"/>
  <c r="AD52" i="11"/>
  <c r="AD51" i="11"/>
  <c r="AD50" i="11"/>
  <c r="AD49" i="11"/>
  <c r="AD48" i="11"/>
  <c r="AD47" i="11"/>
  <c r="AD46" i="11"/>
  <c r="AD45" i="11"/>
  <c r="AD44" i="11"/>
  <c r="AD43" i="11"/>
  <c r="AD42" i="11"/>
  <c r="AD41" i="11"/>
  <c r="AD40" i="11"/>
  <c r="AD39" i="11"/>
  <c r="AD38" i="11"/>
  <c r="AD37" i="11"/>
  <c r="AD36" i="11"/>
  <c r="AD35" i="11"/>
  <c r="AD34" i="11"/>
  <c r="AD33" i="11"/>
  <c r="AD32" i="11"/>
  <c r="AD31" i="11"/>
  <c r="AD30" i="11"/>
  <c r="AD29" i="11"/>
  <c r="AD28" i="11"/>
  <c r="AD27" i="11"/>
  <c r="AD26" i="11"/>
  <c r="Z67" i="11"/>
  <c r="AD25" i="11"/>
  <c r="Z66" i="11"/>
  <c r="AD24" i="11"/>
  <c r="Z65" i="11"/>
  <c r="AD23" i="11"/>
  <c r="Z64" i="11"/>
  <c r="AD22" i="11"/>
  <c r="Z63" i="11"/>
  <c r="AD21" i="11"/>
  <c r="Z62" i="11"/>
  <c r="AD20" i="11"/>
  <c r="Z61" i="11"/>
  <c r="AD19" i="11"/>
  <c r="Z60" i="11"/>
  <c r="AD18" i="11"/>
  <c r="Z59" i="11"/>
  <c r="AD17" i="11"/>
  <c r="Z58" i="11"/>
  <c r="AD16" i="11"/>
  <c r="Z57" i="11"/>
  <c r="AD15" i="11"/>
  <c r="Z56" i="11"/>
  <c r="AD14" i="11"/>
  <c r="Z55" i="11"/>
  <c r="AD13" i="11"/>
  <c r="Z54" i="11"/>
  <c r="AD12" i="11"/>
  <c r="Z53" i="11"/>
  <c r="AD11" i="11"/>
  <c r="Z52" i="11"/>
  <c r="AD10" i="11"/>
  <c r="Z51" i="11"/>
  <c r="AD9" i="11"/>
  <c r="Z50" i="11"/>
  <c r="AD8" i="11"/>
  <c r="Z49" i="11"/>
  <c r="Z48" i="11"/>
  <c r="Z47" i="11"/>
  <c r="Z46" i="11"/>
  <c r="AB4" i="11"/>
  <c r="Z45" i="11"/>
  <c r="Z44" i="11"/>
  <c r="V67" i="11"/>
  <c r="Z43" i="11"/>
  <c r="H67" i="11"/>
  <c r="D67" i="11"/>
  <c r="V66" i="11"/>
  <c r="Z42" i="11"/>
  <c r="H66" i="11"/>
  <c r="D66" i="11"/>
  <c r="V65" i="11"/>
  <c r="Z41" i="11"/>
  <c r="H65" i="11"/>
  <c r="D65" i="11"/>
  <c r="V64" i="11"/>
  <c r="Z40" i="11"/>
  <c r="H64" i="11"/>
  <c r="D64" i="11"/>
  <c r="V63" i="11"/>
  <c r="Z39" i="11"/>
  <c r="H63" i="11"/>
  <c r="D63" i="11"/>
  <c r="V62" i="11"/>
  <c r="Z38" i="11"/>
  <c r="H62" i="11"/>
  <c r="D62" i="11"/>
  <c r="V61" i="11"/>
  <c r="Z37" i="11"/>
  <c r="H61" i="11"/>
  <c r="D61" i="11"/>
  <c r="V60" i="11"/>
  <c r="Z36" i="11"/>
  <c r="H60" i="11"/>
  <c r="D60" i="11"/>
  <c r="V59" i="11"/>
  <c r="Z35" i="11"/>
  <c r="H59" i="11"/>
  <c r="D59" i="11"/>
  <c r="V58" i="11"/>
  <c r="Z34" i="11"/>
  <c r="H58" i="11"/>
  <c r="D58" i="11"/>
  <c r="V57" i="11"/>
  <c r="Z33" i="11"/>
  <c r="H57" i="11"/>
  <c r="D57" i="11"/>
  <c r="V56" i="11"/>
  <c r="Z32" i="11"/>
  <c r="H56" i="11"/>
  <c r="D56" i="11"/>
  <c r="V55" i="11"/>
  <c r="Z31" i="11"/>
  <c r="H55" i="11"/>
  <c r="D55" i="11"/>
  <c r="V54" i="11"/>
  <c r="Z30" i="11"/>
  <c r="H54" i="11"/>
  <c r="D54" i="11"/>
  <c r="V53" i="11"/>
  <c r="Z29" i="11"/>
  <c r="H53" i="11"/>
  <c r="D53" i="11"/>
  <c r="V52" i="11"/>
  <c r="Z28" i="11"/>
  <c r="H52" i="11"/>
  <c r="D52" i="11"/>
  <c r="V51" i="11"/>
  <c r="Z27" i="11"/>
  <c r="H51" i="11"/>
  <c r="D51" i="11"/>
  <c r="V50" i="11"/>
  <c r="Z26" i="11"/>
  <c r="H50" i="11"/>
  <c r="D50" i="11"/>
  <c r="V49" i="11"/>
  <c r="Z25" i="11"/>
  <c r="H49" i="11"/>
  <c r="D49" i="11"/>
  <c r="V48" i="11"/>
  <c r="Z24" i="11"/>
  <c r="H48" i="11"/>
  <c r="D48" i="11"/>
  <c r="V47" i="11"/>
  <c r="Z23" i="11"/>
  <c r="H47" i="11"/>
  <c r="D47" i="11"/>
  <c r="V46" i="11"/>
  <c r="Z22" i="11"/>
  <c r="H46" i="11"/>
  <c r="D46" i="11"/>
  <c r="V45" i="11"/>
  <c r="Z21" i="11"/>
  <c r="H45" i="11"/>
  <c r="D45" i="11"/>
  <c r="V44" i="11"/>
  <c r="Z20" i="11"/>
  <c r="H44" i="11"/>
  <c r="D44" i="11"/>
  <c r="V43" i="11"/>
  <c r="Z19" i="11"/>
  <c r="H43" i="11"/>
  <c r="D43" i="11"/>
  <c r="V42" i="11"/>
  <c r="Z18" i="11"/>
  <c r="H42" i="11"/>
  <c r="D42" i="11"/>
  <c r="V41" i="11"/>
  <c r="Z17" i="11"/>
  <c r="H41" i="11"/>
  <c r="D41" i="11"/>
  <c r="V40" i="11"/>
  <c r="Z16" i="11"/>
  <c r="H40" i="11"/>
  <c r="D40" i="11"/>
  <c r="V39" i="11"/>
  <c r="Z15" i="11"/>
  <c r="H39" i="11"/>
  <c r="D39" i="11"/>
  <c r="V38" i="11"/>
  <c r="Z14" i="11"/>
  <c r="H38" i="11"/>
  <c r="D38" i="11"/>
  <c r="V37" i="11"/>
  <c r="Z13" i="11"/>
  <c r="H37" i="11"/>
  <c r="D37" i="11"/>
  <c r="V36" i="11"/>
  <c r="Z12" i="11"/>
  <c r="H36" i="11"/>
  <c r="D36" i="11"/>
  <c r="V35" i="11"/>
  <c r="Z11" i="11"/>
  <c r="H35" i="11"/>
  <c r="D35" i="11"/>
  <c r="V34" i="11"/>
  <c r="Z10" i="11"/>
  <c r="H34" i="11"/>
  <c r="D34" i="11"/>
  <c r="V33" i="11"/>
  <c r="Z9" i="11"/>
  <c r="H33" i="11"/>
  <c r="D33" i="11"/>
  <c r="V32" i="11"/>
  <c r="Z8" i="11"/>
  <c r="H32" i="11"/>
  <c r="D32" i="11"/>
  <c r="V31" i="11"/>
  <c r="H31" i="11"/>
  <c r="D31" i="11"/>
  <c r="V30" i="11"/>
  <c r="H30" i="11"/>
  <c r="D30" i="11"/>
  <c r="V29" i="11"/>
  <c r="H29" i="11"/>
  <c r="D29" i="11"/>
  <c r="V28" i="11"/>
  <c r="X4" i="11"/>
  <c r="H28" i="11"/>
  <c r="D28" i="11"/>
  <c r="V27" i="11"/>
  <c r="H27" i="11"/>
  <c r="D27" i="11"/>
  <c r="V26" i="11"/>
  <c r="H26" i="11"/>
  <c r="D26" i="11"/>
  <c r="V25" i="11"/>
  <c r="H25" i="11"/>
  <c r="D25" i="11"/>
  <c r="V24" i="11"/>
  <c r="H24" i="11"/>
  <c r="D24" i="11"/>
  <c r="V23" i="11"/>
  <c r="H23" i="11"/>
  <c r="D23" i="11"/>
  <c r="V22" i="11"/>
  <c r="H22" i="11"/>
  <c r="D22" i="11"/>
  <c r="V21" i="11"/>
  <c r="H21" i="11"/>
  <c r="D21" i="11"/>
  <c r="V20" i="11"/>
  <c r="H20" i="11"/>
  <c r="D20" i="11"/>
  <c r="V19" i="11"/>
  <c r="H19" i="11"/>
  <c r="D19" i="11"/>
  <c r="V18" i="11"/>
  <c r="H18" i="11"/>
  <c r="D18" i="11"/>
  <c r="V17" i="11"/>
  <c r="H17" i="11"/>
  <c r="D17" i="11"/>
  <c r="V16" i="11"/>
  <c r="H16" i="11"/>
  <c r="D16" i="11"/>
  <c r="V15" i="11"/>
  <c r="H15" i="11"/>
  <c r="D15" i="11"/>
  <c r="V14" i="11"/>
  <c r="H14" i="11"/>
  <c r="D14" i="11"/>
  <c r="V13" i="11"/>
  <c r="H13" i="11"/>
  <c r="D13" i="11"/>
  <c r="V12" i="11"/>
  <c r="H12" i="11"/>
  <c r="D12" i="11"/>
  <c r="V11" i="11"/>
  <c r="H11" i="11"/>
  <c r="D11" i="11"/>
  <c r="V10" i="11"/>
  <c r="H10" i="11"/>
  <c r="D10" i="11"/>
  <c r="V9" i="11"/>
  <c r="H9" i="11"/>
  <c r="D9" i="11"/>
  <c r="V8" i="11"/>
  <c r="H8" i="11"/>
  <c r="D8" i="11"/>
  <c r="T4" i="11"/>
  <c r="B4" i="11"/>
  <c r="D37" i="10"/>
  <c r="E37" i="10" s="1"/>
  <c r="E35" i="10"/>
  <c r="E39" i="10" s="1"/>
  <c r="G22" i="10"/>
  <c r="F22" i="10"/>
  <c r="E22" i="10"/>
  <c r="G21" i="10"/>
  <c r="F28" i="10" s="1"/>
  <c r="F29" i="10" s="1"/>
  <c r="K44" i="10" s="1"/>
  <c r="F21" i="10"/>
  <c r="E21" i="10"/>
  <c r="I19" i="10"/>
  <c r="H19" i="10"/>
  <c r="I18" i="10"/>
  <c r="H18" i="10"/>
  <c r="I17" i="10"/>
  <c r="H17" i="10"/>
  <c r="K17" i="10" s="1"/>
  <c r="I16" i="10"/>
  <c r="I22" i="10" s="1"/>
  <c r="H16" i="10"/>
  <c r="H22" i="10" s="1"/>
  <c r="B6" i="6"/>
  <c r="D46" i="17" s="1"/>
  <c r="E1" i="6"/>
  <c r="F82" i="4"/>
  <c r="F71" i="4"/>
  <c r="L64" i="4"/>
  <c r="K64" i="4"/>
  <c r="J64" i="4"/>
  <c r="I64" i="4"/>
  <c r="H64" i="4"/>
  <c r="B60" i="4"/>
  <c r="B58" i="4"/>
  <c r="B56" i="4"/>
  <c r="B54" i="4"/>
  <c r="B53" i="4"/>
  <c r="C52" i="4"/>
  <c r="B52" i="4"/>
  <c r="B51" i="4"/>
  <c r="B49" i="4"/>
  <c r="C48" i="4"/>
  <c r="B48" i="4"/>
  <c r="B47" i="4"/>
  <c r="G46" i="4"/>
  <c r="E46" i="4"/>
  <c r="B46" i="4"/>
  <c r="D45" i="4"/>
  <c r="B45" i="4"/>
  <c r="B43" i="4"/>
  <c r="C42" i="4"/>
  <c r="B42" i="4"/>
  <c r="G41" i="4"/>
  <c r="B41" i="4"/>
  <c r="G40" i="4"/>
  <c r="F40" i="4"/>
  <c r="E40" i="4"/>
  <c r="E82" i="4" s="1"/>
  <c r="D40" i="4"/>
  <c r="B40" i="4"/>
  <c r="B39" i="4"/>
  <c r="F38" i="4"/>
  <c r="B38" i="4"/>
  <c r="B36" i="4"/>
  <c r="L32" i="4"/>
  <c r="M12" i="17" s="1"/>
  <c r="K32" i="4"/>
  <c r="L12" i="17" s="1"/>
  <c r="J32" i="4"/>
  <c r="K12" i="17" s="1"/>
  <c r="I32" i="4"/>
  <c r="J12" i="17" s="1"/>
  <c r="H32" i="4"/>
  <c r="I12" i="17" s="1"/>
  <c r="G31" i="4"/>
  <c r="G71" i="4" s="1"/>
  <c r="L27" i="4"/>
  <c r="K27" i="4"/>
  <c r="J27" i="4"/>
  <c r="I27" i="4"/>
  <c r="H27" i="4"/>
  <c r="L22" i="4"/>
  <c r="K22" i="4"/>
  <c r="J22" i="4"/>
  <c r="I22" i="4"/>
  <c r="H22" i="4"/>
  <c r="L21" i="4"/>
  <c r="K21" i="4"/>
  <c r="J21" i="4"/>
  <c r="I21" i="4"/>
  <c r="H21" i="4"/>
  <c r="F21" i="4"/>
  <c r="D21" i="4"/>
  <c r="C21" i="4"/>
  <c r="E9" i="4"/>
  <c r="D9" i="4"/>
  <c r="C9" i="4"/>
  <c r="B4" i="4"/>
  <c r="B2" i="4"/>
  <c r="M67" i="3"/>
  <c r="L67" i="3"/>
  <c r="K67" i="3"/>
  <c r="J67" i="3"/>
  <c r="I67" i="3"/>
  <c r="M66" i="3"/>
  <c r="L66" i="3"/>
  <c r="K66" i="3"/>
  <c r="J66" i="3"/>
  <c r="I66" i="3"/>
  <c r="H31" i="3"/>
  <c r="G75" i="4" s="1"/>
  <c r="G31" i="3"/>
  <c r="G32" i="3" s="1"/>
  <c r="F31" i="3"/>
  <c r="F32" i="3" s="1"/>
  <c r="E31" i="3"/>
  <c r="D20" i="3"/>
  <c r="C20" i="3"/>
  <c r="F18" i="3"/>
  <c r="E18" i="3"/>
  <c r="M15" i="3"/>
  <c r="L16" i="4" s="1"/>
  <c r="L15" i="3"/>
  <c r="K16" i="4" s="1"/>
  <c r="K15" i="3"/>
  <c r="J16" i="4" s="1"/>
  <c r="J15" i="3"/>
  <c r="I16" i="4" s="1"/>
  <c r="I15" i="3"/>
  <c r="H16" i="4" s="1"/>
  <c r="M13" i="3"/>
  <c r="L10" i="4" s="1"/>
  <c r="L13" i="3"/>
  <c r="K10" i="4" s="1"/>
  <c r="K13" i="3"/>
  <c r="J13" i="3"/>
  <c r="J14" i="3" s="1"/>
  <c r="I13" i="4" s="1"/>
  <c r="I13" i="3"/>
  <c r="M12" i="3"/>
  <c r="L7" i="4" s="1"/>
  <c r="L12" i="3"/>
  <c r="K7" i="4" s="1"/>
  <c r="K12" i="3"/>
  <c r="J7" i="4" s="1"/>
  <c r="J12" i="3"/>
  <c r="I7" i="4" s="1"/>
  <c r="I12" i="3"/>
  <c r="H7" i="4" s="1"/>
  <c r="H11" i="3"/>
  <c r="I11" i="3" s="1"/>
  <c r="J11" i="3" s="1"/>
  <c r="K11" i="3" s="1"/>
  <c r="L11" i="3" s="1"/>
  <c r="M11" i="3" s="1"/>
  <c r="L5" i="4" s="1"/>
  <c r="M8" i="17" s="1"/>
  <c r="B8" i="3"/>
  <c r="L106" i="2"/>
  <c r="K106" i="2"/>
  <c r="J106" i="2"/>
  <c r="I106" i="2"/>
  <c r="H106" i="2"/>
  <c r="G106" i="2"/>
  <c r="F106" i="2"/>
  <c r="E106" i="2"/>
  <c r="D106" i="2"/>
  <c r="C106" i="2"/>
  <c r="L105" i="2"/>
  <c r="K105" i="2"/>
  <c r="J105" i="2"/>
  <c r="I105" i="2"/>
  <c r="H105" i="2"/>
  <c r="G105" i="2"/>
  <c r="F105" i="2"/>
  <c r="E105" i="2"/>
  <c r="D105" i="2"/>
  <c r="C105" i="2"/>
  <c r="L104" i="2"/>
  <c r="K104" i="2"/>
  <c r="J104" i="2"/>
  <c r="I104" i="2"/>
  <c r="H104" i="2"/>
  <c r="G104" i="2"/>
  <c r="F104" i="2"/>
  <c r="E104" i="2"/>
  <c r="D104" i="2"/>
  <c r="C104" i="2"/>
  <c r="L103" i="2"/>
  <c r="K103" i="2"/>
  <c r="K107" i="2" s="1"/>
  <c r="J103" i="2"/>
  <c r="J107" i="2" s="1"/>
  <c r="I103" i="2"/>
  <c r="H103" i="2"/>
  <c r="G103" i="2"/>
  <c r="F103" i="2"/>
  <c r="E103" i="2"/>
  <c r="D103" i="2"/>
  <c r="C103" i="2"/>
  <c r="C107" i="2" s="1"/>
  <c r="C109" i="2" s="1"/>
  <c r="L102" i="2"/>
  <c r="K102" i="2"/>
  <c r="J102" i="2"/>
  <c r="I102" i="2"/>
  <c r="H102" i="2"/>
  <c r="G102" i="2"/>
  <c r="F102" i="2"/>
  <c r="E102" i="2"/>
  <c r="D102" i="2"/>
  <c r="D107" i="2" s="1"/>
  <c r="C102" i="2"/>
  <c r="L101" i="2"/>
  <c r="K101" i="2"/>
  <c r="J101" i="2"/>
  <c r="I101" i="2"/>
  <c r="H101" i="2"/>
  <c r="G101" i="2"/>
  <c r="G107" i="2" s="1"/>
  <c r="F101" i="2"/>
  <c r="E101" i="2"/>
  <c r="D101" i="2"/>
  <c r="C101" i="2"/>
  <c r="L100" i="2"/>
  <c r="K100" i="2"/>
  <c r="J100" i="2"/>
  <c r="I100" i="2"/>
  <c r="H100" i="2"/>
  <c r="H107" i="2" s="1"/>
  <c r="G100" i="2"/>
  <c r="F100" i="2"/>
  <c r="E100" i="2"/>
  <c r="D100" i="2"/>
  <c r="C100" i="2"/>
  <c r="L96" i="2"/>
  <c r="K96" i="2"/>
  <c r="J96" i="2"/>
  <c r="I96" i="2"/>
  <c r="H96" i="2"/>
  <c r="G96" i="2"/>
  <c r="F96" i="2"/>
  <c r="E96" i="2"/>
  <c r="D96" i="2"/>
  <c r="C96" i="2"/>
  <c r="L95" i="2"/>
  <c r="K95" i="2"/>
  <c r="J95" i="2"/>
  <c r="I95" i="2"/>
  <c r="H95" i="2"/>
  <c r="G95" i="2"/>
  <c r="F95" i="2"/>
  <c r="E95" i="2"/>
  <c r="D95" i="2"/>
  <c r="C95" i="2"/>
  <c r="L94" i="2"/>
  <c r="K94" i="2"/>
  <c r="J94" i="2"/>
  <c r="I94" i="2"/>
  <c r="H94" i="2"/>
  <c r="G94" i="2"/>
  <c r="F94" i="2"/>
  <c r="E94" i="2"/>
  <c r="D94" i="2"/>
  <c r="C94" i="2"/>
  <c r="L93" i="2"/>
  <c r="K93" i="2"/>
  <c r="J93" i="2"/>
  <c r="J97" i="2" s="1"/>
  <c r="I93" i="2"/>
  <c r="H93" i="2"/>
  <c r="G93" i="2"/>
  <c r="F93" i="2"/>
  <c r="E93" i="2"/>
  <c r="D93" i="2"/>
  <c r="C93" i="2"/>
  <c r="L92" i="2"/>
  <c r="K92" i="2"/>
  <c r="J92" i="2"/>
  <c r="I92" i="2"/>
  <c r="H92" i="2"/>
  <c r="G92" i="2"/>
  <c r="F92" i="2"/>
  <c r="E92" i="2"/>
  <c r="D92" i="2"/>
  <c r="C92" i="2"/>
  <c r="L91" i="2"/>
  <c r="K91" i="2"/>
  <c r="J91" i="2"/>
  <c r="I91" i="2"/>
  <c r="H91" i="2"/>
  <c r="G91" i="2"/>
  <c r="F91" i="2"/>
  <c r="E91" i="2"/>
  <c r="D91" i="2"/>
  <c r="C91" i="2"/>
  <c r="L90" i="2"/>
  <c r="K90" i="2"/>
  <c r="J90" i="2"/>
  <c r="I90" i="2"/>
  <c r="H90" i="2"/>
  <c r="G90" i="2"/>
  <c r="F90" i="2"/>
  <c r="E90" i="2"/>
  <c r="D90" i="2"/>
  <c r="C90" i="2"/>
  <c r="L89" i="2"/>
  <c r="K89" i="2"/>
  <c r="K97" i="2" s="1"/>
  <c r="J89" i="2"/>
  <c r="I89" i="2"/>
  <c r="H89" i="2"/>
  <c r="G89" i="2"/>
  <c r="F89" i="2"/>
  <c r="E89" i="2"/>
  <c r="D89" i="2"/>
  <c r="C89" i="2"/>
  <c r="C97" i="2" s="1"/>
  <c r="L88" i="2"/>
  <c r="L97" i="2" s="1"/>
  <c r="K88" i="2"/>
  <c r="J88" i="2"/>
  <c r="I88" i="2"/>
  <c r="H88" i="2"/>
  <c r="G88" i="2"/>
  <c r="F88" i="2"/>
  <c r="E88" i="2"/>
  <c r="D88" i="2"/>
  <c r="C88" i="2"/>
  <c r="L87" i="2"/>
  <c r="K87" i="2"/>
  <c r="J87" i="2"/>
  <c r="I87" i="2"/>
  <c r="H87" i="2"/>
  <c r="D31" i="3" s="1"/>
  <c r="G87" i="2"/>
  <c r="F87" i="2"/>
  <c r="F97" i="2" s="1"/>
  <c r="E87" i="2"/>
  <c r="D87" i="2"/>
  <c r="C87" i="2"/>
  <c r="L83" i="2"/>
  <c r="K83" i="2"/>
  <c r="J83" i="2"/>
  <c r="I83" i="2"/>
  <c r="H83" i="2"/>
  <c r="G83" i="2"/>
  <c r="F83" i="2"/>
  <c r="E83" i="2"/>
  <c r="D83" i="2"/>
  <c r="C83" i="2"/>
  <c r="L82" i="2"/>
  <c r="K82" i="2"/>
  <c r="J82" i="2"/>
  <c r="I82" i="2"/>
  <c r="H82" i="2"/>
  <c r="G82" i="2"/>
  <c r="F82" i="2"/>
  <c r="E82" i="2"/>
  <c r="D82" i="2"/>
  <c r="C82" i="2"/>
  <c r="L81" i="2"/>
  <c r="K81" i="2"/>
  <c r="J81" i="2"/>
  <c r="I81" i="2"/>
  <c r="H81" i="2"/>
  <c r="G81" i="2"/>
  <c r="F81" i="2"/>
  <c r="E81" i="2"/>
  <c r="D81" i="2"/>
  <c r="C81" i="2"/>
  <c r="L80" i="2"/>
  <c r="K80" i="2"/>
  <c r="J80" i="2"/>
  <c r="I80" i="2"/>
  <c r="H80" i="2"/>
  <c r="G80" i="2"/>
  <c r="F80" i="2"/>
  <c r="E80" i="2"/>
  <c r="D80" i="2"/>
  <c r="C80" i="2"/>
  <c r="L79" i="2"/>
  <c r="K79" i="2"/>
  <c r="J79" i="2"/>
  <c r="I79" i="2"/>
  <c r="H79" i="2"/>
  <c r="G79" i="2"/>
  <c r="F79" i="2"/>
  <c r="E79" i="2"/>
  <c r="D79" i="2"/>
  <c r="C79" i="2"/>
  <c r="L78" i="2"/>
  <c r="K78" i="2"/>
  <c r="J78" i="2"/>
  <c r="I78" i="2"/>
  <c r="H78" i="2"/>
  <c r="G78" i="2"/>
  <c r="F78" i="2"/>
  <c r="E78" i="2"/>
  <c r="D78" i="2"/>
  <c r="C78" i="2"/>
  <c r="L77" i="2"/>
  <c r="K77" i="2"/>
  <c r="J77" i="2"/>
  <c r="I77" i="2"/>
  <c r="H77" i="2"/>
  <c r="G77" i="2"/>
  <c r="F77" i="2"/>
  <c r="E77" i="2"/>
  <c r="D77" i="2"/>
  <c r="C77" i="2"/>
  <c r="B75" i="2"/>
  <c r="L68" i="2"/>
  <c r="G53" i="4" s="1"/>
  <c r="H86" i="4" s="1"/>
  <c r="K68" i="2"/>
  <c r="F53" i="4" s="1"/>
  <c r="G86" i="4" s="1"/>
  <c r="J68" i="2"/>
  <c r="E53" i="4" s="1"/>
  <c r="F86" i="4" s="1"/>
  <c r="I68" i="2"/>
  <c r="D53" i="4" s="1"/>
  <c r="E86" i="4" s="1"/>
  <c r="H68" i="2"/>
  <c r="C53" i="4" s="1"/>
  <c r="D86" i="4" s="1"/>
  <c r="G68" i="2"/>
  <c r="F68" i="2"/>
  <c r="E68" i="2"/>
  <c r="D68" i="2"/>
  <c r="C68" i="2"/>
  <c r="L67" i="2"/>
  <c r="K67" i="2"/>
  <c r="J67" i="2"/>
  <c r="I67" i="2"/>
  <c r="D52" i="4" s="1"/>
  <c r="H67" i="2"/>
  <c r="D26" i="3" s="1"/>
  <c r="G67" i="2"/>
  <c r="F67" i="2"/>
  <c r="E67" i="2"/>
  <c r="D67" i="2"/>
  <c r="C67" i="2"/>
  <c r="L66" i="2"/>
  <c r="K66" i="2"/>
  <c r="J66" i="2"/>
  <c r="I66" i="2"/>
  <c r="H66" i="2"/>
  <c r="C51" i="4" s="1"/>
  <c r="G66" i="2"/>
  <c r="F66" i="2"/>
  <c r="E66" i="2"/>
  <c r="E69" i="2" s="1"/>
  <c r="D66" i="2"/>
  <c r="D69" i="2" s="1"/>
  <c r="C66" i="2"/>
  <c r="L63" i="2"/>
  <c r="K63" i="2"/>
  <c r="J63" i="2"/>
  <c r="I63" i="2"/>
  <c r="D48" i="4" s="1"/>
  <c r="H63" i="2"/>
  <c r="G63" i="2"/>
  <c r="C49" i="3" s="1"/>
  <c r="F63" i="2"/>
  <c r="E63" i="2"/>
  <c r="D63" i="2"/>
  <c r="C63" i="2"/>
  <c r="L62" i="2"/>
  <c r="G47" i="4" s="1"/>
  <c r="K62" i="2"/>
  <c r="F47" i="4" s="1"/>
  <c r="J62" i="2"/>
  <c r="E47" i="4" s="1"/>
  <c r="I62" i="2"/>
  <c r="D47" i="4" s="1"/>
  <c r="H62" i="2"/>
  <c r="C47" i="4" s="1"/>
  <c r="G62" i="2"/>
  <c r="C51" i="3" s="1"/>
  <c r="F62" i="2"/>
  <c r="E62" i="2"/>
  <c r="D62" i="2"/>
  <c r="C62" i="2"/>
  <c r="L61" i="2"/>
  <c r="H50" i="3" s="1"/>
  <c r="K61" i="2"/>
  <c r="G50" i="3" s="1"/>
  <c r="J61" i="2"/>
  <c r="F50" i="3" s="1"/>
  <c r="I61" i="2"/>
  <c r="D46" i="4" s="1"/>
  <c r="H61" i="2"/>
  <c r="C46" i="4" s="1"/>
  <c r="G61" i="2"/>
  <c r="C50" i="3" s="1"/>
  <c r="F61" i="2"/>
  <c r="E61" i="2"/>
  <c r="D61" i="2"/>
  <c r="C61" i="2"/>
  <c r="L60" i="2"/>
  <c r="K60" i="2"/>
  <c r="J60" i="2"/>
  <c r="E45" i="4" s="1"/>
  <c r="I60" i="2"/>
  <c r="H60" i="2"/>
  <c r="G60" i="2"/>
  <c r="F60" i="2"/>
  <c r="E60" i="2"/>
  <c r="D60" i="2"/>
  <c r="C60" i="2"/>
  <c r="C64" i="2" s="1"/>
  <c r="L57" i="2"/>
  <c r="G42" i="4" s="1"/>
  <c r="K57" i="2"/>
  <c r="G48" i="3" s="1"/>
  <c r="J57" i="2"/>
  <c r="I57" i="2"/>
  <c r="D42" i="4" s="1"/>
  <c r="H57" i="2"/>
  <c r="G57" i="2"/>
  <c r="F57" i="2"/>
  <c r="E57" i="2"/>
  <c r="D57" i="2"/>
  <c r="C57" i="2"/>
  <c r="L56" i="2"/>
  <c r="K56" i="2"/>
  <c r="F41" i="4" s="1"/>
  <c r="J56" i="2"/>
  <c r="E41" i="4" s="1"/>
  <c r="I56" i="2"/>
  <c r="D41" i="4" s="1"/>
  <c r="H56" i="2"/>
  <c r="C41" i="4" s="1"/>
  <c r="G56" i="2"/>
  <c r="F56" i="2"/>
  <c r="E56" i="2"/>
  <c r="D56" i="2"/>
  <c r="C56" i="2"/>
  <c r="L55" i="2"/>
  <c r="L46" i="18" s="1"/>
  <c r="K55" i="2"/>
  <c r="J55" i="2"/>
  <c r="I55" i="2"/>
  <c r="I46" i="18" s="1"/>
  <c r="H55" i="2"/>
  <c r="H46" i="18" s="1"/>
  <c r="G55" i="2"/>
  <c r="F55" i="2"/>
  <c r="F46" i="18" s="1"/>
  <c r="E55" i="2"/>
  <c r="E46" i="18" s="1"/>
  <c r="D55" i="2"/>
  <c r="D46" i="18" s="1"/>
  <c r="C55" i="2"/>
  <c r="C46" i="18" s="1"/>
  <c r="L54" i="2"/>
  <c r="G39" i="4" s="1"/>
  <c r="K54" i="2"/>
  <c r="F39" i="4" s="1"/>
  <c r="J54" i="2"/>
  <c r="E39" i="4" s="1"/>
  <c r="I54" i="2"/>
  <c r="H54" i="2"/>
  <c r="C39" i="4" s="1"/>
  <c r="G54" i="2"/>
  <c r="F54" i="2"/>
  <c r="E54" i="2"/>
  <c r="D54" i="2"/>
  <c r="C54" i="2"/>
  <c r="L53" i="2"/>
  <c r="K53" i="2"/>
  <c r="J53" i="2"/>
  <c r="E38" i="4" s="1"/>
  <c r="I53" i="2"/>
  <c r="D38" i="4" s="1"/>
  <c r="H53" i="2"/>
  <c r="C38" i="4" s="1"/>
  <c r="G53" i="2"/>
  <c r="F53" i="2"/>
  <c r="E53" i="2"/>
  <c r="D53" i="2"/>
  <c r="C53" i="2"/>
  <c r="C58" i="2" s="1"/>
  <c r="B52" i="2"/>
  <c r="L47" i="2"/>
  <c r="L42" i="2"/>
  <c r="K33" i="6" s="1"/>
  <c r="K42" i="2"/>
  <c r="J33" i="6" s="1"/>
  <c r="J42" i="2"/>
  <c r="I33" i="6" s="1"/>
  <c r="I42" i="2"/>
  <c r="H33" i="6" s="1"/>
  <c r="H42" i="2"/>
  <c r="G42" i="2"/>
  <c r="F33" i="6" s="1"/>
  <c r="F42" i="2"/>
  <c r="E42" i="2"/>
  <c r="D33" i="6" s="1"/>
  <c r="D42" i="2"/>
  <c r="C33" i="6" s="1"/>
  <c r="C42" i="2"/>
  <c r="L36" i="2"/>
  <c r="K36" i="2"/>
  <c r="F31" i="4" s="1"/>
  <c r="J36" i="2"/>
  <c r="E31" i="4" s="1"/>
  <c r="E71" i="4" s="1"/>
  <c r="I36" i="2"/>
  <c r="D31" i="4" s="1"/>
  <c r="D71" i="4" s="1"/>
  <c r="H36" i="2"/>
  <c r="C31" i="4" s="1"/>
  <c r="C71" i="4" s="1"/>
  <c r="G36" i="2"/>
  <c r="F36" i="2"/>
  <c r="E36" i="2"/>
  <c r="D36" i="2"/>
  <c r="C36" i="2"/>
  <c r="E31" i="2"/>
  <c r="D31" i="2"/>
  <c r="C31" i="2"/>
  <c r="L30" i="2"/>
  <c r="K30" i="2"/>
  <c r="J30" i="2"/>
  <c r="I30" i="2"/>
  <c r="H30" i="2"/>
  <c r="D18" i="3" s="1"/>
  <c r="G30" i="2"/>
  <c r="C18" i="3" s="1"/>
  <c r="F30" i="2"/>
  <c r="E30" i="2"/>
  <c r="D30" i="2"/>
  <c r="C30" i="2"/>
  <c r="D25" i="2"/>
  <c r="D24" i="18" s="1"/>
  <c r="C25" i="2"/>
  <c r="C24" i="18" s="1"/>
  <c r="L24" i="2"/>
  <c r="K24" i="2"/>
  <c r="J24" i="2"/>
  <c r="E22" i="4" s="1"/>
  <c r="I24" i="2"/>
  <c r="H24" i="2"/>
  <c r="D17" i="3" s="1"/>
  <c r="C64" i="4" s="1"/>
  <c r="G24" i="2"/>
  <c r="C17" i="3" s="1"/>
  <c r="F24" i="2"/>
  <c r="E24" i="2"/>
  <c r="D24" i="2"/>
  <c r="C24" i="2"/>
  <c r="G22" i="2"/>
  <c r="L21" i="2"/>
  <c r="K21" i="2"/>
  <c r="J21" i="2"/>
  <c r="F20" i="3" s="1"/>
  <c r="I21" i="2"/>
  <c r="E20" i="3" s="1"/>
  <c r="H21" i="2"/>
  <c r="G21" i="2"/>
  <c r="F21" i="2"/>
  <c r="E21" i="2"/>
  <c r="E22" i="2" s="1"/>
  <c r="D21" i="2"/>
  <c r="D22" i="2" s="1"/>
  <c r="C21" i="2"/>
  <c r="C22" i="2" s="1"/>
  <c r="D16" i="2"/>
  <c r="D23" i="18" s="1"/>
  <c r="C16" i="2"/>
  <c r="C23" i="18" s="1"/>
  <c r="L15" i="2"/>
  <c r="G15" i="4" s="1"/>
  <c r="K15" i="2"/>
  <c r="F15" i="4" s="1"/>
  <c r="J15" i="2"/>
  <c r="J16" i="2" s="1"/>
  <c r="I15" i="2"/>
  <c r="D15" i="4" s="1"/>
  <c r="H15" i="2"/>
  <c r="G15" i="2"/>
  <c r="F15" i="2"/>
  <c r="F16" i="2" s="1"/>
  <c r="F23" i="18" s="1"/>
  <c r="E15" i="2"/>
  <c r="E16" i="2" s="1"/>
  <c r="E23" i="18" s="1"/>
  <c r="D15" i="2"/>
  <c r="C15" i="2"/>
  <c r="D12" i="2"/>
  <c r="D13" i="2" s="1"/>
  <c r="D17" i="18" s="1"/>
  <c r="C12" i="2"/>
  <c r="C18" i="2" s="1"/>
  <c r="C27" i="19" s="1"/>
  <c r="C10" i="2"/>
  <c r="L9" i="2"/>
  <c r="G9" i="4" s="1"/>
  <c r="K9" i="2"/>
  <c r="K10" i="2" s="1"/>
  <c r="J9" i="2"/>
  <c r="I9" i="2"/>
  <c r="E27" i="3" s="1"/>
  <c r="H9" i="2"/>
  <c r="D27" i="3" s="1"/>
  <c r="G9" i="2"/>
  <c r="C27" i="3" s="1"/>
  <c r="F9" i="2"/>
  <c r="F10" i="2" s="1"/>
  <c r="E9" i="2"/>
  <c r="D9" i="2"/>
  <c r="D10" i="2" s="1"/>
  <c r="C9" i="2"/>
  <c r="E7" i="2"/>
  <c r="D7" i="2"/>
  <c r="L6" i="2"/>
  <c r="K6" i="2"/>
  <c r="J6" i="2"/>
  <c r="I6" i="2"/>
  <c r="I25" i="2" s="1"/>
  <c r="I24" i="18" s="1"/>
  <c r="H6" i="2"/>
  <c r="H22" i="2" s="1"/>
  <c r="G6" i="2"/>
  <c r="F6" i="2"/>
  <c r="E6" i="2"/>
  <c r="D6" i="2"/>
  <c r="C6" i="2"/>
  <c r="B5" i="2"/>
  <c r="L3" i="2"/>
  <c r="K3" i="2"/>
  <c r="J3" i="2"/>
  <c r="I3" i="2"/>
  <c r="H3" i="2"/>
  <c r="G3" i="2"/>
  <c r="G9" i="18" s="1"/>
  <c r="F3" i="2"/>
  <c r="F9" i="18" s="1"/>
  <c r="E3" i="2"/>
  <c r="E9" i="18" s="1"/>
  <c r="D3" i="2"/>
  <c r="D9" i="18" s="1"/>
  <c r="C3" i="2"/>
  <c r="C9" i="18" s="1"/>
  <c r="B2" i="2"/>
  <c r="H21" i="10" l="1"/>
  <c r="K35" i="10" s="1"/>
  <c r="F39" i="10" s="1"/>
  <c r="I21" i="10"/>
  <c r="F35" i="10" s="1"/>
  <c r="K45" i="10" s="1"/>
  <c r="G5" i="4"/>
  <c r="G61" i="4" s="1"/>
  <c r="E75" i="4"/>
  <c r="F75" i="4"/>
  <c r="H5" i="4"/>
  <c r="I8" i="17" s="1"/>
  <c r="L14" i="3"/>
  <c r="I10" i="4"/>
  <c r="M14" i="3"/>
  <c r="E16" i="4"/>
  <c r="J23" i="18"/>
  <c r="G19" i="28"/>
  <c r="E9" i="28"/>
  <c r="J44" i="18"/>
  <c r="J36" i="18"/>
  <c r="J33" i="18"/>
  <c r="J39" i="18" s="1"/>
  <c r="J35" i="18"/>
  <c r="J41" i="18" s="1"/>
  <c r="J34" i="18"/>
  <c r="J40" i="18" s="1"/>
  <c r="J37" i="18"/>
  <c r="J11" i="18"/>
  <c r="F47" i="2"/>
  <c r="F15" i="18" s="1"/>
  <c r="E33" i="6"/>
  <c r="E34" i="6" s="1"/>
  <c r="I5" i="4"/>
  <c r="I37" i="4" s="1"/>
  <c r="G76" i="4"/>
  <c r="I22" i="2"/>
  <c r="J25" i="2"/>
  <c r="J24" i="18" s="1"/>
  <c r="H47" i="2"/>
  <c r="G33" i="6"/>
  <c r="G34" i="6" s="1"/>
  <c r="C20" i="28" s="1"/>
  <c r="D48" i="3"/>
  <c r="H9" i="18"/>
  <c r="C22" i="28"/>
  <c r="C7" i="28"/>
  <c r="J22" i="2"/>
  <c r="E25" i="3"/>
  <c r="G58" i="2"/>
  <c r="J34" i="6"/>
  <c r="F20" i="28" s="1"/>
  <c r="E50" i="3"/>
  <c r="G7" i="28"/>
  <c r="G22" i="28"/>
  <c r="L9" i="18"/>
  <c r="F9" i="4"/>
  <c r="D70" i="4"/>
  <c r="H64" i="2"/>
  <c r="C49" i="4" s="1"/>
  <c r="G51" i="3"/>
  <c r="H37" i="4"/>
  <c r="G47" i="2"/>
  <c r="D32" i="3"/>
  <c r="C26" i="3"/>
  <c r="H51" i="3"/>
  <c r="I51" i="3" s="1"/>
  <c r="H47" i="4" s="1"/>
  <c r="H76" i="4" s="1"/>
  <c r="G37" i="4"/>
  <c r="H8" i="17"/>
  <c r="D34" i="6"/>
  <c r="F6" i="4"/>
  <c r="K34" i="18"/>
  <c r="K40" i="18" s="1"/>
  <c r="F9" i="28"/>
  <c r="K44" i="18"/>
  <c r="K36" i="18"/>
  <c r="K33" i="18"/>
  <c r="K39" i="18" s="1"/>
  <c r="K35" i="18"/>
  <c r="K41" i="18" s="1"/>
  <c r="K37" i="18"/>
  <c r="K11" i="18"/>
  <c r="J5" i="4"/>
  <c r="K8" i="17" s="1"/>
  <c r="H61" i="4"/>
  <c r="K5" i="4"/>
  <c r="L8" i="17" s="1"/>
  <c r="K16" i="2"/>
  <c r="G15" i="3" s="1"/>
  <c r="K25" i="2"/>
  <c r="K24" i="18" s="1"/>
  <c r="F58" i="2"/>
  <c r="J58" i="2"/>
  <c r="E43" i="4" s="1"/>
  <c r="D50" i="3"/>
  <c r="D49" i="3"/>
  <c r="E51" i="3"/>
  <c r="C52" i="3"/>
  <c r="G46" i="18"/>
  <c r="N46" i="18" s="1"/>
  <c r="I64" i="2"/>
  <c r="D49" i="4" s="1"/>
  <c r="E37" i="18"/>
  <c r="E33" i="18"/>
  <c r="E39" i="18" s="1"/>
  <c r="E11" i="18"/>
  <c r="E35" i="18"/>
  <c r="E41" i="18" s="1"/>
  <c r="E36" i="18"/>
  <c r="E34" i="18"/>
  <c r="E40" i="18" s="1"/>
  <c r="E44" i="18"/>
  <c r="G16" i="2"/>
  <c r="J31" i="2"/>
  <c r="I47" i="2"/>
  <c r="F52" i="3"/>
  <c r="J46" i="18"/>
  <c r="E52" i="3"/>
  <c r="I36" i="18"/>
  <c r="I35" i="18"/>
  <c r="I41" i="18" s="1"/>
  <c r="I33" i="18"/>
  <c r="I39" i="18" s="1"/>
  <c r="I44" i="18"/>
  <c r="I37" i="18"/>
  <c r="D9" i="28"/>
  <c r="I11" i="18"/>
  <c r="I34" i="18"/>
  <c r="I40" i="18" s="1"/>
  <c r="L34" i="18"/>
  <c r="L40" i="18" s="1"/>
  <c r="L33" i="18"/>
  <c r="L39" i="18" s="1"/>
  <c r="L42" i="18" s="1"/>
  <c r="G9" i="28"/>
  <c r="L36" i="18"/>
  <c r="L44" i="18"/>
  <c r="L11" i="18"/>
  <c r="L35" i="18"/>
  <c r="L41" i="18" s="1"/>
  <c r="L37" i="18"/>
  <c r="E58" i="2"/>
  <c r="H34" i="6"/>
  <c r="D20" i="28" s="1"/>
  <c r="D22" i="28"/>
  <c r="D7" i="28"/>
  <c r="I9" i="18"/>
  <c r="D18" i="2"/>
  <c r="D27" i="2" s="1"/>
  <c r="I34" i="6"/>
  <c r="E20" i="28" s="1"/>
  <c r="G11" i="3"/>
  <c r="F5" i="4" s="1"/>
  <c r="G8" i="17" s="1"/>
  <c r="K9" i="18"/>
  <c r="F22" i="28"/>
  <c r="F7" i="28"/>
  <c r="K34" i="6"/>
  <c r="G20" i="28" s="1"/>
  <c r="F64" i="2"/>
  <c r="F51" i="3"/>
  <c r="F42" i="4"/>
  <c r="D33" i="18"/>
  <c r="D39" i="18" s="1"/>
  <c r="D37" i="18"/>
  <c r="D35" i="18"/>
  <c r="D41" i="18" s="1"/>
  <c r="D11" i="18"/>
  <c r="D34" i="18"/>
  <c r="D36" i="18"/>
  <c r="D44" i="18"/>
  <c r="F44" i="18"/>
  <c r="F35" i="18"/>
  <c r="F41" i="18" s="1"/>
  <c r="F11" i="18"/>
  <c r="F33" i="18"/>
  <c r="F39" i="18" s="1"/>
  <c r="F37" i="18"/>
  <c r="F34" i="18"/>
  <c r="F40" i="18" s="1"/>
  <c r="F36" i="18"/>
  <c r="H16" i="2"/>
  <c r="H23" i="18" s="1"/>
  <c r="J47" i="2"/>
  <c r="G52" i="3"/>
  <c r="K46" i="18"/>
  <c r="E26" i="3"/>
  <c r="H52" i="3"/>
  <c r="E15" i="4"/>
  <c r="C6" i="4"/>
  <c r="C12" i="4" s="1"/>
  <c r="H33" i="18"/>
  <c r="H39" i="18" s="1"/>
  <c r="H35" i="18"/>
  <c r="H41" i="18" s="1"/>
  <c r="H11" i="18"/>
  <c r="H37" i="18"/>
  <c r="H44" i="18"/>
  <c r="C9" i="28"/>
  <c r="H36" i="18"/>
  <c r="H34" i="18"/>
  <c r="H40" i="18" s="1"/>
  <c r="H12" i="2"/>
  <c r="C12" i="28" s="1"/>
  <c r="F11" i="3"/>
  <c r="E5" i="4" s="1"/>
  <c r="E61" i="4" s="1"/>
  <c r="E7" i="28"/>
  <c r="E22" i="28"/>
  <c r="J9" i="18"/>
  <c r="H58" i="2"/>
  <c r="C43" i="4" s="1"/>
  <c r="C13" i="2"/>
  <c r="C17" i="18" s="1"/>
  <c r="E64" i="2"/>
  <c r="E71" i="2" s="1"/>
  <c r="F24" i="3"/>
  <c r="F47" i="3" s="1"/>
  <c r="D47" i="2"/>
  <c r="D15" i="18" s="1"/>
  <c r="G64" i="2"/>
  <c r="G24" i="3"/>
  <c r="G30" i="3" s="1"/>
  <c r="C34" i="18"/>
  <c r="C33" i="18"/>
  <c r="C36" i="18"/>
  <c r="C44" i="18"/>
  <c r="C37" i="18"/>
  <c r="C35" i="18"/>
  <c r="E47" i="2"/>
  <c r="D64" i="2"/>
  <c r="D71" i="2" s="1"/>
  <c r="D45" i="18" s="1"/>
  <c r="H24" i="3"/>
  <c r="H47" i="3" s="1"/>
  <c r="G11" i="18"/>
  <c r="G44" i="18"/>
  <c r="G35" i="18"/>
  <c r="G41" i="18" s="1"/>
  <c r="G33" i="18"/>
  <c r="G39" i="18" s="1"/>
  <c r="G37" i="18"/>
  <c r="G36" i="18"/>
  <c r="G34" i="18"/>
  <c r="G40" i="18" s="1"/>
  <c r="J10" i="2"/>
  <c r="E10" i="4" s="1"/>
  <c r="C47" i="2"/>
  <c r="B33" i="6"/>
  <c r="C34" i="6" s="1"/>
  <c r="K47" i="2"/>
  <c r="L15" i="18" s="1"/>
  <c r="G27" i="3"/>
  <c r="C45" i="4"/>
  <c r="E36" i="10"/>
  <c r="F37" i="10"/>
  <c r="F36" i="10" s="1"/>
  <c r="K42" i="10" s="1"/>
  <c r="J109" i="2"/>
  <c r="L61" i="4"/>
  <c r="D76" i="4"/>
  <c r="H27" i="3"/>
  <c r="G82" i="4"/>
  <c r="K36" i="10"/>
  <c r="F7" i="2"/>
  <c r="F31" i="2"/>
  <c r="F22" i="2"/>
  <c r="F12" i="2"/>
  <c r="H20" i="3"/>
  <c r="L22" i="2"/>
  <c r="D39" i="4"/>
  <c r="I58" i="2"/>
  <c r="D43" i="4" s="1"/>
  <c r="F69" i="2"/>
  <c r="F71" i="2" s="1"/>
  <c r="K109" i="2"/>
  <c r="C31" i="3"/>
  <c r="C32" i="3" s="1"/>
  <c r="G97" i="2"/>
  <c r="G109" i="2" s="1"/>
  <c r="F107" i="2"/>
  <c r="F109" i="2" s="1"/>
  <c r="L107" i="2"/>
  <c r="L109" i="2" s="1"/>
  <c r="L16" i="3"/>
  <c r="K13" i="4"/>
  <c r="G69" i="4"/>
  <c r="E42" i="4"/>
  <c r="F48" i="3"/>
  <c r="D68" i="4"/>
  <c r="G12" i="2"/>
  <c r="G7" i="2"/>
  <c r="C12" i="3" s="1"/>
  <c r="G31" i="2"/>
  <c r="F13" i="3"/>
  <c r="F14" i="3" s="1"/>
  <c r="D58" i="2"/>
  <c r="H48" i="3"/>
  <c r="G69" i="2"/>
  <c r="G71" i="2" s="1"/>
  <c r="M16" i="3"/>
  <c r="L13" i="4"/>
  <c r="E52" i="4"/>
  <c r="E68" i="4" s="1"/>
  <c r="F26" i="3"/>
  <c r="E76" i="4"/>
  <c r="E78" i="4" s="1"/>
  <c r="F52" i="4"/>
  <c r="G68" i="4" s="1"/>
  <c r="G26" i="3"/>
  <c r="F10" i="4"/>
  <c r="G13" i="3"/>
  <c r="G14" i="3" s="1"/>
  <c r="D67" i="4"/>
  <c r="I97" i="2"/>
  <c r="E32" i="3"/>
  <c r="D75" i="4"/>
  <c r="L37" i="4"/>
  <c r="E51" i="4"/>
  <c r="F25" i="3"/>
  <c r="J69" i="2"/>
  <c r="D15" i="3"/>
  <c r="C16" i="4"/>
  <c r="G51" i="4"/>
  <c r="H25" i="3"/>
  <c r="L69" i="2"/>
  <c r="D11" i="3"/>
  <c r="C5" i="4" s="1"/>
  <c r="D24" i="3"/>
  <c r="M50" i="3"/>
  <c r="L46" i="4" s="1"/>
  <c r="L50" i="3"/>
  <c r="K46" i="4" s="1"/>
  <c r="K50" i="3"/>
  <c r="J46" i="4" s="1"/>
  <c r="J50" i="3"/>
  <c r="I46" i="4" s="1"/>
  <c r="D97" i="2"/>
  <c r="D109" i="2" s="1"/>
  <c r="D77" i="4"/>
  <c r="L7" i="2"/>
  <c r="G10" i="28" s="1"/>
  <c r="G6" i="4"/>
  <c r="L16" i="2"/>
  <c r="L23" i="18" s="1"/>
  <c r="E11" i="3"/>
  <c r="D5" i="4" s="1"/>
  <c r="E24" i="3"/>
  <c r="D52" i="3"/>
  <c r="C40" i="4"/>
  <c r="D82" i="4" s="1"/>
  <c r="E107" i="2"/>
  <c r="E109" i="2" s="1"/>
  <c r="K31" i="2"/>
  <c r="G18" i="3"/>
  <c r="D69" i="4"/>
  <c r="F51" i="4"/>
  <c r="G25" i="3"/>
  <c r="K69" i="2"/>
  <c r="E97" i="2"/>
  <c r="I24" i="3"/>
  <c r="F49" i="3"/>
  <c r="E48" i="4"/>
  <c r="I107" i="2"/>
  <c r="I109" i="2" s="1"/>
  <c r="G49" i="3"/>
  <c r="F48" i="4"/>
  <c r="F70" i="4" s="1"/>
  <c r="J16" i="3"/>
  <c r="I50" i="3"/>
  <c r="H46" i="4" s="1"/>
  <c r="H77" i="4" s="1"/>
  <c r="G70" i="4"/>
  <c r="L31" i="2"/>
  <c r="G27" i="4"/>
  <c r="H18" i="3"/>
  <c r="E69" i="4"/>
  <c r="C11" i="3"/>
  <c r="C24" i="3"/>
  <c r="F69" i="4"/>
  <c r="L58" i="2"/>
  <c r="G43" i="4" s="1"/>
  <c r="G38" i="4"/>
  <c r="K12" i="2"/>
  <c r="F12" i="28" s="1"/>
  <c r="J64" i="2"/>
  <c r="E49" i="4" s="1"/>
  <c r="H49" i="3"/>
  <c r="G48" i="4"/>
  <c r="H69" i="2"/>
  <c r="K14" i="3"/>
  <c r="J10" i="4"/>
  <c r="F17" i="3"/>
  <c r="E64" i="4" s="1"/>
  <c r="G21" i="4"/>
  <c r="F27" i="4"/>
  <c r="L10" i="2"/>
  <c r="C19" i="2"/>
  <c r="C18" i="18" s="1"/>
  <c r="C27" i="2"/>
  <c r="E10" i="2"/>
  <c r="E12" i="2"/>
  <c r="L12" i="2"/>
  <c r="G12" i="28" s="1"/>
  <c r="E17" i="3"/>
  <c r="D64" i="4" s="1"/>
  <c r="D22" i="4"/>
  <c r="K64" i="2"/>
  <c r="F49" i="4" s="1"/>
  <c r="F45" i="4"/>
  <c r="I69" i="2"/>
  <c r="C15" i="4"/>
  <c r="E77" i="4"/>
  <c r="F22" i="4"/>
  <c r="G17" i="3"/>
  <c r="F64" i="4" s="1"/>
  <c r="H26" i="3"/>
  <c r="D51" i="3"/>
  <c r="F46" i="4"/>
  <c r="I12" i="2"/>
  <c r="D12" i="28" s="1"/>
  <c r="I7" i="2"/>
  <c r="D10" i="28" s="1"/>
  <c r="D6" i="4"/>
  <c r="D12" i="4" s="1"/>
  <c r="D18" i="4" s="1"/>
  <c r="D19" i="4" s="1"/>
  <c r="C27" i="4"/>
  <c r="J12" i="2"/>
  <c r="E12" i="28" s="1"/>
  <c r="J7" i="2"/>
  <c r="E10" i="28" s="1"/>
  <c r="E6" i="4"/>
  <c r="E12" i="4" s="1"/>
  <c r="I31" i="2"/>
  <c r="H32" i="3"/>
  <c r="E21" i="4"/>
  <c r="D27" i="4"/>
  <c r="C75" i="4"/>
  <c r="G22" i="4"/>
  <c r="H17" i="3"/>
  <c r="G64" i="4" s="1"/>
  <c r="C48" i="3"/>
  <c r="E49" i="3"/>
  <c r="F27" i="3"/>
  <c r="E27" i="4"/>
  <c r="D51" i="4"/>
  <c r="C25" i="3"/>
  <c r="E48" i="3"/>
  <c r="G10" i="2"/>
  <c r="C13" i="3" s="1"/>
  <c r="C14" i="3" s="1"/>
  <c r="K7" i="2"/>
  <c r="F10" i="28" s="1"/>
  <c r="H10" i="2"/>
  <c r="E25" i="2"/>
  <c r="E24" i="18" s="1"/>
  <c r="C22" i="4"/>
  <c r="D25" i="3"/>
  <c r="I10" i="2"/>
  <c r="F25" i="2"/>
  <c r="F24" i="18" s="1"/>
  <c r="F76" i="4"/>
  <c r="F15" i="3"/>
  <c r="K19" i="10"/>
  <c r="K18" i="10"/>
  <c r="I16" i="2"/>
  <c r="I23" i="18" s="1"/>
  <c r="L25" i="2"/>
  <c r="L24" i="18" s="1"/>
  <c r="L64" i="2"/>
  <c r="G49" i="4" s="1"/>
  <c r="G25" i="2"/>
  <c r="G24" i="18" s="1"/>
  <c r="H31" i="2"/>
  <c r="H97" i="2"/>
  <c r="H109" i="2" s="1"/>
  <c r="H10" i="4"/>
  <c r="I14" i="3"/>
  <c r="H7" i="2"/>
  <c r="C10" i="28" s="1"/>
  <c r="G45" i="4"/>
  <c r="G20" i="3"/>
  <c r="K22" i="2"/>
  <c r="H25" i="2"/>
  <c r="H24" i="18" s="1"/>
  <c r="K58" i="2"/>
  <c r="F43" i="4" s="1"/>
  <c r="C69" i="2"/>
  <c r="C71" i="2" s="1"/>
  <c r="G52" i="4"/>
  <c r="H30" i="3" l="1"/>
  <c r="I30" i="3" s="1"/>
  <c r="J30" i="3" s="1"/>
  <c r="K30" i="3" s="1"/>
  <c r="L30" i="3" s="1"/>
  <c r="M30" i="3" s="1"/>
  <c r="G47" i="3"/>
  <c r="L51" i="3"/>
  <c r="K47" i="4" s="1"/>
  <c r="E18" i="4"/>
  <c r="E19" i="4" s="1"/>
  <c r="G42" i="18"/>
  <c r="O24" i="18"/>
  <c r="F42" i="18"/>
  <c r="O46" i="18"/>
  <c r="J61" i="4"/>
  <c r="K61" i="4"/>
  <c r="J37" i="4"/>
  <c r="D27" i="18"/>
  <c r="D31" i="18"/>
  <c r="D13" i="18"/>
  <c r="E73" i="2"/>
  <c r="E45" i="18"/>
  <c r="J42" i="18"/>
  <c r="O11" i="18"/>
  <c r="G15" i="18"/>
  <c r="H18" i="2"/>
  <c r="O37" i="18"/>
  <c r="G73" i="2"/>
  <c r="G45" i="18"/>
  <c r="N36" i="18"/>
  <c r="K42" i="18"/>
  <c r="N24" i="18"/>
  <c r="N11" i="18"/>
  <c r="C15" i="3"/>
  <c r="G23" i="18"/>
  <c r="F73" i="2"/>
  <c r="F45" i="18"/>
  <c r="C73" i="2"/>
  <c r="C45" i="18"/>
  <c r="I52" i="3"/>
  <c r="H40" i="4" s="1"/>
  <c r="H82" i="4" s="1"/>
  <c r="L52" i="3"/>
  <c r="K40" i="4" s="1"/>
  <c r="J52" i="3"/>
  <c r="I40" i="4" s="1"/>
  <c r="I82" i="4" s="1"/>
  <c r="M52" i="3"/>
  <c r="L40" i="4" s="1"/>
  <c r="L82" i="4" s="1"/>
  <c r="K52" i="3"/>
  <c r="J40" i="4" s="1"/>
  <c r="J82" i="4" s="1"/>
  <c r="D19" i="2"/>
  <c r="D18" i="18" s="1"/>
  <c r="I42" i="18"/>
  <c r="N37" i="18"/>
  <c r="N44" i="18"/>
  <c r="O44" i="18"/>
  <c r="H13" i="2"/>
  <c r="K77" i="4"/>
  <c r="F30" i="3"/>
  <c r="F61" i="4"/>
  <c r="E37" i="4"/>
  <c r="D73" i="2"/>
  <c r="C40" i="18"/>
  <c r="N34" i="18"/>
  <c r="O36" i="18"/>
  <c r="F12" i="4"/>
  <c r="F18" i="4" s="1"/>
  <c r="F19" i="4" s="1"/>
  <c r="H42" i="18"/>
  <c r="M51" i="3"/>
  <c r="L47" i="4" s="1"/>
  <c r="L76" i="4" s="1"/>
  <c r="J51" i="3"/>
  <c r="I47" i="4" s="1"/>
  <c r="I76" i="4" s="1"/>
  <c r="C41" i="18"/>
  <c r="O35" i="18"/>
  <c r="N35" i="18"/>
  <c r="C27" i="18"/>
  <c r="C31" i="18"/>
  <c r="F67" i="4"/>
  <c r="F19" i="28"/>
  <c r="K15" i="18"/>
  <c r="J77" i="4"/>
  <c r="F37" i="4"/>
  <c r="E38" i="15" s="1"/>
  <c r="E53" i="15" s="1"/>
  <c r="K51" i="3"/>
  <c r="J47" i="4" s="1"/>
  <c r="K76" i="4" s="1"/>
  <c r="C39" i="18"/>
  <c r="N33" i="18"/>
  <c r="O33" i="18"/>
  <c r="C18" i="4"/>
  <c r="C19" i="4" s="1"/>
  <c r="F34" i="6"/>
  <c r="D27" i="19"/>
  <c r="D12" i="18"/>
  <c r="F16" i="4"/>
  <c r="K23" i="18"/>
  <c r="O34" i="18"/>
  <c r="D40" i="18"/>
  <c r="D42" i="18" s="1"/>
  <c r="E15" i="18"/>
  <c r="E42" i="18"/>
  <c r="J15" i="18"/>
  <c r="E19" i="28"/>
  <c r="C19" i="28"/>
  <c r="H15" i="18"/>
  <c r="K37" i="4"/>
  <c r="I15" i="18"/>
  <c r="D19" i="28"/>
  <c r="J8" i="17"/>
  <c r="I61" i="4"/>
  <c r="C47" i="3"/>
  <c r="C30" i="3"/>
  <c r="L18" i="2"/>
  <c r="L13" i="2"/>
  <c r="D12" i="3"/>
  <c r="C7" i="4"/>
  <c r="E13" i="3"/>
  <c r="E14" i="3" s="1"/>
  <c r="D10" i="4"/>
  <c r="I77" i="4"/>
  <c r="K16" i="3"/>
  <c r="J13" i="4"/>
  <c r="G54" i="4"/>
  <c r="L71" i="2"/>
  <c r="L45" i="18" s="1"/>
  <c r="H13" i="4"/>
  <c r="I16" i="3"/>
  <c r="L77" i="4"/>
  <c r="I49" i="3"/>
  <c r="M49" i="3"/>
  <c r="L49" i="3"/>
  <c r="K49" i="3"/>
  <c r="J49" i="3"/>
  <c r="F54" i="4"/>
  <c r="K71" i="2"/>
  <c r="K45" i="18" s="1"/>
  <c r="H6" i="4"/>
  <c r="G12" i="4"/>
  <c r="G18" i="4" s="1"/>
  <c r="G19" i="4" s="1"/>
  <c r="F77" i="4"/>
  <c r="F78" i="4" s="1"/>
  <c r="G77" i="4"/>
  <c r="G78" i="4" s="1"/>
  <c r="H71" i="2"/>
  <c r="H45" i="18" s="1"/>
  <c r="C54" i="4"/>
  <c r="J24" i="3"/>
  <c r="I47" i="3"/>
  <c r="D61" i="4"/>
  <c r="D37" i="4"/>
  <c r="F68" i="4"/>
  <c r="F12" i="3"/>
  <c r="E7" i="4"/>
  <c r="G10" i="4"/>
  <c r="H13" i="3"/>
  <c r="H14" i="3" s="1"/>
  <c r="K18" i="2"/>
  <c r="K13" i="2"/>
  <c r="G7" i="4"/>
  <c r="H12" i="3"/>
  <c r="E70" i="4"/>
  <c r="J18" i="2"/>
  <c r="J13" i="2"/>
  <c r="I71" i="2"/>
  <c r="I45" i="18" s="1"/>
  <c r="D54" i="4"/>
  <c r="G67" i="4"/>
  <c r="D47" i="3"/>
  <c r="D30" i="3"/>
  <c r="D28" i="2"/>
  <c r="D19" i="18" s="1"/>
  <c r="D25" i="18" s="1"/>
  <c r="D33" i="2"/>
  <c r="I18" i="2"/>
  <c r="I13" i="2"/>
  <c r="D13" i="3"/>
  <c r="D14" i="3" s="1"/>
  <c r="C10" i="4"/>
  <c r="G12" i="3"/>
  <c r="F7" i="4"/>
  <c r="D78" i="4"/>
  <c r="F13" i="2"/>
  <c r="F17" i="18" s="1"/>
  <c r="F18" i="2"/>
  <c r="E13" i="2"/>
  <c r="E17" i="18" s="1"/>
  <c r="E18" i="2"/>
  <c r="J71" i="2"/>
  <c r="J45" i="18" s="1"/>
  <c r="E54" i="4"/>
  <c r="G13" i="2"/>
  <c r="G17" i="18" s="1"/>
  <c r="G18" i="2"/>
  <c r="C28" i="2"/>
  <c r="C19" i="18" s="1"/>
  <c r="C33" i="2"/>
  <c r="E30" i="3"/>
  <c r="E47" i="3"/>
  <c r="H15" i="3"/>
  <c r="G16" i="4"/>
  <c r="D16" i="4"/>
  <c r="E15" i="3"/>
  <c r="J21" i="10"/>
  <c r="J22" i="10"/>
  <c r="K16" i="10"/>
  <c r="C61" i="4"/>
  <c r="C37" i="4"/>
  <c r="E67" i="4"/>
  <c r="E12" i="3"/>
  <c r="D7" i="4"/>
  <c r="H19" i="2"/>
  <c r="H27" i="2"/>
  <c r="J48" i="3"/>
  <c r="I48" i="3"/>
  <c r="M48" i="3"/>
  <c r="L48" i="3"/>
  <c r="K48" i="3"/>
  <c r="O15" i="18" l="1"/>
  <c r="O23" i="18"/>
  <c r="H27" i="18"/>
  <c r="C29" i="28" s="1"/>
  <c r="H31" i="18"/>
  <c r="E33" i="15"/>
  <c r="F13" i="4"/>
  <c r="K17" i="18"/>
  <c r="F13" i="28"/>
  <c r="C42" i="18"/>
  <c r="O39" i="18"/>
  <c r="N39" i="18"/>
  <c r="N15" i="18"/>
  <c r="C25" i="18"/>
  <c r="G13" i="4"/>
  <c r="L17" i="18"/>
  <c r="G13" i="28"/>
  <c r="K82" i="4"/>
  <c r="N45" i="18"/>
  <c r="O45" i="18"/>
  <c r="D16" i="3"/>
  <c r="H18" i="18"/>
  <c r="C14" i="28"/>
  <c r="D13" i="4"/>
  <c r="D13" i="28"/>
  <c r="I17" i="18"/>
  <c r="I12" i="18"/>
  <c r="I27" i="19"/>
  <c r="G27" i="19"/>
  <c r="G12" i="18"/>
  <c r="J76" i="4"/>
  <c r="H27" i="19"/>
  <c r="H12" i="18"/>
  <c r="F27" i="19"/>
  <c r="F12" i="18"/>
  <c r="N41" i="18"/>
  <c r="O41" i="18"/>
  <c r="K12" i="18"/>
  <c r="K27" i="19"/>
  <c r="L12" i="18"/>
  <c r="L27" i="19"/>
  <c r="E13" i="4"/>
  <c r="J17" i="18"/>
  <c r="E13" i="28"/>
  <c r="J12" i="18"/>
  <c r="J27" i="19"/>
  <c r="C13" i="4"/>
  <c r="H17" i="18"/>
  <c r="C13" i="28"/>
  <c r="N23" i="18"/>
  <c r="O40" i="18"/>
  <c r="N40" i="18"/>
  <c r="E27" i="19"/>
  <c r="E12" i="18"/>
  <c r="C39" i="2"/>
  <c r="C29" i="18" s="1"/>
  <c r="C34" i="2"/>
  <c r="C20" i="18" s="1"/>
  <c r="C37" i="2"/>
  <c r="C56" i="4"/>
  <c r="C58" i="4" s="1"/>
  <c r="H73" i="2"/>
  <c r="I27" i="2"/>
  <c r="I19" i="2"/>
  <c r="E27" i="2"/>
  <c r="E19" i="2"/>
  <c r="E18" i="18" s="1"/>
  <c r="L73" i="2"/>
  <c r="G56" i="4"/>
  <c r="G58" i="4" s="1"/>
  <c r="H33" i="2"/>
  <c r="C24" i="4"/>
  <c r="H28" i="2"/>
  <c r="D34" i="2"/>
  <c r="D20" i="18" s="1"/>
  <c r="D39" i="2"/>
  <c r="D37" i="2"/>
  <c r="G19" i="2"/>
  <c r="G27" i="2"/>
  <c r="K21" i="10"/>
  <c r="K22" i="10"/>
  <c r="K34" i="10" s="1"/>
  <c r="K37" i="10" s="1"/>
  <c r="L27" i="2"/>
  <c r="L19" i="2"/>
  <c r="K27" i="2"/>
  <c r="K19" i="2"/>
  <c r="F27" i="2"/>
  <c r="F19" i="2"/>
  <c r="F18" i="18" s="1"/>
  <c r="H51" i="4"/>
  <c r="H15" i="4"/>
  <c r="H9" i="4"/>
  <c r="I6" i="4"/>
  <c r="H42" i="4"/>
  <c r="I31" i="3"/>
  <c r="H48" i="4"/>
  <c r="K73" i="2"/>
  <c r="F56" i="4"/>
  <c r="F58" i="4" s="1"/>
  <c r="J73" i="2"/>
  <c r="E56" i="4"/>
  <c r="E58" i="4" s="1"/>
  <c r="D56" i="4"/>
  <c r="D58" i="4" s="1"/>
  <c r="I73" i="2"/>
  <c r="K24" i="3"/>
  <c r="J47" i="3"/>
  <c r="J27" i="2"/>
  <c r="J19" i="2"/>
  <c r="K29" i="10" l="1"/>
  <c r="K30" i="10" s="1"/>
  <c r="K41" i="10" s="1"/>
  <c r="D27" i="17" s="1"/>
  <c r="N12" i="18"/>
  <c r="D14" i="18"/>
  <c r="D29" i="18"/>
  <c r="F27" i="18"/>
  <c r="F31" i="18"/>
  <c r="F13" i="18"/>
  <c r="G16" i="3"/>
  <c r="F14" i="28"/>
  <c r="K18" i="18"/>
  <c r="E13" i="18"/>
  <c r="E27" i="18"/>
  <c r="E31" i="18"/>
  <c r="N42" i="18"/>
  <c r="O42" i="18"/>
  <c r="H16" i="3"/>
  <c r="G14" i="28"/>
  <c r="L18" i="18"/>
  <c r="F16" i="3"/>
  <c r="J18" i="18"/>
  <c r="E14" i="28"/>
  <c r="J27" i="18"/>
  <c r="E29" i="28" s="1"/>
  <c r="J31" i="18"/>
  <c r="J13" i="18"/>
  <c r="G33" i="15"/>
  <c r="K27" i="18"/>
  <c r="F29" i="28" s="1"/>
  <c r="K13" i="18"/>
  <c r="K31" i="18"/>
  <c r="H33" i="15"/>
  <c r="E16" i="3"/>
  <c r="D14" i="28"/>
  <c r="I18" i="18"/>
  <c r="N18" i="18" s="1"/>
  <c r="I27" i="18"/>
  <c r="D29" i="28" s="1"/>
  <c r="I31" i="18"/>
  <c r="I13" i="18"/>
  <c r="F33" i="15"/>
  <c r="G13" i="18"/>
  <c r="G27" i="18"/>
  <c r="G31" i="18"/>
  <c r="H19" i="18"/>
  <c r="H25" i="18" s="1"/>
  <c r="C15" i="28"/>
  <c r="O12" i="18"/>
  <c r="L27" i="18"/>
  <c r="G29" i="28" s="1"/>
  <c r="L13" i="18"/>
  <c r="L31" i="18"/>
  <c r="I33" i="15"/>
  <c r="N17" i="18"/>
  <c r="O17" i="18"/>
  <c r="E43" i="15"/>
  <c r="C16" i="3"/>
  <c r="G18" i="18"/>
  <c r="H13" i="18"/>
  <c r="L24" i="3"/>
  <c r="K47" i="3"/>
  <c r="H67" i="4"/>
  <c r="I32" i="3"/>
  <c r="H75" i="4"/>
  <c r="H45" i="4"/>
  <c r="H70" i="4"/>
  <c r="I15" i="4"/>
  <c r="J6" i="4"/>
  <c r="I42" i="4"/>
  <c r="I9" i="4"/>
  <c r="I48" i="4"/>
  <c r="I51" i="4"/>
  <c r="J31" i="3"/>
  <c r="D44" i="2"/>
  <c r="C96" i="6" s="1"/>
  <c r="D40" i="2"/>
  <c r="D21" i="18" s="1"/>
  <c r="H34" i="2"/>
  <c r="H20" i="18" s="1"/>
  <c r="H37" i="2"/>
  <c r="H39" i="2"/>
  <c r="F33" i="2"/>
  <c r="F28" i="2"/>
  <c r="F19" i="18" s="1"/>
  <c r="F25" i="18" s="1"/>
  <c r="L28" i="2"/>
  <c r="G24" i="4"/>
  <c r="H10" i="17" s="1"/>
  <c r="L33" i="2"/>
  <c r="J28" i="2"/>
  <c r="E24" i="4"/>
  <c r="J33" i="2"/>
  <c r="K28" i="2"/>
  <c r="F24" i="4"/>
  <c r="G10" i="17" s="1"/>
  <c r="K33" i="2"/>
  <c r="E28" i="2"/>
  <c r="E19" i="18" s="1"/>
  <c r="E33" i="2"/>
  <c r="D24" i="4"/>
  <c r="I33" i="2"/>
  <c r="I28" i="2"/>
  <c r="G33" i="2"/>
  <c r="G28" i="2"/>
  <c r="G19" i="18" s="1"/>
  <c r="G25" i="18" s="1"/>
  <c r="H41" i="4"/>
  <c r="H69" i="4" s="1"/>
  <c r="H52" i="4"/>
  <c r="H68" i="4" s="1"/>
  <c r="H12" i="4"/>
  <c r="H18" i="4" s="1"/>
  <c r="C25" i="4"/>
  <c r="C29" i="4"/>
  <c r="C34" i="4" s="1"/>
  <c r="C44" i="2"/>
  <c r="B96" i="6" s="1"/>
  <c r="C40" i="2"/>
  <c r="C21" i="18" s="1"/>
  <c r="H21" i="17" l="1"/>
  <c r="I21" i="17"/>
  <c r="J21" i="17"/>
  <c r="D32" i="17"/>
  <c r="K21" i="17"/>
  <c r="L21" i="17"/>
  <c r="M21" i="17"/>
  <c r="O18" i="18"/>
  <c r="C16" i="28"/>
  <c r="H29" i="18"/>
  <c r="C28" i="28" s="1"/>
  <c r="O31" i="18"/>
  <c r="N31" i="18"/>
  <c r="N13" i="18"/>
  <c r="O13" i="18"/>
  <c r="K19" i="18"/>
  <c r="K25" i="18" s="1"/>
  <c r="F15" i="28"/>
  <c r="G15" i="28"/>
  <c r="L19" i="18"/>
  <c r="L25" i="18" s="1"/>
  <c r="I43" i="15"/>
  <c r="H43" i="15"/>
  <c r="D15" i="28"/>
  <c r="I19" i="18"/>
  <c r="I25" i="18" s="1"/>
  <c r="G43" i="15"/>
  <c r="E25" i="18"/>
  <c r="O27" i="18"/>
  <c r="N27" i="18"/>
  <c r="F43" i="15"/>
  <c r="E15" i="28"/>
  <c r="J19" i="18"/>
  <c r="J25" i="18" s="1"/>
  <c r="E39" i="2"/>
  <c r="E34" i="2"/>
  <c r="E20" i="18" s="1"/>
  <c r="E37" i="2"/>
  <c r="K34" i="2"/>
  <c r="K20" i="18" s="1"/>
  <c r="K39" i="2"/>
  <c r="K37" i="2"/>
  <c r="D25" i="4"/>
  <c r="D29" i="4"/>
  <c r="D34" i="4" s="1"/>
  <c r="D45" i="2"/>
  <c r="D48" i="2"/>
  <c r="D28" i="18" s="1"/>
  <c r="I67" i="4"/>
  <c r="C48" i="2"/>
  <c r="C50" i="2" s="1"/>
  <c r="C28" i="18" s="1"/>
  <c r="H78" i="4"/>
  <c r="J15" i="4"/>
  <c r="K6" i="4"/>
  <c r="J9" i="4"/>
  <c r="J12" i="4" s="1"/>
  <c r="J18" i="4" s="1"/>
  <c r="J42" i="4"/>
  <c r="J51" i="4"/>
  <c r="K31" i="3"/>
  <c r="J48" i="4"/>
  <c r="G25" i="4"/>
  <c r="G29" i="4"/>
  <c r="G34" i="4" s="1"/>
  <c r="J32" i="3"/>
  <c r="I75" i="4"/>
  <c r="F29" i="4"/>
  <c r="F34" i="4" s="1"/>
  <c r="F25" i="4"/>
  <c r="J34" i="2"/>
  <c r="J20" i="18" s="1"/>
  <c r="J39" i="2"/>
  <c r="J37" i="2"/>
  <c r="I41" i="4"/>
  <c r="I69" i="4" s="1"/>
  <c r="I52" i="4"/>
  <c r="I68" i="4" s="1"/>
  <c r="C63" i="4"/>
  <c r="E25" i="4"/>
  <c r="E29" i="4"/>
  <c r="E34" i="4" s="1"/>
  <c r="I12" i="4"/>
  <c r="I18" i="4" s="1"/>
  <c r="I70" i="4"/>
  <c r="H19" i="4"/>
  <c r="H24" i="4"/>
  <c r="I10" i="17" s="1"/>
  <c r="I14" i="17" s="1"/>
  <c r="L39" i="2"/>
  <c r="L37" i="2"/>
  <c r="L34" i="2"/>
  <c r="L20" i="18" s="1"/>
  <c r="G34" i="2"/>
  <c r="G20" i="18" s="1"/>
  <c r="G39" i="2"/>
  <c r="G37" i="2"/>
  <c r="C19" i="3" s="1"/>
  <c r="F34" i="2"/>
  <c r="F20" i="18" s="1"/>
  <c r="F39" i="2"/>
  <c r="F37" i="2"/>
  <c r="H40" i="2"/>
  <c r="H21" i="18" s="1"/>
  <c r="H44" i="2"/>
  <c r="I34" i="2"/>
  <c r="I20" i="18" s="1"/>
  <c r="I39" i="2"/>
  <c r="I37" i="2"/>
  <c r="C32" i="4"/>
  <c r="D19" i="3"/>
  <c r="H49" i="4"/>
  <c r="I45" i="4"/>
  <c r="L47" i="3"/>
  <c r="M24" i="3"/>
  <c r="M47" i="3" s="1"/>
  <c r="G29" i="18" l="1"/>
  <c r="G14" i="18"/>
  <c r="E44" i="15"/>
  <c r="E45" i="15" s="1"/>
  <c r="E34" i="15"/>
  <c r="E36" i="15" s="1"/>
  <c r="E16" i="28"/>
  <c r="J14" i="18"/>
  <c r="J29" i="18"/>
  <c r="E28" i="28" s="1"/>
  <c r="C30" i="18"/>
  <c r="L14" i="18"/>
  <c r="G16" i="28"/>
  <c r="L29" i="18"/>
  <c r="G28" i="28" s="1"/>
  <c r="D16" i="28"/>
  <c r="I14" i="18"/>
  <c r="I29" i="18"/>
  <c r="D28" i="28" s="1"/>
  <c r="O19" i="18"/>
  <c r="O20" i="18"/>
  <c r="N20" i="18"/>
  <c r="N25" i="18"/>
  <c r="F29" i="18"/>
  <c r="F14" i="18"/>
  <c r="F16" i="28"/>
  <c r="K14" i="18"/>
  <c r="K29" i="18"/>
  <c r="F28" i="28" s="1"/>
  <c r="N19" i="18"/>
  <c r="O25" i="18"/>
  <c r="C17" i="28"/>
  <c r="G96" i="6"/>
  <c r="C24" i="28" s="1"/>
  <c r="E29" i="18"/>
  <c r="E14" i="18"/>
  <c r="D30" i="18"/>
  <c r="H14" i="18"/>
  <c r="F63" i="4"/>
  <c r="F72" i="4" s="1"/>
  <c r="L40" i="2"/>
  <c r="L21" i="18" s="1"/>
  <c r="L44" i="2"/>
  <c r="H25" i="4"/>
  <c r="H29" i="4"/>
  <c r="G63" i="4"/>
  <c r="G72" i="4" s="1"/>
  <c r="I19" i="4"/>
  <c r="I24" i="4"/>
  <c r="J10" i="17" s="1"/>
  <c r="J14" i="17" s="1"/>
  <c r="E63" i="4"/>
  <c r="E72" i="4" s="1"/>
  <c r="D63" i="4"/>
  <c r="D72" i="4" s="1"/>
  <c r="J67" i="4"/>
  <c r="J70" i="4"/>
  <c r="F32" i="4"/>
  <c r="G12" i="17" s="1"/>
  <c r="G14" i="17" s="1"/>
  <c r="G19" i="3"/>
  <c r="H48" i="2"/>
  <c r="D21" i="3" s="1"/>
  <c r="C81" i="4" s="1"/>
  <c r="C83" i="4" s="1"/>
  <c r="C85" i="4" s="1"/>
  <c r="C87" i="4" s="1"/>
  <c r="F44" i="2"/>
  <c r="E96" i="6" s="1"/>
  <c r="F40" i="2"/>
  <c r="F21" i="18" s="1"/>
  <c r="J52" i="4"/>
  <c r="J68" i="4" s="1"/>
  <c r="J41" i="4"/>
  <c r="J69" i="4" s="1"/>
  <c r="K40" i="2"/>
  <c r="K21" i="18" s="1"/>
  <c r="K44" i="2"/>
  <c r="H19" i="3"/>
  <c r="G32" i="4"/>
  <c r="H12" i="17" s="1"/>
  <c r="H14" i="17" s="1"/>
  <c r="I40" i="2"/>
  <c r="I21" i="18" s="1"/>
  <c r="I44" i="2"/>
  <c r="I49" i="4"/>
  <c r="J45" i="4"/>
  <c r="G40" i="2"/>
  <c r="G21" i="18" s="1"/>
  <c r="G44" i="2"/>
  <c r="D32" i="4"/>
  <c r="E19" i="3"/>
  <c r="I78" i="4"/>
  <c r="J75" i="4"/>
  <c r="K32" i="3"/>
  <c r="J19" i="4"/>
  <c r="J24" i="4"/>
  <c r="K10" i="17" s="1"/>
  <c r="K14" i="17" s="1"/>
  <c r="E32" i="4"/>
  <c r="F19" i="3"/>
  <c r="K48" i="4"/>
  <c r="L6" i="4"/>
  <c r="K9" i="4"/>
  <c r="K42" i="4"/>
  <c r="K15" i="4"/>
  <c r="K51" i="4"/>
  <c r="L31" i="3"/>
  <c r="J40" i="2"/>
  <c r="J21" i="18" s="1"/>
  <c r="J44" i="2"/>
  <c r="E40" i="2"/>
  <c r="E21" i="18" s="1"/>
  <c r="E44" i="2"/>
  <c r="D96" i="6" s="1"/>
  <c r="G44" i="15" l="1"/>
  <c r="G45" i="15" s="1"/>
  <c r="G48" i="15" s="1"/>
  <c r="G34" i="15"/>
  <c r="G36" i="15" s="1"/>
  <c r="G56" i="15" s="1"/>
  <c r="I44" i="15"/>
  <c r="I45" i="15" s="1"/>
  <c r="I48" i="15" s="1"/>
  <c r="I34" i="15"/>
  <c r="I36" i="15" s="1"/>
  <c r="I56" i="15" s="1"/>
  <c r="J96" i="6"/>
  <c r="F24" i="28" s="1"/>
  <c r="F17" i="28"/>
  <c r="K96" i="6"/>
  <c r="G24" i="28" s="1"/>
  <c r="G17" i="28"/>
  <c r="N21" i="18"/>
  <c r="E17" i="28"/>
  <c r="I96" i="6"/>
  <c r="E24" i="28" s="1"/>
  <c r="F44" i="15"/>
  <c r="F45" i="15" s="1"/>
  <c r="F48" i="15" s="1"/>
  <c r="F34" i="15"/>
  <c r="F36" i="15" s="1"/>
  <c r="F56" i="15" s="1"/>
  <c r="N14" i="18"/>
  <c r="O14" i="18"/>
  <c r="E30" i="18"/>
  <c r="N29" i="18"/>
  <c r="O29" i="18"/>
  <c r="H96" i="6"/>
  <c r="D24" i="28" s="1"/>
  <c r="D17" i="28"/>
  <c r="H44" i="15"/>
  <c r="H45" i="15" s="1"/>
  <c r="H48" i="15" s="1"/>
  <c r="H34" i="15"/>
  <c r="H36" i="15" s="1"/>
  <c r="H56" i="15" s="1"/>
  <c r="H45" i="2"/>
  <c r="C18" i="28" s="1"/>
  <c r="F96" i="6"/>
  <c r="O21" i="18"/>
  <c r="K70" i="4"/>
  <c r="J29" i="4"/>
  <c r="J25" i="4"/>
  <c r="H31" i="4"/>
  <c r="H71" i="4" s="1"/>
  <c r="K45" i="2"/>
  <c r="F18" i="28" s="1"/>
  <c r="K48" i="2"/>
  <c r="G21" i="3" s="1"/>
  <c r="F81" i="4" s="1"/>
  <c r="F83" i="4" s="1"/>
  <c r="F85" i="4" s="1"/>
  <c r="F87" i="4" s="1"/>
  <c r="K52" i="4"/>
  <c r="K68" i="4" s="1"/>
  <c r="K41" i="4"/>
  <c r="K69" i="4" s="1"/>
  <c r="I45" i="2"/>
  <c r="D18" i="28" s="1"/>
  <c r="I48" i="2"/>
  <c r="E21" i="3" s="1"/>
  <c r="D81" i="4" s="1"/>
  <c r="D83" i="4" s="1"/>
  <c r="D85" i="4" s="1"/>
  <c r="D87" i="4" s="1"/>
  <c r="I25" i="4"/>
  <c r="I29" i="4"/>
  <c r="J78" i="4"/>
  <c r="K67" i="4"/>
  <c r="E45" i="2"/>
  <c r="E48" i="2"/>
  <c r="E50" i="2" s="1"/>
  <c r="E28" i="18" s="1"/>
  <c r="L32" i="3"/>
  <c r="K75" i="4"/>
  <c r="J45" i="2"/>
  <c r="E18" i="28" s="1"/>
  <c r="J48" i="2"/>
  <c r="F21" i="3" s="1"/>
  <c r="E81" i="4" s="1"/>
  <c r="E83" i="4" s="1"/>
  <c r="E85" i="4" s="1"/>
  <c r="E87" i="4" s="1"/>
  <c r="F45" i="2"/>
  <c r="F48" i="2"/>
  <c r="F50" i="2" s="1"/>
  <c r="F28" i="18" s="1"/>
  <c r="F30" i="18" s="1"/>
  <c r="H50" i="2"/>
  <c r="H28" i="18" s="1"/>
  <c r="H30" i="18" s="1"/>
  <c r="G45" i="2"/>
  <c r="G48" i="2"/>
  <c r="C21" i="3" s="1"/>
  <c r="K45" i="4"/>
  <c r="J49" i="4"/>
  <c r="L48" i="4"/>
  <c r="L9" i="4"/>
  <c r="L42" i="4"/>
  <c r="L70" i="4" s="1"/>
  <c r="L15" i="4"/>
  <c r="M31" i="3"/>
  <c r="L51" i="4"/>
  <c r="L45" i="2"/>
  <c r="G18" i="28" s="1"/>
  <c r="L48" i="2"/>
  <c r="H21" i="3" s="1"/>
  <c r="G81" i="4" s="1"/>
  <c r="G83" i="4" s="1"/>
  <c r="G85" i="4" s="1"/>
  <c r="G87" i="4" s="1"/>
  <c r="K12" i="4"/>
  <c r="K18" i="4" s="1"/>
  <c r="H55" i="15" l="1"/>
  <c r="H58" i="15" s="1"/>
  <c r="I18" i="17"/>
  <c r="I23" i="17" s="1"/>
  <c r="L50" i="2"/>
  <c r="L28" i="18" s="1"/>
  <c r="L30" i="18" s="1"/>
  <c r="I55" i="15"/>
  <c r="I58" i="15" s="1"/>
  <c r="J50" i="2"/>
  <c r="J28" i="18" s="1"/>
  <c r="J30" i="18" s="1"/>
  <c r="G55" i="15"/>
  <c r="G58" i="15" s="1"/>
  <c r="H18" i="17"/>
  <c r="H23" i="17" s="1"/>
  <c r="G18" i="17"/>
  <c r="F55" i="15"/>
  <c r="F58" i="15" s="1"/>
  <c r="I50" i="15"/>
  <c r="I51" i="15"/>
  <c r="L52" i="4"/>
  <c r="L68" i="4" s="1"/>
  <c r="L41" i="4"/>
  <c r="L69" i="4" s="1"/>
  <c r="L12" i="4"/>
  <c r="L18" i="4" s="1"/>
  <c r="I50" i="2"/>
  <c r="I28" i="18" s="1"/>
  <c r="I30" i="18" s="1"/>
  <c r="K50" i="2"/>
  <c r="K28" i="18" s="1"/>
  <c r="K30" i="18" s="1"/>
  <c r="K19" i="4"/>
  <c r="K24" i="4"/>
  <c r="L10" i="17" s="1"/>
  <c r="L14" i="17" s="1"/>
  <c r="L75" i="4"/>
  <c r="M32" i="3"/>
  <c r="K78" i="4"/>
  <c r="G50" i="2"/>
  <c r="G28" i="18" s="1"/>
  <c r="G30" i="18" s="1"/>
  <c r="H34" i="4"/>
  <c r="L45" i="4"/>
  <c r="L49" i="4" s="1"/>
  <c r="K49" i="4"/>
  <c r="J31" i="4"/>
  <c r="J71" i="4" s="1"/>
  <c r="L67" i="4"/>
  <c r="I31" i="4"/>
  <c r="I71" i="4" s="1"/>
  <c r="N30" i="18" l="1"/>
  <c r="O28" i="18"/>
  <c r="O30" i="18"/>
  <c r="N28" i="18"/>
  <c r="J18" i="17"/>
  <c r="J23" i="17" s="1"/>
  <c r="L78" i="4"/>
  <c r="J34" i="4"/>
  <c r="I34" i="4"/>
  <c r="L19" i="4"/>
  <c r="L24" i="4"/>
  <c r="M10" i="17" s="1"/>
  <c r="M14" i="17" s="1"/>
  <c r="M18" i="17" s="1"/>
  <c r="H63" i="4"/>
  <c r="H72" i="4" s="1"/>
  <c r="H81" i="4"/>
  <c r="H83" i="4" s="1"/>
  <c r="H85" i="4" s="1"/>
  <c r="H87" i="4" s="1"/>
  <c r="H53" i="4" s="1"/>
  <c r="H39" i="4"/>
  <c r="K29" i="4"/>
  <c r="K25" i="4"/>
  <c r="D31" i="17" l="1"/>
  <c r="D35" i="17" s="1"/>
  <c r="D40" i="17" s="1"/>
  <c r="M23" i="17"/>
  <c r="L18" i="17"/>
  <c r="L23" i="17" s="1"/>
  <c r="K18" i="17"/>
  <c r="K23" i="17" s="1"/>
  <c r="I86" i="4"/>
  <c r="H54" i="4"/>
  <c r="H56" i="4" s="1"/>
  <c r="K31" i="4"/>
  <c r="K71" i="4" s="1"/>
  <c r="H43" i="4"/>
  <c r="I39" i="4"/>
  <c r="L29" i="4"/>
  <c r="L25" i="4"/>
  <c r="I81" i="4"/>
  <c r="I83" i="4" s="1"/>
  <c r="I63" i="4"/>
  <c r="I72" i="4" s="1"/>
  <c r="J81" i="4"/>
  <c r="J83" i="4" s="1"/>
  <c r="J63" i="4"/>
  <c r="J72" i="4" s="1"/>
  <c r="I85" i="4" l="1"/>
  <c r="I87" i="4" s="1"/>
  <c r="I53" i="4" s="1"/>
  <c r="D39" i="17"/>
  <c r="D41" i="17" s="1"/>
  <c r="D45" i="17" s="1"/>
  <c r="D47" i="17" s="1"/>
  <c r="J86" i="4"/>
  <c r="I54" i="4"/>
  <c r="I56" i="4" s="1"/>
  <c r="L31" i="4"/>
  <c r="L71" i="4" s="1"/>
  <c r="K34" i="4"/>
  <c r="J85" i="4"/>
  <c r="J87" i="4" s="1"/>
  <c r="J53" i="4" s="1"/>
  <c r="I43" i="4"/>
  <c r="J39" i="4"/>
  <c r="H58" i="4"/>
  <c r="L34" i="4" l="1"/>
  <c r="G32" i="17"/>
  <c r="D50" i="17"/>
  <c r="J43" i="4"/>
  <c r="K39" i="4"/>
  <c r="K81" i="4"/>
  <c r="K83" i="4" s="1"/>
  <c r="K63" i="4"/>
  <c r="K72" i="4" s="1"/>
  <c r="I58" i="4"/>
  <c r="L81" i="4"/>
  <c r="L83" i="4" s="1"/>
  <c r="L63" i="4"/>
  <c r="L72" i="4" s="1"/>
  <c r="K86" i="4"/>
  <c r="J54" i="4"/>
  <c r="J56" i="4" s="1"/>
  <c r="J58" i="4" s="1"/>
  <c r="L85" i="4" l="1"/>
  <c r="K85" i="4"/>
  <c r="K87" i="4" s="1"/>
  <c r="K53" i="4" s="1"/>
  <c r="L39" i="4"/>
  <c r="L43" i="4" s="1"/>
  <c r="K43" i="4"/>
  <c r="L86" i="4" l="1"/>
  <c r="L87" i="4" s="1"/>
  <c r="L53" i="4" s="1"/>
  <c r="L54" i="4" s="1"/>
  <c r="L56" i="4" s="1"/>
  <c r="L58" i="4" s="1"/>
  <c r="K54" i="4"/>
  <c r="K56" i="4" s="1"/>
  <c r="K58" i="4" s="1"/>
  <c r="Q35" i="20" l="1"/>
  <c r="G13" i="22" l="1"/>
  <c r="F13" i="22" s="1"/>
  <c r="Q3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48" authorId="0" shapeId="0" xr:uid="{00000000-0006-0000-0200-000002000000}">
      <text>
        <r>
          <rPr>
            <sz val="10"/>
            <rFont val="Arial"/>
            <family val="2"/>
          </rPr>
          <t>Source: Screener.in, FY26 Annual Report, Other Liabilities/Sales = 5,355.23/35,583.54. Held flat across FY27-31; revise if non-sales-linked liabilities expected.</t>
        </r>
      </text>
    </comment>
    <comment ref="H52" authorId="0" shapeId="0" xr:uid="{00000000-0006-0000-0200-000003000000}">
      <text>
        <r>
          <rPr>
            <sz val="10"/>
            <rFont val="Arial"/>
            <family val="2"/>
          </rPr>
          <t>Assumption: no net new borrowing/repayment planned FY27-31; Borrowings held flat at FY26 level (Rs 3,928.93 Cr). Revise if debt-funded capex or refinancing expected.</t>
        </r>
      </text>
    </comment>
    <comment ref="C55" authorId="0" shapeId="0" xr:uid="{00000000-0006-0000-0200-000001000000}">
      <text>
        <r>
          <rPr>
            <sz val="10"/>
            <rFont val="Arial"/>
            <family val="2"/>
          </rPr>
          <t>Switch between Base Case (conservative, reflects Birla Opus competitive pressure per current sell-side commentary) and Bull Case (management's more optimistic guidance). Type exactly 'Base Case' or 'Bull Case'. This single cell drives Sales Growth, COGS%, S&amp;G%, and Capex for the entire forecast.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39" authorId="0" shapeId="0" xr:uid="{00000000-0006-0000-0300-000005000000}">
      <text>
        <r>
          <rPr>
            <sz val="10"/>
            <rFont val="Arial"/>
            <family val="2"/>
          </rPr>
          <t>Reserves rollforward: Prior Reserves + Net Profit x (1 - Dividend Payout Ratio). Standard retained-earnings linkage.</t>
        </r>
      </text>
    </comment>
    <comment ref="H45" authorId="0" shapeId="0" xr:uid="{00000000-0006-0000-0300-000006000000}">
      <text>
        <r>
          <rPr>
            <sz val="10"/>
            <rFont val="Arial"/>
            <family val="2"/>
          </rPr>
          <t>Net Block rollforward: Prior Net Block + Capex (Assumption Sheet) - Depreciation (Income Statement). Ties directly to CF Statement Capex line.</t>
        </r>
      </text>
    </comment>
    <comment ref="H53" authorId="0" shapeId="0" xr:uid="{00000000-0006-0000-0300-000007000000}">
      <text>
        <r>
          <rPr>
            <sz val="10"/>
            <rFont val="Arial"/>
            <family val="2"/>
          </rPr>
          <t>Cash &amp; Bank = Closing Cash from Cash Flow Statement (row 87). This is the core 3-statement link that makes the Balance Sheet self-balancing.</t>
        </r>
      </text>
    </comment>
    <comment ref="B58" authorId="0" shapeId="0" xr:uid="{00000000-0006-0000-0300-000001000000}">
      <text>
        <r>
          <rPr>
            <sz val="10"/>
            <rFont val="Arial"/>
            <family val="2"/>
          </rPr>
          <t>Balance Sheet integrity check: Total Assets = Total Liabilities. Should always read TRUE - if FALSE after changing an assumption, a corresponding Cash Flow Statement line is likely missing for that item.</t>
        </r>
      </text>
    </comment>
    <comment ref="B70" authorId="0" shapeId="0" xr:uid="{00000000-0006-0000-0300-000002000000}">
      <text>
        <r>
          <rPr>
            <sz val="10"/>
            <rFont val="Arial"/>
            <family val="2"/>
          </rPr>
          <t>Captures cash impact of Other Liabilities and Other Assets movements (both driven off Sales in Assumption Sheet), so the Balance Sheet stays fully tied even if these drivers are changed.</t>
        </r>
      </text>
    </comment>
    <comment ref="B76" authorId="0" shapeId="0" xr:uid="{00000000-0006-0000-0300-000003000000}">
      <text>
        <r>
          <rPr>
            <sz val="10"/>
            <rFont val="Arial"/>
            <family val="2"/>
          </rPr>
          <t>NEW: captures cash impact of any change in Investments (Assumption Sheet row 47). If Investments assumption is changed from flat, this line automatically reflects the cash outflow/inflow so the Balance Sheet remains balanced.</t>
        </r>
      </text>
    </comment>
    <comment ref="B77" authorId="0" shapeId="0" xr:uid="{00000000-0006-0000-0300-000004000000}">
      <text>
        <r>
          <rPr>
            <sz val="10"/>
            <rFont val="Arial"/>
            <family val="2"/>
          </rPr>
          <t>NEW: captures cash impact of any change in CWIP (Assumption Sheet row 46). Same purpose as the Investments line above - keeps CFI complete for any assumption change.</t>
        </r>
      </text>
    </comment>
  </commentList>
</comments>
</file>

<file path=xl/sharedStrings.xml><?xml version="1.0" encoding="utf-8"?>
<sst xmlns="http://schemas.openxmlformats.org/spreadsheetml/2006/main" count="1691" uniqueCount="683">
  <si>
    <t>Years</t>
  </si>
  <si>
    <t>#</t>
  </si>
  <si>
    <t>Sales</t>
  </si>
  <si>
    <t>Sales Growth</t>
  </si>
  <si>
    <t>COGS</t>
  </si>
  <si>
    <t>COGS % of Sales</t>
  </si>
  <si>
    <t>Gross Profit</t>
  </si>
  <si>
    <t>Gross Margin</t>
  </si>
  <si>
    <t>Selling &amp; General Expenses</t>
  </si>
  <si>
    <t>S&amp;G Exp % of Sales</t>
  </si>
  <si>
    <t>EBITDA</t>
  </si>
  <si>
    <t>EBITDA Margin</t>
  </si>
  <si>
    <t>Other Income</t>
  </si>
  <si>
    <t>Other Income % of Sales</t>
  </si>
  <si>
    <t>Depreciation</t>
  </si>
  <si>
    <t>Depreciation % of Sales</t>
  </si>
  <si>
    <t xml:space="preserve">EBIT </t>
  </si>
  <si>
    <t>EBIT Margin</t>
  </si>
  <si>
    <t>Interest</t>
  </si>
  <si>
    <t>Interest % of Sales</t>
  </si>
  <si>
    <t>Earning Before Tax</t>
  </si>
  <si>
    <t>EBT % of Sales</t>
  </si>
  <si>
    <t>Tax</t>
  </si>
  <si>
    <t>Effective Tax Rate</t>
  </si>
  <si>
    <t>Net Profit</t>
  </si>
  <si>
    <t>Net Profit Margin</t>
  </si>
  <si>
    <t>No of Equity Shares</t>
  </si>
  <si>
    <t>Earning Per Shares</t>
  </si>
  <si>
    <t>EPS Growth Rate</t>
  </si>
  <si>
    <t>Dividend Per Shares</t>
  </si>
  <si>
    <t>Dividend Payout Ratio</t>
  </si>
  <si>
    <t>Retained Earnings</t>
  </si>
  <si>
    <t>Equity Share Capital</t>
  </si>
  <si>
    <t>Reserves</t>
  </si>
  <si>
    <t>Borrowings</t>
  </si>
  <si>
    <t>Trade Payables</t>
  </si>
  <si>
    <t>Other Liabilities</t>
  </si>
  <si>
    <t>Total Liabilities</t>
  </si>
  <si>
    <t>Fixed Assets Net Block</t>
  </si>
  <si>
    <t>Capital Work in Progress</t>
  </si>
  <si>
    <t>Investments</t>
  </si>
  <si>
    <t>Other Assets</t>
  </si>
  <si>
    <t>Total Current Assets</t>
  </si>
  <si>
    <t>Receivables</t>
  </si>
  <si>
    <t>Inventory</t>
  </si>
  <si>
    <t>Cash &amp; Bank</t>
  </si>
  <si>
    <t>Total Non Current Assets</t>
  </si>
  <si>
    <t>Total Assets</t>
  </si>
  <si>
    <t>Check</t>
  </si>
  <si>
    <t>Operating Activities</t>
  </si>
  <si>
    <t>Profit from operations</t>
  </si>
  <si>
    <t>Payables</t>
  </si>
  <si>
    <t>Other WC items</t>
  </si>
  <si>
    <t>Working capital changes</t>
  </si>
  <si>
    <t>Direct taxes</t>
  </si>
  <si>
    <t>Cash from Operating Activity</t>
  </si>
  <si>
    <t>Investing Activities</t>
  </si>
  <si>
    <t>Fixed assets purchased</t>
  </si>
  <si>
    <t>Fixed assets sold</t>
  </si>
  <si>
    <t>Investments purchased</t>
  </si>
  <si>
    <t>Investments sold</t>
  </si>
  <si>
    <t>Interest received</t>
  </si>
  <si>
    <t>Dividends received</t>
  </si>
  <si>
    <t>Investment in group cos</t>
  </si>
  <si>
    <t>Redemp n Canc of Shares</t>
  </si>
  <si>
    <t>Acquisition of companies</t>
  </si>
  <si>
    <t>Other investing items</t>
  </si>
  <si>
    <t>Cash from Investing Activities</t>
  </si>
  <si>
    <t>Financial Activities</t>
  </si>
  <si>
    <t>Proceeds from shares</t>
  </si>
  <si>
    <t>Proceeds from borrowings</t>
  </si>
  <si>
    <t>Repayment of borrowings</t>
  </si>
  <si>
    <t>Interest paid fin</t>
  </si>
  <si>
    <t>Dividends paid</t>
  </si>
  <si>
    <t>Financial liabilities</t>
  </si>
  <si>
    <t>Other financing items</t>
  </si>
  <si>
    <t>Cash from Financial Activities</t>
  </si>
  <si>
    <t>Net Cash Flow</t>
  </si>
  <si>
    <t>1. P &amp; L Drivers</t>
  </si>
  <si>
    <t>Drivers</t>
  </si>
  <si>
    <t>Sales Growth Rate (%)</t>
  </si>
  <si>
    <t>Gross Margin (%)</t>
  </si>
  <si>
    <t>S&amp;G Exp % Of Sales</t>
  </si>
  <si>
    <t>EBITDA Margin (%)</t>
  </si>
  <si>
    <t>Depreciation (Cr)</t>
  </si>
  <si>
    <t>Interest Expense (Cr)</t>
  </si>
  <si>
    <t>Effective Tax Rate(%)</t>
  </si>
  <si>
    <t>Other Income(Cr)</t>
  </si>
  <si>
    <t>2. Working Capital Drivers</t>
  </si>
  <si>
    <t xml:space="preserve"> </t>
  </si>
  <si>
    <t>Debtor Days</t>
  </si>
  <si>
    <t>Inventory Days</t>
  </si>
  <si>
    <t>Creditor Days</t>
  </si>
  <si>
    <t>3. Capex &amp; Fixed Assets</t>
  </si>
  <si>
    <t>Capex (Cr)</t>
  </si>
  <si>
    <t>Capex % of Sales</t>
  </si>
  <si>
    <t>Parameter</t>
  </si>
  <si>
    <t>Value</t>
  </si>
  <si>
    <t>Risk-Free Rate</t>
  </si>
  <si>
    <t>Beta</t>
  </si>
  <si>
    <t>Equity Risk Premium</t>
  </si>
  <si>
    <t>Cost of Equity</t>
  </si>
  <si>
    <t>Pre-Tax Cost of Debt</t>
  </si>
  <si>
    <t>Tax Rate</t>
  </si>
  <si>
    <t>After-Tax Cost of Debt</t>
  </si>
  <si>
    <t>Debt</t>
  </si>
  <si>
    <t>Equity</t>
  </si>
  <si>
    <t>WACC</t>
  </si>
  <si>
    <t>Terminal Growth Rate</t>
  </si>
  <si>
    <t>5. Balance Sheet Drivers</t>
  </si>
  <si>
    <t>Other Liabilities % of Sales</t>
  </si>
  <si>
    <t>Other Assets % of Sales</t>
  </si>
  <si>
    <t>Capital Work in Progress (Cr)</t>
  </si>
  <si>
    <t>Investments (Cr)</t>
  </si>
  <si>
    <t>Borrowings (Cr)</t>
  </si>
  <si>
    <t>6. Scenario Analysis (Base Case vs Bull Case)</t>
  </si>
  <si>
    <t>Active Scenario (type: Base Case / Bull Case)</t>
  </si>
  <si>
    <t>Base Case</t>
  </si>
  <si>
    <t>Sales Growth Rate - Base Case (%)</t>
  </si>
  <si>
    <t>Sales Growth Rate - Bull Case (%)</t>
  </si>
  <si>
    <t>COGS % of Sales - Base Case</t>
  </si>
  <si>
    <t>COGS % of Sales - Bull Case</t>
  </si>
  <si>
    <t>S&amp;G Exp % of Sales - Base Case</t>
  </si>
  <si>
    <t>S&amp;G Exp % of Sales - Bull Case</t>
  </si>
  <si>
    <t>Capex % of Sales - Base Case</t>
  </si>
  <si>
    <t>Capex (Cr) - Bull Case</t>
  </si>
  <si>
    <t>Implied EBITDA Margin - Base Case (%) [memo]</t>
  </si>
  <si>
    <t>Implied EBITDA Margin - Bull Case (%) [memo]</t>
  </si>
  <si>
    <t>Particulars</t>
  </si>
  <si>
    <t>Sales Growth (%)</t>
  </si>
  <si>
    <t xml:space="preserve">      </t>
  </si>
  <si>
    <t>S&amp;G Expenses</t>
  </si>
  <si>
    <t>S&amp;G % of Sales</t>
  </si>
  <si>
    <t>EBIT</t>
  </si>
  <si>
    <t>EBIT Margin (%)</t>
  </si>
  <si>
    <t>Interest Expense</t>
  </si>
  <si>
    <t>A. Cash Flow From Operations (CFO)</t>
  </si>
  <si>
    <t>Net Profit (PAT) [post-tax]</t>
  </si>
  <si>
    <t>Add: Depreciation</t>
  </si>
  <si>
    <t>Working Capital Change:</t>
  </si>
  <si>
    <t>( - ) Increase in Receivables</t>
  </si>
  <si>
    <t>( - ) Increase in Inventory</t>
  </si>
  <si>
    <t>( + ) Increase in Creditors</t>
  </si>
  <si>
    <t>( +/- ) Other Working Capital Items</t>
  </si>
  <si>
    <t>(Memo) Tax already reflected in PAT above</t>
  </si>
  <si>
    <t>CFO</t>
  </si>
  <si>
    <t>B. Cash Flow From Investing (CFI)</t>
  </si>
  <si>
    <t>( - ) Capex</t>
  </si>
  <si>
    <t>( - ) Increase in Investments</t>
  </si>
  <si>
    <t>( - ) Increase in CWIP</t>
  </si>
  <si>
    <t xml:space="preserve">CFI </t>
  </si>
  <si>
    <t>C. Cash Flow From Financing (CFF)</t>
  </si>
  <si>
    <t>( - ) Dividend Paid</t>
  </si>
  <si>
    <t>(+/-) Net Borrowing Change</t>
  </si>
  <si>
    <t>CFF</t>
  </si>
  <si>
    <t>Net Change in Cash</t>
  </si>
  <si>
    <t>Opening Cash</t>
  </si>
  <si>
    <t>Closing Cash</t>
  </si>
  <si>
    <t>COMPANY NAME</t>
  </si>
  <si>
    <t>ASIAN PAINTS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</si>
  <si>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</si>
  <si>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</si>
  <si>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</si>
  <si>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</si>
  <si>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</si>
  <si>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</si>
  <si>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</si>
  <si>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</si>
  <si>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</si>
  <si>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</si>
  <si>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</si>
  <si>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</si>
  <si>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</si>
  <si>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</si>
  <si>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</si>
  <si>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</si>
  <si>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</si>
  <si>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Profit before tax</t>
  </si>
  <si>
    <t>Net profit</t>
  </si>
  <si>
    <t>Dividend Amount</t>
  </si>
  <si>
    <t>Quarters</t>
  </si>
  <si>
    <t>Expenses</t>
  </si>
  <si>
    <t>Operating Profit</t>
  </si>
  <si>
    <t>BALANCE SHEET</t>
  </si>
  <si>
    <t>Total</t>
  </si>
  <si>
    <t>Net Block</t>
  </si>
  <si>
    <t>No. of Equity Shares</t>
  </si>
  <si>
    <t>New Bonus Shares</t>
  </si>
  <si>
    <t>Face value</t>
  </si>
  <si>
    <t>CASH FLOW:</t>
  </si>
  <si>
    <t>Cash from Investing Activity</t>
  </si>
  <si>
    <t>Cash from Financing Activity</t>
  </si>
  <si>
    <t>PRICE:</t>
  </si>
  <si>
    <t>DERIVED:</t>
  </si>
  <si>
    <t>Adjusted Equity Shares in Cr</t>
  </si>
  <si>
    <t>Cash from Operating Activity -</t>
  </si>
  <si>
    <t>Cash from Investing Activity -</t>
  </si>
  <si>
    <t>Cash from Financing Activity -</t>
  </si>
  <si>
    <t>PV of FCFF</t>
  </si>
  <si>
    <t>PV of Terminal Value</t>
  </si>
  <si>
    <t>Calculation of Weighted Average Cost of Capital</t>
  </si>
  <si>
    <t>All figures are in INR unless Stated otherwise</t>
  </si>
  <si>
    <t>Peer Comps</t>
  </si>
  <si>
    <t>Debt/</t>
  </si>
  <si>
    <t>Levered</t>
  </si>
  <si>
    <t>Unlevered</t>
  </si>
  <si>
    <t>Company Name</t>
  </si>
  <si>
    <t>Country</t>
  </si>
  <si>
    <t>Total Debt</t>
  </si>
  <si>
    <t>Total Equity</t>
  </si>
  <si>
    <t>Tax Rate1</t>
  </si>
  <si>
    <t>Capital</t>
  </si>
  <si>
    <t>Beta2</t>
  </si>
  <si>
    <t>Beta3</t>
  </si>
  <si>
    <t>Asian Paints</t>
  </si>
  <si>
    <t>India</t>
  </si>
  <si>
    <t>Berger Paints</t>
  </si>
  <si>
    <t>Kansai Nerolac</t>
  </si>
  <si>
    <t>Indigo Paints</t>
  </si>
  <si>
    <t>Average</t>
  </si>
  <si>
    <t>Median</t>
  </si>
  <si>
    <t>Cost of Debt</t>
  </si>
  <si>
    <t>Risk Free Rate</t>
  </si>
  <si>
    <t>Post-Tax Cost of Debt</t>
  </si>
  <si>
    <t>Levered Beta4</t>
  </si>
  <si>
    <t>Cost Structure</t>
  </si>
  <si>
    <t>Levered Beta</t>
  </si>
  <si>
    <t>Current</t>
  </si>
  <si>
    <t>Target</t>
  </si>
  <si>
    <t>Comps Median Unlevered Beta</t>
  </si>
  <si>
    <t>Target Debt/Equity</t>
  </si>
  <si>
    <t>Total Capital</t>
  </si>
  <si>
    <t>Debt/Equity</t>
  </si>
  <si>
    <t>Weighted Average Cost of Capital</t>
  </si>
  <si>
    <t>1. Tax Rate considered as Marginal Tax Rate for the Country</t>
  </si>
  <si>
    <t>Equity Weight</t>
  </si>
  <si>
    <t>2. Levered Beta is based on 5 year monthly Data</t>
  </si>
  <si>
    <t>3. Unlevered Beta = Levered Beta/(1+(1-Tax Rate)*Debt/Equity</t>
  </si>
  <si>
    <t>4. Levered Beta = Unlevered Beta*(1+(1-Tax Rate)*Debt/Equity</t>
  </si>
  <si>
    <t>Debt Weight</t>
  </si>
  <si>
    <t>Regression Beta</t>
  </si>
  <si>
    <t>NIFTY 50</t>
  </si>
  <si>
    <t>SUMMARY OUTPUT</t>
  </si>
  <si>
    <t>Date</t>
  </si>
  <si>
    <t>Close</t>
  </si>
  <si>
    <t>5Y Monthly Return</t>
  </si>
  <si>
    <t>Beta Drifting</t>
  </si>
  <si>
    <t>Regression Statistics</t>
  </si>
  <si>
    <t>Jul 3, 2026</t>
  </si>
  <si>
    <t>Multiple R</t>
  </si>
  <si>
    <t>Jul 1, 2026</t>
  </si>
  <si>
    <t xml:space="preserve">Levered Raw Beta </t>
  </si>
  <si>
    <t>R Square</t>
  </si>
  <si>
    <t>Jun 1, 2026</t>
  </si>
  <si>
    <t>Raw Beta Weight</t>
  </si>
  <si>
    <t>Adjusted R Square</t>
  </si>
  <si>
    <t>May 1, 2026</t>
  </si>
  <si>
    <t>Standard Error</t>
  </si>
  <si>
    <t>Apr 1, 2026</t>
  </si>
  <si>
    <t>Market Beta</t>
  </si>
  <si>
    <t>Observations</t>
  </si>
  <si>
    <t>Mar 1, 2026</t>
  </si>
  <si>
    <t>Market Beta weight</t>
  </si>
  <si>
    <t>Feb 1, 2026</t>
  </si>
  <si>
    <t>ANOVA</t>
  </si>
  <si>
    <t>Jan 1, 2026</t>
  </si>
  <si>
    <t>Adjusted Beta</t>
  </si>
  <si>
    <t>df</t>
  </si>
  <si>
    <t>SS</t>
  </si>
  <si>
    <t>MS</t>
  </si>
  <si>
    <t>F</t>
  </si>
  <si>
    <t>Significance F</t>
  </si>
  <si>
    <t>Dec 1, 2025</t>
  </si>
  <si>
    <t>Regression</t>
  </si>
  <si>
    <t>Nov 1, 2025</t>
  </si>
  <si>
    <t>Residual</t>
  </si>
  <si>
    <t>Oct 1, 2025</t>
  </si>
  <si>
    <t>Sep 1, 2025</t>
  </si>
  <si>
    <t>Aug 1, 2025</t>
  </si>
  <si>
    <t>Coefficients</t>
  </si>
  <si>
    <t>t Stat</t>
  </si>
  <si>
    <t>P-value</t>
  </si>
  <si>
    <t>Lower 95%</t>
  </si>
  <si>
    <t>Upper 95%</t>
  </si>
  <si>
    <t>Lower 95.0%</t>
  </si>
  <si>
    <t>Upper 95.0%</t>
  </si>
  <si>
    <t>Jul 1, 2025</t>
  </si>
  <si>
    <t>Intercept</t>
  </si>
  <si>
    <t>Jun 1, 2025</t>
  </si>
  <si>
    <t>X Variable 1</t>
  </si>
  <si>
    <t>May 1, 2025</t>
  </si>
  <si>
    <t>Apr 1, 2025</t>
  </si>
  <si>
    <t>Mar 1, 2025</t>
  </si>
  <si>
    <t>Feb 1, 2025</t>
  </si>
  <si>
    <t>Jan 1, 2025</t>
  </si>
  <si>
    <t>Dec 1, 2024</t>
  </si>
  <si>
    <t>Nov 1, 2024</t>
  </si>
  <si>
    <t>Oct 1, 2024</t>
  </si>
  <si>
    <t>Sep 1, 2024</t>
  </si>
  <si>
    <t>Aug 1, 2024</t>
  </si>
  <si>
    <t>Jul 1, 2024</t>
  </si>
  <si>
    <t>Jun 1, 2024</t>
  </si>
  <si>
    <t>May 1, 2024</t>
  </si>
  <si>
    <t>Apr 1, 2024</t>
  </si>
  <si>
    <t>Mar 1, 2024</t>
  </si>
  <si>
    <t>Feb 1, 2024</t>
  </si>
  <si>
    <t>Jan 1, 2024</t>
  </si>
  <si>
    <t>Dec 1, 2023</t>
  </si>
  <si>
    <t>Nov 1, 2023</t>
  </si>
  <si>
    <t>Oct 1, 2023</t>
  </si>
  <si>
    <t>Sep 1, 2023</t>
  </si>
  <si>
    <t>Aug 1, 2023</t>
  </si>
  <si>
    <t>Jul 1, 2023</t>
  </si>
  <si>
    <t>Jun 1, 2023</t>
  </si>
  <si>
    <t>May 1, 2023</t>
  </si>
  <si>
    <t>Apr 1, 2023</t>
  </si>
  <si>
    <t>Mar 1, 2023</t>
  </si>
  <si>
    <t>Feb 1, 2023</t>
  </si>
  <si>
    <t>Jan 1, 2023</t>
  </si>
  <si>
    <t>Dec 1, 2022</t>
  </si>
  <si>
    <t>Nov 1, 2022</t>
  </si>
  <si>
    <t>Oct 1, 2022</t>
  </si>
  <si>
    <t>Sep 1, 2022</t>
  </si>
  <si>
    <t>Aug 1, 2022</t>
  </si>
  <si>
    <t>Jul 1, 2022</t>
  </si>
  <si>
    <t>Jun 1, 2022</t>
  </si>
  <si>
    <t>May 1, 2022</t>
  </si>
  <si>
    <t>Apr 1, 2022</t>
  </si>
  <si>
    <t>Mar 1, 2022</t>
  </si>
  <si>
    <t>Feb 1, 2022</t>
  </si>
  <si>
    <t>Jan 1, 2022</t>
  </si>
  <si>
    <t>Dec 1, 2021</t>
  </si>
  <si>
    <t>Nov 1, 2021</t>
  </si>
  <si>
    <t>Oct 1, 2021</t>
  </si>
  <si>
    <t>Sep 1, 2021</t>
  </si>
  <si>
    <t>Aug 1, 2021</t>
  </si>
  <si>
    <t>Return on Market</t>
  </si>
  <si>
    <t>Year</t>
  </si>
  <si>
    <t>Annual</t>
  </si>
  <si>
    <t>Average Return</t>
  </si>
  <si>
    <t>Dividend Yield</t>
  </si>
  <si>
    <t>asian paints</t>
  </si>
  <si>
    <t>nifty 50</t>
  </si>
  <si>
    <t>berger paints</t>
  </si>
  <si>
    <t>narolac</t>
  </si>
  <si>
    <t>indigo</t>
  </si>
  <si>
    <t>S.No.</t>
  </si>
  <si>
    <t>Name</t>
  </si>
  <si>
    <t>Mar Cap Rs.Cr.</t>
  </si>
  <si>
    <t>Debt Rs.Cr.</t>
  </si>
  <si>
    <t>Adj Close</t>
  </si>
  <si>
    <t>JSW Dulux</t>
  </si>
  <si>
    <t>Nifty 50 returns</t>
  </si>
  <si>
    <t>Total Market Return</t>
  </si>
  <si>
    <r>
      <t>1.30%</t>
    </r>
    <r>
      <rPr>
        <vertAlign val="superscript"/>
        <sz val="11"/>
        <color rgb="FF3333FF"/>
        <rFont val="Calibri"/>
        <family val="2"/>
      </rPr>
      <t>1</t>
    </r>
  </si>
  <si>
    <t>Geometric Mean</t>
  </si>
  <si>
    <t>Equity Capital</t>
  </si>
  <si>
    <t>Borrowings -</t>
  </si>
  <si>
    <t>Long term Borrowings</t>
  </si>
  <si>
    <t>Short term Borrowings</t>
  </si>
  <si>
    <t>Lease Liabilities</t>
  </si>
  <si>
    <t>Other Borrowings</t>
  </si>
  <si>
    <t>Other Liabilities -</t>
  </si>
  <si>
    <t>Non controlling int</t>
  </si>
  <si>
    <t>Advance from Customers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</si>
  <si>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</si>
  <si>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</si>
  <si>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</si>
  <si>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</si>
  <si>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</si>
  <si>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</si>
  <si>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</si>
  <si>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</si>
  <si>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</si>
  <si>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</si>
  <si>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</si>
  <si>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</si>
  <si>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</si>
  <si>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Inventories</t>
  </si>
  <si>
    <t>Cash Equivalents</t>
  </si>
  <si>
    <t>Loans n Advances</t>
  </si>
  <si>
    <t>Other asset items</t>
  </si>
  <si>
    <t>Trade receivables</t>
  </si>
  <si>
    <t>Other Assets -</t>
  </si>
  <si>
    <t>Free Cash Flow</t>
  </si>
  <si>
    <t>CFO/OP</t>
  </si>
  <si>
    <t>Calculation of ROIC</t>
  </si>
  <si>
    <t>Current Liabilities</t>
  </si>
  <si>
    <t>Current Assets</t>
  </si>
  <si>
    <t>Net Working Capital</t>
  </si>
  <si>
    <t>Total Current Liabilties</t>
  </si>
  <si>
    <t>Non Current Assets</t>
  </si>
  <si>
    <t>Invested Capital</t>
  </si>
  <si>
    <t>NOPAT EBIT(1-T)</t>
  </si>
  <si>
    <t>ROIC</t>
  </si>
  <si>
    <t>Calculation of Reinvested Capital</t>
  </si>
  <si>
    <t>Net Capex</t>
  </si>
  <si>
    <t>Change in Working Capital</t>
  </si>
  <si>
    <t>Marginal Tax Rate</t>
  </si>
  <si>
    <t>EBIT(1-T)</t>
  </si>
  <si>
    <t>Reinvestment</t>
  </si>
  <si>
    <t>Reinvestment Rate</t>
  </si>
  <si>
    <t>4 Years Average</t>
  </si>
  <si>
    <t>4Years Median</t>
  </si>
  <si>
    <t>Calculation of Growth Rate</t>
  </si>
  <si>
    <t>Intrinsic Growth Rate</t>
  </si>
  <si>
    <t>Calculation of PV of FCFF</t>
  </si>
  <si>
    <t>Less: Reinvestment Rate</t>
  </si>
  <si>
    <t>Free Cash Flow to Firm</t>
  </si>
  <si>
    <t>Mid Year Covention</t>
  </si>
  <si>
    <t>Discounting Factor</t>
  </si>
  <si>
    <t>Expected Growth</t>
  </si>
  <si>
    <t>Terminal Growth</t>
  </si>
  <si>
    <t>Calculation of Terminal Value</t>
  </si>
  <si>
    <t>FCFF(n+1)</t>
  </si>
  <si>
    <t>Terminal Value</t>
  </si>
  <si>
    <t>Calculation of Equity Value</t>
  </si>
  <si>
    <t>Value of Operating Assets</t>
  </si>
  <si>
    <t>Add: Cash</t>
  </si>
  <si>
    <t>Less: Debt</t>
  </si>
  <si>
    <t>Value of Equity</t>
  </si>
  <si>
    <t>No of Shares</t>
  </si>
  <si>
    <t>Equity Value per Shares</t>
  </si>
  <si>
    <t>Share Price</t>
  </si>
  <si>
    <t>Discount/Premium</t>
  </si>
  <si>
    <t>Scenerio Analysis</t>
  </si>
  <si>
    <t>Growth Rate</t>
  </si>
  <si>
    <t xml:space="preserve">Trend Line </t>
  </si>
  <si>
    <t>Mean</t>
  </si>
  <si>
    <t>EBITDA Growth</t>
  </si>
  <si>
    <t>EBIT Growth</t>
  </si>
  <si>
    <t>Net Profit Growth</t>
  </si>
  <si>
    <t>Dividend Growth</t>
  </si>
  <si>
    <t>EBT Margin</t>
  </si>
  <si>
    <t>Sales Exp % Sales</t>
  </si>
  <si>
    <t>Depreciation % Sales</t>
  </si>
  <si>
    <t>Operating Income % Sales</t>
  </si>
  <si>
    <t>Return on Capital Employed</t>
  </si>
  <si>
    <t>Retained Earning %</t>
  </si>
  <si>
    <t>Return on Equity %</t>
  </si>
  <si>
    <t>Self Sustained Growth Rate</t>
  </si>
  <si>
    <t>Interest Coverage Ratio</t>
  </si>
  <si>
    <t>Debtor Turnover Ratio</t>
  </si>
  <si>
    <t>Creditor Turnover Ratio</t>
  </si>
  <si>
    <t>Inventory Turnover Ratio</t>
  </si>
  <si>
    <t>Fixed Asset Turnover</t>
  </si>
  <si>
    <t>Capital Turnover Ratio</t>
  </si>
  <si>
    <t>Payable Days</t>
  </si>
  <si>
    <t>Cash Conversion Cycle</t>
  </si>
  <si>
    <t>CFO/Sales</t>
  </si>
  <si>
    <t>CFO/Total Assets</t>
  </si>
  <si>
    <t>CFO/Total Debt</t>
  </si>
  <si>
    <t>Comparable Company Valuation</t>
  </si>
  <si>
    <t>Company</t>
  </si>
  <si>
    <t>Ticker</t>
  </si>
  <si>
    <t>Share</t>
  </si>
  <si>
    <t>Price</t>
  </si>
  <si>
    <t>Shares</t>
  </si>
  <si>
    <t>Outstanding</t>
  </si>
  <si>
    <t>Net Debt</t>
  </si>
  <si>
    <t>Enterprise</t>
  </si>
  <si>
    <t>Market Data</t>
  </si>
  <si>
    <t>Financials</t>
  </si>
  <si>
    <t>Revenue</t>
  </si>
  <si>
    <t>Net Income</t>
  </si>
  <si>
    <t>Valuation</t>
  </si>
  <si>
    <t>EV/Revenue</t>
  </si>
  <si>
    <t>EV/EBITDA</t>
  </si>
  <si>
    <t>P/E</t>
  </si>
  <si>
    <t>CMP Rs.</t>
  </si>
  <si>
    <t>No. Eq. Shares Cr.</t>
  </si>
  <si>
    <t>Cash End Rs.Cr.</t>
  </si>
  <si>
    <t>EV Rs.Cr.</t>
  </si>
  <si>
    <t>Sales Rs.Cr.</t>
  </si>
  <si>
    <t>Sirca Paints</t>
  </si>
  <si>
    <t>Shalimar Paints</t>
  </si>
  <si>
    <t>EV / EBITDA</t>
  </si>
  <si>
    <t>NP 12M Rs.Cr.</t>
  </si>
  <si>
    <t>EBIDT Ann Rs.Cr.</t>
  </si>
  <si>
    <t>High</t>
  </si>
  <si>
    <t>75th Percentile</t>
  </si>
  <si>
    <t>25th Percentile</t>
  </si>
  <si>
    <t>Low</t>
  </si>
  <si>
    <t>Asian Paints Valuation</t>
  </si>
  <si>
    <t>Implied Enterprise Value</t>
  </si>
  <si>
    <t>New Debt</t>
  </si>
  <si>
    <t>Implied Market Value</t>
  </si>
  <si>
    <t>Shares Outstanding</t>
  </si>
  <si>
    <t>Implied Value Per Share</t>
  </si>
  <si>
    <t>Comps</t>
  </si>
  <si>
    <t>DCF Bear</t>
  </si>
  <si>
    <t>DCF Base</t>
  </si>
  <si>
    <t>DCF Bull</t>
  </si>
  <si>
    <t>52W H/L</t>
  </si>
  <si>
    <t>Football Field Analysis</t>
  </si>
  <si>
    <t>Month</t>
  </si>
  <si>
    <t>Open</t>
  </si>
  <si>
    <t>Change</t>
  </si>
  <si>
    <t>?2648.00</t>
  </si>
  <si>
    <t>?2759.90</t>
  </si>
  <si>
    <t>?2624.00</t>
  </si>
  <si>
    <t>?2744.50</t>
  </si>
  <si>
    <t>?2732.60</t>
  </si>
  <si>
    <t>?2808.33</t>
  </si>
  <si>
    <t>?2602.12</t>
  </si>
  <si>
    <t>?2635.70</t>
  </si>
  <si>
    <t>?2460.00</t>
  </si>
  <si>
    <t>?2748.20</t>
  </si>
  <si>
    <t>?2415.00</t>
  </si>
  <si>
    <t>?2671.60</t>
  </si>
  <si>
    <t>?2224.80</t>
  </si>
  <si>
    <t>?2582.00</t>
  </si>
  <si>
    <t>?2142.40</t>
  </si>
  <si>
    <t>?2444.50</t>
  </si>
  <si>
    <t>?2300.00</t>
  </si>
  <si>
    <t>?2337.90</t>
  </si>
  <si>
    <t>?2115.00</t>
  </si>
  <si>
    <t>?2165.20</t>
  </si>
  <si>
    <t>?2374.90</t>
  </si>
  <si>
    <t>?2525.00</t>
  </si>
  <si>
    <t>?2356.80</t>
  </si>
  <si>
    <t>?2376.20</t>
  </si>
  <si>
    <t>?2775.90</t>
  </si>
  <si>
    <t>?2914.50</t>
  </si>
  <si>
    <t>?2400.50</t>
  </si>
  <si>
    <t>?2428.30</t>
  </si>
  <si>
    <t>?2877.70</t>
  </si>
  <si>
    <t>?2985.70</t>
  </si>
  <si>
    <t>?2735.00</t>
  </si>
  <si>
    <t>?2769.50</t>
  </si>
  <si>
    <t>?2496.20</t>
  </si>
  <si>
    <t>?2926.90</t>
  </si>
  <si>
    <t>?2479.70</t>
  </si>
  <si>
    <t>?2874.40</t>
  </si>
  <si>
    <t>?2353.40</t>
  </si>
  <si>
    <t>?2550.80</t>
  </si>
  <si>
    <t>?2308.00</t>
  </si>
  <si>
    <t>?2510.80</t>
  </si>
  <si>
    <t>?2518.00</t>
  </si>
  <si>
    <t>?2602.00</t>
  </si>
  <si>
    <t>?2329.20</t>
  </si>
  <si>
    <t>?2350.00</t>
  </si>
  <si>
    <t>?2378.00</t>
  </si>
  <si>
    <t>?2595.00</t>
  </si>
  <si>
    <t>?2518.60</t>
  </si>
  <si>
    <t>OpenLow</t>
  </si>
  <si>
    <t>OpenHigh</t>
  </si>
  <si>
    <t>Return</t>
  </si>
  <si>
    <t>Sorted Return</t>
  </si>
  <si>
    <t>Standard Deviation</t>
  </si>
  <si>
    <t>Max</t>
  </si>
  <si>
    <t>Min</t>
  </si>
  <si>
    <t>CMP</t>
  </si>
  <si>
    <t>Percentile</t>
  </si>
  <si>
    <t>Confidence</t>
  </si>
  <si>
    <t>VAR%</t>
  </si>
  <si>
    <t>Stock Price</t>
  </si>
  <si>
    <t>VAR(INR)</t>
  </si>
  <si>
    <t>Replication</t>
  </si>
  <si>
    <t>Simulated Return</t>
  </si>
  <si>
    <t>Company Description</t>
  </si>
  <si>
    <t>Asian Paints Ltd is an Indian multinational paint company, headquartered in Mumbai. The company is engaged in the business of manufacturing, selling and distribution of paints, coatings, products related to home décor, bath fittings and providing related services.</t>
  </si>
  <si>
    <t>Key Financial Metrics</t>
  </si>
  <si>
    <t>Total Sales</t>
  </si>
  <si>
    <t>Gross Profit Margins (%)</t>
  </si>
  <si>
    <t>EBITDA Margins (%)</t>
  </si>
  <si>
    <t>EBIT Margins (%)</t>
  </si>
  <si>
    <t>Earning Per Share (In Rs)</t>
  </si>
  <si>
    <t>Net Profit Margins  (In Rs)</t>
  </si>
  <si>
    <t>EPS Growth (Y-O-Y)</t>
  </si>
  <si>
    <t>Sales Growth (Y-O-Y)</t>
  </si>
  <si>
    <t>Dividend Per Share</t>
  </si>
  <si>
    <t>Share Price - 5Y</t>
  </si>
  <si>
    <t>Key Financial Ratio</t>
  </si>
  <si>
    <t>Volumes - 5Y</t>
  </si>
  <si>
    <t>Price to Earning</t>
  </si>
  <si>
    <t>EV/Sales</t>
  </si>
  <si>
    <t>Price to Book Value</t>
  </si>
  <si>
    <t>Return on Equity (%)</t>
  </si>
  <si>
    <t>Return on Capital Employed (%)</t>
  </si>
  <si>
    <t>Market Price per Share</t>
  </si>
  <si>
    <t>Enterprise Value(EV)</t>
  </si>
  <si>
    <t>Book Value</t>
  </si>
  <si>
    <t>Price to book (P/B)</t>
  </si>
  <si>
    <r>
      <t>M</t>
    </r>
    <r>
      <rPr>
        <sz val="11"/>
        <color theme="1"/>
        <rFont val="Calibri"/>
        <family val="2"/>
      </rPr>
      <t>arket Capitalization</t>
    </r>
  </si>
  <si>
    <t>Market Value (In Cr)</t>
  </si>
  <si>
    <t>Volume</t>
  </si>
  <si>
    <t>Quarter Ending</t>
  </si>
  <si>
    <t>Life Insurance Corporation of India</t>
  </si>
  <si>
    <t>Sattva Holding and Trading Private Limited</t>
  </si>
  <si>
    <t>Smiti Holding and Trading Company Private Limited</t>
  </si>
  <si>
    <t>SBI Mutual Fund</t>
  </si>
  <si>
    <t>Geetanjali Trading and Investments Private Limited</t>
  </si>
  <si>
    <t>Elcid Investments Limited</t>
  </si>
  <si>
    <t>Shubhit Holdings Private Limited</t>
  </si>
  <si>
    <t>ICICI Prudential Mutual Fund</t>
  </si>
  <si>
    <t>Sudhanva Investments and Trading Company Private Limited</t>
  </si>
  <si>
    <t>Rupen Investment &amp; Industries Private Limited</t>
  </si>
  <si>
    <t>Shareholder's name</t>
  </si>
  <si>
    <t>Top 10 Share Holders</t>
  </si>
  <si>
    <t>(%) Holding</t>
  </si>
  <si>
    <t>N. Shares (In Cr)</t>
  </si>
  <si>
    <t xml:space="preserve">Promoters </t>
  </si>
  <si>
    <t xml:space="preserve">FIIs </t>
  </si>
  <si>
    <t xml:space="preserve">DIIs </t>
  </si>
  <si>
    <t>Public &amp; Govt.</t>
  </si>
  <si>
    <t>Share Holding Pattern</t>
  </si>
  <si>
    <t>Capital Structure</t>
  </si>
  <si>
    <t>No of Share</t>
  </si>
  <si>
    <t>Less: Cash &amp; Equivalent</t>
  </si>
  <si>
    <t>Add: Total Debt</t>
  </si>
  <si>
    <t>Add: Minority Interest</t>
  </si>
  <si>
    <t>Enterprise Value</t>
  </si>
  <si>
    <t>Managerial Remuneration</t>
  </si>
  <si>
    <t>Designation</t>
  </si>
  <si>
    <t>Remuneration</t>
  </si>
  <si>
    <t>R J Jeyamurugan</t>
  </si>
  <si>
    <t>MD &amp; CEO</t>
  </si>
  <si>
    <t>Mr. Amit Syngle</t>
  </si>
  <si>
    <t>Manish Choksi</t>
  </si>
  <si>
    <t>R Seshasayee</t>
  </si>
  <si>
    <t>Chairman</t>
  </si>
  <si>
    <t xml:space="preserve"> V. Chairman</t>
  </si>
  <si>
    <t>Ratio to Median</t>
  </si>
  <si>
    <t>Recent Updates</t>
  </si>
  <si>
    <t>80th AGM held today, 9th July 2026 — shareholders to approve FY26 final dividend via VC</t>
  </si>
  <si>
    <t>Renewable energy hits 56.5% of total electricity use in FY26</t>
  </si>
  <si>
    <t>Asian Paints' market share continued slipping to ~52% by September 2025, with Birla Opus at ~6.6%, and Q3 FY26 operating margins were at 20%</t>
  </si>
  <si>
    <t>Currently trading around ₹2,739–2,757, P/E in the ~57-60x range vs industry ~52-53x</t>
  </si>
  <si>
    <t xml:space="preserve"> (ASIANPAINT | BSE Code: 500820)</t>
  </si>
  <si>
    <t>52 Week (High - INR 2,985.7 &amp; Low - 2115.0)</t>
  </si>
  <si>
    <t>About The Company</t>
  </si>
  <si>
    <t>Asian Paints Ltd is an Indian multinational paint company, headquartered in Mumbai.  The company is engaged in the business of manufacturing, selling and distribution of paints, coatings, products related to home décor, bath fittings and providing related services. Asian Paints is India's largest paints company by market share. The company has 27 paint manufacturing facilities in 15 countries, servicing consumers in over 60 countries. Asian Paints is also present in the home improvement and décor space in India.</t>
  </si>
  <si>
    <t>Average Shareholders Equity</t>
  </si>
  <si>
    <t>Return on Equity (ROE)</t>
  </si>
  <si>
    <t>ROE - DUPONT Equation</t>
  </si>
  <si>
    <t>Net Profit Margin (A)</t>
  </si>
  <si>
    <t>Average Total Assets</t>
  </si>
  <si>
    <t xml:space="preserve">Equity Multiplier (C) </t>
  </si>
  <si>
    <t>Return on Equity (A*B*C)</t>
  </si>
  <si>
    <t>Asset Turnover Ratio (B)</t>
  </si>
  <si>
    <t>Return on Assets (ROA)</t>
  </si>
  <si>
    <t>ROA - DUPONT Equation</t>
  </si>
  <si>
    <t>Return on Assets (A*B)</t>
  </si>
  <si>
    <t>Financial Summary</t>
  </si>
  <si>
    <t>DUPONT Analysis - Return on Equity &amp; Return on Assets</t>
  </si>
  <si>
    <t>Altman's Z Score Analysis</t>
  </si>
  <si>
    <t>Altman's Z Score Analysis Calculation</t>
  </si>
  <si>
    <t>Working Capital/Total Assets</t>
  </si>
  <si>
    <t>Working Capital</t>
  </si>
  <si>
    <t>Retained Earnings/Total Assets</t>
  </si>
  <si>
    <t>EBIT/Total Assets</t>
  </si>
  <si>
    <t>Long Term Liability</t>
  </si>
  <si>
    <t>Market Cap./Long Term Liabilities</t>
  </si>
  <si>
    <t>Market Capitalization (In Crs)</t>
  </si>
  <si>
    <t>Sales/Total Assets</t>
  </si>
  <si>
    <t>Working Capital/Total Assets (A)</t>
  </si>
  <si>
    <t>Retained Earnings/Total Assets (B)</t>
  </si>
  <si>
    <t>EBIT/Total Assets (C)</t>
  </si>
  <si>
    <t>Market Cap./Long Term Liab. (D)</t>
  </si>
  <si>
    <t>Sales/Total Assets (E)</t>
  </si>
  <si>
    <t>Altman's Z Score</t>
  </si>
  <si>
    <t>Final Score</t>
  </si>
  <si>
    <t>Financial Stability</t>
  </si>
  <si>
    <t>Financial Modeling &amp; Valuation Report</t>
  </si>
  <si>
    <t>NSE / BSE: ASIANPAINT | BSE CODE: 500820 | SECTOR: PAINTS &amp; HOME DECOR</t>
  </si>
  <si>
    <t>Table of Content</t>
  </si>
  <si>
    <t>Asian Paints Ltd | BSE code: 500820</t>
  </si>
  <si>
    <t>Cash Flow Statement</t>
  </si>
  <si>
    <t>One Page Profile (Teaser)</t>
  </si>
  <si>
    <t>Ratio Analysis</t>
  </si>
  <si>
    <t>Common Size Staement</t>
  </si>
  <si>
    <t>Assumptions Sheet</t>
  </si>
  <si>
    <t>Forcasted Financial Statements</t>
  </si>
  <si>
    <t>Historical Financial Statements</t>
  </si>
  <si>
    <t>Beta Regression - Asian Paints Ltd</t>
  </si>
  <si>
    <t>Comps Beta</t>
  </si>
  <si>
    <t>Weighted Average Cost of Capital (WACC)</t>
  </si>
  <si>
    <t>Intrinsic Growth</t>
  </si>
  <si>
    <t>DCF Valuation (FCFF)</t>
  </si>
  <si>
    <t xml:space="preserve">Value at Risk - Historical </t>
  </si>
  <si>
    <t>Value at Risk - Monte Carlo Method</t>
  </si>
  <si>
    <t>DUPONT Analysis (ROE &amp; ROA)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</si>
</sst>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 #,##0.00_ ;_ * \-#,##0.00_ ;_ * &quot;-&quot;??_ ;_ @_ "/>
    <numFmt numFmtId="164" formatCode="mmm\-yy"/>
    <numFmt numFmtId="165" formatCode="&quot;₹ &quot;#,##0.0;&quot;₹ (&quot;#,##0.0\);\-"/>
    <numFmt numFmtId="166" formatCode="_(* #,##0.00_);_(* \(#,##0.00\);_(* \-??_);_(@_)"/>
    <numFmt numFmtId="167" formatCode="_ * #,##0.00_ ;_ * \-#,##0.00_ ;_ * \-??_ ;_ @_ "/>
    <numFmt numFmtId="168" formatCode="mmm/yy\A"/>
    <numFmt numFmtId="169" formatCode="yyyy\A"/>
    <numFmt numFmtId="170" formatCode="yyyy\F"/>
    <numFmt numFmtId="171" formatCode="m/d/yyyy"/>
    <numFmt numFmtId="172" formatCode="&quot;₹ &quot;#,##0.00"/>
    <numFmt numFmtId="173" formatCode="[$-409]mmm\-yy;@"/>
    <numFmt numFmtId="174" formatCode="0.0"/>
    <numFmt numFmtId="175" formatCode="0.000"/>
    <numFmt numFmtId="176" formatCode="0.00&quot;x&quot;"/>
    <numFmt numFmtId="177" formatCode="&quot;₹&quot;\ #,##0.00"/>
    <numFmt numFmtId="178" formatCode="&quot;₹&quot;\ #,##0.0"/>
    <numFmt numFmtId="179" formatCode="0&quot; days &quot;"/>
    <numFmt numFmtId="180" formatCode="0.00\x"/>
    <numFmt numFmtId="181" formatCode="0.00000"/>
    <numFmt numFmtId="182" formatCode="[$-14009]dd/mm/yyyy;@"/>
    <numFmt numFmtId="183" formatCode="#,##0.0;\(#,##0.0\)"/>
    <numFmt numFmtId="184" formatCode="0&quot;x&quot;"/>
    <numFmt numFmtId="185" formatCode="mmm/yyyy"/>
  </numFmts>
  <fonts count="54" x14ac:knownFonts="1">
    <font>
      <sz val="11"/>
      <color theme="1"/>
      <name val="Calibri"/>
      <family val="2"/>
      <charset val="1"/>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b/>
      <sz val="11"/>
      <color theme="0"/>
      <name val="Calibri"/>
      <family val="2"/>
      <charset val="1"/>
    </font>
    <font>
      <b/>
      <sz val="11"/>
      <color theme="1"/>
      <name val="Calibri"/>
      <family val="2"/>
      <charset val="1"/>
    </font>
    <font>
      <i/>
      <sz val="11"/>
      <color theme="2" tint="-0.499984740745262"/>
      <name val="Calibri"/>
      <family val="2"/>
      <charset val="1"/>
    </font>
    <font>
      <b/>
      <sz val="12"/>
      <color theme="0"/>
      <name val="Calibri"/>
      <family val="2"/>
      <charset val="1"/>
    </font>
    <font>
      <sz val="11"/>
      <color rgb="FF3333FF"/>
      <name val="Calibri"/>
      <family val="2"/>
      <charset val="1"/>
    </font>
    <font>
      <b/>
      <sz val="11"/>
      <color rgb="FF3333FF"/>
      <name val="Calibri"/>
      <charset val="1"/>
    </font>
    <font>
      <sz val="10"/>
      <name val="Arial"/>
      <family val="2"/>
    </font>
    <font>
      <b/>
      <sz val="12"/>
      <color theme="0" tint="-4.9989318521683403E-2"/>
      <name val="Calibri"/>
      <family val="2"/>
      <charset val="1"/>
    </font>
    <font>
      <b/>
      <i/>
      <sz val="11"/>
      <color theme="1"/>
      <name val="Calibri"/>
      <family val="2"/>
      <charset val="1"/>
    </font>
    <font>
      <u/>
      <sz val="11"/>
      <color theme="10"/>
      <name val="Calibri"/>
      <family val="2"/>
      <charset val="1"/>
    </font>
    <font>
      <sz val="11"/>
      <name val="Calibri"/>
      <family val="2"/>
      <charset val="1"/>
    </font>
    <font>
      <b/>
      <sz val="14"/>
      <color theme="0"/>
      <name val="Calibri"/>
      <family val="2"/>
      <charset val="1"/>
    </font>
    <font>
      <sz val="11"/>
      <color theme="0"/>
      <name val="Calibri"/>
      <family val="2"/>
      <charset val="1"/>
    </font>
    <font>
      <sz val="7"/>
      <color rgb="FF181C21"/>
      <name val="Segoe UI"/>
      <family val="2"/>
      <charset val="1"/>
    </font>
    <font>
      <i/>
      <sz val="9"/>
      <color theme="1"/>
      <name val="Calibri"/>
      <family val="2"/>
      <charset val="1"/>
    </font>
    <font>
      <i/>
      <sz val="11"/>
      <color theme="1"/>
      <name val="Calibri"/>
      <family val="2"/>
      <charset val="1"/>
    </font>
    <font>
      <sz val="11"/>
      <color theme="1"/>
      <name val="Calibri"/>
      <family val="2"/>
      <charset val="1"/>
    </font>
    <font>
      <b/>
      <sz val="11"/>
      <color theme="0"/>
      <name val="Calibri"/>
      <family val="2"/>
    </font>
    <font>
      <b/>
      <sz val="11"/>
      <color theme="1"/>
      <name val="Calibri"/>
      <family val="2"/>
    </font>
    <font>
      <sz val="11"/>
      <color theme="0"/>
      <name val="Calibri"/>
      <family val="2"/>
    </font>
    <font>
      <vertAlign val="superscript"/>
      <sz val="11"/>
      <color rgb="FF3333FF"/>
      <name val="Calibri"/>
      <family val="2"/>
    </font>
    <font>
      <b/>
      <sz val="14"/>
      <color theme="0"/>
      <name val="Calibri"/>
      <family val="2"/>
    </font>
    <font>
      <i/>
      <sz val="11"/>
      <color theme="1"/>
      <name val="Calibri"/>
      <family val="2"/>
    </font>
    <font>
      <sz val="11"/>
      <color rgb="FF3333FF"/>
      <name val="Calibri"/>
      <family val="2"/>
    </font>
    <font>
      <i/>
      <sz val="11"/>
      <color theme="2" tint="-9.9978637043366805E-2"/>
      <name val="Calibri"/>
      <family val="2"/>
    </font>
    <font>
      <sz val="11"/>
      <color theme="0" tint="-4.9989318521683403E-2"/>
      <name val="Calibri"/>
      <family val="2"/>
      <charset val="1"/>
    </font>
    <font>
      <b/>
      <sz val="11"/>
      <color theme="0" tint="-4.9989318521683403E-2"/>
      <name val="Calibri"/>
      <family val="2"/>
    </font>
    <font>
      <sz val="14"/>
      <color theme="1"/>
      <name val="Calibri"/>
      <family val="2"/>
      <charset val="1"/>
    </font>
    <font>
      <b/>
      <sz val="14"/>
      <color theme="0" tint="-4.9989318521683403E-2"/>
      <name val="Calibri"/>
      <family val="2"/>
    </font>
    <font>
      <sz val="9"/>
      <color rgb="FF212529"/>
      <name val="Arial"/>
      <family val="2"/>
    </font>
    <font>
      <b/>
      <sz val="12"/>
      <color theme="0"/>
      <name val="Calibri"/>
      <family val="2"/>
    </font>
    <font>
      <sz val="11"/>
      <color theme="0" tint="-0.34998626667073579"/>
      <name val="Calibri"/>
      <family val="2"/>
      <charset val="1"/>
    </font>
    <font>
      <sz val="9"/>
      <color rgb="FF202122"/>
      <name val="Arial"/>
      <family val="2"/>
    </font>
    <font>
      <b/>
      <sz val="13"/>
      <color rgb="FFEC6A14"/>
      <name val="Calibri"/>
      <family val="2"/>
    </font>
    <font>
      <sz val="11"/>
      <color rgb="FF202122"/>
      <name val="Calibri"/>
      <family val="2"/>
      <scheme val="minor"/>
    </font>
    <font>
      <sz val="11"/>
      <color rgb="FFEC6A14"/>
      <name val="Calibri"/>
      <family val="2"/>
      <charset val="1"/>
    </font>
    <font>
      <b/>
      <sz val="16"/>
      <color rgb="FFEC6A14"/>
      <name val="Calibri"/>
      <family val="2"/>
    </font>
    <font>
      <b/>
      <sz val="20"/>
      <color rgb="FFEC6A14"/>
      <name val="Calibri"/>
      <family val="2"/>
    </font>
    <font>
      <b/>
      <sz val="36"/>
      <color rgb="FFEC6A14"/>
      <name val="Calibri"/>
      <family val="2"/>
    </font>
    <font>
      <b/>
      <sz val="23"/>
      <color rgb="FFEC6A14"/>
      <name val="Calibri"/>
      <family val="2"/>
    </font>
    <font>
      <b/>
      <sz val="11"/>
      <name val="Calibri"/>
      <family val="2"/>
    </font>
    <font>
      <sz val="8"/>
      <name val="Calibri"/>
      <family val="2"/>
      <charset val="1"/>
    </font>
    <font>
      <sz val="22"/>
      <color theme="1"/>
      <name val="Calibri"/>
      <family val="2"/>
      <charset val="1"/>
    </font>
    <font>
      <b/>
      <sz val="36"/>
      <color theme="1"/>
      <name val="Calibri"/>
      <family val="2"/>
    </font>
    <font>
      <b/>
      <sz val="16"/>
      <color theme="1"/>
      <name val="Calibri"/>
      <family val="2"/>
    </font>
    <font>
      <b/>
      <sz val="36"/>
      <color theme="0"/>
      <name val="Calibri"/>
      <family val="2"/>
    </font>
    <font>
      <sz val="18"/>
      <color theme="1"/>
      <name val="Calibri"/>
      <family val="2"/>
      <charset val="1"/>
    </font>
    <font>
      <b/>
      <sz val="22"/>
      <color rgb="FFEC6A14"/>
      <name val="Calibri"/>
      <family val="2"/>
    </font>
  </fonts>
  <fills count="17">
    <fill>
      <patternFill patternType="none"/>
    </fill>
    <fill>
      <patternFill patternType="gray125"/>
    </fill>
    <fill>
      <patternFill patternType="solid">
        <fgColor theme="8" tint="0.59978026673177287"/>
        <bgColor rgb="FFD9E2F3"/>
      </patternFill>
    </fill>
    <fill>
      <patternFill patternType="solid">
        <fgColor rgb="FFFFF2CC"/>
        <bgColor rgb="FFF2F2F2"/>
      </patternFill>
    </fill>
    <fill>
      <patternFill patternType="solid">
        <fgColor theme="9"/>
        <bgColor rgb="FF339966"/>
      </patternFill>
    </fill>
    <fill>
      <patternFill patternType="solid">
        <fgColor rgb="FF0275D8"/>
        <bgColor rgb="FF0563C1"/>
      </patternFill>
    </fill>
    <fill>
      <patternFill patternType="solid">
        <fgColor theme="2"/>
        <bgColor rgb="FFDAE3F3"/>
      </patternFill>
    </fill>
    <fill>
      <patternFill patternType="solid">
        <fgColor rgb="FFFFFF00"/>
        <bgColor indexed="64"/>
      </patternFill>
    </fill>
    <fill>
      <patternFill patternType="solid">
        <fgColor theme="0" tint="-0.34998626667073579"/>
        <bgColor indexed="64"/>
      </patternFill>
    </fill>
    <fill>
      <patternFill patternType="solid">
        <fgColor rgb="FFEC6A14"/>
        <bgColor indexed="64"/>
      </patternFill>
    </fill>
    <fill>
      <patternFill patternType="solid">
        <fgColor theme="5" tint="0.79998168889431442"/>
        <bgColor indexed="64"/>
      </patternFill>
    </fill>
    <fill>
      <patternFill patternType="solid">
        <fgColor rgb="FFEC6A14"/>
        <bgColor rgb="FF1F4E78"/>
      </patternFill>
    </fill>
    <fill>
      <patternFill patternType="solid">
        <fgColor theme="5" tint="0.59999389629810485"/>
        <bgColor rgb="FFB7B7B7"/>
      </patternFill>
    </fill>
    <fill>
      <patternFill patternType="solid">
        <fgColor theme="5" tint="0.59999389629810485"/>
        <bgColor rgb="FFD9E2F3"/>
      </patternFill>
    </fill>
    <fill>
      <patternFill patternType="solid">
        <fgColor theme="5" tint="0.79998168889431442"/>
        <bgColor rgb="FFD9E2F3"/>
      </patternFill>
    </fill>
    <fill>
      <patternFill patternType="solid">
        <fgColor theme="5" tint="0.79998168889431442"/>
        <bgColor rgb="FFDAE3F3"/>
      </patternFill>
    </fill>
    <fill>
      <patternFill patternType="solid">
        <fgColor theme="5" tint="0.39997558519241921"/>
        <bgColor indexed="64"/>
      </patternFill>
    </fill>
  </fills>
  <borders count="5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right/>
      <top style="dotted">
        <color auto="1"/>
      </top>
      <bottom/>
      <diagonal/>
    </border>
    <border>
      <left/>
      <right/>
      <top style="dotted">
        <color auto="1"/>
      </top>
      <bottom style="dotted">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style="thin">
        <color auto="1"/>
      </bottom>
      <diagonal/>
    </border>
    <border>
      <left style="thin">
        <color auto="1"/>
      </left>
      <right/>
      <top/>
      <bottom/>
      <diagonal/>
    </border>
    <border>
      <left/>
      <right style="thin">
        <color auto="1"/>
      </right>
      <top/>
      <bottom/>
      <diagonal/>
    </border>
    <border>
      <left/>
      <right/>
      <top/>
      <bottom style="medium">
        <color auto="1"/>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medium">
        <color auto="1"/>
      </top>
      <bottom style="thick">
        <color auto="1"/>
      </bottom>
      <diagonal/>
    </border>
    <border>
      <left/>
      <right/>
      <top style="thin">
        <color auto="1"/>
      </top>
      <bottom style="thin">
        <color auto="1"/>
      </bottom>
      <diagonal/>
    </border>
    <border>
      <left/>
      <right/>
      <top style="medium">
        <color auto="1"/>
      </top>
      <bottom/>
      <diagonal/>
    </border>
    <border>
      <left/>
      <right/>
      <top/>
      <bottom style="thin">
        <color theme="1"/>
      </bottom>
      <diagonal/>
    </border>
    <border>
      <left/>
      <right/>
      <top/>
      <bottom style="medium">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dotted">
        <color theme="0" tint="-0.34998626667073579"/>
      </bottom>
      <diagonal/>
    </border>
    <border>
      <left/>
      <right/>
      <top/>
      <bottom style="medium">
        <color rgb="FFEC6A14"/>
      </bottom>
      <diagonal/>
    </border>
    <border>
      <left/>
      <right/>
      <top style="medium">
        <color rgb="FFEC6A14"/>
      </top>
      <bottom/>
      <diagonal/>
    </border>
    <border>
      <left/>
      <right/>
      <top style="dotted">
        <color theme="1"/>
      </top>
      <bottom style="dotted">
        <color theme="1"/>
      </bottom>
      <diagonal/>
    </border>
    <border>
      <left/>
      <right/>
      <top style="dotted">
        <color theme="1"/>
      </top>
      <bottom/>
      <diagonal/>
    </border>
    <border>
      <left/>
      <right/>
      <top/>
      <bottom style="dotted">
        <color theme="1"/>
      </bottom>
      <diagonal/>
    </border>
    <border>
      <left/>
      <right/>
      <top style="double">
        <color rgb="FFEC6A14"/>
      </top>
      <bottom style="thick">
        <color rgb="FFEC6A14"/>
      </bottom>
      <diagonal/>
    </border>
    <border>
      <left/>
      <right/>
      <top style="medium">
        <color rgb="FFEC6A14"/>
      </top>
      <bottom style="medium">
        <color rgb="FFEC6A14"/>
      </bottom>
      <diagonal/>
    </border>
    <border>
      <left/>
      <right/>
      <top style="thin">
        <color rgb="FFEC6A14"/>
      </top>
      <bottom style="thin">
        <color rgb="FFEC6A14"/>
      </bottom>
      <diagonal/>
    </border>
    <border>
      <left/>
      <right/>
      <top style="medium">
        <color rgb="FFEC6A14"/>
      </top>
      <bottom style="thin">
        <color auto="1"/>
      </bottom>
      <diagonal/>
    </border>
    <border>
      <left/>
      <right/>
      <top style="medium">
        <color rgb="FFEC6A14"/>
      </top>
      <bottom style="thick">
        <color rgb="FFEC6A14"/>
      </bottom>
      <diagonal/>
    </border>
    <border>
      <left/>
      <right/>
      <top style="thin">
        <color rgb="FFEC6A14"/>
      </top>
      <bottom style="thick">
        <color rgb="FFEC6A14"/>
      </bottom>
      <diagonal/>
    </border>
    <border>
      <left/>
      <right/>
      <top style="thin">
        <color rgb="FFEC6A14"/>
      </top>
      <bottom style="medium">
        <color rgb="FFEC6A14"/>
      </bottom>
      <diagonal/>
    </border>
    <border>
      <left style="thin">
        <color rgb="FFEC6A14"/>
      </left>
      <right/>
      <top style="thin">
        <color rgb="FFEC6A14"/>
      </top>
      <bottom/>
      <diagonal/>
    </border>
    <border>
      <left/>
      <right/>
      <top style="thin">
        <color rgb="FFEC6A14"/>
      </top>
      <bottom/>
      <diagonal/>
    </border>
    <border>
      <left style="thin">
        <color rgb="FFEC6A14"/>
      </left>
      <right/>
      <top/>
      <bottom/>
      <diagonal/>
    </border>
    <border>
      <left/>
      <right/>
      <top/>
      <bottom style="thin">
        <color rgb="FFEC6A14"/>
      </bottom>
      <diagonal/>
    </border>
    <border>
      <left/>
      <right style="thin">
        <color theme="1"/>
      </right>
      <top style="thin">
        <color rgb="FFEC6A14"/>
      </top>
      <bottom/>
      <diagonal/>
    </border>
    <border>
      <left/>
      <right style="thin">
        <color theme="1"/>
      </right>
      <top/>
      <bottom/>
      <diagonal/>
    </border>
    <border>
      <left style="thin">
        <color rgb="FFEC6A14"/>
      </left>
      <right/>
      <top/>
      <bottom style="thin">
        <color theme="1"/>
      </bottom>
      <diagonal/>
    </border>
    <border>
      <left/>
      <right style="thin">
        <color theme="1"/>
      </right>
      <top/>
      <bottom style="thin">
        <color theme="1"/>
      </bottom>
      <diagonal/>
    </border>
    <border>
      <left/>
      <right/>
      <top style="thick">
        <color rgb="FFEC6A14"/>
      </top>
      <bottom style="thick">
        <color rgb="FFEC6A14"/>
      </bottom>
      <diagonal/>
    </border>
    <border>
      <left/>
      <right/>
      <top style="thick">
        <color rgb="FFEC6A14"/>
      </top>
      <bottom style="thin">
        <color rgb="FFEC6A14"/>
      </bottom>
      <diagonal/>
    </border>
    <border>
      <left/>
      <right/>
      <top style="thick">
        <color rgb="FFEC6A14"/>
      </top>
      <bottom/>
      <diagonal/>
    </border>
    <border>
      <left/>
      <right/>
      <top/>
      <bottom style="thick">
        <color rgb="FFEC6A14"/>
      </bottom>
      <diagonal/>
    </border>
  </borders>
  <cellStyleXfs count="2">
    <xf numFmtId="0" fontId="0" fillId="0" borderId="0"/>
    <xf numFmtId="9" fontId="22" fillId="0" borderId="0" applyFont="0" applyFill="0" applyBorder="0" applyAlignment="0" applyProtection="0"/>
  </cellStyleXfs>
  <cellXfs count="355">
    <xf numFmtId="0" fontId="0" fillId="0" borderId="0" xfId="0"/>
    <xf numFmtId="0" fontId="21" fillId="0" borderId="9" xfId="0" applyFont="1" applyBorder="1" applyAlignment="1">
      <alignment horizontal="center"/>
    </xf>
    <xf numFmtId="164" fontId="0" fillId="0" borderId="0" xfId="0" applyNumberFormat="1" applyAlignment="1">
      <alignment wrapText="1"/>
    </xf>
    <xf numFmtId="165" fontId="0" fillId="0" borderId="0" xfId="0" applyNumberFormat="1"/>
    <xf numFmtId="10" fontId="0" fillId="0" borderId="0" xfId="0" applyNumberFormat="1"/>
    <xf numFmtId="9" fontId="0" fillId="0" borderId="0" xfId="0" applyNumberFormat="1"/>
    <xf numFmtId="0" fontId="8" fillId="0" borderId="0" xfId="0" applyFont="1"/>
    <xf numFmtId="10" fontId="8" fillId="0" borderId="0" xfId="0" applyNumberFormat="1" applyFont="1"/>
    <xf numFmtId="166" fontId="0" fillId="0" borderId="0" xfId="0" applyNumberFormat="1"/>
    <xf numFmtId="167" fontId="0" fillId="0" borderId="0" xfId="0" applyNumberFormat="1"/>
    <xf numFmtId="167" fontId="7" fillId="0" borderId="0" xfId="0" applyNumberFormat="1" applyFont="1"/>
    <xf numFmtId="0" fontId="7" fillId="0" borderId="0" xfId="0" applyFont="1"/>
    <xf numFmtId="168" fontId="0" fillId="0" borderId="0" xfId="0" applyNumberFormat="1"/>
    <xf numFmtId="0" fontId="7" fillId="2" borderId="0" xfId="0" applyFont="1" applyFill="1"/>
    <xf numFmtId="169" fontId="7" fillId="2" borderId="0" xfId="0" applyNumberFormat="1" applyFont="1" applyFill="1"/>
    <xf numFmtId="10" fontId="10" fillId="0" borderId="0" xfId="0" applyNumberFormat="1" applyFont="1"/>
    <xf numFmtId="165" fontId="10" fillId="0" borderId="0" xfId="0" applyNumberFormat="1" applyFont="1"/>
    <xf numFmtId="171" fontId="0" fillId="0" borderId="0" xfId="0" applyNumberFormat="1"/>
    <xf numFmtId="1" fontId="0" fillId="0" borderId="0" xfId="0" applyNumberFormat="1"/>
    <xf numFmtId="0" fontId="10" fillId="0" borderId="0" xfId="0" applyFont="1"/>
    <xf numFmtId="10" fontId="11" fillId="3" borderId="1" xfId="0" applyNumberFormat="1" applyFont="1" applyFill="1" applyBorder="1"/>
    <xf numFmtId="169" fontId="0" fillId="0" borderId="0" xfId="0" applyNumberFormat="1"/>
    <xf numFmtId="165" fontId="7" fillId="0" borderId="0" xfId="0" applyNumberFormat="1" applyFont="1"/>
    <xf numFmtId="172" fontId="0" fillId="0" borderId="0" xfId="0" applyNumberFormat="1"/>
    <xf numFmtId="2" fontId="0" fillId="0" borderId="0" xfId="0" applyNumberFormat="1"/>
    <xf numFmtId="2" fontId="10" fillId="0" borderId="0" xfId="0" applyNumberFormat="1" applyFont="1"/>
    <xf numFmtId="173" fontId="6" fillId="5" borderId="0" xfId="0" applyNumberFormat="1" applyFont="1" applyFill="1"/>
    <xf numFmtId="173" fontId="6" fillId="5" borderId="0" xfId="0" applyNumberFormat="1" applyFont="1" applyFill="1" applyAlignment="1">
      <alignment horizontal="center"/>
    </xf>
    <xf numFmtId="173" fontId="16" fillId="0" borderId="0" xfId="0" applyNumberFormat="1" applyFont="1"/>
    <xf numFmtId="164" fontId="7" fillId="0" borderId="0" xfId="0" applyNumberFormat="1" applyFont="1"/>
    <xf numFmtId="3" fontId="7" fillId="0" borderId="0" xfId="0" applyNumberFormat="1" applyFont="1"/>
    <xf numFmtId="3" fontId="0" fillId="0" borderId="0" xfId="0" applyNumberFormat="1"/>
    <xf numFmtId="0" fontId="0" fillId="0" borderId="2" xfId="0" applyBorder="1"/>
    <xf numFmtId="0" fontId="0" fillId="0" borderId="2" xfId="0" applyBorder="1" applyAlignment="1">
      <alignment horizontal="right"/>
    </xf>
    <xf numFmtId="0" fontId="0" fillId="0" borderId="3" xfId="0" applyBorder="1"/>
    <xf numFmtId="0" fontId="0" fillId="0" borderId="3" xfId="0" applyBorder="1" applyAlignment="1">
      <alignment horizontal="right"/>
    </xf>
    <xf numFmtId="0" fontId="10" fillId="0" borderId="0" xfId="0" applyFont="1" applyAlignment="1">
      <alignment horizontal="left"/>
    </xf>
    <xf numFmtId="0" fontId="10" fillId="0" borderId="0" xfId="0" applyFont="1" applyAlignment="1">
      <alignment horizontal="right"/>
    </xf>
    <xf numFmtId="165" fontId="10" fillId="0" borderId="0" xfId="0" applyNumberFormat="1" applyFont="1" applyAlignment="1">
      <alignment horizontal="right"/>
    </xf>
    <xf numFmtId="9" fontId="10" fillId="0" borderId="0" xfId="0" applyNumberFormat="1" applyFont="1"/>
    <xf numFmtId="0" fontId="7" fillId="0" borderId="2" xfId="0" applyFont="1" applyBorder="1"/>
    <xf numFmtId="165" fontId="16" fillId="0" borderId="2" xfId="0" applyNumberFormat="1" applyFont="1" applyBorder="1" applyAlignment="1">
      <alignment horizontal="right"/>
    </xf>
    <xf numFmtId="10" fontId="16" fillId="0" borderId="2" xfId="0" applyNumberFormat="1" applyFont="1" applyBorder="1" applyAlignment="1">
      <alignment horizontal="right"/>
    </xf>
    <xf numFmtId="2" fontId="0" fillId="0" borderId="2" xfId="0" applyNumberFormat="1" applyBorder="1"/>
    <xf numFmtId="0" fontId="7" fillId="0" borderId="3" xfId="0" applyFont="1" applyBorder="1"/>
    <xf numFmtId="165" fontId="16" fillId="0" borderId="3" xfId="0" applyNumberFormat="1" applyFont="1" applyBorder="1" applyAlignment="1">
      <alignment horizontal="right"/>
    </xf>
    <xf numFmtId="10" fontId="0" fillId="0" borderId="3" xfId="0" applyNumberFormat="1" applyBorder="1"/>
    <xf numFmtId="2" fontId="0" fillId="0" borderId="3" xfId="0" applyNumberFormat="1" applyBorder="1"/>
    <xf numFmtId="9" fontId="19" fillId="0" borderId="0" xfId="0" applyNumberFormat="1" applyFont="1"/>
    <xf numFmtId="10" fontId="16" fillId="0" borderId="0" xfId="0" applyNumberFormat="1" applyFont="1"/>
    <xf numFmtId="0" fontId="0" fillId="0" borderId="4" xfId="0" applyBorder="1"/>
    <xf numFmtId="10" fontId="0" fillId="0" borderId="4" xfId="0" applyNumberFormat="1" applyBorder="1"/>
    <xf numFmtId="165" fontId="0" fillId="0" borderId="4" xfId="0" applyNumberFormat="1" applyBorder="1"/>
    <xf numFmtId="2" fontId="0" fillId="0" borderId="4" xfId="0" applyNumberFormat="1" applyBorder="1"/>
    <xf numFmtId="0" fontId="20" fillId="0" borderId="0" xfId="0" applyFont="1"/>
    <xf numFmtId="0" fontId="0" fillId="0" borderId="10" xfId="0" applyBorder="1"/>
    <xf numFmtId="0" fontId="0" fillId="0" borderId="11" xfId="0" applyBorder="1"/>
    <xf numFmtId="10" fontId="0" fillId="0" borderId="11" xfId="0" applyNumberFormat="1" applyBorder="1"/>
    <xf numFmtId="2" fontId="0" fillId="0" borderId="11" xfId="0" applyNumberFormat="1" applyBorder="1"/>
    <xf numFmtId="0" fontId="0" fillId="0" borderId="12" xfId="0" applyBorder="1"/>
    <xf numFmtId="0" fontId="0" fillId="6" borderId="13" xfId="0" applyFill="1" applyBorder="1"/>
    <xf numFmtId="0" fontId="0" fillId="6" borderId="14" xfId="0" applyFill="1" applyBorder="1"/>
    <xf numFmtId="2" fontId="0" fillId="6" borderId="15" xfId="0" applyNumberFormat="1" applyFill="1" applyBorder="1"/>
    <xf numFmtId="0" fontId="0" fillId="0" borderId="16" xfId="0" applyBorder="1"/>
    <xf numFmtId="10" fontId="0" fillId="0" borderId="17" xfId="0" applyNumberFormat="1" applyBorder="1"/>
    <xf numFmtId="0" fontId="0" fillId="0" borderId="10" xfId="0" applyBorder="1" applyAlignment="1">
      <alignment horizontal="left"/>
    </xf>
    <xf numFmtId="0" fontId="0" fillId="0" borderId="6" xfId="0" applyBorder="1"/>
    <xf numFmtId="10" fontId="0" fillId="0" borderId="7" xfId="0" applyNumberFormat="1" applyBorder="1"/>
    <xf numFmtId="10" fontId="10" fillId="0" borderId="11" xfId="0" applyNumberFormat="1" applyFont="1" applyBorder="1" applyAlignment="1">
      <alignment horizontal="right"/>
    </xf>
    <xf numFmtId="0" fontId="0" fillId="0" borderId="16" xfId="0" applyBorder="1" applyAlignment="1">
      <alignment horizontal="left"/>
    </xf>
    <xf numFmtId="0" fontId="0" fillId="0" borderId="0" xfId="0" applyAlignment="1">
      <alignment horizontal="center"/>
    </xf>
    <xf numFmtId="0" fontId="24" fillId="0" borderId="0" xfId="0" applyFont="1"/>
    <xf numFmtId="10" fontId="0" fillId="0" borderId="0" xfId="1" applyNumberFormat="1" applyFont="1"/>
    <xf numFmtId="10" fontId="0" fillId="0" borderId="11" xfId="1" applyNumberFormat="1" applyFont="1" applyBorder="1" applyAlignment="1">
      <alignment horizontal="right"/>
    </xf>
    <xf numFmtId="10" fontId="0" fillId="0" borderId="17" xfId="1" applyNumberFormat="1" applyFont="1" applyBorder="1" applyAlignment="1">
      <alignment horizontal="right"/>
    </xf>
    <xf numFmtId="0" fontId="24" fillId="0" borderId="13" xfId="0" applyFont="1" applyBorder="1"/>
    <xf numFmtId="0" fontId="0" fillId="0" borderId="14" xfId="0" applyBorder="1"/>
    <xf numFmtId="10" fontId="0" fillId="0" borderId="15" xfId="0" applyNumberFormat="1" applyBorder="1"/>
    <xf numFmtId="0" fontId="0" fillId="0" borderId="7" xfId="0" applyBorder="1"/>
    <xf numFmtId="0" fontId="0" fillId="0" borderId="11" xfId="0" applyBorder="1" applyAlignment="1">
      <alignment horizontal="right"/>
    </xf>
    <xf numFmtId="0" fontId="0" fillId="0" borderId="17" xfId="0" applyBorder="1" applyAlignment="1">
      <alignment horizontal="right"/>
    </xf>
    <xf numFmtId="0" fontId="0" fillId="0" borderId="17" xfId="0" applyBorder="1"/>
    <xf numFmtId="0" fontId="0" fillId="0" borderId="6" xfId="0" applyBorder="1" applyAlignment="1">
      <alignment horizontal="left"/>
    </xf>
    <xf numFmtId="0" fontId="0" fillId="0" borderId="2" xfId="0" applyBorder="1" applyAlignment="1">
      <alignment horizontal="center"/>
    </xf>
    <xf numFmtId="0" fontId="0" fillId="0" borderId="7" xfId="0" applyBorder="1" applyAlignment="1">
      <alignment horizontal="center"/>
    </xf>
    <xf numFmtId="0" fontId="24" fillId="0" borderId="18" xfId="0" applyFont="1" applyBorder="1"/>
    <xf numFmtId="0" fontId="0" fillId="0" borderId="19" xfId="0" applyBorder="1"/>
    <xf numFmtId="0" fontId="0" fillId="0" borderId="18" xfId="0" applyBorder="1"/>
    <xf numFmtId="165" fontId="0" fillId="0" borderId="19" xfId="0" applyNumberFormat="1" applyBorder="1"/>
    <xf numFmtId="3" fontId="24" fillId="0" borderId="0" xfId="0" applyNumberFormat="1" applyFont="1"/>
    <xf numFmtId="0" fontId="28" fillId="0" borderId="0" xfId="0" applyFont="1"/>
    <xf numFmtId="9" fontId="0" fillId="0" borderId="0" xfId="1" applyFont="1"/>
    <xf numFmtId="10" fontId="0" fillId="0" borderId="19" xfId="0" applyNumberFormat="1" applyBorder="1"/>
    <xf numFmtId="43" fontId="0" fillId="0" borderId="0" xfId="0" applyNumberFormat="1"/>
    <xf numFmtId="176" fontId="0" fillId="0" borderId="19" xfId="0" applyNumberFormat="1" applyBorder="1"/>
    <xf numFmtId="9" fontId="10" fillId="0" borderId="3" xfId="1" applyFont="1" applyBorder="1"/>
    <xf numFmtId="9" fontId="10" fillId="0" borderId="11" xfId="1" applyFont="1" applyBorder="1"/>
    <xf numFmtId="0" fontId="24" fillId="0" borderId="0" xfId="0" applyFont="1" applyAlignment="1">
      <alignment horizontal="center"/>
    </xf>
    <xf numFmtId="174" fontId="30" fillId="0" borderId="0" xfId="1" applyNumberFormat="1" applyFont="1" applyFill="1" applyBorder="1"/>
    <xf numFmtId="178" fontId="0" fillId="0" borderId="0" xfId="1" applyNumberFormat="1" applyFont="1" applyBorder="1"/>
    <xf numFmtId="0" fontId="24" fillId="0" borderId="10" xfId="0" applyFont="1" applyBorder="1"/>
    <xf numFmtId="10" fontId="0" fillId="0" borderId="0" xfId="1" applyNumberFormat="1" applyFont="1" applyBorder="1"/>
    <xf numFmtId="43" fontId="24" fillId="0" borderId="0" xfId="0" applyNumberFormat="1" applyFont="1"/>
    <xf numFmtId="10" fontId="24" fillId="0" borderId="0" xfId="1" applyNumberFormat="1" applyFont="1"/>
    <xf numFmtId="17" fontId="24" fillId="0" borderId="0" xfId="0" applyNumberFormat="1" applyFont="1"/>
    <xf numFmtId="10" fontId="3" fillId="0" borderId="0" xfId="1" applyNumberFormat="1" applyFont="1"/>
    <xf numFmtId="167" fontId="24" fillId="0" borderId="0" xfId="0" applyNumberFormat="1" applyFont="1"/>
    <xf numFmtId="0" fontId="24" fillId="0" borderId="21" xfId="0" applyFont="1" applyBorder="1"/>
    <xf numFmtId="17" fontId="24" fillId="0" borderId="21" xfId="0" applyNumberFormat="1" applyFont="1" applyBorder="1"/>
    <xf numFmtId="0" fontId="0" fillId="0" borderId="0" xfId="0" applyAlignment="1">
      <alignment horizontal="left"/>
    </xf>
    <xf numFmtId="0" fontId="0" fillId="0" borderId="0" xfId="0" applyAlignment="1">
      <alignment horizontal="right"/>
    </xf>
    <xf numFmtId="17" fontId="0" fillId="0" borderId="0" xfId="0" applyNumberFormat="1" applyAlignment="1">
      <alignment horizontal="left"/>
    </xf>
    <xf numFmtId="10" fontId="0" fillId="0" borderId="0" xfId="0" applyNumberFormat="1" applyAlignment="1">
      <alignment horizontal="right"/>
    </xf>
    <xf numFmtId="0" fontId="0" fillId="0" borderId="25" xfId="0" applyBorder="1"/>
    <xf numFmtId="0" fontId="0" fillId="0" borderId="26" xfId="0" applyBorder="1" applyAlignment="1">
      <alignment horizontal="right"/>
    </xf>
    <xf numFmtId="165" fontId="0" fillId="0" borderId="0" xfId="0" applyNumberFormat="1" applyAlignment="1">
      <alignment horizontal="right"/>
    </xf>
    <xf numFmtId="165" fontId="0" fillId="0" borderId="26" xfId="0" applyNumberFormat="1" applyBorder="1" applyAlignment="1">
      <alignment horizontal="right"/>
    </xf>
    <xf numFmtId="0" fontId="0" fillId="0" borderId="27" xfId="0" applyBorder="1"/>
    <xf numFmtId="165" fontId="0" fillId="0" borderId="12" xfId="0" applyNumberFormat="1" applyBorder="1" applyAlignment="1">
      <alignment horizontal="right"/>
    </xf>
    <xf numFmtId="4" fontId="0" fillId="0" borderId="12" xfId="0" applyNumberFormat="1" applyBorder="1"/>
    <xf numFmtId="4" fontId="35" fillId="0" borderId="28" xfId="0" applyNumberFormat="1" applyFont="1" applyBorder="1"/>
    <xf numFmtId="181" fontId="0" fillId="0" borderId="0" xfId="0" applyNumberFormat="1"/>
    <xf numFmtId="174" fontId="0" fillId="0" borderId="0" xfId="0" applyNumberFormat="1"/>
    <xf numFmtId="10" fontId="0" fillId="0" borderId="19" xfId="1" applyNumberFormat="1" applyFont="1" applyBorder="1"/>
    <xf numFmtId="174" fontId="0" fillId="0" borderId="19" xfId="0" applyNumberFormat="1" applyBorder="1"/>
    <xf numFmtId="0" fontId="0" fillId="7" borderId="0" xfId="0" applyFill="1"/>
    <xf numFmtId="0" fontId="0" fillId="7" borderId="0" xfId="0" applyFill="1" applyAlignment="1">
      <alignment wrapText="1"/>
    </xf>
    <xf numFmtId="0" fontId="24" fillId="0" borderId="0" xfId="0" applyFont="1" applyAlignment="1">
      <alignment vertical="top"/>
    </xf>
    <xf numFmtId="0" fontId="0" fillId="0" borderId="29" xfId="0" applyBorder="1"/>
    <xf numFmtId="0" fontId="37" fillId="8" borderId="0" xfId="0" applyFont="1" applyFill="1"/>
    <xf numFmtId="0" fontId="0" fillId="8" borderId="0" xfId="0" applyFill="1"/>
    <xf numFmtId="0" fontId="24" fillId="7" borderId="10" xfId="0" applyFont="1" applyFill="1" applyBorder="1" applyAlignment="1">
      <alignment horizontal="left"/>
    </xf>
    <xf numFmtId="0" fontId="24" fillId="7" borderId="0" xfId="0" applyFont="1" applyFill="1" applyAlignment="1">
      <alignment horizontal="right"/>
    </xf>
    <xf numFmtId="0" fontId="24" fillId="7" borderId="11" xfId="0" applyFont="1" applyFill="1" applyBorder="1" applyAlignment="1">
      <alignment horizontal="right"/>
    </xf>
    <xf numFmtId="182" fontId="0" fillId="0" borderId="10" xfId="0" applyNumberFormat="1" applyBorder="1" applyAlignment="1">
      <alignment horizontal="left"/>
    </xf>
    <xf numFmtId="182" fontId="0" fillId="0" borderId="16" xfId="0" applyNumberFormat="1" applyBorder="1" applyAlignment="1">
      <alignment horizontal="left"/>
    </xf>
    <xf numFmtId="17" fontId="0" fillId="0" borderId="0" xfId="0" applyNumberFormat="1"/>
    <xf numFmtId="4" fontId="0" fillId="0" borderId="0" xfId="0" applyNumberFormat="1"/>
    <xf numFmtId="3" fontId="0" fillId="7" borderId="0" xfId="0" applyNumberFormat="1" applyFill="1"/>
    <xf numFmtId="10" fontId="0" fillId="0" borderId="0" xfId="0" applyNumberFormat="1" applyAlignment="1">
      <alignment vertical="top"/>
    </xf>
    <xf numFmtId="0" fontId="0" fillId="0" borderId="0" xfId="0" applyAlignment="1">
      <alignment vertical="top"/>
    </xf>
    <xf numFmtId="0" fontId="0" fillId="0" borderId="0" xfId="0" applyAlignment="1">
      <alignment horizontal="left" indent="1"/>
    </xf>
    <xf numFmtId="183" fontId="0" fillId="0" borderId="0" xfId="0" applyNumberFormat="1"/>
    <xf numFmtId="0" fontId="0" fillId="0" borderId="19" xfId="0" applyBorder="1" applyAlignment="1">
      <alignment horizontal="left"/>
    </xf>
    <xf numFmtId="0" fontId="0" fillId="0" borderId="19" xfId="0" applyBorder="1" applyAlignment="1">
      <alignment horizontal="left" indent="1"/>
    </xf>
    <xf numFmtId="0" fontId="24" fillId="0" borderId="18" xfId="0" applyFont="1" applyBorder="1" applyAlignment="1">
      <alignment horizontal="left"/>
    </xf>
    <xf numFmtId="174" fontId="0" fillId="0" borderId="18" xfId="0" applyNumberFormat="1" applyBorder="1"/>
    <xf numFmtId="174" fontId="2" fillId="0" borderId="0" xfId="0" applyNumberFormat="1" applyFont="1"/>
    <xf numFmtId="0" fontId="0" fillId="0" borderId="30" xfId="0" applyBorder="1"/>
    <xf numFmtId="185" fontId="24" fillId="0" borderId="0" xfId="0" applyNumberFormat="1" applyFont="1"/>
    <xf numFmtId="0" fontId="24" fillId="10" borderId="0" xfId="0" applyFont="1" applyFill="1"/>
    <xf numFmtId="180" fontId="24" fillId="10" borderId="0" xfId="1" applyNumberFormat="1" applyFont="1" applyFill="1"/>
    <xf numFmtId="10" fontId="24" fillId="10" borderId="0" xfId="1" applyNumberFormat="1" applyFont="1" applyFill="1"/>
    <xf numFmtId="0" fontId="39" fillId="0" borderId="0" xfId="0" applyFont="1"/>
    <xf numFmtId="0" fontId="41" fillId="9" borderId="0" xfId="0" applyFont="1" applyFill="1"/>
    <xf numFmtId="0" fontId="0" fillId="9" borderId="0" xfId="0" applyFill="1"/>
    <xf numFmtId="0" fontId="42" fillId="0" borderId="0" xfId="0" applyFont="1"/>
    <xf numFmtId="0" fontId="44" fillId="0" borderId="0" xfId="0" applyFont="1"/>
    <xf numFmtId="0" fontId="45" fillId="0" borderId="0" xfId="0" applyFont="1" applyAlignment="1">
      <alignment vertical="center"/>
    </xf>
    <xf numFmtId="0" fontId="0" fillId="0" borderId="0" xfId="1" applyNumberFormat="1" applyFont="1"/>
    <xf numFmtId="174" fontId="24" fillId="0" borderId="0" xfId="0" applyNumberFormat="1" applyFont="1"/>
    <xf numFmtId="0" fontId="46" fillId="10" borderId="0" xfId="0" applyFont="1" applyFill="1"/>
    <xf numFmtId="0" fontId="46" fillId="10" borderId="0" xfId="0" applyFont="1" applyFill="1" applyAlignment="1">
      <alignment horizontal="center"/>
    </xf>
    <xf numFmtId="0" fontId="36" fillId="9" borderId="0" xfId="0" applyFont="1" applyFill="1"/>
    <xf numFmtId="17" fontId="23" fillId="9" borderId="0" xfId="0" applyNumberFormat="1" applyFont="1" applyFill="1"/>
    <xf numFmtId="17" fontId="23" fillId="9" borderId="0" xfId="0" applyNumberFormat="1" applyFont="1" applyFill="1" applyAlignment="1">
      <alignment horizontal="right"/>
    </xf>
    <xf numFmtId="17" fontId="23" fillId="9" borderId="0" xfId="0" applyNumberFormat="1" applyFont="1" applyFill="1" applyAlignment="1">
      <alignment horizontal="center"/>
    </xf>
    <xf numFmtId="0" fontId="6" fillId="11" borderId="0" xfId="0" applyFont="1" applyFill="1" applyAlignment="1">
      <alignment horizontal="center"/>
    </xf>
    <xf numFmtId="0" fontId="6" fillId="11" borderId="0" xfId="0" applyFont="1" applyFill="1" applyAlignment="1">
      <alignment horizontal="left"/>
    </xf>
    <xf numFmtId="164" fontId="6" fillId="11" borderId="0" xfId="0" applyNumberFormat="1" applyFont="1" applyFill="1" applyAlignment="1">
      <alignment horizontal="right" wrapText="1"/>
    </xf>
    <xf numFmtId="0" fontId="7" fillId="12" borderId="0" xfId="0" applyFont="1" applyFill="1"/>
    <xf numFmtId="0" fontId="0" fillId="12" borderId="0" xfId="0" applyFill="1"/>
    <xf numFmtId="0" fontId="0" fillId="0" borderId="32" xfId="0" applyBorder="1"/>
    <xf numFmtId="165" fontId="0" fillId="0" borderId="32" xfId="0" applyNumberFormat="1" applyBorder="1"/>
    <xf numFmtId="167" fontId="7" fillId="0" borderId="32" xfId="0" applyNumberFormat="1" applyFont="1" applyBorder="1"/>
    <xf numFmtId="0" fontId="7" fillId="0" borderId="32" xfId="0" applyFont="1" applyBorder="1"/>
    <xf numFmtId="10" fontId="8" fillId="0" borderId="32" xfId="0" applyNumberFormat="1" applyFont="1" applyBorder="1"/>
    <xf numFmtId="10" fontId="8" fillId="0" borderId="32" xfId="0" applyNumberFormat="1" applyFont="1" applyBorder="1" applyAlignment="1">
      <alignment horizontal="right"/>
    </xf>
    <xf numFmtId="0" fontId="32" fillId="9" borderId="0" xfId="0" applyFont="1" applyFill="1" applyAlignment="1">
      <alignment horizontal="center"/>
    </xf>
    <xf numFmtId="0" fontId="23" fillId="9" borderId="0" xfId="0" applyFont="1" applyFill="1" applyAlignment="1">
      <alignment horizontal="left"/>
    </xf>
    <xf numFmtId="0" fontId="23" fillId="9" borderId="0" xfId="0" applyFont="1" applyFill="1" applyAlignment="1">
      <alignment horizontal="right"/>
    </xf>
    <xf numFmtId="0" fontId="0" fillId="0" borderId="33" xfId="0" applyBorder="1"/>
    <xf numFmtId="10" fontId="0" fillId="0" borderId="33" xfId="1" applyNumberFormat="1" applyFont="1" applyBorder="1"/>
    <xf numFmtId="0" fontId="0" fillId="0" borderId="34" xfId="0" applyBorder="1"/>
    <xf numFmtId="10" fontId="0" fillId="0" borderId="34" xfId="1" applyNumberFormat="1" applyFont="1" applyBorder="1"/>
    <xf numFmtId="176" fontId="0" fillId="0" borderId="34" xfId="0" applyNumberFormat="1" applyBorder="1"/>
    <xf numFmtId="176" fontId="0" fillId="0" borderId="33" xfId="0" applyNumberFormat="1" applyBorder="1"/>
    <xf numFmtId="176" fontId="0" fillId="0" borderId="0" xfId="0" applyNumberFormat="1"/>
    <xf numFmtId="179" fontId="0" fillId="0" borderId="33" xfId="0" applyNumberFormat="1" applyBorder="1"/>
    <xf numFmtId="179" fontId="0" fillId="0" borderId="0" xfId="0" applyNumberFormat="1"/>
    <xf numFmtId="179" fontId="0" fillId="0" borderId="34" xfId="0" applyNumberFormat="1" applyBorder="1"/>
    <xf numFmtId="0" fontId="0" fillId="0" borderId="31" xfId="0" applyBorder="1"/>
    <xf numFmtId="0" fontId="9" fillId="11" borderId="0" xfId="0" applyFont="1" applyFill="1"/>
    <xf numFmtId="0" fontId="6" fillId="11" borderId="0" xfId="0" applyFont="1" applyFill="1"/>
    <xf numFmtId="0" fontId="0" fillId="11" borderId="0" xfId="0" applyFill="1"/>
    <xf numFmtId="0" fontId="7" fillId="13" borderId="0" xfId="0" applyFont="1" applyFill="1"/>
    <xf numFmtId="169" fontId="7" fillId="13" borderId="0" xfId="0" applyNumberFormat="1" applyFont="1" applyFill="1"/>
    <xf numFmtId="170" fontId="7" fillId="13" borderId="0" xfId="0" applyNumberFormat="1" applyFont="1" applyFill="1"/>
    <xf numFmtId="0" fontId="7" fillId="0" borderId="31" xfId="0" applyFont="1" applyBorder="1"/>
    <xf numFmtId="165" fontId="7" fillId="0" borderId="31" xfId="0" applyNumberFormat="1" applyFont="1" applyBorder="1"/>
    <xf numFmtId="0" fontId="7" fillId="0" borderId="35" xfId="0" applyFont="1" applyBorder="1"/>
    <xf numFmtId="165" fontId="7" fillId="0" borderId="35" xfId="0" applyNumberFormat="1" applyFont="1" applyBorder="1"/>
    <xf numFmtId="0" fontId="7" fillId="0" borderId="36" xfId="0" applyFont="1" applyBorder="1"/>
    <xf numFmtId="165" fontId="7" fillId="0" borderId="36" xfId="0" applyNumberFormat="1" applyFont="1" applyBorder="1"/>
    <xf numFmtId="0" fontId="14" fillId="0" borderId="36" xfId="0" applyFont="1" applyBorder="1"/>
    <xf numFmtId="165" fontId="0" fillId="0" borderId="36" xfId="0" applyNumberFormat="1" applyBorder="1"/>
    <xf numFmtId="165" fontId="0" fillId="0" borderId="31" xfId="0" applyNumberFormat="1" applyBorder="1"/>
    <xf numFmtId="0" fontId="7" fillId="0" borderId="30" xfId="0" applyFont="1" applyBorder="1"/>
    <xf numFmtId="165" fontId="0" fillId="0" borderId="30" xfId="0" applyNumberFormat="1" applyBorder="1"/>
    <xf numFmtId="165" fontId="7" fillId="0" borderId="30" xfId="0" applyNumberFormat="1" applyFont="1" applyBorder="1"/>
    <xf numFmtId="165" fontId="7" fillId="14" borderId="0" xfId="0" applyNumberFormat="1" applyFont="1" applyFill="1"/>
    <xf numFmtId="10" fontId="0" fillId="14" borderId="0" xfId="0" applyNumberFormat="1" applyFill="1"/>
    <xf numFmtId="165" fontId="0" fillId="14" borderId="0" xfId="0" applyNumberFormat="1" applyFill="1"/>
    <xf numFmtId="165" fontId="7" fillId="14" borderId="31" xfId="0" applyNumberFormat="1" applyFont="1" applyFill="1" applyBorder="1"/>
    <xf numFmtId="165" fontId="7" fillId="14" borderId="35" xfId="0" applyNumberFormat="1" applyFont="1" applyFill="1" applyBorder="1"/>
    <xf numFmtId="0" fontId="27" fillId="9" borderId="0" xfId="0" applyFont="1" applyFill="1" applyAlignment="1">
      <alignment horizontal="left"/>
    </xf>
    <xf numFmtId="0" fontId="25" fillId="9" borderId="0" xfId="0" applyFont="1" applyFill="1"/>
    <xf numFmtId="17" fontId="27" fillId="9" borderId="0" xfId="0" applyNumberFormat="1" applyFont="1" applyFill="1" applyAlignment="1">
      <alignment horizontal="right"/>
    </xf>
    <xf numFmtId="0" fontId="0" fillId="10" borderId="19" xfId="0" applyFill="1" applyBorder="1"/>
    <xf numFmtId="10" fontId="0" fillId="10" borderId="19" xfId="0" applyNumberFormat="1" applyFill="1" applyBorder="1"/>
    <xf numFmtId="0" fontId="0" fillId="0" borderId="37" xfId="0" applyBorder="1"/>
    <xf numFmtId="165" fontId="0" fillId="0" borderId="37" xfId="0" applyNumberFormat="1" applyBorder="1"/>
    <xf numFmtId="0" fontId="0" fillId="0" borderId="38" xfId="0" applyBorder="1"/>
    <xf numFmtId="165" fontId="0" fillId="0" borderId="38" xfId="0" applyNumberFormat="1" applyBorder="1"/>
    <xf numFmtId="0" fontId="24" fillId="0" borderId="39" xfId="0" applyFont="1" applyBorder="1"/>
    <xf numFmtId="0" fontId="0" fillId="0" borderId="39" xfId="0" applyBorder="1"/>
    <xf numFmtId="165" fontId="0" fillId="0" borderId="39" xfId="0" applyNumberFormat="1" applyBorder="1"/>
    <xf numFmtId="10" fontId="24" fillId="0" borderId="39" xfId="1" applyNumberFormat="1" applyFont="1" applyBorder="1"/>
    <xf numFmtId="0" fontId="24" fillId="0" borderId="37" xfId="0" applyFont="1" applyBorder="1"/>
    <xf numFmtId="10" fontId="0" fillId="0" borderId="37" xfId="0" applyNumberFormat="1" applyBorder="1"/>
    <xf numFmtId="0" fontId="0" fillId="0" borderId="41" xfId="0" applyBorder="1"/>
    <xf numFmtId="165" fontId="0" fillId="0" borderId="41" xfId="0" applyNumberFormat="1" applyBorder="1"/>
    <xf numFmtId="10" fontId="0" fillId="0" borderId="39" xfId="1" applyNumberFormat="1" applyFont="1" applyBorder="1"/>
    <xf numFmtId="0" fontId="24" fillId="0" borderId="40" xfId="0" applyFont="1" applyBorder="1"/>
    <xf numFmtId="0" fontId="0" fillId="0" borderId="40" xfId="0" applyBorder="1"/>
    <xf numFmtId="165" fontId="0" fillId="0" borderId="40" xfId="0" applyNumberFormat="1" applyBorder="1"/>
    <xf numFmtId="0" fontId="27" fillId="9" borderId="0" xfId="0" applyFont="1" applyFill="1"/>
    <xf numFmtId="0" fontId="23" fillId="9" borderId="0" xfId="0" applyFont="1" applyFill="1"/>
    <xf numFmtId="17" fontId="27" fillId="9" borderId="0" xfId="0" applyNumberFormat="1" applyFont="1" applyFill="1"/>
    <xf numFmtId="43" fontId="24" fillId="0" borderId="39" xfId="0" applyNumberFormat="1" applyFont="1" applyBorder="1"/>
    <xf numFmtId="174" fontId="24" fillId="0" borderId="39" xfId="0" applyNumberFormat="1" applyFont="1" applyBorder="1"/>
    <xf numFmtId="0" fontId="0" fillId="10" borderId="0" xfId="0" applyFill="1"/>
    <xf numFmtId="10" fontId="29" fillId="10" borderId="0" xfId="0" applyNumberFormat="1" applyFont="1" applyFill="1"/>
    <xf numFmtId="10" fontId="0" fillId="10" borderId="0" xfId="0" applyNumberFormat="1" applyFill="1"/>
    <xf numFmtId="178" fontId="0" fillId="10" borderId="0" xfId="1" applyNumberFormat="1" applyFont="1" applyFill="1" applyBorder="1"/>
    <xf numFmtId="10" fontId="4" fillId="0" borderId="37" xfId="0" applyNumberFormat="1" applyFont="1" applyBorder="1"/>
    <xf numFmtId="10" fontId="10" fillId="0" borderId="37" xfId="0" applyNumberFormat="1" applyFont="1" applyBorder="1"/>
    <xf numFmtId="0" fontId="29" fillId="0" borderId="37" xfId="0" applyFont="1" applyBorder="1"/>
    <xf numFmtId="175" fontId="0" fillId="0" borderId="37" xfId="0" applyNumberFormat="1" applyBorder="1"/>
    <xf numFmtId="9" fontId="10" fillId="0" borderId="0" xfId="1" applyFont="1" applyBorder="1"/>
    <xf numFmtId="10" fontId="10" fillId="0" borderId="0" xfId="1" applyNumberFormat="1" applyFont="1" applyBorder="1"/>
    <xf numFmtId="178" fontId="0" fillId="0" borderId="42" xfId="1" applyNumberFormat="1" applyFont="1" applyBorder="1"/>
    <xf numFmtId="178" fontId="0" fillId="0" borderId="43" xfId="1" applyNumberFormat="1" applyFont="1" applyBorder="1"/>
    <xf numFmtId="178" fontId="0" fillId="0" borderId="44" xfId="1" applyNumberFormat="1" applyFont="1" applyBorder="1"/>
    <xf numFmtId="178" fontId="0" fillId="0" borderId="46" xfId="1" applyNumberFormat="1" applyFont="1" applyBorder="1"/>
    <xf numFmtId="178" fontId="0" fillId="0" borderId="47" xfId="1" applyNumberFormat="1" applyFont="1" applyBorder="1"/>
    <xf numFmtId="178" fontId="0" fillId="0" borderId="48" xfId="1" applyNumberFormat="1" applyFont="1" applyBorder="1"/>
    <xf numFmtId="178" fontId="0" fillId="0" borderId="21" xfId="1" applyNumberFormat="1" applyFont="1" applyBorder="1"/>
    <xf numFmtId="178" fontId="0" fillId="0" borderId="49" xfId="1" applyNumberFormat="1" applyFont="1" applyBorder="1"/>
    <xf numFmtId="176" fontId="0" fillId="0" borderId="37" xfId="0" applyNumberFormat="1" applyBorder="1"/>
    <xf numFmtId="0" fontId="17" fillId="11" borderId="0" xfId="0" applyFont="1" applyFill="1"/>
    <xf numFmtId="0" fontId="18" fillId="11" borderId="0" xfId="0" applyFont="1" applyFill="1"/>
    <xf numFmtId="10" fontId="0" fillId="15" borderId="0" xfId="0" applyNumberFormat="1" applyFill="1"/>
    <xf numFmtId="2" fontId="0" fillId="15" borderId="0" xfId="0" applyNumberFormat="1" applyFill="1"/>
    <xf numFmtId="0" fontId="7" fillId="10" borderId="5" xfId="0" applyFont="1" applyFill="1" applyBorder="1"/>
    <xf numFmtId="0" fontId="0" fillId="10" borderId="5" xfId="0" applyFill="1" applyBorder="1"/>
    <xf numFmtId="10" fontId="0" fillId="10" borderId="5" xfId="0" applyNumberFormat="1" applyFill="1" applyBorder="1"/>
    <xf numFmtId="0" fontId="0" fillId="0" borderId="45" xfId="0" applyBorder="1"/>
    <xf numFmtId="0" fontId="6" fillId="11" borderId="6" xfId="0" applyFont="1" applyFill="1" applyBorder="1" applyAlignment="1">
      <alignment horizontal="left"/>
    </xf>
    <xf numFmtId="0" fontId="6" fillId="11" borderId="2" xfId="0" applyFont="1" applyFill="1" applyBorder="1" applyAlignment="1">
      <alignment horizontal="right"/>
    </xf>
    <xf numFmtId="0" fontId="6" fillId="11" borderId="7" xfId="0" applyFont="1" applyFill="1" applyBorder="1" applyAlignment="1">
      <alignment horizontal="right"/>
    </xf>
    <xf numFmtId="0" fontId="6" fillId="11" borderId="6" xfId="0" applyFont="1" applyFill="1" applyBorder="1"/>
    <xf numFmtId="2" fontId="24" fillId="10" borderId="0" xfId="0" applyNumberFormat="1" applyFont="1" applyFill="1"/>
    <xf numFmtId="0" fontId="23" fillId="9" borderId="6" xfId="0" applyFont="1" applyFill="1" applyBorder="1" applyAlignment="1">
      <alignment horizontal="left"/>
    </xf>
    <xf numFmtId="0" fontId="23" fillId="9" borderId="7" xfId="0" applyFont="1" applyFill="1" applyBorder="1" applyAlignment="1">
      <alignment horizontal="right"/>
    </xf>
    <xf numFmtId="0" fontId="5" fillId="0" borderId="37" xfId="0" applyFont="1" applyBorder="1"/>
    <xf numFmtId="3" fontId="0" fillId="0" borderId="37" xfId="0" applyNumberFormat="1" applyBorder="1"/>
    <xf numFmtId="3" fontId="24" fillId="0" borderId="37" xfId="0" applyNumberFormat="1" applyFont="1" applyBorder="1"/>
    <xf numFmtId="0" fontId="0" fillId="0" borderId="51" xfId="0" applyBorder="1"/>
    <xf numFmtId="3" fontId="0" fillId="0" borderId="51" xfId="0" applyNumberFormat="1" applyBorder="1"/>
    <xf numFmtId="9" fontId="0" fillId="0" borderId="40" xfId="0" applyNumberFormat="1" applyBorder="1"/>
    <xf numFmtId="0" fontId="24" fillId="0" borderId="51" xfId="0" applyFont="1" applyBorder="1"/>
    <xf numFmtId="3" fontId="24" fillId="0" borderId="51" xfId="0" applyNumberFormat="1" applyFont="1" applyBorder="1"/>
    <xf numFmtId="3" fontId="24" fillId="0" borderId="40" xfId="0" applyNumberFormat="1" applyFont="1" applyBorder="1"/>
    <xf numFmtId="3" fontId="0" fillId="0" borderId="40" xfId="0" applyNumberFormat="1" applyBorder="1"/>
    <xf numFmtId="0" fontId="24" fillId="0" borderId="52" xfId="0" applyFont="1" applyBorder="1"/>
    <xf numFmtId="165" fontId="0" fillId="0" borderId="52" xfId="0" applyNumberFormat="1" applyBorder="1"/>
    <xf numFmtId="0" fontId="24" fillId="0" borderId="53" xfId="0" applyFont="1" applyBorder="1"/>
    <xf numFmtId="165" fontId="0" fillId="0" borderId="53" xfId="0" applyNumberFormat="1" applyBorder="1"/>
    <xf numFmtId="0" fontId="33" fillId="0" borderId="36" xfId="0" applyFont="1" applyBorder="1"/>
    <xf numFmtId="0" fontId="0" fillId="0" borderId="36" xfId="0" applyBorder="1"/>
    <xf numFmtId="0" fontId="31" fillId="9" borderId="0" xfId="0" applyFont="1" applyFill="1"/>
    <xf numFmtId="0" fontId="32" fillId="9" borderId="0" xfId="0" applyFont="1" applyFill="1"/>
    <xf numFmtId="0" fontId="32" fillId="9" borderId="0" xfId="0" applyFont="1" applyFill="1" applyAlignment="1">
      <alignment horizontal="right"/>
    </xf>
    <xf numFmtId="0" fontId="34" fillId="9" borderId="0" xfId="0" applyFont="1" applyFill="1"/>
    <xf numFmtId="0" fontId="34" fillId="9" borderId="0" xfId="0" applyFont="1" applyFill="1" applyAlignment="1">
      <alignment horizontal="center"/>
    </xf>
    <xf numFmtId="0" fontId="34" fillId="9" borderId="0" xfId="0" applyFont="1" applyFill="1" applyAlignment="1">
      <alignment horizontal="right"/>
    </xf>
    <xf numFmtId="165" fontId="0" fillId="10" borderId="0" xfId="0" applyNumberFormat="1" applyFill="1"/>
    <xf numFmtId="180" fontId="0" fillId="10" borderId="0" xfId="0" applyNumberFormat="1" applyFill="1"/>
    <xf numFmtId="0" fontId="0" fillId="10" borderId="39" xfId="0" applyFill="1" applyBorder="1"/>
    <xf numFmtId="165" fontId="0" fillId="10" borderId="39" xfId="0" applyNumberFormat="1" applyFill="1" applyBorder="1"/>
    <xf numFmtId="0" fontId="0" fillId="10" borderId="50" xfId="0" applyFill="1" applyBorder="1"/>
    <xf numFmtId="0" fontId="0" fillId="10" borderId="37" xfId="0" applyFill="1" applyBorder="1"/>
    <xf numFmtId="180" fontId="0" fillId="10" borderId="37" xfId="0" applyNumberFormat="1" applyFill="1" applyBorder="1"/>
    <xf numFmtId="0" fontId="24" fillId="10" borderId="37" xfId="0" applyFont="1" applyFill="1" applyBorder="1"/>
    <xf numFmtId="180" fontId="24" fillId="10" borderId="37" xfId="0" applyNumberFormat="1" applyFont="1" applyFill="1" applyBorder="1"/>
    <xf numFmtId="180" fontId="0" fillId="0" borderId="37" xfId="0" applyNumberFormat="1" applyBorder="1"/>
    <xf numFmtId="10" fontId="0" fillId="0" borderId="37" xfId="1" applyNumberFormat="1" applyFont="1" applyBorder="1"/>
    <xf numFmtId="174" fontId="0" fillId="0" borderId="37" xfId="0" applyNumberFormat="1" applyBorder="1"/>
    <xf numFmtId="10" fontId="0" fillId="0" borderId="37" xfId="0" applyNumberFormat="1" applyBorder="1" applyAlignment="1">
      <alignment horizontal="left"/>
    </xf>
    <xf numFmtId="10" fontId="0" fillId="0" borderId="37" xfId="0" applyNumberFormat="1" applyBorder="1" applyAlignment="1">
      <alignment horizontal="right"/>
    </xf>
    <xf numFmtId="10" fontId="0" fillId="0" borderId="37" xfId="1" applyNumberFormat="1" applyFont="1" applyBorder="1" applyAlignment="1">
      <alignment horizontal="right"/>
    </xf>
    <xf numFmtId="165" fontId="0" fillId="0" borderId="37" xfId="0" applyNumberFormat="1" applyBorder="1" applyAlignment="1">
      <alignment horizontal="right"/>
    </xf>
    <xf numFmtId="0" fontId="10" fillId="0" borderId="37" xfId="0" applyFont="1" applyBorder="1"/>
    <xf numFmtId="174" fontId="10" fillId="0" borderId="37" xfId="0" applyNumberFormat="1" applyFont="1" applyBorder="1"/>
    <xf numFmtId="10" fontId="10" fillId="0" borderId="37" xfId="0" applyNumberFormat="1" applyFont="1" applyBorder="1" applyAlignment="1">
      <alignment horizontal="left"/>
    </xf>
    <xf numFmtId="0" fontId="0" fillId="16" borderId="0" xfId="0" applyFill="1"/>
    <xf numFmtId="0" fontId="0" fillId="0" borderId="43" xfId="0" applyBorder="1"/>
    <xf numFmtId="0" fontId="50" fillId="0" borderId="43" xfId="0" applyFont="1" applyBorder="1" applyAlignment="1">
      <alignment horizontal="center"/>
    </xf>
    <xf numFmtId="0" fontId="0" fillId="0" borderId="53" xfId="0" applyBorder="1"/>
    <xf numFmtId="0" fontId="0" fillId="0" borderId="53" xfId="0" applyBorder="1" applyAlignment="1">
      <alignment vertical="top"/>
    </xf>
    <xf numFmtId="0" fontId="49" fillId="0" borderId="53" xfId="0" applyFont="1" applyBorder="1" applyAlignment="1">
      <alignment horizontal="center"/>
    </xf>
    <xf numFmtId="0" fontId="51" fillId="9" borderId="0" xfId="0" applyFont="1" applyFill="1"/>
    <xf numFmtId="0" fontId="52" fillId="0" borderId="0" xfId="0" applyFont="1"/>
    <xf numFmtId="0" fontId="48" fillId="0" borderId="0" xfId="0" applyFont="1"/>
    <xf numFmtId="0" fontId="53" fillId="0" borderId="0" xfId="0" applyFont="1"/>
    <xf numFmtId="0" fontId="0" fillId="0" borderId="0" xfId="0" applyAlignment="1">
      <alignment horizontal="center"/>
    </xf>
    <xf numFmtId="3" fontId="0" fillId="0" borderId="19" xfId="0" applyNumberFormat="1" applyBorder="1" applyAlignment="1">
      <alignment horizontal="right"/>
    </xf>
    <xf numFmtId="0" fontId="0" fillId="0" borderId="19" xfId="0" applyBorder="1" applyAlignment="1">
      <alignment horizontal="right"/>
    </xf>
    <xf numFmtId="0" fontId="36" fillId="9" borderId="0" xfId="0" applyFont="1" applyFill="1" applyAlignment="1">
      <alignment horizontal="center"/>
    </xf>
    <xf numFmtId="17" fontId="23" fillId="9" borderId="0" xfId="0" applyNumberFormat="1" applyFont="1" applyFill="1" applyAlignment="1">
      <alignment horizontal="center"/>
    </xf>
    <xf numFmtId="184" fontId="0" fillId="0" borderId="19" xfId="0" applyNumberFormat="1" applyBorder="1" applyAlignment="1">
      <alignment horizontal="right"/>
    </xf>
    <xf numFmtId="0" fontId="27" fillId="9" borderId="0" xfId="0" applyFont="1" applyFill="1" applyAlignment="1">
      <alignment horizontal="center"/>
    </xf>
    <xf numFmtId="0" fontId="33" fillId="0" borderId="29" xfId="0" applyFont="1" applyBorder="1" applyAlignment="1">
      <alignment horizontal="left" vertical="center" wrapText="1"/>
    </xf>
    <xf numFmtId="17" fontId="23" fillId="9" borderId="0" xfId="0" applyNumberFormat="1" applyFont="1" applyFill="1" applyAlignment="1">
      <alignment horizontal="right"/>
    </xf>
    <xf numFmtId="0" fontId="6" fillId="11" borderId="0" xfId="0" applyFont="1" applyFill="1" applyAlignment="1">
      <alignment horizontal="center"/>
    </xf>
    <xf numFmtId="0" fontId="32" fillId="9" borderId="0" xfId="0" applyFont="1" applyFill="1" applyAlignment="1">
      <alignment horizontal="center"/>
    </xf>
    <xf numFmtId="0" fontId="9" fillId="11" borderId="0" xfId="0" applyFont="1" applyFill="1" applyAlignment="1">
      <alignment horizontal="center"/>
    </xf>
    <xf numFmtId="169" fontId="7" fillId="2" borderId="0" xfId="0" applyNumberFormat="1" applyFont="1" applyFill="1" applyAlignment="1">
      <alignment horizontal="center"/>
    </xf>
    <xf numFmtId="0" fontId="13" fillId="11" borderId="0" xfId="0" applyFont="1" applyFill="1" applyAlignment="1">
      <alignment horizontal="center"/>
    </xf>
    <xf numFmtId="0" fontId="21" fillId="0" borderId="9" xfId="0" applyFont="1" applyBorder="1" applyAlignment="1">
      <alignment horizontal="center"/>
    </xf>
    <xf numFmtId="0" fontId="6" fillId="11" borderId="8" xfId="0" applyFont="1" applyFill="1" applyBorder="1" applyAlignment="1">
      <alignment horizontal="center"/>
    </xf>
    <xf numFmtId="177" fontId="27" fillId="9" borderId="6" xfId="0" applyNumberFormat="1" applyFont="1" applyFill="1" applyBorder="1" applyAlignment="1">
      <alignment horizontal="center"/>
    </xf>
    <xf numFmtId="177" fontId="27" fillId="9" borderId="2" xfId="0" applyNumberFormat="1" applyFont="1" applyFill="1" applyBorder="1" applyAlignment="1">
      <alignment horizontal="center"/>
    </xf>
    <xf numFmtId="177" fontId="27" fillId="9" borderId="7" xfId="0" applyNumberFormat="1" applyFont="1" applyFill="1" applyBorder="1" applyAlignment="1">
      <alignment horizontal="center"/>
    </xf>
    <xf numFmtId="0" fontId="32" fillId="9" borderId="22" xfId="0" applyFont="1" applyFill="1" applyBorder="1" applyAlignment="1">
      <alignment horizontal="center"/>
    </xf>
    <xf numFmtId="0" fontId="23" fillId="9" borderId="23" xfId="0" applyFont="1" applyFill="1" applyBorder="1" applyAlignment="1">
      <alignment horizontal="center"/>
    </xf>
    <xf numFmtId="0" fontId="23" fillId="9" borderId="20" xfId="0" applyFont="1" applyFill="1" applyBorder="1" applyAlignment="1">
      <alignment horizontal="center"/>
    </xf>
    <xf numFmtId="0" fontId="23" fillId="9" borderId="24" xfId="0" applyFont="1" applyFill="1" applyBorder="1" applyAlignment="1">
      <alignment horizontal="center"/>
    </xf>
    <xf numFmtId="0" fontId="23" fillId="9" borderId="0" xfId="0" applyFont="1" applyFill="1" applyAlignment="1">
      <alignment horizontal="center"/>
    </xf>
    <xf numFmtId="0" fontId="40" fillId="0" borderId="0" xfId="0" applyFont="1" applyAlignment="1">
      <alignment horizontal="left" vertical="top" wrapText="1"/>
    </xf>
    <xf numFmtId="0" fontId="38" fillId="0" borderId="0" xfId="0" applyFont="1" applyAlignment="1">
      <alignment horizontal="left" vertical="top"/>
    </xf>
    <xf numFmtId="0" fontId="43" fillId="0" borderId="31" xfId="0" applyFont="1" applyBorder="1" applyAlignment="1">
      <alignment horizontal="center"/>
    </xf>
    <xf numFmtId="167" fontId="15" fillId="0" borderId="0" xfId="0" applyNumberFormat="1" applyFont="1" applyAlignment="1">
      <alignment horizontal="center"/>
    </xf>
    <xf numFmtId="167" fontId="6" fillId="4" borderId="0" xfId="0" applyNumberFormat="1" applyFont="1" applyFill="1" applyAlignment="1">
      <alignment horizontal="center"/>
    </xf>
  </cellXfs>
  <cellStyles count="2">
    <cellStyle name="Normal" xfId="0" builtinId="0"/>
    <cellStyle name="Percent" xfId="1" builtinId="5"/>
  </cellStyles>
  <dxfs count="3">
    <dxf>
      <font>
        <b/>
        <color rgb="FFFFFFFF"/>
      </font>
      <fill>
        <patternFill>
          <bgColor theme="5"/>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275D8"/>
      <rgbColor rgb="FFB7B7B7"/>
      <rgbColor rgb="FF767171"/>
      <rgbColor rgb="FF9999FF"/>
      <rgbColor rgb="FF993366"/>
      <rgbColor rgb="FFFFF2CC"/>
      <rgbColor rgb="FFDAE3F3"/>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F2F2F2"/>
      <rgbColor rgb="FFC6EFCE"/>
      <rgbColor rgb="FFE7E6E6"/>
      <rgbColor rgb="FF9DC3E6"/>
      <rgbColor rgb="FFFF99CC"/>
      <rgbColor rgb="FFD9E2F3"/>
      <rgbColor rgb="FFFFC7CE"/>
      <rgbColor rgb="FF3333FF"/>
      <rgbColor rgb="FF33CCCC"/>
      <rgbColor rgb="FF99CC00"/>
      <rgbColor rgb="FFFFCC00"/>
      <rgbColor rgb="FFFF9900"/>
      <rgbColor rgb="FFED7D31"/>
      <rgbColor rgb="FF2F5597"/>
      <rgbColor rgb="FF70AD47"/>
      <rgbColor rgb="FF003366"/>
      <rgbColor rgb="FF339966"/>
      <rgbColor rgb="FF003300"/>
      <rgbColor rgb="FF333300"/>
      <rgbColor rgb="FF993300"/>
      <rgbColor rgb="FF993366"/>
      <rgbColor rgb="FF1F4E78"/>
      <rgbColor rgb="FF181C21"/>
      <rgbColor rgb="00003366"/>
      <rgbColor rgb="00339966"/>
      <rgbColor rgb="00003300"/>
      <rgbColor rgb="00333300"/>
      <rgbColor rgb="00993300"/>
      <rgbColor rgb="00993366"/>
      <rgbColor rgb="00333399"/>
      <rgbColor rgb="00333333"/>
    </indexedColors>
    <mruColors>
      <color rgb="FFEC6A14"/>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RawData!$I$3</c:f>
              <c:strCache>
                <c:ptCount val="1"/>
                <c:pt idx="0">
                  <c:v>Adj Close</c:v>
                </c:pt>
              </c:strCache>
            </c:strRef>
          </c:tx>
          <c:spPr>
            <a:ln w="28575" cap="rnd">
              <a:solidFill>
                <a:srgbClr val="EC6A14"/>
              </a:solidFill>
              <a:round/>
            </a:ln>
            <a:effectLst/>
          </c:spPr>
          <c:marker>
            <c:symbol val="none"/>
          </c:marker>
          <c:cat>
            <c:strRef>
              <c:f>RawData!$H$4:$H$64</c:f>
              <c:strCach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strCache>
            </c:strRef>
          </c:cat>
          <c:val>
            <c:numRef>
              <c:f>RawData!$I$4:$I$64</c:f>
              <c:numCache>
                <c:formatCode>General</c:formatCode>
                <c:ptCount val="61"/>
                <c:pt idx="0">
                  <c:v>2737.8</c:v>
                </c:pt>
                <c:pt idx="1">
                  <c:v>2744.5</c:v>
                </c:pt>
                <c:pt idx="2">
                  <c:v>2635.7</c:v>
                </c:pt>
                <c:pt idx="3">
                  <c:v>2648.62</c:v>
                </c:pt>
                <c:pt idx="4">
                  <c:v>2423.4699999999998</c:v>
                </c:pt>
                <c:pt idx="5">
                  <c:v>2146.58</c:v>
                </c:pt>
                <c:pt idx="6">
                  <c:v>2355.7600000000002</c:v>
                </c:pt>
                <c:pt idx="7">
                  <c:v>2407.41</c:v>
                </c:pt>
                <c:pt idx="8">
                  <c:v>2745.68</c:v>
                </c:pt>
                <c:pt idx="9">
                  <c:v>2849.68</c:v>
                </c:pt>
                <c:pt idx="10">
                  <c:v>2485.3200000000002</c:v>
                </c:pt>
                <c:pt idx="11">
                  <c:v>2326.16</c:v>
                </c:pt>
                <c:pt idx="12">
                  <c:v>2493.0500000000002</c:v>
                </c:pt>
                <c:pt idx="13">
                  <c:v>2371.79</c:v>
                </c:pt>
                <c:pt idx="14">
                  <c:v>2317.35</c:v>
                </c:pt>
                <c:pt idx="15">
                  <c:v>2215.7399999999998</c:v>
                </c:pt>
                <c:pt idx="16">
                  <c:v>2379.14</c:v>
                </c:pt>
                <c:pt idx="17">
                  <c:v>2295.7199999999998</c:v>
                </c:pt>
                <c:pt idx="18">
                  <c:v>2137.91</c:v>
                </c:pt>
                <c:pt idx="19">
                  <c:v>2256.64</c:v>
                </c:pt>
                <c:pt idx="20">
                  <c:v>2237.56</c:v>
                </c:pt>
                <c:pt idx="21">
                  <c:v>2432</c:v>
                </c:pt>
                <c:pt idx="22">
                  <c:v>2874.37</c:v>
                </c:pt>
                <c:pt idx="23">
                  <c:v>3259.61</c:v>
                </c:pt>
                <c:pt idx="24">
                  <c:v>3061.53</c:v>
                </c:pt>
                <c:pt idx="25">
                  <c:v>3020.07</c:v>
                </c:pt>
                <c:pt idx="26">
                  <c:v>2856.16</c:v>
                </c:pt>
                <c:pt idx="27">
                  <c:v>2794.03</c:v>
                </c:pt>
                <c:pt idx="28">
                  <c:v>2788.89</c:v>
                </c:pt>
                <c:pt idx="29">
                  <c:v>2760.62</c:v>
                </c:pt>
                <c:pt idx="30">
                  <c:v>2736.52</c:v>
                </c:pt>
                <c:pt idx="31">
                  <c:v>2868.36</c:v>
                </c:pt>
                <c:pt idx="32">
                  <c:v>3299.46</c:v>
                </c:pt>
                <c:pt idx="33">
                  <c:v>3025.5</c:v>
                </c:pt>
                <c:pt idx="34">
                  <c:v>2900</c:v>
                </c:pt>
                <c:pt idx="35">
                  <c:v>3060.07</c:v>
                </c:pt>
                <c:pt idx="36">
                  <c:v>3152.08</c:v>
                </c:pt>
                <c:pt idx="37">
                  <c:v>3269.46</c:v>
                </c:pt>
                <c:pt idx="38">
                  <c:v>3254.65</c:v>
                </c:pt>
                <c:pt idx="39">
                  <c:v>3070.5</c:v>
                </c:pt>
                <c:pt idx="40">
                  <c:v>2791.04</c:v>
                </c:pt>
                <c:pt idx="41">
                  <c:v>2655.74</c:v>
                </c:pt>
                <c:pt idx="42">
                  <c:v>2720.31</c:v>
                </c:pt>
                <c:pt idx="43">
                  <c:v>2621.31</c:v>
                </c:pt>
                <c:pt idx="44">
                  <c:v>2969.48</c:v>
                </c:pt>
                <c:pt idx="45">
                  <c:v>3053.38</c:v>
                </c:pt>
                <c:pt idx="46">
                  <c:v>2988.52</c:v>
                </c:pt>
                <c:pt idx="47">
                  <c:v>3209.63</c:v>
                </c:pt>
                <c:pt idx="48">
                  <c:v>3256.83</c:v>
                </c:pt>
                <c:pt idx="49">
                  <c:v>3201.28</c:v>
                </c:pt>
                <c:pt idx="50">
                  <c:v>2588.1</c:v>
                </c:pt>
                <c:pt idx="51">
                  <c:v>2730.29</c:v>
                </c:pt>
                <c:pt idx="52">
                  <c:v>3090.76</c:v>
                </c:pt>
                <c:pt idx="53">
                  <c:v>2940.62</c:v>
                </c:pt>
                <c:pt idx="54">
                  <c:v>3031.03</c:v>
                </c:pt>
                <c:pt idx="55">
                  <c:v>3009.65</c:v>
                </c:pt>
                <c:pt idx="56">
                  <c:v>3229.91</c:v>
                </c:pt>
                <c:pt idx="57">
                  <c:v>3001.44</c:v>
                </c:pt>
                <c:pt idx="58">
                  <c:v>2959.86</c:v>
                </c:pt>
                <c:pt idx="59">
                  <c:v>3094.21</c:v>
                </c:pt>
                <c:pt idx="60">
                  <c:v>3052.92</c:v>
                </c:pt>
              </c:numCache>
            </c:numRef>
          </c:val>
          <c:smooth val="0"/>
          <c:extLst>
            <c:ext xmlns:c16="http://schemas.microsoft.com/office/drawing/2014/chart" uri="{C3380CC4-5D6E-409C-BE32-E72D297353CC}">
              <c16:uniqueId val="{00000000-096A-4A5B-B19B-71BA6E52738A}"/>
            </c:ext>
          </c:extLst>
        </c:ser>
        <c:dLbls>
          <c:showLegendKey val="0"/>
          <c:showVal val="0"/>
          <c:showCatName val="0"/>
          <c:showSerName val="0"/>
          <c:showPercent val="0"/>
          <c:showBubbleSize val="0"/>
        </c:dLbls>
        <c:smooth val="0"/>
        <c:axId val="729338552"/>
        <c:axId val="729338912"/>
      </c:lineChart>
      <c:catAx>
        <c:axId val="72933855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38912"/>
        <c:crosses val="autoZero"/>
        <c:auto val="1"/>
        <c:lblAlgn val="ctr"/>
        <c:lblOffset val="100"/>
        <c:noMultiLvlLbl val="0"/>
      </c:catAx>
      <c:valAx>
        <c:axId val="729338912"/>
        <c:scaling>
          <c:orientation val="minMax"/>
          <c:max val="3500"/>
          <c:min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385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03701739355121"/>
          <c:y val="0.12695650086422125"/>
          <c:w val="0.8157850896876232"/>
          <c:h val="0.43873631649702322"/>
        </c:manualLayout>
      </c:layout>
      <c:barChart>
        <c:barDir val="col"/>
        <c:grouping val="stacked"/>
        <c:varyColors val="0"/>
        <c:ser>
          <c:idx val="0"/>
          <c:order val="0"/>
          <c:spPr>
            <a:solidFill>
              <a:srgbClr val="EC6A14"/>
            </a:solidFill>
            <a:ln>
              <a:noFill/>
            </a:ln>
            <a:effectLst/>
          </c:spPr>
          <c:invertIfNegative val="0"/>
          <c:cat>
            <c:strRef>
              <c:f>RawData!$H$4:$H$64</c:f>
              <c:strCach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strCache>
            </c:strRef>
          </c:cat>
          <c:val>
            <c:numRef>
              <c:f>RawData!$J$4:$J$64</c:f>
              <c:numCache>
                <c:formatCode>General</c:formatCode>
                <c:ptCount val="61"/>
                <c:pt idx="0">
                  <c:v>0.47209500000000004</c:v>
                </c:pt>
                <c:pt idx="1">
                  <c:v>2.7270790000000003</c:v>
                </c:pt>
                <c:pt idx="2">
                  <c:v>31.407028000000004</c:v>
                </c:pt>
                <c:pt idx="3">
                  <c:v>24.922732</c:v>
                </c:pt>
                <c:pt idx="4">
                  <c:v>28.781051000000001</c:v>
                </c:pt>
                <c:pt idx="5">
                  <c:v>23.464907</c:v>
                </c:pt>
                <c:pt idx="6">
                  <c:v>22.708371</c:v>
                </c:pt>
                <c:pt idx="7">
                  <c:v>29.421480000000003</c:v>
                </c:pt>
                <c:pt idx="8">
                  <c:v>27.446915000000001</c:v>
                </c:pt>
                <c:pt idx="9">
                  <c:v>35.174896000000004</c:v>
                </c:pt>
                <c:pt idx="10">
                  <c:v>16.363165000000002</c:v>
                </c:pt>
                <c:pt idx="11">
                  <c:v>21.304014000000002</c:v>
                </c:pt>
                <c:pt idx="12">
                  <c:v>26.744337000000002</c:v>
                </c:pt>
                <c:pt idx="13">
                  <c:v>22.879351</c:v>
                </c:pt>
                <c:pt idx="14">
                  <c:v>25.721771</c:v>
                </c:pt>
                <c:pt idx="15">
                  <c:v>27.390695000000001</c:v>
                </c:pt>
                <c:pt idx="16">
                  <c:v>19.512307999999997</c:v>
                </c:pt>
                <c:pt idx="17">
                  <c:v>22.686751000000001</c:v>
                </c:pt>
                <c:pt idx="18">
                  <c:v>28.272421000000001</c:v>
                </c:pt>
                <c:pt idx="19">
                  <c:v>26.548647999999996</c:v>
                </c:pt>
                <c:pt idx="20">
                  <c:v>28.639502</c:v>
                </c:pt>
                <c:pt idx="21">
                  <c:v>35.976546999999997</c:v>
                </c:pt>
                <c:pt idx="22">
                  <c:v>20.203893000000001</c:v>
                </c:pt>
                <c:pt idx="23">
                  <c:v>24.869289999999999</c:v>
                </c:pt>
                <c:pt idx="24">
                  <c:v>23.138940999999999</c:v>
                </c:pt>
                <c:pt idx="25">
                  <c:v>38.749558</c:v>
                </c:pt>
                <c:pt idx="26">
                  <c:v>24.996770000000001</c:v>
                </c:pt>
                <c:pt idx="27">
                  <c:v>32.374117999999996</c:v>
                </c:pt>
                <c:pt idx="28">
                  <c:v>20.285504</c:v>
                </c:pt>
                <c:pt idx="29">
                  <c:v>21.368906000000003</c:v>
                </c:pt>
                <c:pt idx="30">
                  <c:v>31.586525999999999</c:v>
                </c:pt>
                <c:pt idx="31">
                  <c:v>24.098927</c:v>
                </c:pt>
                <c:pt idx="32">
                  <c:v>19.737884999999999</c:v>
                </c:pt>
                <c:pt idx="33">
                  <c:v>15.149982</c:v>
                </c:pt>
                <c:pt idx="34">
                  <c:v>18.372958000000001</c:v>
                </c:pt>
                <c:pt idx="35">
                  <c:v>18.227698</c:v>
                </c:pt>
                <c:pt idx="36">
                  <c:v>16.415450999999997</c:v>
                </c:pt>
                <c:pt idx="37">
                  <c:v>17.229102000000001</c:v>
                </c:pt>
                <c:pt idx="38">
                  <c:v>18.302973000000001</c:v>
                </c:pt>
                <c:pt idx="39">
                  <c:v>21.922294000000001</c:v>
                </c:pt>
                <c:pt idx="40">
                  <c:v>15.227696</c:v>
                </c:pt>
                <c:pt idx="41">
                  <c:v>21.347057</c:v>
                </c:pt>
                <c:pt idx="42">
                  <c:v>18.969238000000001</c:v>
                </c:pt>
                <c:pt idx="43">
                  <c:v>26.563904000000001</c:v>
                </c:pt>
                <c:pt idx="44">
                  <c:v>19.992087000000001</c:v>
                </c:pt>
                <c:pt idx="45">
                  <c:v>20.242761999999999</c:v>
                </c:pt>
                <c:pt idx="46">
                  <c:v>20.990793</c:v>
                </c:pt>
                <c:pt idx="47">
                  <c:v>23.352453000000001</c:v>
                </c:pt>
                <c:pt idx="48">
                  <c:v>21.161293000000001</c:v>
                </c:pt>
                <c:pt idx="49">
                  <c:v>28.722838000000003</c:v>
                </c:pt>
                <c:pt idx="50">
                  <c:v>34.007281999999996</c:v>
                </c:pt>
                <c:pt idx="51">
                  <c:v>30.837045</c:v>
                </c:pt>
                <c:pt idx="52">
                  <c:v>18.570571000000001</c:v>
                </c:pt>
                <c:pt idx="53">
                  <c:v>46.951420999999996</c:v>
                </c:pt>
                <c:pt idx="54">
                  <c:v>17.145294999999997</c:v>
                </c:pt>
                <c:pt idx="55">
                  <c:v>25.109145000000002</c:v>
                </c:pt>
                <c:pt idx="56">
                  <c:v>24.234062999999999</c:v>
                </c:pt>
                <c:pt idx="57">
                  <c:v>21.72899</c:v>
                </c:pt>
                <c:pt idx="58">
                  <c:v>32.085053000000002</c:v>
                </c:pt>
                <c:pt idx="59">
                  <c:v>22.000890999999999</c:v>
                </c:pt>
                <c:pt idx="60">
                  <c:v>25.145607999999999</c:v>
                </c:pt>
              </c:numCache>
            </c:numRef>
          </c:val>
          <c:extLst>
            <c:ext xmlns:c16="http://schemas.microsoft.com/office/drawing/2014/chart" uri="{C3380CC4-5D6E-409C-BE32-E72D297353CC}">
              <c16:uniqueId val="{00000000-B860-4E90-9884-46CE0D8D8C7A}"/>
            </c:ext>
          </c:extLst>
        </c:ser>
        <c:dLbls>
          <c:showLegendKey val="0"/>
          <c:showVal val="0"/>
          <c:showCatName val="0"/>
          <c:showSerName val="0"/>
          <c:showPercent val="0"/>
          <c:showBubbleSize val="0"/>
        </c:dLbls>
        <c:gapWidth val="150"/>
        <c:overlap val="100"/>
        <c:axId val="670885720"/>
        <c:axId val="670884280"/>
      </c:barChart>
      <c:catAx>
        <c:axId val="670885720"/>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884280"/>
        <c:crosses val="autoZero"/>
        <c:auto val="1"/>
        <c:lblAlgn val="ctr"/>
        <c:lblOffset val="100"/>
        <c:noMultiLvlLbl val="0"/>
      </c:catAx>
      <c:valAx>
        <c:axId val="670884280"/>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885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245764065794579"/>
          <c:y val="1.6351337098093768E-3"/>
          <c:w val="0.74624453193350826"/>
          <c:h val="0.99836476032601185"/>
        </c:manualLayout>
      </c:layout>
      <c:barChart>
        <c:barDir val="bar"/>
        <c:grouping val="clustered"/>
        <c:varyColors val="0"/>
        <c:ser>
          <c:idx val="0"/>
          <c:order val="0"/>
          <c:spPr>
            <a:solidFill>
              <a:schemeClr val="accent1">
                <a:lumMod val="20000"/>
                <a:lumOff val="80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B6F9-462F-A2F3-9CEEC5B3B737}"/>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B6F9-462F-A2F3-9CEEC5B3B737}"/>
              </c:ext>
            </c:extLst>
          </c:dPt>
          <c:dPt>
            <c:idx val="2"/>
            <c:invertIfNegative val="0"/>
            <c:bubble3D val="0"/>
            <c:spPr>
              <a:solidFill>
                <a:srgbClr val="EC6A14"/>
              </a:solidFill>
              <a:ln>
                <a:noFill/>
              </a:ln>
              <a:effectLst/>
            </c:spPr>
            <c:extLst>
              <c:ext xmlns:c16="http://schemas.microsoft.com/office/drawing/2014/chart" uri="{C3380CC4-5D6E-409C-BE32-E72D297353CC}">
                <c16:uniqueId val="{00000005-B6F9-462F-A2F3-9CEEC5B3B737}"/>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B6F9-462F-A2F3-9CEEC5B3B7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RawData!$AA$18:$AA$21</c:f>
              <c:strCache>
                <c:ptCount val="4"/>
                <c:pt idx="0">
                  <c:v>Promoters </c:v>
                </c:pt>
                <c:pt idx="1">
                  <c:v>FIIs </c:v>
                </c:pt>
                <c:pt idx="2">
                  <c:v>DIIs </c:v>
                </c:pt>
                <c:pt idx="3">
                  <c:v>Public &amp; Govt.</c:v>
                </c:pt>
              </c:strCache>
            </c:strRef>
          </c:cat>
          <c:val>
            <c:numRef>
              <c:f>RawData!$AM$18:$AM$21</c:f>
              <c:numCache>
                <c:formatCode>0.00%</c:formatCode>
                <c:ptCount val="4"/>
                <c:pt idx="0">
                  <c:v>0.52629999999999999</c:v>
                </c:pt>
                <c:pt idx="1">
                  <c:v>0.1211</c:v>
                </c:pt>
                <c:pt idx="2">
                  <c:v>0.21740000000000001</c:v>
                </c:pt>
                <c:pt idx="3">
                  <c:v>0.13519999999999999</c:v>
                </c:pt>
              </c:numCache>
            </c:numRef>
          </c:val>
          <c:extLst>
            <c:ext xmlns:c16="http://schemas.microsoft.com/office/drawing/2014/chart" uri="{C3380CC4-5D6E-409C-BE32-E72D297353CC}">
              <c16:uniqueId val="{00000008-B6F9-462F-A2F3-9CEEC5B3B737}"/>
            </c:ext>
          </c:extLst>
        </c:ser>
        <c:dLbls>
          <c:showLegendKey val="0"/>
          <c:showVal val="0"/>
          <c:showCatName val="0"/>
          <c:showSerName val="0"/>
          <c:showPercent val="0"/>
          <c:showBubbleSize val="0"/>
        </c:dLbls>
        <c:gapWidth val="98"/>
        <c:overlap val="64"/>
        <c:axId val="135957640"/>
        <c:axId val="135958720"/>
      </c:barChart>
      <c:catAx>
        <c:axId val="135957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8720"/>
        <c:crosses val="autoZero"/>
        <c:auto val="1"/>
        <c:lblAlgn val="ctr"/>
        <c:lblOffset val="100"/>
        <c:noMultiLvlLbl val="0"/>
      </c:catAx>
      <c:valAx>
        <c:axId val="135958720"/>
        <c:scaling>
          <c:orientation val="minMax"/>
        </c:scaling>
        <c:delete val="1"/>
        <c:axPos val="b"/>
        <c:numFmt formatCode="0.00%" sourceLinked="1"/>
        <c:majorTickMark val="none"/>
        <c:minorTickMark val="none"/>
        <c:tickLblPos val="nextTo"/>
        <c:crossAx val="1359576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EC6A14"/>
                </a:solidFill>
                <a:latin typeface="+mn-lt"/>
                <a:ea typeface="+mn-ea"/>
                <a:cs typeface="+mn-cs"/>
              </a:defRPr>
            </a:pPr>
            <a:r>
              <a:rPr lang="en-IN">
                <a:solidFill>
                  <a:srgbClr val="EC6A14"/>
                </a:solidFill>
              </a:rPr>
              <a:t>Football Field Analysis - Valuation Summary (Rs)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C6A14"/>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Football_Field!$B$13:$B$17</c:f>
              <c:strCache>
                <c:ptCount val="5"/>
                <c:pt idx="0">
                  <c:v>Comps</c:v>
                </c:pt>
                <c:pt idx="1">
                  <c:v>DCF Bear</c:v>
                </c:pt>
                <c:pt idx="2">
                  <c:v>DCF Base</c:v>
                </c:pt>
                <c:pt idx="3">
                  <c:v>DCF Bull</c:v>
                </c:pt>
                <c:pt idx="4">
                  <c:v>52W H/L</c:v>
                </c:pt>
              </c:strCache>
            </c:strRef>
          </c:cat>
          <c:val>
            <c:numRef>
              <c:f>Football_Field!$D$13:$D$17</c:f>
              <c:numCache>
                <c:formatCode>"₹ "#,##0.0;"₹ ("#,##0.0\);\-</c:formatCode>
                <c:ptCount val="5"/>
                <c:pt idx="0">
                  <c:v>1481.650275193788</c:v>
                </c:pt>
                <c:pt idx="1">
                  <c:v>309.0958263714769</c:v>
                </c:pt>
                <c:pt idx="2">
                  <c:v>370.08957903589766</c:v>
                </c:pt>
                <c:pt idx="3">
                  <c:v>449.54520392435279</c:v>
                </c:pt>
                <c:pt idx="4">
                  <c:v>2115</c:v>
                </c:pt>
              </c:numCache>
            </c:numRef>
          </c:val>
          <c:smooth val="0"/>
          <c:extLst>
            <c:ext xmlns:c16="http://schemas.microsoft.com/office/drawing/2014/chart" uri="{C3380CC4-5D6E-409C-BE32-E72D297353CC}">
              <c16:uniqueId val="{00000000-7BC6-4305-92AB-E5916ED751FF}"/>
            </c:ext>
          </c:extLst>
        </c:ser>
        <c:ser>
          <c:idx val="1"/>
          <c:order val="1"/>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Football_Field!$B$13:$B$17</c:f>
              <c:strCache>
                <c:ptCount val="5"/>
                <c:pt idx="0">
                  <c:v>Comps</c:v>
                </c:pt>
                <c:pt idx="1">
                  <c:v>DCF Bear</c:v>
                </c:pt>
                <c:pt idx="2">
                  <c:v>DCF Base</c:v>
                </c:pt>
                <c:pt idx="3">
                  <c:v>DCF Bull</c:v>
                </c:pt>
                <c:pt idx="4">
                  <c:v>52W H/L</c:v>
                </c:pt>
              </c:strCache>
            </c:strRef>
          </c:cat>
          <c:val>
            <c:numRef>
              <c:f>Football_Field!$E$13:$E$17</c:f>
              <c:numCache>
                <c:formatCode>"₹ "#,##0.0;"₹ ("#,##0.0\);\-</c:formatCode>
                <c:ptCount val="5"/>
                <c:pt idx="0">
                  <c:v>1481.650275193788</c:v>
                </c:pt>
                <c:pt idx="1">
                  <c:v>309.0958263714769</c:v>
                </c:pt>
                <c:pt idx="2">
                  <c:v>370.08957903589766</c:v>
                </c:pt>
                <c:pt idx="3">
                  <c:v>449.54520392435279</c:v>
                </c:pt>
                <c:pt idx="4" formatCode="General">
                  <c:v>2115</c:v>
                </c:pt>
              </c:numCache>
            </c:numRef>
          </c:val>
          <c:smooth val="0"/>
          <c:extLst>
            <c:ext xmlns:c16="http://schemas.microsoft.com/office/drawing/2014/chart" uri="{C3380CC4-5D6E-409C-BE32-E72D297353CC}">
              <c16:uniqueId val="{00000001-7BC6-4305-92AB-E5916ED751FF}"/>
            </c:ext>
          </c:extLst>
        </c:ser>
        <c:ser>
          <c:idx val="2"/>
          <c:order val="2"/>
          <c:spPr>
            <a:ln w="19050" cap="rnd">
              <a:noFill/>
              <a:round/>
            </a:ln>
            <a:effectLst/>
          </c:spPr>
          <c:marker>
            <c:symbol val="none"/>
          </c:marker>
          <c:cat>
            <c:strRef>
              <c:f>Football_Field!$B$13:$B$17</c:f>
              <c:strCache>
                <c:ptCount val="5"/>
                <c:pt idx="0">
                  <c:v>Comps</c:v>
                </c:pt>
                <c:pt idx="1">
                  <c:v>DCF Bear</c:v>
                </c:pt>
                <c:pt idx="2">
                  <c:v>DCF Base</c:v>
                </c:pt>
                <c:pt idx="3">
                  <c:v>DCF Bull</c:v>
                </c:pt>
                <c:pt idx="4">
                  <c:v>52W H/L</c:v>
                </c:pt>
              </c:strCache>
            </c:strRef>
          </c:cat>
          <c:val>
            <c:numRef>
              <c:f>Football_Field!$F$13:$F$17</c:f>
              <c:numCache>
                <c:formatCode>"₹ "#,##0.0;"₹ ("#,##0.0\);\-</c:formatCode>
                <c:ptCount val="5"/>
                <c:pt idx="0">
                  <c:v>1602.2097864033528</c:v>
                </c:pt>
                <c:pt idx="1">
                  <c:v>400.29543748695079</c:v>
                </c:pt>
                <c:pt idx="2">
                  <c:v>560.14261107865048</c:v>
                </c:pt>
                <c:pt idx="3">
                  <c:v>887.17740208244436</c:v>
                </c:pt>
                <c:pt idx="4" formatCode="#,##0.00">
                  <c:v>2985.7</c:v>
                </c:pt>
              </c:numCache>
            </c:numRef>
          </c:val>
          <c:smooth val="0"/>
          <c:extLst>
            <c:ext xmlns:c16="http://schemas.microsoft.com/office/drawing/2014/chart" uri="{C3380CC4-5D6E-409C-BE32-E72D297353CC}">
              <c16:uniqueId val="{00000002-7BC6-4305-92AB-E5916ED751FF}"/>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Football_Field!$B$13:$B$17</c:f>
              <c:strCache>
                <c:ptCount val="5"/>
                <c:pt idx="0">
                  <c:v>Comps</c:v>
                </c:pt>
                <c:pt idx="1">
                  <c:v>DCF Bear</c:v>
                </c:pt>
                <c:pt idx="2">
                  <c:v>DCF Base</c:v>
                </c:pt>
                <c:pt idx="3">
                  <c:v>DCF Bull</c:v>
                </c:pt>
                <c:pt idx="4">
                  <c:v>52W H/L</c:v>
                </c:pt>
              </c:strCache>
            </c:strRef>
          </c:cat>
          <c:val>
            <c:numRef>
              <c:f>Football_Field!$G$13:$G$17</c:f>
              <c:numCache>
                <c:formatCode>"₹ "#,##0.0;"₹ ("#,##0.0\);\-</c:formatCode>
                <c:ptCount val="5"/>
                <c:pt idx="0">
                  <c:v>1602.2097864033528</c:v>
                </c:pt>
                <c:pt idx="1">
                  <c:v>400.29543748695079</c:v>
                </c:pt>
                <c:pt idx="2">
                  <c:v>560.14261107865048</c:v>
                </c:pt>
                <c:pt idx="3">
                  <c:v>887.17740208244436</c:v>
                </c:pt>
                <c:pt idx="4" formatCode="#,##0.00">
                  <c:v>2985.7</c:v>
                </c:pt>
              </c:numCache>
            </c:numRef>
          </c:val>
          <c:smooth val="0"/>
          <c:extLst>
            <c:ext xmlns:c16="http://schemas.microsoft.com/office/drawing/2014/chart" uri="{C3380CC4-5D6E-409C-BE32-E72D297353CC}">
              <c16:uniqueId val="{00000003-7BC6-4305-92AB-E5916ED751FF}"/>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2"/>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679837952"/>
        <c:axId val="679835432"/>
      </c:stockChart>
      <c:catAx>
        <c:axId val="679837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35432"/>
        <c:crosses val="autoZero"/>
        <c:auto val="1"/>
        <c:lblAlgn val="ctr"/>
        <c:lblOffset val="100"/>
        <c:noMultiLvlLbl val="0"/>
      </c:catAx>
      <c:valAx>
        <c:axId val="679835432"/>
        <c:scaling>
          <c:orientation val="minMax"/>
          <c:max val="3200"/>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37952"/>
        <c:crosses val="autoZero"/>
        <c:crossBetween val="between"/>
        <c:majorUnit val="500"/>
        <c:min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A84C-4344-9F36-A6ECCEA65A30}"/>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A84C-4344-9F36-A6ECCEA65A30}"/>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A84C-4344-9F36-A6ECCEA65A3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mmm/yyyy</c:formatCode>
                <c:ptCount val="4"/>
                <c:pt idx="0">
                  <c:v>45016</c:v>
                </c:pt>
                <c:pt idx="1">
                  <c:v>45382</c:v>
                </c:pt>
                <c:pt idx="2">
                  <c:v>45747</c:v>
                </c:pt>
                <c:pt idx="3">
                  <c:v>46112</c:v>
                </c:pt>
              </c:numCache>
            </c:numRef>
          </c:cat>
          <c:val>
            <c:numRef>
              <c:f>'DUPONT Analysis'!$F$61:$I$61</c:f>
              <c:numCache>
                <c:formatCode>0.0</c:formatCode>
                <c:ptCount val="4"/>
                <c:pt idx="0">
                  <c:v>34488.589999999997</c:v>
                </c:pt>
                <c:pt idx="1">
                  <c:v>35494.730000000003</c:v>
                </c:pt>
                <c:pt idx="2">
                  <c:v>33905.620000000003</c:v>
                </c:pt>
                <c:pt idx="3">
                  <c:v>35583.54</c:v>
                </c:pt>
              </c:numCache>
            </c:numRef>
          </c:val>
          <c:extLst>
            <c:ext xmlns:c16="http://schemas.microsoft.com/office/drawing/2014/chart" uri="{C3380CC4-5D6E-409C-BE32-E72D297353CC}">
              <c16:uniqueId val="{00000000-A84C-4344-9F36-A6ECCEA65A30}"/>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9FD5-4E56-A4EF-78622DD5C31F}"/>
              </c:ext>
            </c:extLst>
          </c:dPt>
          <c:dPt>
            <c:idx val="1"/>
            <c:invertIfNegative val="0"/>
            <c:bubble3D val="0"/>
            <c:spPr>
              <a:solidFill>
                <a:srgbClr val="EC6A14"/>
              </a:solidFill>
              <a:ln>
                <a:noFill/>
              </a:ln>
              <a:effectLst/>
            </c:spPr>
            <c:extLst>
              <c:ext xmlns:c16="http://schemas.microsoft.com/office/drawing/2014/chart" uri="{C3380CC4-5D6E-409C-BE32-E72D297353CC}">
                <c16:uniqueId val="{00000003-9FD5-4E56-A4EF-78622DD5C31F}"/>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9FD5-4E56-A4EF-78622DD5C31F}"/>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13-9FD5-4E56-A4EF-78622DD5C31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mmm/yyyy</c:formatCode>
                <c:ptCount val="4"/>
                <c:pt idx="0">
                  <c:v>45016</c:v>
                </c:pt>
                <c:pt idx="1">
                  <c:v>45382</c:v>
                </c:pt>
                <c:pt idx="2">
                  <c:v>45747</c:v>
                </c:pt>
                <c:pt idx="3">
                  <c:v>46112</c:v>
                </c:pt>
              </c:numCache>
            </c:numRef>
          </c:cat>
          <c:val>
            <c:numRef>
              <c:f>'DUPONT Analysis'!$F$60:$I$60</c:f>
              <c:numCache>
                <c:formatCode>0.0</c:formatCode>
                <c:ptCount val="4"/>
                <c:pt idx="0">
                  <c:v>4195.3299999999954</c:v>
                </c:pt>
                <c:pt idx="1">
                  <c:v>5557.6900000000023</c:v>
                </c:pt>
                <c:pt idx="2">
                  <c:v>3709.7100000000019</c:v>
                </c:pt>
                <c:pt idx="3">
                  <c:v>4394.6900000000041</c:v>
                </c:pt>
              </c:numCache>
            </c:numRef>
          </c:val>
          <c:extLst>
            <c:ext xmlns:c16="http://schemas.microsoft.com/office/drawing/2014/chart" uri="{C3380CC4-5D6E-409C-BE32-E72D297353CC}">
              <c16:uniqueId val="{00000006-9FD5-4E56-A4EF-78622DD5C31F}"/>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D5B1-440D-854E-BC4028BB5107}"/>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D5B1-440D-854E-BC4028BB5107}"/>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D5B1-440D-854E-BC4028BB510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mmm/yyyy</c:formatCode>
                <c:ptCount val="4"/>
                <c:pt idx="0">
                  <c:v>45016</c:v>
                </c:pt>
                <c:pt idx="1">
                  <c:v>45382</c:v>
                </c:pt>
                <c:pt idx="2">
                  <c:v>45747</c:v>
                </c:pt>
                <c:pt idx="3">
                  <c:v>46112</c:v>
                </c:pt>
              </c:numCache>
            </c:numRef>
          </c:cat>
          <c:val>
            <c:numRef>
              <c:f>'DUPONT Analysis'!$F$65:$I$65</c:f>
              <c:numCache>
                <c:formatCode>0.0</c:formatCode>
                <c:ptCount val="4"/>
                <c:pt idx="0">
                  <c:v>24368.880000000001</c:v>
                </c:pt>
                <c:pt idx="1">
                  <c:v>27840.050000000003</c:v>
                </c:pt>
                <c:pt idx="2">
                  <c:v>30128.010000000002</c:v>
                </c:pt>
                <c:pt idx="3">
                  <c:v>32437</c:v>
                </c:pt>
              </c:numCache>
            </c:numRef>
          </c:val>
          <c:extLst>
            <c:ext xmlns:c16="http://schemas.microsoft.com/office/drawing/2014/chart" uri="{C3380CC4-5D6E-409C-BE32-E72D297353CC}">
              <c16:uniqueId val="{00000006-D5B1-440D-854E-BC4028BB5107}"/>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145D-4B2F-816E-85019864FF8E}"/>
              </c:ext>
            </c:extLst>
          </c:dPt>
          <c:dPt>
            <c:idx val="1"/>
            <c:invertIfNegative val="0"/>
            <c:bubble3D val="0"/>
            <c:spPr>
              <a:solidFill>
                <a:srgbClr val="EC6A14"/>
              </a:solidFill>
              <a:ln>
                <a:noFill/>
              </a:ln>
              <a:effectLst/>
            </c:spPr>
            <c:extLst>
              <c:ext xmlns:c16="http://schemas.microsoft.com/office/drawing/2014/chart" uri="{C3380CC4-5D6E-409C-BE32-E72D297353CC}">
                <c16:uniqueId val="{00000003-145D-4B2F-816E-85019864FF8E}"/>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145D-4B2F-816E-85019864FF8E}"/>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145D-4B2F-816E-85019864FF8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mmm/yyyy</c:formatCode>
                <c:ptCount val="4"/>
                <c:pt idx="0">
                  <c:v>45016</c:v>
                </c:pt>
                <c:pt idx="1">
                  <c:v>45382</c:v>
                </c:pt>
                <c:pt idx="2">
                  <c:v>45747</c:v>
                </c:pt>
                <c:pt idx="3">
                  <c:v>46112</c:v>
                </c:pt>
              </c:numCache>
            </c:numRef>
          </c:cat>
          <c:val>
            <c:numRef>
              <c:f>'DUPONT Analysis'!$F$62:$I$62</c:f>
              <c:numCache>
                <c:formatCode>0.00%</c:formatCode>
                <c:ptCount val="4"/>
                <c:pt idx="0">
                  <c:v>0.12164399878336563</c:v>
                </c:pt>
                <c:pt idx="1">
                  <c:v>0.15657789198565539</c:v>
                </c:pt>
                <c:pt idx="2">
                  <c:v>0.10941283480437761</c:v>
                </c:pt>
                <c:pt idx="3">
                  <c:v>0.12350345131484962</c:v>
                </c:pt>
              </c:numCache>
            </c:numRef>
          </c:val>
          <c:extLst>
            <c:ext xmlns:c16="http://schemas.microsoft.com/office/drawing/2014/chart" uri="{C3380CC4-5D6E-409C-BE32-E72D297353CC}">
              <c16:uniqueId val="{00000006-145D-4B2F-816E-85019864FF8E}"/>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A925-4392-AEA1-CA155282D65F}"/>
              </c:ext>
            </c:extLst>
          </c:dPt>
          <c:dPt>
            <c:idx val="1"/>
            <c:invertIfNegative val="0"/>
            <c:bubble3D val="0"/>
            <c:spPr>
              <a:solidFill>
                <a:srgbClr val="EC6A14"/>
              </a:solidFill>
              <a:ln>
                <a:noFill/>
              </a:ln>
              <a:effectLst/>
            </c:spPr>
            <c:extLst>
              <c:ext xmlns:c16="http://schemas.microsoft.com/office/drawing/2014/chart" uri="{C3380CC4-5D6E-409C-BE32-E72D297353CC}">
                <c16:uniqueId val="{00000003-A925-4392-AEA1-CA155282D65F}"/>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A925-4392-AEA1-CA155282D65F}"/>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A925-4392-AEA1-CA155282D65F}"/>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mmm/yyyy</c:formatCode>
                <c:ptCount val="4"/>
                <c:pt idx="0">
                  <c:v>45016</c:v>
                </c:pt>
                <c:pt idx="1">
                  <c:v>45382</c:v>
                </c:pt>
                <c:pt idx="2">
                  <c:v>45747</c:v>
                </c:pt>
                <c:pt idx="3">
                  <c:v>46112</c:v>
                </c:pt>
              </c:numCache>
            </c:numRef>
          </c:cat>
          <c:val>
            <c:numRef>
              <c:f>'DUPONT Analysis'!$F$56:$I$56</c:f>
              <c:numCache>
                <c:formatCode>0.00%</c:formatCode>
                <c:ptCount val="4"/>
                <c:pt idx="0">
                  <c:v>0.28152996649083861</c:v>
                </c:pt>
                <c:pt idx="1">
                  <c:v>0.32013854627219129</c:v>
                </c:pt>
                <c:pt idx="2">
                  <c:v>0.19459186411285542</c:v>
                </c:pt>
                <c:pt idx="3">
                  <c:v>0.21557709570924741</c:v>
                </c:pt>
              </c:numCache>
            </c:numRef>
          </c:val>
          <c:extLst>
            <c:ext xmlns:c16="http://schemas.microsoft.com/office/drawing/2014/chart" uri="{C3380CC4-5D6E-409C-BE32-E72D297353CC}">
              <c16:uniqueId val="{00000006-A925-4392-AEA1-CA155282D65F}"/>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CD6C-4189-B9C9-991B592484B5}"/>
              </c:ext>
            </c:extLst>
          </c:dPt>
          <c:dPt>
            <c:idx val="1"/>
            <c:invertIfNegative val="0"/>
            <c:bubble3D val="0"/>
            <c:spPr>
              <a:solidFill>
                <a:srgbClr val="EC6A14"/>
              </a:solidFill>
              <a:ln>
                <a:noFill/>
              </a:ln>
              <a:effectLst/>
            </c:spPr>
            <c:extLst>
              <c:ext xmlns:c16="http://schemas.microsoft.com/office/drawing/2014/chart" uri="{C3380CC4-5D6E-409C-BE32-E72D297353CC}">
                <c16:uniqueId val="{00000003-CD6C-4189-B9C9-991B592484B5}"/>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CD6C-4189-B9C9-991B592484B5}"/>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CD6C-4189-B9C9-991B592484B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mmm/yyyy</c:formatCode>
                <c:ptCount val="4"/>
                <c:pt idx="0">
                  <c:v>45016</c:v>
                </c:pt>
                <c:pt idx="1">
                  <c:v>45382</c:v>
                </c:pt>
                <c:pt idx="2">
                  <c:v>45747</c:v>
                </c:pt>
                <c:pt idx="3">
                  <c:v>46112</c:v>
                </c:pt>
              </c:numCache>
            </c:numRef>
          </c:cat>
          <c:val>
            <c:numRef>
              <c:f>'DUPONT Analysis'!$F$78:$I$78</c:f>
              <c:numCache>
                <c:formatCode>0.00%</c:formatCode>
                <c:ptCount val="4"/>
                <c:pt idx="0">
                  <c:v>0.17215932779840498</c:v>
                </c:pt>
                <c:pt idx="1">
                  <c:v>0.19962931101057654</c:v>
                </c:pt>
                <c:pt idx="2">
                  <c:v>0.12313159747358028</c:v>
                </c:pt>
                <c:pt idx="3">
                  <c:v>0.13548386102290608</c:v>
                </c:pt>
              </c:numCache>
            </c:numRef>
          </c:val>
          <c:extLst>
            <c:ext xmlns:c16="http://schemas.microsoft.com/office/drawing/2014/chart" uri="{C3380CC4-5D6E-409C-BE32-E72D297353CC}">
              <c16:uniqueId val="{00000006-CD6C-4189-B9C9-991B592484B5}"/>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FE24-4E12-AB10-06F2948704B4}"/>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FE24-4E12-AB10-06F2948704B4}"/>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FE24-4E12-AB10-06F2948704B4}"/>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SCORE'!$F$53:$I$53</c:f>
              <c:numCache>
                <c:formatCode>mmm/yyyy</c:formatCode>
                <c:ptCount val="4"/>
                <c:pt idx="0">
                  <c:v>45016</c:v>
                </c:pt>
                <c:pt idx="1">
                  <c:v>45382</c:v>
                </c:pt>
                <c:pt idx="2">
                  <c:v>45747</c:v>
                </c:pt>
                <c:pt idx="3">
                  <c:v>46112</c:v>
                </c:pt>
              </c:numCache>
            </c:numRef>
          </c:cat>
          <c:val>
            <c:numRef>
              <c:f>'ALTMAN''S Z SCORE'!$F$56:$I$56</c:f>
              <c:numCache>
                <c:formatCode>0.00%</c:formatCode>
                <c:ptCount val="4"/>
                <c:pt idx="0">
                  <c:v>0.26661243717350297</c:v>
                </c:pt>
                <c:pt idx="1">
                  <c:v>0.22640788180371277</c:v>
                </c:pt>
                <c:pt idx="2">
                  <c:v>0.21382660330585321</c:v>
                </c:pt>
                <c:pt idx="3">
                  <c:v>0.19554097410827448</c:v>
                </c:pt>
              </c:numCache>
            </c:numRef>
          </c:val>
          <c:extLst>
            <c:ext xmlns:c16="http://schemas.microsoft.com/office/drawing/2014/chart" uri="{C3380CC4-5D6E-409C-BE32-E72D297353CC}">
              <c16:uniqueId val="{00000006-FE24-4E12-AB10-06F2948704B4}"/>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072C-41D2-A8AB-1ADECA1DD0B4}"/>
              </c:ext>
            </c:extLst>
          </c:dPt>
          <c:dPt>
            <c:idx val="1"/>
            <c:invertIfNegative val="0"/>
            <c:bubble3D val="0"/>
            <c:spPr>
              <a:solidFill>
                <a:srgbClr val="EC6A14"/>
              </a:solidFill>
              <a:ln>
                <a:noFill/>
              </a:ln>
              <a:effectLst/>
            </c:spPr>
            <c:extLst>
              <c:ext xmlns:c16="http://schemas.microsoft.com/office/drawing/2014/chart" uri="{C3380CC4-5D6E-409C-BE32-E72D297353CC}">
                <c16:uniqueId val="{00000003-072C-41D2-A8AB-1ADECA1DD0B4}"/>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072C-41D2-A8AB-1ADECA1DD0B4}"/>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072C-41D2-A8AB-1ADECA1DD0B4}"/>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SCORE'!$F$59:$I$59</c:f>
              <c:numCache>
                <c:formatCode>mmm/yyyy</c:formatCode>
                <c:ptCount val="4"/>
                <c:pt idx="0">
                  <c:v>45016</c:v>
                </c:pt>
                <c:pt idx="1">
                  <c:v>45382</c:v>
                </c:pt>
                <c:pt idx="2">
                  <c:v>45747</c:v>
                </c:pt>
                <c:pt idx="3">
                  <c:v>46112</c:v>
                </c:pt>
              </c:numCache>
            </c:numRef>
          </c:cat>
          <c:val>
            <c:numRef>
              <c:f>'ALTMAN''S Z SCORE'!$F$62:$I$62</c:f>
              <c:numCache>
                <c:formatCode>0.00%</c:formatCode>
                <c:ptCount val="4"/>
                <c:pt idx="0">
                  <c:v>6.730120604375657E-2</c:v>
                </c:pt>
                <c:pt idx="1">
                  <c:v>7.9046459338672631E-2</c:v>
                </c:pt>
                <c:pt idx="2">
                  <c:v>4.3843816143830198E-2</c:v>
                </c:pt>
                <c:pt idx="3">
                  <c:v>5.0896686583378717E-2</c:v>
                </c:pt>
              </c:numCache>
            </c:numRef>
          </c:val>
          <c:extLst>
            <c:ext xmlns:c16="http://schemas.microsoft.com/office/drawing/2014/chart" uri="{C3380CC4-5D6E-409C-BE32-E72D297353CC}">
              <c16:uniqueId val="{00000008-072C-41D2-A8AB-1ADECA1DD0B4}"/>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E3D8-4082-A231-ED5BF68A61BC}"/>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E3D8-4082-A231-ED5BF68A61BC}"/>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E3D8-4082-A231-ED5BF68A61B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SCORE'!$F$65:$I$65</c:f>
              <c:numCache>
                <c:formatCode>mmm/yyyy</c:formatCode>
                <c:ptCount val="4"/>
                <c:pt idx="0">
                  <c:v>45016</c:v>
                </c:pt>
                <c:pt idx="1">
                  <c:v>45382</c:v>
                </c:pt>
                <c:pt idx="2">
                  <c:v>45747</c:v>
                </c:pt>
                <c:pt idx="3">
                  <c:v>46112</c:v>
                </c:pt>
              </c:numCache>
            </c:numRef>
          </c:cat>
          <c:val>
            <c:numRef>
              <c:f>'ALTMAN''S Z SCORE'!$F$68:$I$68</c:f>
              <c:numCache>
                <c:formatCode>0.00%</c:formatCode>
                <c:ptCount val="4"/>
                <c:pt idx="0">
                  <c:v>0.22627740907153113</c:v>
                </c:pt>
                <c:pt idx="1">
                  <c:v>0.25260018387486349</c:v>
                </c:pt>
                <c:pt idx="2">
                  <c:v>0.17559038387099438</c:v>
                </c:pt>
                <c:pt idx="3">
                  <c:v>0.17957921419518388</c:v>
                </c:pt>
              </c:numCache>
            </c:numRef>
          </c:val>
          <c:extLst>
            <c:ext xmlns:c16="http://schemas.microsoft.com/office/drawing/2014/chart" uri="{C3380CC4-5D6E-409C-BE32-E72D297353CC}">
              <c16:uniqueId val="{00000006-E3D8-4082-A231-ED5BF68A61BC}"/>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4CEB-4A60-98AE-5B44E04F8A6E}"/>
              </c:ext>
            </c:extLst>
          </c:dPt>
          <c:dPt>
            <c:idx val="1"/>
            <c:invertIfNegative val="0"/>
            <c:bubble3D val="0"/>
            <c:spPr>
              <a:solidFill>
                <a:srgbClr val="EC6A14"/>
              </a:solidFill>
              <a:ln>
                <a:noFill/>
              </a:ln>
              <a:effectLst/>
            </c:spPr>
            <c:extLst>
              <c:ext xmlns:c16="http://schemas.microsoft.com/office/drawing/2014/chart" uri="{C3380CC4-5D6E-409C-BE32-E72D297353CC}">
                <c16:uniqueId val="{00000003-4CEB-4A60-98AE-5B44E04F8A6E}"/>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4CEB-4A60-98AE-5B44E04F8A6E}"/>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4CEB-4A60-98AE-5B44E04F8A6E}"/>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SCORE'!$F$71:$I$71</c:f>
              <c:numCache>
                <c:formatCode>mmm/yyyy</c:formatCode>
                <c:ptCount val="4"/>
                <c:pt idx="0">
                  <c:v>45016</c:v>
                </c:pt>
                <c:pt idx="1">
                  <c:v>45382</c:v>
                </c:pt>
                <c:pt idx="2">
                  <c:v>45747</c:v>
                </c:pt>
                <c:pt idx="3">
                  <c:v>46112</c:v>
                </c:pt>
              </c:numCache>
            </c:numRef>
          </c:cat>
          <c:val>
            <c:numRef>
              <c:f>'ALTMAN''S Z SCORE'!$F$74:$I$74</c:f>
              <c:numCache>
                <c:formatCode>0.00%</c:formatCode>
                <c:ptCount val="4"/>
                <c:pt idx="0">
                  <c:v>137.06650453788123</c:v>
                </c:pt>
                <c:pt idx="1">
                  <c:v>110.35502226820456</c:v>
                </c:pt>
                <c:pt idx="2">
                  <c:v>98.029135175021509</c:v>
                </c:pt>
                <c:pt idx="3">
                  <c:v>52.860698459886024</c:v>
                </c:pt>
              </c:numCache>
            </c:numRef>
          </c:val>
          <c:extLst>
            <c:ext xmlns:c16="http://schemas.microsoft.com/office/drawing/2014/chart" uri="{C3380CC4-5D6E-409C-BE32-E72D297353CC}">
              <c16:uniqueId val="{00000008-4CEB-4A60-98AE-5B44E04F8A6E}"/>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AA0F-4123-B719-44D936561BD2}"/>
              </c:ext>
            </c:extLst>
          </c:dPt>
          <c:dPt>
            <c:idx val="1"/>
            <c:invertIfNegative val="0"/>
            <c:bubble3D val="0"/>
            <c:spPr>
              <a:solidFill>
                <a:srgbClr val="EC6A14"/>
              </a:solidFill>
              <a:ln>
                <a:noFill/>
              </a:ln>
              <a:effectLst/>
            </c:spPr>
            <c:extLst>
              <c:ext xmlns:c16="http://schemas.microsoft.com/office/drawing/2014/chart" uri="{C3380CC4-5D6E-409C-BE32-E72D297353CC}">
                <c16:uniqueId val="{00000003-AA0F-4123-B719-44D936561BD2}"/>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AA0F-4123-B719-44D936561BD2}"/>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AA0F-4123-B719-44D936561BD2}"/>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SCORE'!$F$77:$I$77</c:f>
              <c:numCache>
                <c:formatCode>mmm/yyyy</c:formatCode>
                <c:ptCount val="4"/>
                <c:pt idx="0">
                  <c:v>45016</c:v>
                </c:pt>
                <c:pt idx="1">
                  <c:v>45382</c:v>
                </c:pt>
                <c:pt idx="2">
                  <c:v>45747</c:v>
                </c:pt>
                <c:pt idx="3">
                  <c:v>46112</c:v>
                </c:pt>
              </c:numCache>
            </c:numRef>
          </c:cat>
          <c:val>
            <c:numRef>
              <c:f>'ALTMAN''S Z SCORE'!$F$80:$I$80</c:f>
              <c:numCache>
                <c:formatCode>0.00%</c:formatCode>
                <c:ptCount val="4"/>
                <c:pt idx="0">
                  <c:v>1.3378388809949675</c:v>
                </c:pt>
                <c:pt idx="1">
                  <c:v>1.1870841453246856</c:v>
                </c:pt>
                <c:pt idx="2">
                  <c:v>1.1169606575468825</c:v>
                </c:pt>
                <c:pt idx="3">
                  <c:v>1.0308467137425312</c:v>
                </c:pt>
              </c:numCache>
            </c:numRef>
          </c:val>
          <c:extLst>
            <c:ext xmlns:c16="http://schemas.microsoft.com/office/drawing/2014/chart" uri="{C3380CC4-5D6E-409C-BE32-E72D297353CC}">
              <c16:uniqueId val="{00000008-AA0F-4123-B719-44D936561BD2}"/>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EC6A14"/>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DDCD-43C9-B6A6-5B37AC729B63}"/>
              </c:ext>
            </c:extLst>
          </c:dPt>
          <c:dPt>
            <c:idx val="1"/>
            <c:invertIfNegative val="0"/>
            <c:bubble3D val="0"/>
            <c:spPr>
              <a:solidFill>
                <a:srgbClr val="EC6A14"/>
              </a:solidFill>
              <a:ln>
                <a:noFill/>
              </a:ln>
              <a:effectLst/>
            </c:spPr>
            <c:extLst>
              <c:ext xmlns:c16="http://schemas.microsoft.com/office/drawing/2014/chart" uri="{C3380CC4-5D6E-409C-BE32-E72D297353CC}">
                <c16:uniqueId val="{00000003-DDCD-43C9-B6A6-5B37AC729B63}"/>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DDCD-43C9-B6A6-5B37AC729B63}"/>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DDCD-43C9-B6A6-5B37AC729B63}"/>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SCORE'!$F$83:$I$83</c:f>
              <c:numCache>
                <c:formatCode>mmm/yyyy</c:formatCode>
                <c:ptCount val="4"/>
                <c:pt idx="0">
                  <c:v>45016</c:v>
                </c:pt>
                <c:pt idx="1">
                  <c:v>45382</c:v>
                </c:pt>
                <c:pt idx="2">
                  <c:v>45747</c:v>
                </c:pt>
                <c:pt idx="3">
                  <c:v>46112</c:v>
                </c:pt>
              </c:numCache>
            </c:numRef>
          </c:cat>
          <c:val>
            <c:numRef>
              <c:f>'ALTMAN''S Z SCORE'!$F$84:$I$84</c:f>
              <c:numCache>
                <c:formatCode>0.0</c:formatCode>
                <c:ptCount val="4"/>
                <c:pt idx="0">
                  <c:v>84.738613666729208</c:v>
                </c:pt>
                <c:pt idx="1">
                  <c:v>68.616032614273067</c:v>
                </c:pt>
                <c:pt idx="2">
                  <c:v>60.831863295902451</c:v>
                </c:pt>
                <c:pt idx="3">
                  <c:v>33.645781726664914</c:v>
                </c:pt>
              </c:numCache>
            </c:numRef>
          </c:val>
          <c:extLst>
            <c:ext xmlns:c16="http://schemas.microsoft.com/office/drawing/2014/chart" uri="{C3380CC4-5D6E-409C-BE32-E72D297353CC}">
              <c16:uniqueId val="{00000008-DDCD-43C9-B6A6-5B37AC729B63}"/>
            </c:ext>
          </c:extLst>
        </c:ser>
        <c:dLbls>
          <c:showLegendKey val="0"/>
          <c:showVal val="0"/>
          <c:showCatName val="0"/>
          <c:showSerName val="0"/>
          <c:showPercent val="0"/>
          <c:showBubbleSize val="0"/>
        </c:dLbls>
        <c:gapWidth val="219"/>
        <c:overlap val="-27"/>
        <c:axId val="641340024"/>
        <c:axId val="641334264"/>
      </c:barChart>
      <c:dateAx>
        <c:axId val="641340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1334264"/>
        <c:crosses val="autoZero"/>
        <c:auto val="1"/>
        <c:lblOffset val="100"/>
        <c:baseTimeUnit val="years"/>
      </c:dateAx>
      <c:valAx>
        <c:axId val="641334264"/>
        <c:scaling>
          <c:orientation val="minMax"/>
        </c:scaling>
        <c:delete val="1"/>
        <c:axPos val="l"/>
        <c:numFmt formatCode="0.0" sourceLinked="1"/>
        <c:majorTickMark val="none"/>
        <c:minorTickMark val="none"/>
        <c:tickLblPos val="nextTo"/>
        <c:crossAx val="64134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RawData!$I$3</c:f>
              <c:strCache>
                <c:ptCount val="1"/>
                <c:pt idx="0">
                  <c:v>Adj Close</c:v>
                </c:pt>
              </c:strCache>
            </c:strRef>
          </c:tx>
          <c:spPr>
            <a:ln w="28575" cap="rnd">
              <a:solidFill>
                <a:schemeClr val="accent1">
                  <a:lumMod val="75000"/>
                </a:schemeClr>
              </a:solidFill>
              <a:round/>
            </a:ln>
            <a:effectLst/>
          </c:spPr>
          <c:marker>
            <c:symbol val="none"/>
          </c:marker>
          <c:cat>
            <c:strRef>
              <c:f>RawData!$H$4:$H$64</c:f>
              <c:strCach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strCache>
            </c:strRef>
          </c:cat>
          <c:val>
            <c:numRef>
              <c:f>RawData!$I$4:$I$64</c:f>
              <c:numCache>
                <c:formatCode>General</c:formatCode>
                <c:ptCount val="61"/>
                <c:pt idx="0">
                  <c:v>2737.8</c:v>
                </c:pt>
                <c:pt idx="1">
                  <c:v>2744.5</c:v>
                </c:pt>
                <c:pt idx="2">
                  <c:v>2635.7</c:v>
                </c:pt>
                <c:pt idx="3">
                  <c:v>2648.62</c:v>
                </c:pt>
                <c:pt idx="4">
                  <c:v>2423.4699999999998</c:v>
                </c:pt>
                <c:pt idx="5">
                  <c:v>2146.58</c:v>
                </c:pt>
                <c:pt idx="6">
                  <c:v>2355.7600000000002</c:v>
                </c:pt>
                <c:pt idx="7">
                  <c:v>2407.41</c:v>
                </c:pt>
                <c:pt idx="8">
                  <c:v>2745.68</c:v>
                </c:pt>
                <c:pt idx="9">
                  <c:v>2849.68</c:v>
                </c:pt>
                <c:pt idx="10">
                  <c:v>2485.3200000000002</c:v>
                </c:pt>
                <c:pt idx="11">
                  <c:v>2326.16</c:v>
                </c:pt>
                <c:pt idx="12">
                  <c:v>2493.0500000000002</c:v>
                </c:pt>
                <c:pt idx="13">
                  <c:v>2371.79</c:v>
                </c:pt>
                <c:pt idx="14">
                  <c:v>2317.35</c:v>
                </c:pt>
                <c:pt idx="15">
                  <c:v>2215.7399999999998</c:v>
                </c:pt>
                <c:pt idx="16">
                  <c:v>2379.14</c:v>
                </c:pt>
                <c:pt idx="17">
                  <c:v>2295.7199999999998</c:v>
                </c:pt>
                <c:pt idx="18">
                  <c:v>2137.91</c:v>
                </c:pt>
                <c:pt idx="19">
                  <c:v>2256.64</c:v>
                </c:pt>
                <c:pt idx="20">
                  <c:v>2237.56</c:v>
                </c:pt>
                <c:pt idx="21">
                  <c:v>2432</c:v>
                </c:pt>
                <c:pt idx="22">
                  <c:v>2874.37</c:v>
                </c:pt>
                <c:pt idx="23">
                  <c:v>3259.61</c:v>
                </c:pt>
                <c:pt idx="24">
                  <c:v>3061.53</c:v>
                </c:pt>
                <c:pt idx="25">
                  <c:v>3020.07</c:v>
                </c:pt>
                <c:pt idx="26">
                  <c:v>2856.16</c:v>
                </c:pt>
                <c:pt idx="27">
                  <c:v>2794.03</c:v>
                </c:pt>
                <c:pt idx="28">
                  <c:v>2788.89</c:v>
                </c:pt>
                <c:pt idx="29">
                  <c:v>2760.62</c:v>
                </c:pt>
                <c:pt idx="30">
                  <c:v>2736.52</c:v>
                </c:pt>
                <c:pt idx="31">
                  <c:v>2868.36</c:v>
                </c:pt>
                <c:pt idx="32">
                  <c:v>3299.46</c:v>
                </c:pt>
                <c:pt idx="33">
                  <c:v>3025.5</c:v>
                </c:pt>
                <c:pt idx="34">
                  <c:v>2900</c:v>
                </c:pt>
                <c:pt idx="35">
                  <c:v>3060.07</c:v>
                </c:pt>
                <c:pt idx="36">
                  <c:v>3152.08</c:v>
                </c:pt>
                <c:pt idx="37">
                  <c:v>3269.46</c:v>
                </c:pt>
                <c:pt idx="38">
                  <c:v>3254.65</c:v>
                </c:pt>
                <c:pt idx="39">
                  <c:v>3070.5</c:v>
                </c:pt>
                <c:pt idx="40">
                  <c:v>2791.04</c:v>
                </c:pt>
                <c:pt idx="41">
                  <c:v>2655.74</c:v>
                </c:pt>
                <c:pt idx="42">
                  <c:v>2720.31</c:v>
                </c:pt>
                <c:pt idx="43">
                  <c:v>2621.31</c:v>
                </c:pt>
                <c:pt idx="44">
                  <c:v>2969.48</c:v>
                </c:pt>
                <c:pt idx="45">
                  <c:v>3053.38</c:v>
                </c:pt>
                <c:pt idx="46">
                  <c:v>2988.52</c:v>
                </c:pt>
                <c:pt idx="47">
                  <c:v>3209.63</c:v>
                </c:pt>
                <c:pt idx="48">
                  <c:v>3256.83</c:v>
                </c:pt>
                <c:pt idx="49">
                  <c:v>3201.28</c:v>
                </c:pt>
                <c:pt idx="50">
                  <c:v>2588.1</c:v>
                </c:pt>
                <c:pt idx="51">
                  <c:v>2730.29</c:v>
                </c:pt>
                <c:pt idx="52">
                  <c:v>3090.76</c:v>
                </c:pt>
                <c:pt idx="53">
                  <c:v>2940.62</c:v>
                </c:pt>
                <c:pt idx="54">
                  <c:v>3031.03</c:v>
                </c:pt>
                <c:pt idx="55">
                  <c:v>3009.65</c:v>
                </c:pt>
                <c:pt idx="56">
                  <c:v>3229.91</c:v>
                </c:pt>
                <c:pt idx="57">
                  <c:v>3001.44</c:v>
                </c:pt>
                <c:pt idx="58">
                  <c:v>2959.86</c:v>
                </c:pt>
                <c:pt idx="59">
                  <c:v>3094.21</c:v>
                </c:pt>
                <c:pt idx="60">
                  <c:v>3052.92</c:v>
                </c:pt>
              </c:numCache>
            </c:numRef>
          </c:val>
          <c:smooth val="0"/>
          <c:extLst>
            <c:ext xmlns:c16="http://schemas.microsoft.com/office/drawing/2014/chart" uri="{C3380CC4-5D6E-409C-BE32-E72D297353CC}">
              <c16:uniqueId val="{00000000-9480-4C09-A9AC-8FEEA234674A}"/>
            </c:ext>
          </c:extLst>
        </c:ser>
        <c:dLbls>
          <c:showLegendKey val="0"/>
          <c:showVal val="0"/>
          <c:showCatName val="0"/>
          <c:showSerName val="0"/>
          <c:showPercent val="0"/>
          <c:showBubbleSize val="0"/>
        </c:dLbls>
        <c:smooth val="0"/>
        <c:axId val="729338552"/>
        <c:axId val="729338912"/>
      </c:lineChart>
      <c:catAx>
        <c:axId val="72933855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38912"/>
        <c:crosses val="autoZero"/>
        <c:auto val="1"/>
        <c:lblAlgn val="ctr"/>
        <c:lblOffset val="100"/>
        <c:noMultiLvlLbl val="0"/>
      </c:catAx>
      <c:valAx>
        <c:axId val="729338912"/>
        <c:scaling>
          <c:orientation val="minMax"/>
          <c:max val="3500"/>
          <c:min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385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RawData!$H$4:$H$64</c:f>
              <c:strCach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strCache>
            </c:strRef>
          </c:cat>
          <c:val>
            <c:numRef>
              <c:f>RawData!$J$4:$J$64</c:f>
              <c:numCache>
                <c:formatCode>General</c:formatCode>
                <c:ptCount val="61"/>
                <c:pt idx="0">
                  <c:v>0.47209500000000004</c:v>
                </c:pt>
                <c:pt idx="1">
                  <c:v>2.7270790000000003</c:v>
                </c:pt>
                <c:pt idx="2">
                  <c:v>31.407028000000004</c:v>
                </c:pt>
                <c:pt idx="3">
                  <c:v>24.922732</c:v>
                </c:pt>
                <c:pt idx="4">
                  <c:v>28.781051000000001</c:v>
                </c:pt>
                <c:pt idx="5">
                  <c:v>23.464907</c:v>
                </c:pt>
                <c:pt idx="6">
                  <c:v>22.708371</c:v>
                </c:pt>
                <c:pt idx="7">
                  <c:v>29.421480000000003</c:v>
                </c:pt>
                <c:pt idx="8">
                  <c:v>27.446915000000001</c:v>
                </c:pt>
                <c:pt idx="9">
                  <c:v>35.174896000000004</c:v>
                </c:pt>
                <c:pt idx="10">
                  <c:v>16.363165000000002</c:v>
                </c:pt>
                <c:pt idx="11">
                  <c:v>21.304014000000002</c:v>
                </c:pt>
                <c:pt idx="12">
                  <c:v>26.744337000000002</c:v>
                </c:pt>
                <c:pt idx="13">
                  <c:v>22.879351</c:v>
                </c:pt>
                <c:pt idx="14">
                  <c:v>25.721771</c:v>
                </c:pt>
                <c:pt idx="15">
                  <c:v>27.390695000000001</c:v>
                </c:pt>
                <c:pt idx="16">
                  <c:v>19.512307999999997</c:v>
                </c:pt>
                <c:pt idx="17">
                  <c:v>22.686751000000001</c:v>
                </c:pt>
                <c:pt idx="18">
                  <c:v>28.272421000000001</c:v>
                </c:pt>
                <c:pt idx="19">
                  <c:v>26.548647999999996</c:v>
                </c:pt>
                <c:pt idx="20">
                  <c:v>28.639502</c:v>
                </c:pt>
                <c:pt idx="21">
                  <c:v>35.976546999999997</c:v>
                </c:pt>
                <c:pt idx="22">
                  <c:v>20.203893000000001</c:v>
                </c:pt>
                <c:pt idx="23">
                  <c:v>24.869289999999999</c:v>
                </c:pt>
                <c:pt idx="24">
                  <c:v>23.138940999999999</c:v>
                </c:pt>
                <c:pt idx="25">
                  <c:v>38.749558</c:v>
                </c:pt>
                <c:pt idx="26">
                  <c:v>24.996770000000001</c:v>
                </c:pt>
                <c:pt idx="27">
                  <c:v>32.374117999999996</c:v>
                </c:pt>
                <c:pt idx="28">
                  <c:v>20.285504</c:v>
                </c:pt>
                <c:pt idx="29">
                  <c:v>21.368906000000003</c:v>
                </c:pt>
                <c:pt idx="30">
                  <c:v>31.586525999999999</c:v>
                </c:pt>
                <c:pt idx="31">
                  <c:v>24.098927</c:v>
                </c:pt>
                <c:pt idx="32">
                  <c:v>19.737884999999999</c:v>
                </c:pt>
                <c:pt idx="33">
                  <c:v>15.149982</c:v>
                </c:pt>
                <c:pt idx="34">
                  <c:v>18.372958000000001</c:v>
                </c:pt>
                <c:pt idx="35">
                  <c:v>18.227698</c:v>
                </c:pt>
                <c:pt idx="36">
                  <c:v>16.415450999999997</c:v>
                </c:pt>
                <c:pt idx="37">
                  <c:v>17.229102000000001</c:v>
                </c:pt>
                <c:pt idx="38">
                  <c:v>18.302973000000001</c:v>
                </c:pt>
                <c:pt idx="39">
                  <c:v>21.922294000000001</c:v>
                </c:pt>
                <c:pt idx="40">
                  <c:v>15.227696</c:v>
                </c:pt>
                <c:pt idx="41">
                  <c:v>21.347057</c:v>
                </c:pt>
                <c:pt idx="42">
                  <c:v>18.969238000000001</c:v>
                </c:pt>
                <c:pt idx="43">
                  <c:v>26.563904000000001</c:v>
                </c:pt>
                <c:pt idx="44">
                  <c:v>19.992087000000001</c:v>
                </c:pt>
                <c:pt idx="45">
                  <c:v>20.242761999999999</c:v>
                </c:pt>
                <c:pt idx="46">
                  <c:v>20.990793</c:v>
                </c:pt>
                <c:pt idx="47">
                  <c:v>23.352453000000001</c:v>
                </c:pt>
                <c:pt idx="48">
                  <c:v>21.161293000000001</c:v>
                </c:pt>
                <c:pt idx="49">
                  <c:v>28.722838000000003</c:v>
                </c:pt>
                <c:pt idx="50">
                  <c:v>34.007281999999996</c:v>
                </c:pt>
                <c:pt idx="51">
                  <c:v>30.837045</c:v>
                </c:pt>
                <c:pt idx="52">
                  <c:v>18.570571000000001</c:v>
                </c:pt>
                <c:pt idx="53">
                  <c:v>46.951420999999996</c:v>
                </c:pt>
                <c:pt idx="54">
                  <c:v>17.145294999999997</c:v>
                </c:pt>
                <c:pt idx="55">
                  <c:v>25.109145000000002</c:v>
                </c:pt>
                <c:pt idx="56">
                  <c:v>24.234062999999999</c:v>
                </c:pt>
                <c:pt idx="57">
                  <c:v>21.72899</c:v>
                </c:pt>
                <c:pt idx="58">
                  <c:v>32.085053000000002</c:v>
                </c:pt>
                <c:pt idx="59">
                  <c:v>22.000890999999999</c:v>
                </c:pt>
                <c:pt idx="60">
                  <c:v>25.145607999999999</c:v>
                </c:pt>
              </c:numCache>
            </c:numRef>
          </c:val>
          <c:extLst>
            <c:ext xmlns:c16="http://schemas.microsoft.com/office/drawing/2014/chart" uri="{C3380CC4-5D6E-409C-BE32-E72D297353CC}">
              <c16:uniqueId val="{00000000-2D18-433B-AD44-C1920EE37226}"/>
            </c:ext>
          </c:extLst>
        </c:ser>
        <c:dLbls>
          <c:showLegendKey val="0"/>
          <c:showVal val="0"/>
          <c:showCatName val="0"/>
          <c:showSerName val="0"/>
          <c:showPercent val="0"/>
          <c:showBubbleSize val="0"/>
        </c:dLbls>
        <c:gapWidth val="150"/>
        <c:overlap val="100"/>
        <c:axId val="670885720"/>
        <c:axId val="670884280"/>
      </c:barChart>
      <c:dateAx>
        <c:axId val="670885720"/>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884280"/>
        <c:crosses val="autoZero"/>
        <c:auto val="0"/>
        <c:lblOffset val="100"/>
        <c:baseTimeUnit val="days"/>
      </c:dateAx>
      <c:valAx>
        <c:axId val="67088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885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7762467191601"/>
          <c:y val="0.16245370370370371"/>
          <c:w val="0.74624453193350826"/>
          <c:h val="0.72088764946048411"/>
        </c:manualLayout>
      </c:layout>
      <c:barChart>
        <c:barDir val="bar"/>
        <c:grouping val="clustered"/>
        <c:varyColors val="0"/>
        <c:ser>
          <c:idx val="0"/>
          <c:order val="0"/>
          <c:spPr>
            <a:solidFill>
              <a:schemeClr val="accent1">
                <a:lumMod val="20000"/>
                <a:lumOff val="8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4-A06B-453D-9342-FF7D3FF6B1E8}"/>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A06B-453D-9342-FF7D3FF6B1E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A06B-453D-9342-FF7D3FF6B1E8}"/>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A06B-453D-9342-FF7D3FF6B1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RawData!$AA$18:$AA$21</c:f>
              <c:strCache>
                <c:ptCount val="4"/>
                <c:pt idx="0">
                  <c:v>Promoters </c:v>
                </c:pt>
                <c:pt idx="1">
                  <c:v>FIIs </c:v>
                </c:pt>
                <c:pt idx="2">
                  <c:v>DIIs </c:v>
                </c:pt>
                <c:pt idx="3">
                  <c:v>Public &amp; Govt.</c:v>
                </c:pt>
              </c:strCache>
            </c:strRef>
          </c:cat>
          <c:val>
            <c:numRef>
              <c:f>RawData!$AM$18:$AM$21</c:f>
              <c:numCache>
                <c:formatCode>0.00%</c:formatCode>
                <c:ptCount val="4"/>
                <c:pt idx="0">
                  <c:v>0.52629999999999999</c:v>
                </c:pt>
                <c:pt idx="1">
                  <c:v>0.1211</c:v>
                </c:pt>
                <c:pt idx="2">
                  <c:v>0.21740000000000001</c:v>
                </c:pt>
                <c:pt idx="3">
                  <c:v>0.13519999999999999</c:v>
                </c:pt>
              </c:numCache>
            </c:numRef>
          </c:val>
          <c:extLst>
            <c:ext xmlns:c16="http://schemas.microsoft.com/office/drawing/2014/chart" uri="{C3380CC4-5D6E-409C-BE32-E72D297353CC}">
              <c16:uniqueId val="{00000000-A06B-453D-9342-FF7D3FF6B1E8}"/>
            </c:ext>
          </c:extLst>
        </c:ser>
        <c:dLbls>
          <c:showLegendKey val="0"/>
          <c:showVal val="0"/>
          <c:showCatName val="0"/>
          <c:showSerName val="0"/>
          <c:showPercent val="0"/>
          <c:showBubbleSize val="0"/>
        </c:dLbls>
        <c:gapWidth val="98"/>
        <c:overlap val="64"/>
        <c:axId val="135957640"/>
        <c:axId val="135958720"/>
      </c:barChart>
      <c:catAx>
        <c:axId val="135957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8720"/>
        <c:crosses val="autoZero"/>
        <c:auto val="1"/>
        <c:lblAlgn val="ctr"/>
        <c:lblOffset val="100"/>
        <c:noMultiLvlLbl val="0"/>
      </c:catAx>
      <c:valAx>
        <c:axId val="13595872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7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a:solidFill>
                <a:srgbClr val="EC6A14"/>
              </a:solidFill>
            </a:defRPr>
          </a:pPr>
          <a:r>
            <a:rPr lang="en-US" sz="1400" b="0" i="0" u="none" strike="noStrike" baseline="0">
              <a:solidFill>
                <a:srgbClr val="EC6A14"/>
              </a:solidFill>
              <a:latin typeface="Calibri" panose="020F0502020204030204"/>
            </a:rPr>
            <a:t>Daily Return Distribution</a:t>
          </a:r>
        </a:p>
      </cx:txPr>
    </cx:title>
    <cx:plotArea>
      <cx:plotAreaRegion>
        <cx:series layoutId="clusteredColumn" uniqueId="{F5640CF0-3BD3-48AA-8286-8FA4242FC1BB}">
          <cx:spPr>
            <a:solidFill>
              <a:schemeClr val="accent2"/>
            </a:solidFill>
          </cx:spPr>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solidFill>
                  <a:srgbClr val="EC6A14"/>
                </a:solidFill>
              </a:defRPr>
            </a:pPr>
            <a:r>
              <a:rPr lang="en-US" sz="1400" b="0" i="0" u="none" strike="noStrike" baseline="0">
                <a:solidFill>
                  <a:srgbClr val="EC6A14"/>
                </a:solidFill>
                <a:effectLst/>
                <a:latin typeface="Calibri" panose="020F0502020204030204"/>
                <a:ea typeface="Calibri" panose="020F0502020204030204" pitchFamily="34" charset="0"/>
                <a:cs typeface="Calibri" panose="020F0502020204030204" pitchFamily="34" charset="0"/>
              </a:rPr>
              <a:t>Daily Return Distribution</a:t>
            </a:r>
            <a:endParaRPr lang="en-US" sz="1400" b="0" i="0" u="none" strike="noStrike" baseline="0">
              <a:solidFill>
                <a:srgbClr val="EC6A14"/>
              </a:solidFill>
              <a:latin typeface="Calibri" panose="020F0502020204030204"/>
            </a:endParaRPr>
          </a:p>
        </cx:rich>
      </cx:tx>
    </cx:title>
    <cx:plotArea>
      <cx:plotAreaRegion>
        <cx:series layoutId="clusteredColumn" uniqueId="{1EE96AAD-A265-4519-B1D5-0F85E4BB7891}">
          <cx:spPr>
            <a:solidFill>
              <a:schemeClr val="accent2"/>
            </a:solidFill>
          </cx:spPr>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1" Type="http://schemas.microsoft.com/office/2014/relationships/chartEx" Target="../charts/chartEx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image" Target="../media/image4.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4.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52593</xdr:colOff>
      <xdr:row>5</xdr:row>
      <xdr:rowOff>81912</xdr:rowOff>
    </xdr:from>
    <xdr:to>
      <xdr:col>8</xdr:col>
      <xdr:colOff>505238</xdr:colOff>
      <xdr:row>21</xdr:row>
      <xdr:rowOff>37764</xdr:rowOff>
    </xdr:to>
    <xdr:pic>
      <xdr:nvPicPr>
        <xdr:cNvPr id="3" name="Picture 2">
          <a:extLst>
            <a:ext uri="{FF2B5EF4-FFF2-40B4-BE49-F238E27FC236}">
              <a16:creationId xmlns:a16="http://schemas.microsoft.com/office/drawing/2014/main" id="{6EB4B4CD-2BE1-2268-264B-FB26B96831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376" y="877042"/>
          <a:ext cx="2904297" cy="2879613"/>
        </a:xfrm>
        <a:prstGeom prst="rect">
          <a:avLst/>
        </a:prstGeom>
      </xdr:spPr>
    </xdr:pic>
    <xdr:clientData/>
  </xdr:twoCellAnchor>
  <xdr:twoCellAnchor>
    <xdr:from>
      <xdr:col>2</xdr:col>
      <xdr:colOff>100634</xdr:colOff>
      <xdr:row>41</xdr:row>
      <xdr:rowOff>139977</xdr:rowOff>
    </xdr:from>
    <xdr:to>
      <xdr:col>10</xdr:col>
      <xdr:colOff>599247</xdr:colOff>
      <xdr:row>48</xdr:row>
      <xdr:rowOff>111402</xdr:rowOff>
    </xdr:to>
    <xdr:sp macro="" textlink="">
      <xdr:nvSpPr>
        <xdr:cNvPr id="4" name="TextBox 3">
          <a:extLst>
            <a:ext uri="{FF2B5EF4-FFF2-40B4-BE49-F238E27FC236}">
              <a16:creationId xmlns:a16="http://schemas.microsoft.com/office/drawing/2014/main" id="{2BA6CD90-EC93-BC2E-396E-F150196C764C}"/>
            </a:ext>
          </a:extLst>
        </xdr:cNvPr>
        <xdr:cNvSpPr txBox="1"/>
      </xdr:nvSpPr>
      <xdr:spPr>
        <a:xfrm>
          <a:off x="846069" y="7627455"/>
          <a:ext cx="5534439" cy="1246947"/>
        </a:xfrm>
        <a:prstGeom prst="rect">
          <a:avLst/>
        </a:prstGeom>
        <a:solidFill>
          <a:schemeClr val="accent2">
            <a:lumMod val="20000"/>
            <a:lumOff val="80000"/>
          </a:schemeClr>
        </a:solidFill>
        <a:ln w="9525" cmpd="sng">
          <a:solidFill>
            <a:srgbClr val="EC6A14"/>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0"/>
            <a:t>CMP (as on</a:t>
          </a:r>
          <a:r>
            <a:rPr lang="en-IN" sz="1200" b="0" baseline="0"/>
            <a:t> 30.06.2026) </a:t>
          </a:r>
          <a:r>
            <a:rPr lang="en-IN" sz="1100" baseline="0"/>
            <a:t>		</a:t>
          </a:r>
          <a:r>
            <a:rPr lang="en-IN" sz="1200" b="0" baseline="0"/>
            <a:t>Market Capitalization:</a:t>
          </a:r>
        </a:p>
        <a:p>
          <a:pPr algn="l"/>
          <a:r>
            <a:rPr lang="en-IN" sz="1600" b="1" baseline="0"/>
            <a:t>Rs. 2,645.15		</a:t>
          </a:r>
          <a:r>
            <a:rPr lang="en-IN" sz="1800" b="1" baseline="0"/>
            <a:t>Rs. </a:t>
          </a:r>
          <a:r>
            <a:rPr lang="en-IN" sz="1800" b="1" i="0">
              <a:solidFill>
                <a:schemeClr val="dk1"/>
              </a:solidFill>
              <a:effectLst/>
              <a:latin typeface="+mn-lt"/>
              <a:ea typeface="+mn-ea"/>
              <a:cs typeface="+mn-cs"/>
            </a:rPr>
            <a:t>2,07,686</a:t>
          </a:r>
          <a:endParaRPr lang="en-IN" sz="1800" b="1"/>
        </a:p>
        <a:p>
          <a:pPr algn="l"/>
          <a:r>
            <a:rPr lang="en-IN" sz="1200" b="0"/>
            <a:t>52</a:t>
          </a:r>
          <a:r>
            <a:rPr lang="en-IN" sz="1200" b="0" baseline="0"/>
            <a:t> Week Range</a:t>
          </a:r>
          <a:r>
            <a:rPr lang="en-IN" sz="1800" b="1" baseline="0"/>
            <a:t>		</a:t>
          </a:r>
          <a:r>
            <a:rPr lang="en-IN" sz="1200" b="0" baseline="0"/>
            <a:t>Valuation Method</a:t>
          </a:r>
        </a:p>
        <a:p>
          <a:pPr algn="l"/>
          <a:r>
            <a:rPr lang="en-IN" sz="1600" b="1" baseline="0"/>
            <a:t>Rs. (2,115 - 2,985.70)</a:t>
          </a:r>
          <a:r>
            <a:rPr lang="en-IN" sz="1800" b="1" baseline="0"/>
            <a:t>		DCF|Comps|Football Field</a:t>
          </a:r>
          <a:endParaRPr lang="en-IN" sz="1800" b="1"/>
        </a:p>
      </xdr:txBody>
    </xdr:sp>
    <xdr:clientData/>
  </xdr:twoCellAnchor>
  <xdr:twoCellAnchor>
    <xdr:from>
      <xdr:col>3</xdr:col>
      <xdr:colOff>462100</xdr:colOff>
      <xdr:row>36</xdr:row>
      <xdr:rowOff>161856</xdr:rowOff>
    </xdr:from>
    <xdr:to>
      <xdr:col>9</xdr:col>
      <xdr:colOff>82826</xdr:colOff>
      <xdr:row>38</xdr:row>
      <xdr:rowOff>180905</xdr:rowOff>
    </xdr:to>
    <xdr:sp macro="" textlink="">
      <xdr:nvSpPr>
        <xdr:cNvPr id="5" name="TextBox 4">
          <a:extLst>
            <a:ext uri="{FF2B5EF4-FFF2-40B4-BE49-F238E27FC236}">
              <a16:creationId xmlns:a16="http://schemas.microsoft.com/office/drawing/2014/main" id="{D11937DC-F486-17ED-D6B6-717A662496A5}"/>
            </a:ext>
          </a:extLst>
        </xdr:cNvPr>
        <xdr:cNvSpPr txBox="1"/>
      </xdr:nvSpPr>
      <xdr:spPr>
        <a:xfrm>
          <a:off x="1820448" y="6779660"/>
          <a:ext cx="3430726" cy="383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n>
                <a:noFill/>
              </a:ln>
            </a:rPr>
            <a:t>PRESENTED BY: LOKESH RAJPUT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377725</xdr:colOff>
      <xdr:row>0</xdr:row>
      <xdr:rowOff>59377</xdr:rowOff>
    </xdr:from>
    <xdr:to>
      <xdr:col>12</xdr:col>
      <xdr:colOff>29690</xdr:colOff>
      <xdr:row>4</xdr:row>
      <xdr:rowOff>49481</xdr:rowOff>
    </xdr:to>
    <xdr:pic>
      <xdr:nvPicPr>
        <xdr:cNvPr id="6" name="Picture 5">
          <a:extLst>
            <a:ext uri="{FF2B5EF4-FFF2-40B4-BE49-F238E27FC236}">
              <a16:creationId xmlns:a16="http://schemas.microsoft.com/office/drawing/2014/main" id="{3C76407E-CEF5-DDCF-6E97-AEBBDCC572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560" t="16176" r="11764" b="22794"/>
        <a:stretch>
          <a:fillRect/>
        </a:stretch>
      </xdr:blipFill>
      <xdr:spPr>
        <a:xfrm>
          <a:off x="5543491" y="59377"/>
          <a:ext cx="1492640" cy="115784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152400</xdr:colOff>
      <xdr:row>4</xdr:row>
      <xdr:rowOff>15240</xdr:rowOff>
    </xdr:from>
    <xdr:to>
      <xdr:col>1</xdr:col>
      <xdr:colOff>1200901</xdr:colOff>
      <xdr:row>4</xdr:row>
      <xdr:rowOff>906780</xdr:rowOff>
    </xdr:to>
    <xdr:pic>
      <xdr:nvPicPr>
        <xdr:cNvPr id="6" name="Picture 5">
          <a:extLst>
            <a:ext uri="{FF2B5EF4-FFF2-40B4-BE49-F238E27FC236}">
              <a16:creationId xmlns:a16="http://schemas.microsoft.com/office/drawing/2014/main" id="{4DBB353A-D2BA-A2F7-FE24-F2013D1FF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1940" y="487680"/>
          <a:ext cx="1048501" cy="891540"/>
        </a:xfrm>
        <a:prstGeom prst="rect">
          <a:avLst/>
        </a:prstGeom>
      </xdr:spPr>
    </xdr:pic>
    <xdr:clientData/>
  </xdr:twoCellAnchor>
  <xdr:twoCellAnchor>
    <xdr:from>
      <xdr:col>7</xdr:col>
      <xdr:colOff>60960</xdr:colOff>
      <xdr:row>8</xdr:row>
      <xdr:rowOff>1</xdr:rowOff>
    </xdr:from>
    <xdr:to>
      <xdr:col>11</xdr:col>
      <xdr:colOff>7620</xdr:colOff>
      <xdr:row>19</xdr:row>
      <xdr:rowOff>144780</xdr:rowOff>
    </xdr:to>
    <xdr:graphicFrame macro="">
      <xdr:nvGraphicFramePr>
        <xdr:cNvPr id="7" name="Chart 6">
          <a:extLst>
            <a:ext uri="{FF2B5EF4-FFF2-40B4-BE49-F238E27FC236}">
              <a16:creationId xmlns:a16="http://schemas.microsoft.com/office/drawing/2014/main" id="{33742C3F-7DC1-4C61-A932-EABA74608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22</xdr:row>
      <xdr:rowOff>15240</xdr:rowOff>
    </xdr:from>
    <xdr:to>
      <xdr:col>11</xdr:col>
      <xdr:colOff>60960</xdr:colOff>
      <xdr:row>29</xdr:row>
      <xdr:rowOff>457200</xdr:rowOff>
    </xdr:to>
    <xdr:graphicFrame macro="">
      <xdr:nvGraphicFramePr>
        <xdr:cNvPr id="2" name="Chart 1">
          <a:extLst>
            <a:ext uri="{FF2B5EF4-FFF2-40B4-BE49-F238E27FC236}">
              <a16:creationId xmlns:a16="http://schemas.microsoft.com/office/drawing/2014/main" id="{8A9C9A31-D469-4C53-AE0D-C017FD29D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152401</xdr:colOff>
      <xdr:row>32</xdr:row>
      <xdr:rowOff>53341</xdr:rowOff>
    </xdr:from>
    <xdr:to>
      <xdr:col>11</xdr:col>
      <xdr:colOff>30480</xdr:colOff>
      <xdr:row>41</xdr:row>
      <xdr:rowOff>144781</xdr:rowOff>
    </xdr:to>
    <xdr:graphicFrame macro="">
      <xdr:nvGraphicFramePr>
        <xdr:cNvPr id="3" name="Chart 2">
          <a:extLst>
            <a:ext uri="{FF2B5EF4-FFF2-40B4-BE49-F238E27FC236}">
              <a16:creationId xmlns:a16="http://schemas.microsoft.com/office/drawing/2014/main" id="{9400DAFA-6E9A-4E47-AFAD-57ECEB283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182331</xdr:colOff>
      <xdr:row>1</xdr:row>
      <xdr:rowOff>72391</xdr:rowOff>
    </xdr:from>
    <xdr:to>
      <xdr:col>14</xdr:col>
      <xdr:colOff>690170</xdr:colOff>
      <xdr:row>6</xdr:row>
      <xdr:rowOff>21772</xdr:rowOff>
    </xdr:to>
    <xdr:pic>
      <xdr:nvPicPr>
        <xdr:cNvPr id="2" name="Picture 1">
          <a:extLst>
            <a:ext uri="{FF2B5EF4-FFF2-40B4-BE49-F238E27FC236}">
              <a16:creationId xmlns:a16="http://schemas.microsoft.com/office/drawing/2014/main" id="{788F538D-AA3A-402C-B70A-433A16BAA3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5788" y="257448"/>
          <a:ext cx="1258953" cy="13754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491489</xdr:colOff>
      <xdr:row>1</xdr:row>
      <xdr:rowOff>110489</xdr:rowOff>
    </xdr:from>
    <xdr:to>
      <xdr:col>11</xdr:col>
      <xdr:colOff>534508</xdr:colOff>
      <xdr:row>7</xdr:row>
      <xdr:rowOff>0</xdr:rowOff>
    </xdr:to>
    <xdr:pic>
      <xdr:nvPicPr>
        <xdr:cNvPr id="3" name="Picture 2">
          <a:extLst>
            <a:ext uri="{FF2B5EF4-FFF2-40B4-BE49-F238E27FC236}">
              <a16:creationId xmlns:a16="http://schemas.microsoft.com/office/drawing/2014/main" id="{9EECB8D3-9271-4FFF-891C-A5991C85AD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96989" y="247649"/>
          <a:ext cx="1262219" cy="13525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830031</xdr:colOff>
      <xdr:row>0</xdr:row>
      <xdr:rowOff>100966</xdr:rowOff>
    </xdr:from>
    <xdr:to>
      <xdr:col>12</xdr:col>
      <xdr:colOff>998780</xdr:colOff>
      <xdr:row>7</xdr:row>
      <xdr:rowOff>28575</xdr:rowOff>
    </xdr:to>
    <xdr:pic>
      <xdr:nvPicPr>
        <xdr:cNvPr id="2" name="Picture 1">
          <a:extLst>
            <a:ext uri="{FF2B5EF4-FFF2-40B4-BE49-F238E27FC236}">
              <a16:creationId xmlns:a16="http://schemas.microsoft.com/office/drawing/2014/main" id="{C9FFB240-7DCD-411B-8539-9FF1EBC69D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88631" y="100966"/>
          <a:ext cx="1254599" cy="15944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xdr:row>
      <xdr:rowOff>53340</xdr:rowOff>
    </xdr:from>
    <xdr:to>
      <xdr:col>10</xdr:col>
      <xdr:colOff>644998</xdr:colOff>
      <xdr:row>5</xdr:row>
      <xdr:rowOff>161926</xdr:rowOff>
    </xdr:to>
    <xdr:pic>
      <xdr:nvPicPr>
        <xdr:cNvPr id="2" name="Picture 1">
          <a:extLst>
            <a:ext uri="{FF2B5EF4-FFF2-40B4-BE49-F238E27FC236}">
              <a16:creationId xmlns:a16="http://schemas.microsoft.com/office/drawing/2014/main" id="{85F8A88D-B871-402F-8E65-F9DB8F2491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67574" y="234315"/>
          <a:ext cx="1264124" cy="13277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367392</xdr:colOff>
      <xdr:row>0</xdr:row>
      <xdr:rowOff>148591</xdr:rowOff>
    </xdr:from>
    <xdr:to>
      <xdr:col>12</xdr:col>
      <xdr:colOff>760931</xdr:colOff>
      <xdr:row>6</xdr:row>
      <xdr:rowOff>21773</xdr:rowOff>
    </xdr:to>
    <xdr:pic>
      <xdr:nvPicPr>
        <xdr:cNvPr id="2" name="Picture 1">
          <a:extLst>
            <a:ext uri="{FF2B5EF4-FFF2-40B4-BE49-F238E27FC236}">
              <a16:creationId xmlns:a16="http://schemas.microsoft.com/office/drawing/2014/main" id="{25E71B26-BABD-4375-BBEE-EF88B3B185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98478" y="148591"/>
          <a:ext cx="1264396" cy="14842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376766</xdr:colOff>
      <xdr:row>0</xdr:row>
      <xdr:rowOff>154939</xdr:rowOff>
    </xdr:from>
    <xdr:to>
      <xdr:col>16</xdr:col>
      <xdr:colOff>777924</xdr:colOff>
      <xdr:row>7</xdr:row>
      <xdr:rowOff>0</xdr:rowOff>
    </xdr:to>
    <xdr:pic>
      <xdr:nvPicPr>
        <xdr:cNvPr id="2" name="Picture 1">
          <a:extLst>
            <a:ext uri="{FF2B5EF4-FFF2-40B4-BE49-F238E27FC236}">
              <a16:creationId xmlns:a16="http://schemas.microsoft.com/office/drawing/2014/main" id="{36F8AC5C-C22A-481E-80CA-C157B0A14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17766" y="154939"/>
          <a:ext cx="1264759" cy="15129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20320</xdr:colOff>
      <xdr:row>19</xdr:row>
      <xdr:rowOff>19050</xdr:rowOff>
    </xdr:from>
    <xdr:to>
      <xdr:col>8</xdr:col>
      <xdr:colOff>215900</xdr:colOff>
      <xdr:row>38</xdr:row>
      <xdr:rowOff>83820</xdr:rowOff>
    </xdr:to>
    <xdr:graphicFrame macro="">
      <xdr:nvGraphicFramePr>
        <xdr:cNvPr id="2" name="Chart 1">
          <a:extLst>
            <a:ext uri="{FF2B5EF4-FFF2-40B4-BE49-F238E27FC236}">
              <a16:creationId xmlns:a16="http://schemas.microsoft.com/office/drawing/2014/main" id="{9869862B-7B35-E145-BBD4-C8A6327B3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464820</xdr:colOff>
      <xdr:row>23</xdr:row>
      <xdr:rowOff>83820</xdr:rowOff>
    </xdr:from>
    <xdr:to>
      <xdr:col>8</xdr:col>
      <xdr:colOff>213360</xdr:colOff>
      <xdr:row>23</xdr:row>
      <xdr:rowOff>83820</xdr:rowOff>
    </xdr:to>
    <xdr:cxnSp macro="">
      <xdr:nvCxnSpPr>
        <xdr:cNvPr id="4" name="Straight Connector 3">
          <a:extLst>
            <a:ext uri="{FF2B5EF4-FFF2-40B4-BE49-F238E27FC236}">
              <a16:creationId xmlns:a16="http://schemas.microsoft.com/office/drawing/2014/main" id="{03709877-D53E-9741-5323-8975B64175F5}"/>
            </a:ext>
          </a:extLst>
        </xdr:cNvPr>
        <xdr:cNvCxnSpPr/>
      </xdr:nvCxnSpPr>
      <xdr:spPr>
        <a:xfrm>
          <a:off x="594360" y="3070860"/>
          <a:ext cx="4648200"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480059</xdr:colOff>
      <xdr:row>1</xdr:row>
      <xdr:rowOff>45720</xdr:rowOff>
    </xdr:from>
    <xdr:to>
      <xdr:col>11</xdr:col>
      <xdr:colOff>523078</xdr:colOff>
      <xdr:row>6</xdr:row>
      <xdr:rowOff>45720</xdr:rowOff>
    </xdr:to>
    <xdr:pic>
      <xdr:nvPicPr>
        <xdr:cNvPr id="3" name="Picture 2">
          <a:extLst>
            <a:ext uri="{FF2B5EF4-FFF2-40B4-BE49-F238E27FC236}">
              <a16:creationId xmlns:a16="http://schemas.microsoft.com/office/drawing/2014/main" id="{BE218815-4A92-4D24-8B5E-A6BE38D6A7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18859" y="228600"/>
          <a:ext cx="1262219" cy="1409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15</xdr:row>
      <xdr:rowOff>0</xdr:rowOff>
    </xdr:from>
    <xdr:to>
      <xdr:col>13</xdr:col>
      <xdr:colOff>426720</xdr:colOff>
      <xdr:row>34</xdr:row>
      <xdr:rowOff>15240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234F6A9-FC91-4051-81EA-A8874B4BD0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62400" y="2743200"/>
              <a:ext cx="5737860" cy="3489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8</xdr:col>
      <xdr:colOff>0</xdr:colOff>
      <xdr:row>14</xdr:row>
      <xdr:rowOff>102870</xdr:rowOff>
    </xdr:from>
    <xdr:to>
      <xdr:col>13</xdr:col>
      <xdr:colOff>7620</xdr:colOff>
      <xdr:row>31</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5A63284-FB84-E25E-1A80-9376727A54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49340" y="2663190"/>
              <a:ext cx="4030980" cy="30441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19049</xdr:colOff>
      <xdr:row>1</xdr:row>
      <xdr:rowOff>72389</xdr:rowOff>
    </xdr:from>
    <xdr:to>
      <xdr:col>8</xdr:col>
      <xdr:colOff>542128</xdr:colOff>
      <xdr:row>5</xdr:row>
      <xdr:rowOff>57149</xdr:rowOff>
    </xdr:to>
    <xdr:pic>
      <xdr:nvPicPr>
        <xdr:cNvPr id="3" name="Picture 2">
          <a:extLst>
            <a:ext uri="{FF2B5EF4-FFF2-40B4-BE49-F238E27FC236}">
              <a16:creationId xmlns:a16="http://schemas.microsoft.com/office/drawing/2014/main" id="{A75509F6-E4A8-6523-1223-D9830303F3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38824" y="205739"/>
          <a:ext cx="1266029" cy="1213485"/>
        </a:xfrm>
        <a:prstGeom prst="rect">
          <a:avLst/>
        </a:prstGeom>
      </xdr:spPr>
    </xdr:pic>
    <xdr:clientData/>
  </xdr:twoCellAnchor>
  <xdr:twoCellAnchor>
    <xdr:from>
      <xdr:col>1</xdr:col>
      <xdr:colOff>28575</xdr:colOff>
      <xdr:row>13</xdr:row>
      <xdr:rowOff>8068</xdr:rowOff>
    </xdr:from>
    <xdr:to>
      <xdr:col>8</xdr:col>
      <xdr:colOff>723900</xdr:colOff>
      <xdr:row>34</xdr:row>
      <xdr:rowOff>170155</xdr:rowOff>
    </xdr:to>
    <xdr:grpSp>
      <xdr:nvGrpSpPr>
        <xdr:cNvPr id="10" name="Group 9">
          <a:extLst>
            <a:ext uri="{FF2B5EF4-FFF2-40B4-BE49-F238E27FC236}">
              <a16:creationId xmlns:a16="http://schemas.microsoft.com/office/drawing/2014/main" id="{2C5AD912-8437-9318-2B5A-703B3B4E7F3A}"/>
            </a:ext>
          </a:extLst>
        </xdr:cNvPr>
        <xdr:cNvGrpSpPr/>
      </xdr:nvGrpSpPr>
      <xdr:grpSpPr>
        <a:xfrm>
          <a:off x="159544" y="2817943"/>
          <a:ext cx="7100887" cy="3912556"/>
          <a:chOff x="161925" y="2694118"/>
          <a:chExt cx="7115175" cy="3897182"/>
        </a:xfrm>
      </xdr:grpSpPr>
      <xdr:grpSp>
        <xdr:nvGrpSpPr>
          <xdr:cNvPr id="40" name="Group 39">
            <a:extLst>
              <a:ext uri="{FF2B5EF4-FFF2-40B4-BE49-F238E27FC236}">
                <a16:creationId xmlns:a16="http://schemas.microsoft.com/office/drawing/2014/main" id="{8EA67493-AF58-71A3-84A9-D197BCC0A0A1}"/>
              </a:ext>
            </a:extLst>
          </xdr:cNvPr>
          <xdr:cNvGrpSpPr/>
        </xdr:nvGrpSpPr>
        <xdr:grpSpPr>
          <a:xfrm>
            <a:off x="161925" y="2694118"/>
            <a:ext cx="7115175" cy="1896932"/>
            <a:chOff x="142875" y="2532193"/>
            <a:chExt cx="7172325" cy="2100334"/>
          </a:xfrm>
        </xdr:grpSpPr>
        <xdr:graphicFrame macro="">
          <xdr:nvGraphicFramePr>
            <xdr:cNvPr id="4" name="Chart 3">
              <a:extLst>
                <a:ext uri="{FF2B5EF4-FFF2-40B4-BE49-F238E27FC236}">
                  <a16:creationId xmlns:a16="http://schemas.microsoft.com/office/drawing/2014/main" id="{5550968F-107C-E194-1C4E-A0DC87ADD4C7}"/>
                </a:ext>
              </a:extLst>
            </xdr:cNvPr>
            <xdr:cNvGraphicFramePr/>
          </xdr:nvGraphicFramePr>
          <xdr:xfrm>
            <a:off x="142875" y="2835073"/>
            <a:ext cx="2286000" cy="1784552"/>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21" name="Group 20">
              <a:extLst>
                <a:ext uri="{FF2B5EF4-FFF2-40B4-BE49-F238E27FC236}">
                  <a16:creationId xmlns:a16="http://schemas.microsoft.com/office/drawing/2014/main" id="{12004C5A-28A2-C6F7-4F98-29535F4E664B}"/>
                </a:ext>
              </a:extLst>
            </xdr:cNvPr>
            <xdr:cNvGrpSpPr/>
          </xdr:nvGrpSpPr>
          <xdr:grpSpPr>
            <a:xfrm>
              <a:off x="284285" y="2532193"/>
              <a:ext cx="1906465" cy="291751"/>
              <a:chOff x="389060" y="2532193"/>
              <a:chExt cx="1669073" cy="291751"/>
            </a:xfrm>
          </xdr:grpSpPr>
          <xdr:sp macro="" textlink="">
            <xdr:nvSpPr>
              <xdr:cNvPr id="5" name="TextBox 4">
                <a:extLst>
                  <a:ext uri="{FF2B5EF4-FFF2-40B4-BE49-F238E27FC236}">
                    <a16:creationId xmlns:a16="http://schemas.microsoft.com/office/drawing/2014/main" id="{9EB31FE2-078A-FF9F-96FD-729E9CBF0C87}"/>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Revenue (INR Crs.)</a:t>
                </a:r>
              </a:p>
            </xdr:txBody>
          </xdr:sp>
          <xdr:cxnSp macro="">
            <xdr:nvCxnSpPr>
              <xdr:cNvPr id="7" name="Straight Connector 6">
                <a:extLst>
                  <a:ext uri="{FF2B5EF4-FFF2-40B4-BE49-F238E27FC236}">
                    <a16:creationId xmlns:a16="http://schemas.microsoft.com/office/drawing/2014/main" id="{8DA7E819-7465-A063-915A-0E24DD506A61}"/>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aphicFrame macro="">
          <xdr:nvGraphicFramePr>
            <xdr:cNvPr id="18" name="Chart 17">
              <a:extLst>
                <a:ext uri="{FF2B5EF4-FFF2-40B4-BE49-F238E27FC236}">
                  <a16:creationId xmlns:a16="http://schemas.microsoft.com/office/drawing/2014/main" id="{CF764C37-4526-4B49-BFB6-D2A933A3B954}"/>
                </a:ext>
              </a:extLst>
            </xdr:cNvPr>
            <xdr:cNvGraphicFramePr>
              <a:graphicFrameLocks/>
            </xdr:cNvGraphicFramePr>
          </xdr:nvGraphicFramePr>
          <xdr:xfrm>
            <a:off x="2628900" y="2838450"/>
            <a:ext cx="2286000" cy="178455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DF3B5FAA-CDC6-4EBD-BB1F-F940A755FDF8}"/>
                </a:ext>
              </a:extLst>
            </xdr:cNvPr>
            <xdr:cNvGraphicFramePr>
              <a:graphicFrameLocks/>
            </xdr:cNvGraphicFramePr>
          </xdr:nvGraphicFramePr>
          <xdr:xfrm>
            <a:off x="5029200" y="2847975"/>
            <a:ext cx="2286000" cy="1784552"/>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22" name="Group 21">
              <a:extLst>
                <a:ext uri="{FF2B5EF4-FFF2-40B4-BE49-F238E27FC236}">
                  <a16:creationId xmlns:a16="http://schemas.microsoft.com/office/drawing/2014/main" id="{65DCFAC2-33AF-4B3B-8081-A3E3C890B8F3}"/>
                </a:ext>
              </a:extLst>
            </xdr:cNvPr>
            <xdr:cNvGrpSpPr/>
          </xdr:nvGrpSpPr>
          <xdr:grpSpPr>
            <a:xfrm>
              <a:off x="5265860" y="2532193"/>
              <a:ext cx="1906465" cy="291751"/>
              <a:chOff x="389060" y="2532193"/>
              <a:chExt cx="1669073" cy="291751"/>
            </a:xfrm>
          </xdr:grpSpPr>
          <xdr:sp macro="" textlink="">
            <xdr:nvSpPr>
              <xdr:cNvPr id="23" name="TextBox 22">
                <a:extLst>
                  <a:ext uri="{FF2B5EF4-FFF2-40B4-BE49-F238E27FC236}">
                    <a16:creationId xmlns:a16="http://schemas.microsoft.com/office/drawing/2014/main" id="{F61CBC3C-12A2-BC11-2213-05FDE4114080}"/>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Total</a:t>
                </a:r>
                <a:r>
                  <a:rPr lang="en-IN" sz="1050" baseline="0">
                    <a:solidFill>
                      <a:srgbClr val="EC6A14"/>
                    </a:solidFill>
                  </a:rPr>
                  <a:t> Assets </a:t>
                </a:r>
                <a:r>
                  <a:rPr lang="en-IN" sz="1050">
                    <a:solidFill>
                      <a:srgbClr val="EC6A14"/>
                    </a:solidFill>
                  </a:rPr>
                  <a:t>(INR Crs.)</a:t>
                </a:r>
              </a:p>
            </xdr:txBody>
          </xdr:sp>
          <xdr:cxnSp macro="">
            <xdr:nvCxnSpPr>
              <xdr:cNvPr id="24" name="Straight Connector 23">
                <a:extLst>
                  <a:ext uri="{FF2B5EF4-FFF2-40B4-BE49-F238E27FC236}">
                    <a16:creationId xmlns:a16="http://schemas.microsoft.com/office/drawing/2014/main" id="{874C554D-EBB1-E8AE-37A4-52D4DD6B3DB1}"/>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5" name="Group 24">
              <a:extLst>
                <a:ext uri="{FF2B5EF4-FFF2-40B4-BE49-F238E27FC236}">
                  <a16:creationId xmlns:a16="http://schemas.microsoft.com/office/drawing/2014/main" id="{267220EA-2E5D-4AE8-B9B7-FAF226192E4B}"/>
                </a:ext>
              </a:extLst>
            </xdr:cNvPr>
            <xdr:cNvGrpSpPr/>
          </xdr:nvGrpSpPr>
          <xdr:grpSpPr>
            <a:xfrm>
              <a:off x="2760785" y="2532193"/>
              <a:ext cx="1906465" cy="291751"/>
              <a:chOff x="389060" y="2532193"/>
              <a:chExt cx="1669073" cy="291751"/>
            </a:xfrm>
          </xdr:grpSpPr>
          <xdr:sp macro="" textlink="">
            <xdr:nvSpPr>
              <xdr:cNvPr id="26" name="TextBox 25">
                <a:extLst>
                  <a:ext uri="{FF2B5EF4-FFF2-40B4-BE49-F238E27FC236}">
                    <a16:creationId xmlns:a16="http://schemas.microsoft.com/office/drawing/2014/main" id="{4CFF2FF9-B271-6F80-2AF8-0B7C96A3F77E}"/>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Net</a:t>
                </a:r>
                <a:r>
                  <a:rPr lang="en-IN" sz="1050" baseline="0">
                    <a:solidFill>
                      <a:srgbClr val="EC6A14"/>
                    </a:solidFill>
                  </a:rPr>
                  <a:t> Profit</a:t>
                </a:r>
                <a:r>
                  <a:rPr lang="en-IN" sz="1050">
                    <a:solidFill>
                      <a:srgbClr val="EC6A14"/>
                    </a:solidFill>
                  </a:rPr>
                  <a:t> (INR Crs.)</a:t>
                </a:r>
              </a:p>
            </xdr:txBody>
          </xdr:sp>
          <xdr:cxnSp macro="">
            <xdr:nvCxnSpPr>
              <xdr:cNvPr id="27" name="Straight Connector 26">
                <a:extLst>
                  <a:ext uri="{FF2B5EF4-FFF2-40B4-BE49-F238E27FC236}">
                    <a16:creationId xmlns:a16="http://schemas.microsoft.com/office/drawing/2014/main" id="{7A3BC5C1-DF92-D714-58B0-46DD515F1D74}"/>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41" name="Group 40">
            <a:extLst>
              <a:ext uri="{FF2B5EF4-FFF2-40B4-BE49-F238E27FC236}">
                <a16:creationId xmlns:a16="http://schemas.microsoft.com/office/drawing/2014/main" id="{181AB6E9-A899-40A9-AB73-F867689F0B57}"/>
              </a:ext>
            </a:extLst>
          </xdr:cNvPr>
          <xdr:cNvGrpSpPr/>
        </xdr:nvGrpSpPr>
        <xdr:grpSpPr>
          <a:xfrm>
            <a:off x="161925" y="4694368"/>
            <a:ext cx="7115175" cy="1896932"/>
            <a:chOff x="142875" y="2532193"/>
            <a:chExt cx="7172325" cy="2100334"/>
          </a:xfrm>
        </xdr:grpSpPr>
        <xdr:graphicFrame macro="">
          <xdr:nvGraphicFramePr>
            <xdr:cNvPr id="42" name="Chart 41">
              <a:extLst>
                <a:ext uri="{FF2B5EF4-FFF2-40B4-BE49-F238E27FC236}">
                  <a16:creationId xmlns:a16="http://schemas.microsoft.com/office/drawing/2014/main" id="{C7252DA5-7F21-1690-4E98-D46FEDFBEE2C}"/>
                </a:ext>
              </a:extLst>
            </xdr:cNvPr>
            <xdr:cNvGraphicFramePr/>
          </xdr:nvGraphicFramePr>
          <xdr:xfrm>
            <a:off x="142875" y="2835073"/>
            <a:ext cx="2286000" cy="1784552"/>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43" name="Group 42">
              <a:extLst>
                <a:ext uri="{FF2B5EF4-FFF2-40B4-BE49-F238E27FC236}">
                  <a16:creationId xmlns:a16="http://schemas.microsoft.com/office/drawing/2014/main" id="{52280B6D-7997-3241-65A2-E216E987379C}"/>
                </a:ext>
              </a:extLst>
            </xdr:cNvPr>
            <xdr:cNvGrpSpPr/>
          </xdr:nvGrpSpPr>
          <xdr:grpSpPr>
            <a:xfrm>
              <a:off x="284285" y="2532193"/>
              <a:ext cx="1906465" cy="291751"/>
              <a:chOff x="389060" y="2532193"/>
              <a:chExt cx="1669073" cy="291751"/>
            </a:xfrm>
          </xdr:grpSpPr>
          <xdr:sp macro="" textlink="">
            <xdr:nvSpPr>
              <xdr:cNvPr id="52" name="TextBox 51">
                <a:extLst>
                  <a:ext uri="{FF2B5EF4-FFF2-40B4-BE49-F238E27FC236}">
                    <a16:creationId xmlns:a16="http://schemas.microsoft.com/office/drawing/2014/main" id="{17637BFE-0822-A8F7-2FFD-C935EA85CC0F}"/>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Net</a:t>
                </a:r>
                <a:r>
                  <a:rPr lang="en-IN" sz="1050" baseline="0">
                    <a:solidFill>
                      <a:srgbClr val="EC6A14"/>
                    </a:solidFill>
                  </a:rPr>
                  <a:t> Margin</a:t>
                </a:r>
                <a:r>
                  <a:rPr lang="en-IN" sz="1050">
                    <a:solidFill>
                      <a:srgbClr val="EC6A14"/>
                    </a:solidFill>
                  </a:rPr>
                  <a:t> (INR Crs.)</a:t>
                </a:r>
              </a:p>
            </xdr:txBody>
          </xdr:sp>
          <xdr:cxnSp macro="">
            <xdr:nvCxnSpPr>
              <xdr:cNvPr id="53" name="Straight Connector 52">
                <a:extLst>
                  <a:ext uri="{FF2B5EF4-FFF2-40B4-BE49-F238E27FC236}">
                    <a16:creationId xmlns:a16="http://schemas.microsoft.com/office/drawing/2014/main" id="{B8231CB3-4C8F-2937-C795-45627A7CBB75}"/>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aphicFrame macro="">
          <xdr:nvGraphicFramePr>
            <xdr:cNvPr id="44" name="Chart 43">
              <a:extLst>
                <a:ext uri="{FF2B5EF4-FFF2-40B4-BE49-F238E27FC236}">
                  <a16:creationId xmlns:a16="http://schemas.microsoft.com/office/drawing/2014/main" id="{4626CF2B-A257-D305-ADD8-1C02DDDC5DE9}"/>
                </a:ext>
              </a:extLst>
            </xdr:cNvPr>
            <xdr:cNvGraphicFramePr>
              <a:graphicFrameLocks/>
            </xdr:cNvGraphicFramePr>
          </xdr:nvGraphicFramePr>
          <xdr:xfrm>
            <a:off x="2628900" y="2838451"/>
            <a:ext cx="2286000" cy="178455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5" name="Chart 44">
              <a:extLst>
                <a:ext uri="{FF2B5EF4-FFF2-40B4-BE49-F238E27FC236}">
                  <a16:creationId xmlns:a16="http://schemas.microsoft.com/office/drawing/2014/main" id="{DA9CDB8F-B790-FF61-7AB7-ED904031866F}"/>
                </a:ext>
              </a:extLst>
            </xdr:cNvPr>
            <xdr:cNvGraphicFramePr>
              <a:graphicFrameLocks/>
            </xdr:cNvGraphicFramePr>
          </xdr:nvGraphicFramePr>
          <xdr:xfrm>
            <a:off x="5029200" y="2847975"/>
            <a:ext cx="2286000" cy="1784552"/>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46" name="Group 45">
              <a:extLst>
                <a:ext uri="{FF2B5EF4-FFF2-40B4-BE49-F238E27FC236}">
                  <a16:creationId xmlns:a16="http://schemas.microsoft.com/office/drawing/2014/main" id="{F3D3EF6B-20D3-04F0-4F85-EBB09EC6C465}"/>
                </a:ext>
              </a:extLst>
            </xdr:cNvPr>
            <xdr:cNvGrpSpPr/>
          </xdr:nvGrpSpPr>
          <xdr:grpSpPr>
            <a:xfrm>
              <a:off x="5265860" y="2532193"/>
              <a:ext cx="1906465" cy="291751"/>
              <a:chOff x="389060" y="2532193"/>
              <a:chExt cx="1669073" cy="291751"/>
            </a:xfrm>
          </xdr:grpSpPr>
          <xdr:sp macro="" textlink="">
            <xdr:nvSpPr>
              <xdr:cNvPr id="50" name="TextBox 49">
                <a:extLst>
                  <a:ext uri="{FF2B5EF4-FFF2-40B4-BE49-F238E27FC236}">
                    <a16:creationId xmlns:a16="http://schemas.microsoft.com/office/drawing/2014/main" id="{ECA3B123-1048-16BF-4288-DBD5805F3619}"/>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aseline="0">
                    <a:solidFill>
                      <a:srgbClr val="EC6A14"/>
                    </a:solidFill>
                  </a:rPr>
                  <a:t>ROA </a:t>
                </a:r>
                <a:r>
                  <a:rPr lang="en-IN" sz="1050">
                    <a:solidFill>
                      <a:srgbClr val="EC6A14"/>
                    </a:solidFill>
                  </a:rPr>
                  <a:t>(INR Crs.)</a:t>
                </a:r>
              </a:p>
            </xdr:txBody>
          </xdr:sp>
          <xdr:cxnSp macro="">
            <xdr:nvCxnSpPr>
              <xdr:cNvPr id="51" name="Straight Connector 50">
                <a:extLst>
                  <a:ext uri="{FF2B5EF4-FFF2-40B4-BE49-F238E27FC236}">
                    <a16:creationId xmlns:a16="http://schemas.microsoft.com/office/drawing/2014/main" id="{B8237ADE-A755-3F84-39AD-6BD0078F7EA7}"/>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7" name="Group 46">
              <a:extLst>
                <a:ext uri="{FF2B5EF4-FFF2-40B4-BE49-F238E27FC236}">
                  <a16:creationId xmlns:a16="http://schemas.microsoft.com/office/drawing/2014/main" id="{ACB6DCFB-5BCB-33AB-9D24-A3A72350590F}"/>
                </a:ext>
              </a:extLst>
            </xdr:cNvPr>
            <xdr:cNvGrpSpPr/>
          </xdr:nvGrpSpPr>
          <xdr:grpSpPr>
            <a:xfrm>
              <a:off x="2760785" y="2532193"/>
              <a:ext cx="1906465" cy="291751"/>
              <a:chOff x="389060" y="2532193"/>
              <a:chExt cx="1669073" cy="291751"/>
            </a:xfrm>
          </xdr:grpSpPr>
          <xdr:sp macro="" textlink="">
            <xdr:nvSpPr>
              <xdr:cNvPr id="48" name="TextBox 47">
                <a:extLst>
                  <a:ext uri="{FF2B5EF4-FFF2-40B4-BE49-F238E27FC236}">
                    <a16:creationId xmlns:a16="http://schemas.microsoft.com/office/drawing/2014/main" id="{A0EC99AA-CA75-47CE-C641-21ED1B81E9EB}"/>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ROE (INR Crs.)</a:t>
                </a:r>
              </a:p>
            </xdr:txBody>
          </xdr:sp>
          <xdr:cxnSp macro="">
            <xdr:nvCxnSpPr>
              <xdr:cNvPr id="49" name="Straight Connector 48">
                <a:extLst>
                  <a:ext uri="{FF2B5EF4-FFF2-40B4-BE49-F238E27FC236}">
                    <a16:creationId xmlns:a16="http://schemas.microsoft.com/office/drawing/2014/main" id="{77E6C8A5-016E-9CD8-6FBA-B345AE6ACA40}"/>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xdr:from>
      <xdr:col>0</xdr:col>
      <xdr:colOff>47625</xdr:colOff>
      <xdr:row>34</xdr:row>
      <xdr:rowOff>140654</xdr:rowOff>
    </xdr:from>
    <xdr:to>
      <xdr:col>8</xdr:col>
      <xdr:colOff>733425</xdr:colOff>
      <xdr:row>45</xdr:row>
      <xdr:rowOff>151218</xdr:rowOff>
    </xdr:to>
    <xdr:sp macro="" textlink="">
      <xdr:nvSpPr>
        <xdr:cNvPr id="2" name="TextBox 1">
          <a:extLst>
            <a:ext uri="{FF2B5EF4-FFF2-40B4-BE49-F238E27FC236}">
              <a16:creationId xmlns:a16="http://schemas.microsoft.com/office/drawing/2014/main" id="{2FD64F1F-3CDF-438B-39D9-D29BE426D360}"/>
            </a:ext>
          </a:extLst>
        </xdr:cNvPr>
        <xdr:cNvSpPr txBox="1"/>
      </xdr:nvSpPr>
      <xdr:spPr>
        <a:xfrm>
          <a:off x="47625" y="6850693"/>
          <a:ext cx="7233082" cy="2082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b="1" i="0">
              <a:solidFill>
                <a:srgbClr val="EC6A14"/>
              </a:solidFill>
              <a:effectLst/>
              <a:latin typeface="+mn-lt"/>
              <a:ea typeface="+mn-ea"/>
              <a:cs typeface="+mn-cs"/>
            </a:rPr>
            <a:t>Recent Updates</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q"/>
            <a:tabLst/>
            <a:defRPr/>
          </a:pPr>
          <a:r>
            <a:rPr lang="en-IN" sz="1100" b="1" i="0">
              <a:solidFill>
                <a:srgbClr val="EC6A14"/>
              </a:solidFill>
              <a:effectLst/>
              <a:latin typeface="+mn-lt"/>
              <a:ea typeface="+mn-ea"/>
              <a:cs typeface="+mn-cs"/>
            </a:rPr>
            <a:t>Paints company Asian Paints announced Q4FY26 &amp; FY26 results</a:t>
          </a:r>
          <a:endParaRPr lang="en-IN" sz="1100" b="0" i="0">
            <a:solidFill>
              <a:srgbClr val="EC6A14"/>
            </a:solidFill>
            <a:effectLst/>
            <a:latin typeface="+mn-lt"/>
            <a:ea typeface="+mn-ea"/>
            <a:cs typeface="+mn-cs"/>
          </a:endParaRPr>
        </a:p>
        <a:p>
          <a:pPr marL="171450" indent="-171450">
            <a:buFont typeface="Arial" panose="020B0604020202020204" pitchFamily="34" charset="0"/>
            <a:buChar char="•"/>
          </a:pPr>
          <a:r>
            <a:rPr lang="en-IN" sz="1100" b="0" i="0">
              <a:solidFill>
                <a:schemeClr val="dk1"/>
              </a:solidFill>
              <a:effectLst/>
              <a:latin typeface="+mn-lt"/>
              <a:ea typeface="+mn-ea"/>
              <a:cs typeface="+mn-cs"/>
            </a:rPr>
            <a:t>Consolidated Net Sales increased by 10.8% to Rs 9,228.5 crore from Rs 8,329.6 crore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PBDIT (Profit before depreciation, interest, tax and other income) increased by 24.4% to Rs 1,786.6 crore from Rs 1,436.2 crore.</a:t>
          </a:r>
        </a:p>
        <a:p>
          <a:pPr marL="171450" indent="-171450">
            <a:buFont typeface="Wingdings" panose="05000000000000000000" pitchFamily="2" charset="2"/>
            <a:buChar char="q"/>
          </a:pPr>
          <a:r>
            <a:rPr lang="en-IN" sz="1100" b="1" i="0">
              <a:solidFill>
                <a:srgbClr val="EC6A14"/>
              </a:solidFill>
              <a:effectLst/>
              <a:latin typeface="+mn-lt"/>
              <a:ea typeface="+mn-ea"/>
              <a:cs typeface="+mn-cs"/>
            </a:rPr>
            <a:t>FY26 Consolidated Financial Highlights: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Consolidated Net Sales increased by 5.1% to Rs 35,516.4 crore from Rs 33,797.4 crore.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Net Profit after minority interest increased by 17.9% to Rs 4,325.4 crore from Rs 3,667.2 crore.</a:t>
          </a:r>
        </a:p>
        <a:p>
          <a:pPr marL="171450" indent="-171450">
            <a:buFont typeface="Wingdings" panose="05000000000000000000" pitchFamily="2" charset="2"/>
            <a:buChar char="q"/>
          </a:pPr>
          <a:r>
            <a:rPr lang="en-IN" sz="1100" b="1" i="0">
              <a:solidFill>
                <a:srgbClr val="EC6A14"/>
              </a:solidFill>
              <a:effectLst/>
              <a:latin typeface="+mn-lt"/>
              <a:ea typeface="+mn-ea"/>
              <a:cs typeface="+mn-cs"/>
            </a:rPr>
            <a:t>FY26 Standalone Financial Highlights: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Net Sales increased by 4.3% to Rs 30,680.2 crore from Rs 29,421.1 crore.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Net Profit increased by 18.3% to Rs 4,244.2 crore from Rs 3,588.1 crore.</a:t>
          </a:r>
          <a:endParaRPr lang="en-IN">
            <a:effectLst/>
            <a:latin typeface="+mn-l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100" b="0" i="0">
            <a:solidFill>
              <a:schemeClr val="dk1"/>
            </a:solidFill>
            <a:effectLst/>
            <a:latin typeface="+mn-lt"/>
            <a:ea typeface="+mn-ea"/>
            <a:cs typeface="+mn-cs"/>
          </a:endParaRPr>
        </a:p>
      </xdr:txBody>
    </xdr:sp>
    <xdr:clientData/>
  </xdr:twoCellAnchor>
  <xdr:twoCellAnchor>
    <xdr:from>
      <xdr:col>0</xdr:col>
      <xdr:colOff>46653</xdr:colOff>
      <xdr:row>90</xdr:row>
      <xdr:rowOff>1</xdr:rowOff>
    </xdr:from>
    <xdr:to>
      <xdr:col>8</xdr:col>
      <xdr:colOff>556260</xdr:colOff>
      <xdr:row>98</xdr:row>
      <xdr:rowOff>47624</xdr:rowOff>
    </xdr:to>
    <xdr:sp macro="" textlink="">
      <xdr:nvSpPr>
        <xdr:cNvPr id="6" name="TextBox 5">
          <a:extLst>
            <a:ext uri="{FF2B5EF4-FFF2-40B4-BE49-F238E27FC236}">
              <a16:creationId xmlns:a16="http://schemas.microsoft.com/office/drawing/2014/main" id="{B4565ECE-7BDE-44B2-B9C6-90FE02F4E156}"/>
            </a:ext>
          </a:extLst>
        </xdr:cNvPr>
        <xdr:cNvSpPr txBox="1"/>
      </xdr:nvSpPr>
      <xdr:spPr>
        <a:xfrm>
          <a:off x="46653" y="16583026"/>
          <a:ext cx="7072332" cy="1323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b="1" i="0">
              <a:solidFill>
                <a:srgbClr val="EC6A14"/>
              </a:solidFill>
              <a:effectLst/>
              <a:latin typeface="+mn-lt"/>
              <a:ea typeface="+mn-ea"/>
              <a:cs typeface="+mn-cs"/>
            </a:rPr>
            <a:t>DUPONT</a:t>
          </a:r>
          <a:r>
            <a:rPr lang="en-IN" sz="1300" b="1" i="0" baseline="0">
              <a:solidFill>
                <a:srgbClr val="EC6A14"/>
              </a:solidFill>
              <a:effectLst/>
              <a:latin typeface="+mn-lt"/>
              <a:ea typeface="+mn-ea"/>
              <a:cs typeface="+mn-cs"/>
            </a:rPr>
            <a:t> Summary</a:t>
          </a:r>
          <a:endParaRPr lang="en-IN" sz="1300" b="1" i="0">
            <a:solidFill>
              <a:srgbClr val="EC6A14"/>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solidFill>
                <a:srgbClr val="EC6A14"/>
              </a:solidFill>
            </a:rPr>
            <a:t>ROE remained resilient during the COVID-19 period (FY2020–FY2022),</a:t>
          </a:r>
          <a:r>
            <a:rPr lang="en-IN">
              <a:solidFill>
                <a:srgbClr val="EC6A14"/>
              </a:solidFill>
            </a:rPr>
            <a:t> </a:t>
          </a:r>
          <a:r>
            <a:rPr lang="en-IN"/>
            <a:t>staying above </a:t>
          </a:r>
          <a:r>
            <a:rPr lang="en-IN" b="1"/>
            <a:t>23%</a:t>
          </a:r>
          <a:r>
            <a:rPr lang="en-IN"/>
            <a:t> despite disruptions in business operations and economic uncertainty.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solidFill>
                <a:srgbClr val="EC6A14"/>
              </a:solidFill>
            </a:rPr>
            <a:t>ROE reached its peak of 32.01% in FY2024,</a:t>
          </a:r>
          <a:r>
            <a:rPr lang="en-IN">
              <a:solidFill>
                <a:srgbClr val="EC6A14"/>
              </a:solidFill>
            </a:rPr>
            <a:t> </a:t>
          </a:r>
          <a:r>
            <a:rPr lang="en-IN"/>
            <a:t>driven by improvements in net profit margin and efficient asset utilization following the post-pandemic recovery.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solidFill>
                <a:srgbClr val="EC6A14"/>
              </a:solidFill>
            </a:rPr>
            <a:t>Asset Turnover remained relatively stable,</a:t>
          </a:r>
          <a:r>
            <a:rPr lang="en-IN">
              <a:solidFill>
                <a:srgbClr val="EC6A14"/>
              </a:solidFill>
            </a:rPr>
            <a:t> </a:t>
          </a:r>
          <a:r>
            <a:rPr lang="en-IN"/>
            <a:t>although it gradually declined after FY2023, indicating slower revenue generation relative to the expanding asset base. </a:t>
          </a:r>
        </a:p>
      </xdr:txBody>
    </xdr:sp>
    <xdr:clientData/>
  </xdr:twoCellAnchor>
  <xdr:twoCellAnchor>
    <xdr:from>
      <xdr:col>0</xdr:col>
      <xdr:colOff>46651</xdr:colOff>
      <xdr:row>98</xdr:row>
      <xdr:rowOff>48208</xdr:rowOff>
    </xdr:from>
    <xdr:to>
      <xdr:col>8</xdr:col>
      <xdr:colOff>617054</xdr:colOff>
      <xdr:row>101</xdr:row>
      <xdr:rowOff>104775</xdr:rowOff>
    </xdr:to>
    <xdr:sp macro="" textlink="">
      <xdr:nvSpPr>
        <xdr:cNvPr id="8" name="TextBox 7">
          <a:extLst>
            <a:ext uri="{FF2B5EF4-FFF2-40B4-BE49-F238E27FC236}">
              <a16:creationId xmlns:a16="http://schemas.microsoft.com/office/drawing/2014/main" id="{30BC6322-A2ED-48FE-81DF-1BFD54D26D09}"/>
            </a:ext>
          </a:extLst>
        </xdr:cNvPr>
        <xdr:cNvSpPr txBox="1"/>
      </xdr:nvSpPr>
      <xdr:spPr>
        <a:xfrm>
          <a:off x="46651" y="18878719"/>
          <a:ext cx="7097099" cy="603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solidFill>
                <a:srgbClr val="EC6A14"/>
              </a:solidFill>
            </a:rPr>
            <a:t>Disclaimer:</a:t>
          </a:r>
          <a:r>
            <a:rPr lang="en-IN">
              <a:solidFill>
                <a:srgbClr val="EC6A14"/>
              </a:solidFill>
            </a:rPr>
            <a:t> </a:t>
          </a:r>
          <a:r>
            <a:rPr lang="en-IN" sz="1000" i="1"/>
            <a:t>This report has been prepared solely for academic and educational purposes as part of an assignment. It does not constitute investment advice or a recommendation to buy or sell any security. The author is not liablefor any losses arising from the use of this report. Investors are advised to consult a </a:t>
          </a:r>
          <a:r>
            <a:rPr lang="en-IN" sz="1000" b="1" i="1"/>
            <a:t>SEBI-registered Research Analyst</a:t>
          </a:r>
          <a:r>
            <a:rPr lang="en-IN" sz="1000" i="1"/>
            <a:t> before making any investment decisions.</a:t>
          </a:r>
          <a:endParaRPr lang="en-IN" sz="1000" b="0" i="1">
            <a:solidFill>
              <a:schemeClr val="dk1"/>
            </a:solidFill>
            <a:effectLst/>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19049</xdr:colOff>
      <xdr:row>1</xdr:row>
      <xdr:rowOff>72389</xdr:rowOff>
    </xdr:from>
    <xdr:to>
      <xdr:col>8</xdr:col>
      <xdr:colOff>542128</xdr:colOff>
      <xdr:row>5</xdr:row>
      <xdr:rowOff>57149</xdr:rowOff>
    </xdr:to>
    <xdr:pic>
      <xdr:nvPicPr>
        <xdr:cNvPr id="2" name="Picture 1">
          <a:extLst>
            <a:ext uri="{FF2B5EF4-FFF2-40B4-BE49-F238E27FC236}">
              <a16:creationId xmlns:a16="http://schemas.microsoft.com/office/drawing/2014/main" id="{6F7C6756-F80B-476A-ADA4-95908019E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7869" y="201929"/>
          <a:ext cx="1262219" cy="1211580"/>
        </a:xfrm>
        <a:prstGeom prst="rect">
          <a:avLst/>
        </a:prstGeom>
      </xdr:spPr>
    </xdr:pic>
    <xdr:clientData/>
  </xdr:twoCellAnchor>
  <xdr:twoCellAnchor>
    <xdr:from>
      <xdr:col>1</xdr:col>
      <xdr:colOff>17650</xdr:colOff>
      <xdr:row>13</xdr:row>
      <xdr:rowOff>8068</xdr:rowOff>
    </xdr:from>
    <xdr:to>
      <xdr:col>8</xdr:col>
      <xdr:colOff>678264</xdr:colOff>
      <xdr:row>32</xdr:row>
      <xdr:rowOff>84666</xdr:rowOff>
    </xdr:to>
    <xdr:grpSp>
      <xdr:nvGrpSpPr>
        <xdr:cNvPr id="3" name="Group 2">
          <a:extLst>
            <a:ext uri="{FF2B5EF4-FFF2-40B4-BE49-F238E27FC236}">
              <a16:creationId xmlns:a16="http://schemas.microsoft.com/office/drawing/2014/main" id="{D5310156-E6AA-4974-B328-12EC5BB5D2FD}"/>
            </a:ext>
          </a:extLst>
        </xdr:cNvPr>
        <xdr:cNvGrpSpPr/>
      </xdr:nvGrpSpPr>
      <xdr:grpSpPr>
        <a:xfrm>
          <a:off x="144650" y="2937535"/>
          <a:ext cx="7146081" cy="3615664"/>
          <a:chOff x="151106" y="2694118"/>
          <a:chExt cx="7125994" cy="3897182"/>
        </a:xfrm>
      </xdr:grpSpPr>
      <xdr:grpSp>
        <xdr:nvGrpSpPr>
          <xdr:cNvPr id="4" name="Group 3">
            <a:extLst>
              <a:ext uri="{FF2B5EF4-FFF2-40B4-BE49-F238E27FC236}">
                <a16:creationId xmlns:a16="http://schemas.microsoft.com/office/drawing/2014/main" id="{314FB1C2-556A-8877-295B-6ACB765CE527}"/>
              </a:ext>
            </a:extLst>
          </xdr:cNvPr>
          <xdr:cNvGrpSpPr/>
        </xdr:nvGrpSpPr>
        <xdr:grpSpPr>
          <a:xfrm>
            <a:off x="151106" y="2694118"/>
            <a:ext cx="7125994" cy="1896932"/>
            <a:chOff x="131969" y="2532193"/>
            <a:chExt cx="7183231" cy="2100334"/>
          </a:xfrm>
        </xdr:grpSpPr>
        <xdr:graphicFrame macro="">
          <xdr:nvGraphicFramePr>
            <xdr:cNvPr id="18" name="Chart 17">
              <a:extLst>
                <a:ext uri="{FF2B5EF4-FFF2-40B4-BE49-F238E27FC236}">
                  <a16:creationId xmlns:a16="http://schemas.microsoft.com/office/drawing/2014/main" id="{6B806683-2687-34C3-3A13-6ACD5A268BC1}"/>
                </a:ext>
              </a:extLst>
            </xdr:cNvPr>
            <xdr:cNvGraphicFramePr/>
          </xdr:nvGraphicFramePr>
          <xdr:xfrm>
            <a:off x="142875" y="2835073"/>
            <a:ext cx="2286000" cy="1784552"/>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9" name="Group 18">
              <a:extLst>
                <a:ext uri="{FF2B5EF4-FFF2-40B4-BE49-F238E27FC236}">
                  <a16:creationId xmlns:a16="http://schemas.microsoft.com/office/drawing/2014/main" id="{6EA5F7BD-6484-B6DA-EDE3-67C80C5D1334}"/>
                </a:ext>
              </a:extLst>
            </xdr:cNvPr>
            <xdr:cNvGrpSpPr/>
          </xdr:nvGrpSpPr>
          <xdr:grpSpPr>
            <a:xfrm>
              <a:off x="131969" y="2532193"/>
              <a:ext cx="2177621" cy="323045"/>
              <a:chOff x="255710" y="2532193"/>
              <a:chExt cx="1906465" cy="323045"/>
            </a:xfrm>
          </xdr:grpSpPr>
          <xdr:sp macro="" textlink="">
            <xdr:nvSpPr>
              <xdr:cNvPr id="28" name="TextBox 27">
                <a:extLst>
                  <a:ext uri="{FF2B5EF4-FFF2-40B4-BE49-F238E27FC236}">
                    <a16:creationId xmlns:a16="http://schemas.microsoft.com/office/drawing/2014/main" id="{5E60FFBF-8873-AC6D-88D8-EAA24F6EE6E8}"/>
                  </a:ext>
                </a:extLst>
              </xdr:cNvPr>
              <xdr:cNvSpPr txBox="1"/>
            </xdr:nvSpPr>
            <xdr:spPr>
              <a:xfrm>
                <a:off x="425636" y="2551578"/>
                <a:ext cx="1563682" cy="303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Working Capital/Total Assets </a:t>
                </a:r>
              </a:p>
            </xdr:txBody>
          </xdr:sp>
          <xdr:cxnSp macro="">
            <xdr:nvCxnSpPr>
              <xdr:cNvPr id="29" name="Straight Connector 28">
                <a:extLst>
                  <a:ext uri="{FF2B5EF4-FFF2-40B4-BE49-F238E27FC236}">
                    <a16:creationId xmlns:a16="http://schemas.microsoft.com/office/drawing/2014/main" id="{53450053-1E94-5585-523F-04AFCE18732A}"/>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aphicFrame macro="">
          <xdr:nvGraphicFramePr>
            <xdr:cNvPr id="20" name="Chart 19">
              <a:extLst>
                <a:ext uri="{FF2B5EF4-FFF2-40B4-BE49-F238E27FC236}">
                  <a16:creationId xmlns:a16="http://schemas.microsoft.com/office/drawing/2014/main" id="{BC1A1E0E-B386-510A-DDAB-E967FDC196F7}"/>
                </a:ext>
              </a:extLst>
            </xdr:cNvPr>
            <xdr:cNvGraphicFramePr>
              <a:graphicFrameLocks/>
            </xdr:cNvGraphicFramePr>
          </xdr:nvGraphicFramePr>
          <xdr:xfrm>
            <a:off x="2628900" y="2838450"/>
            <a:ext cx="2286000" cy="178455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7F1296AD-7942-2145-929C-21AE7CD7F951}"/>
                </a:ext>
              </a:extLst>
            </xdr:cNvPr>
            <xdr:cNvGraphicFramePr>
              <a:graphicFrameLocks/>
            </xdr:cNvGraphicFramePr>
          </xdr:nvGraphicFramePr>
          <xdr:xfrm>
            <a:off x="5029200" y="2847975"/>
            <a:ext cx="2286000" cy="1784552"/>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22" name="Group 21">
              <a:extLst>
                <a:ext uri="{FF2B5EF4-FFF2-40B4-BE49-F238E27FC236}">
                  <a16:creationId xmlns:a16="http://schemas.microsoft.com/office/drawing/2014/main" id="{62A25301-2C43-AE35-A9A3-2163B9BCCB57}"/>
                </a:ext>
              </a:extLst>
            </xdr:cNvPr>
            <xdr:cNvGrpSpPr/>
          </xdr:nvGrpSpPr>
          <xdr:grpSpPr>
            <a:xfrm>
              <a:off x="5265860" y="2532193"/>
              <a:ext cx="1906465" cy="291751"/>
              <a:chOff x="389060" y="2532193"/>
              <a:chExt cx="1669073" cy="291751"/>
            </a:xfrm>
          </xdr:grpSpPr>
          <xdr:sp macro="" textlink="">
            <xdr:nvSpPr>
              <xdr:cNvPr id="26" name="TextBox 25">
                <a:extLst>
                  <a:ext uri="{FF2B5EF4-FFF2-40B4-BE49-F238E27FC236}">
                    <a16:creationId xmlns:a16="http://schemas.microsoft.com/office/drawing/2014/main" id="{4A940DC0-BC1C-DC05-96C5-F31824ACA779}"/>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EBIT/Total Assets</a:t>
                </a:r>
              </a:p>
            </xdr:txBody>
          </xdr:sp>
          <xdr:cxnSp macro="">
            <xdr:nvCxnSpPr>
              <xdr:cNvPr id="27" name="Straight Connector 26">
                <a:extLst>
                  <a:ext uri="{FF2B5EF4-FFF2-40B4-BE49-F238E27FC236}">
                    <a16:creationId xmlns:a16="http://schemas.microsoft.com/office/drawing/2014/main" id="{12308D0C-6D9A-3947-3D3F-8867A6EDA045}"/>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Group 22">
              <a:extLst>
                <a:ext uri="{FF2B5EF4-FFF2-40B4-BE49-F238E27FC236}">
                  <a16:creationId xmlns:a16="http://schemas.microsoft.com/office/drawing/2014/main" id="{4C1F2FF8-590C-5C26-8365-274E09BCDE3F}"/>
                </a:ext>
              </a:extLst>
            </xdr:cNvPr>
            <xdr:cNvGrpSpPr/>
          </xdr:nvGrpSpPr>
          <xdr:grpSpPr>
            <a:xfrm>
              <a:off x="2608469" y="2532193"/>
              <a:ext cx="2177620" cy="291751"/>
              <a:chOff x="255710" y="2532193"/>
              <a:chExt cx="1906465" cy="291751"/>
            </a:xfrm>
          </xdr:grpSpPr>
          <xdr:sp macro="" textlink="">
            <xdr:nvSpPr>
              <xdr:cNvPr id="24" name="TextBox 23">
                <a:extLst>
                  <a:ext uri="{FF2B5EF4-FFF2-40B4-BE49-F238E27FC236}">
                    <a16:creationId xmlns:a16="http://schemas.microsoft.com/office/drawing/2014/main" id="{781DF11E-5F6F-5437-9797-7414181DA9BA}"/>
                  </a:ext>
                </a:extLst>
              </xdr:cNvPr>
              <xdr:cNvSpPr txBox="1"/>
            </xdr:nvSpPr>
            <xdr:spPr>
              <a:xfrm>
                <a:off x="447591" y="2533650"/>
                <a:ext cx="1642219"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Retained Earnings/Total Assets</a:t>
                </a:r>
              </a:p>
            </xdr:txBody>
          </xdr:sp>
          <xdr:cxnSp macro="">
            <xdr:nvCxnSpPr>
              <xdr:cNvPr id="25" name="Straight Connector 24">
                <a:extLst>
                  <a:ext uri="{FF2B5EF4-FFF2-40B4-BE49-F238E27FC236}">
                    <a16:creationId xmlns:a16="http://schemas.microsoft.com/office/drawing/2014/main" id="{22831DDA-1413-3BA8-7EE9-3803BC648703}"/>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5" name="Group 4">
            <a:extLst>
              <a:ext uri="{FF2B5EF4-FFF2-40B4-BE49-F238E27FC236}">
                <a16:creationId xmlns:a16="http://schemas.microsoft.com/office/drawing/2014/main" id="{14EE380B-4150-14F9-5313-F5988C06F395}"/>
              </a:ext>
            </a:extLst>
          </xdr:cNvPr>
          <xdr:cNvGrpSpPr/>
        </xdr:nvGrpSpPr>
        <xdr:grpSpPr>
          <a:xfrm>
            <a:off x="151106" y="4694368"/>
            <a:ext cx="7125994" cy="1896932"/>
            <a:chOff x="131969" y="2532193"/>
            <a:chExt cx="7183231" cy="2100334"/>
          </a:xfrm>
        </xdr:grpSpPr>
        <xdr:graphicFrame macro="">
          <xdr:nvGraphicFramePr>
            <xdr:cNvPr id="6" name="Chart 5">
              <a:extLst>
                <a:ext uri="{FF2B5EF4-FFF2-40B4-BE49-F238E27FC236}">
                  <a16:creationId xmlns:a16="http://schemas.microsoft.com/office/drawing/2014/main" id="{E48A0DD6-75D3-F314-409E-9C78C104001D}"/>
                </a:ext>
              </a:extLst>
            </xdr:cNvPr>
            <xdr:cNvGraphicFramePr/>
          </xdr:nvGraphicFramePr>
          <xdr:xfrm>
            <a:off x="142875" y="2835073"/>
            <a:ext cx="2286000" cy="1784552"/>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7" name="Group 6">
              <a:extLst>
                <a:ext uri="{FF2B5EF4-FFF2-40B4-BE49-F238E27FC236}">
                  <a16:creationId xmlns:a16="http://schemas.microsoft.com/office/drawing/2014/main" id="{B61843AB-BA74-B2E2-A03C-88DC43A804D5}"/>
                </a:ext>
              </a:extLst>
            </xdr:cNvPr>
            <xdr:cNvGrpSpPr/>
          </xdr:nvGrpSpPr>
          <xdr:grpSpPr>
            <a:xfrm>
              <a:off x="131969" y="2532193"/>
              <a:ext cx="2177621" cy="291751"/>
              <a:chOff x="255710" y="2532193"/>
              <a:chExt cx="1906465" cy="291751"/>
            </a:xfrm>
          </xdr:grpSpPr>
          <xdr:sp macro="" textlink="">
            <xdr:nvSpPr>
              <xdr:cNvPr id="16" name="TextBox 15">
                <a:extLst>
                  <a:ext uri="{FF2B5EF4-FFF2-40B4-BE49-F238E27FC236}">
                    <a16:creationId xmlns:a16="http://schemas.microsoft.com/office/drawing/2014/main" id="{860A681D-1091-EB54-7CD7-4D6F503B3B63}"/>
                  </a:ext>
                </a:extLst>
              </xdr:cNvPr>
              <xdr:cNvSpPr txBox="1"/>
            </xdr:nvSpPr>
            <xdr:spPr>
              <a:xfrm>
                <a:off x="342739" y="2533650"/>
                <a:ext cx="1792942"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Market Cap./Long Term Liabilities</a:t>
                </a:r>
              </a:p>
            </xdr:txBody>
          </xdr:sp>
          <xdr:cxnSp macro="">
            <xdr:nvCxnSpPr>
              <xdr:cNvPr id="17" name="Straight Connector 16">
                <a:extLst>
                  <a:ext uri="{FF2B5EF4-FFF2-40B4-BE49-F238E27FC236}">
                    <a16:creationId xmlns:a16="http://schemas.microsoft.com/office/drawing/2014/main" id="{A2EF4E63-A4AC-6D8D-E32A-FD3D86FABB1D}"/>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aphicFrame macro="">
          <xdr:nvGraphicFramePr>
            <xdr:cNvPr id="8" name="Chart 7">
              <a:extLst>
                <a:ext uri="{FF2B5EF4-FFF2-40B4-BE49-F238E27FC236}">
                  <a16:creationId xmlns:a16="http://schemas.microsoft.com/office/drawing/2014/main" id="{BF4D8737-9ADB-8C42-6EBB-0CCE85C1601B}"/>
                </a:ext>
              </a:extLst>
            </xdr:cNvPr>
            <xdr:cNvGraphicFramePr>
              <a:graphicFrameLocks/>
            </xdr:cNvGraphicFramePr>
          </xdr:nvGraphicFramePr>
          <xdr:xfrm>
            <a:off x="2628900" y="2838451"/>
            <a:ext cx="2286000" cy="178455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 name="Chart 8">
              <a:extLst>
                <a:ext uri="{FF2B5EF4-FFF2-40B4-BE49-F238E27FC236}">
                  <a16:creationId xmlns:a16="http://schemas.microsoft.com/office/drawing/2014/main" id="{40D27F8B-C77B-90AD-FC8F-52D93665F3A5}"/>
                </a:ext>
              </a:extLst>
            </xdr:cNvPr>
            <xdr:cNvGraphicFramePr>
              <a:graphicFrameLocks/>
            </xdr:cNvGraphicFramePr>
          </xdr:nvGraphicFramePr>
          <xdr:xfrm>
            <a:off x="5029200" y="2847975"/>
            <a:ext cx="2286000" cy="1784552"/>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0" name="Group 9">
              <a:extLst>
                <a:ext uri="{FF2B5EF4-FFF2-40B4-BE49-F238E27FC236}">
                  <a16:creationId xmlns:a16="http://schemas.microsoft.com/office/drawing/2014/main" id="{337AF068-960B-532C-318D-469BF4199256}"/>
                </a:ext>
              </a:extLst>
            </xdr:cNvPr>
            <xdr:cNvGrpSpPr/>
          </xdr:nvGrpSpPr>
          <xdr:grpSpPr>
            <a:xfrm>
              <a:off x="5265860" y="2532193"/>
              <a:ext cx="1906465" cy="291751"/>
              <a:chOff x="389060" y="2532193"/>
              <a:chExt cx="1669073" cy="291751"/>
            </a:xfrm>
          </xdr:grpSpPr>
          <xdr:sp macro="" textlink="">
            <xdr:nvSpPr>
              <xdr:cNvPr id="14" name="TextBox 13">
                <a:extLst>
                  <a:ext uri="{FF2B5EF4-FFF2-40B4-BE49-F238E27FC236}">
                    <a16:creationId xmlns:a16="http://schemas.microsoft.com/office/drawing/2014/main" id="{09B99377-A92B-23A3-DA30-25C3915B2E8C}"/>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aseline="0">
                    <a:solidFill>
                      <a:srgbClr val="EC6A14"/>
                    </a:solidFill>
                  </a:rPr>
                  <a:t>Altman's Z Score</a:t>
                </a:r>
                <a:endParaRPr lang="en-IN" sz="1050">
                  <a:solidFill>
                    <a:srgbClr val="EC6A14"/>
                  </a:solidFill>
                </a:endParaRPr>
              </a:p>
            </xdr:txBody>
          </xdr:sp>
          <xdr:cxnSp macro="">
            <xdr:nvCxnSpPr>
              <xdr:cNvPr id="15" name="Straight Connector 14">
                <a:extLst>
                  <a:ext uri="{FF2B5EF4-FFF2-40B4-BE49-F238E27FC236}">
                    <a16:creationId xmlns:a16="http://schemas.microsoft.com/office/drawing/2014/main" id="{C44491C1-DC9B-B9BE-4938-279C6A372966}"/>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11" name="Group 10">
              <a:extLst>
                <a:ext uri="{FF2B5EF4-FFF2-40B4-BE49-F238E27FC236}">
                  <a16:creationId xmlns:a16="http://schemas.microsoft.com/office/drawing/2014/main" id="{25C41209-A57E-650A-0BDE-8114DCB8A116}"/>
                </a:ext>
              </a:extLst>
            </xdr:cNvPr>
            <xdr:cNvGrpSpPr/>
          </xdr:nvGrpSpPr>
          <xdr:grpSpPr>
            <a:xfrm>
              <a:off x="2760785" y="2532193"/>
              <a:ext cx="1906465" cy="291751"/>
              <a:chOff x="389060" y="2532193"/>
              <a:chExt cx="1669073" cy="291751"/>
            </a:xfrm>
          </xdr:grpSpPr>
          <xdr:sp macro="" textlink="">
            <xdr:nvSpPr>
              <xdr:cNvPr id="12" name="TextBox 11">
                <a:extLst>
                  <a:ext uri="{FF2B5EF4-FFF2-40B4-BE49-F238E27FC236}">
                    <a16:creationId xmlns:a16="http://schemas.microsoft.com/office/drawing/2014/main" id="{76195274-8B4E-A4F0-10F2-A8F1BC5C5626}"/>
                  </a:ext>
                </a:extLst>
              </xdr:cNvPr>
              <xdr:cNvSpPr txBox="1"/>
            </xdr:nvSpPr>
            <xdr:spPr>
              <a:xfrm>
                <a:off x="623227" y="2533650"/>
                <a:ext cx="1206305" cy="290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rgbClr val="EC6A14"/>
                    </a:solidFill>
                  </a:rPr>
                  <a:t>Sales/Total Assets</a:t>
                </a:r>
              </a:p>
            </xdr:txBody>
          </xdr:sp>
          <xdr:cxnSp macro="">
            <xdr:nvCxnSpPr>
              <xdr:cNvPr id="13" name="Straight Connector 12">
                <a:extLst>
                  <a:ext uri="{FF2B5EF4-FFF2-40B4-BE49-F238E27FC236}">
                    <a16:creationId xmlns:a16="http://schemas.microsoft.com/office/drawing/2014/main" id="{848BA7D2-00C9-4DFA-2BBB-750A302B38D6}"/>
                  </a:ext>
                </a:extLst>
              </xdr:cNvPr>
              <xdr:cNvCxnSpPr/>
            </xdr:nvCxnSpPr>
            <xdr:spPr>
              <a:xfrm>
                <a:off x="255710" y="2532193"/>
                <a:ext cx="190646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xdr:from>
      <xdr:col>0</xdr:col>
      <xdr:colOff>47625</xdr:colOff>
      <xdr:row>32</xdr:row>
      <xdr:rowOff>2106</xdr:rowOff>
    </xdr:from>
    <xdr:to>
      <xdr:col>8</xdr:col>
      <xdr:colOff>733425</xdr:colOff>
      <xdr:row>44</xdr:row>
      <xdr:rowOff>161634</xdr:rowOff>
    </xdr:to>
    <xdr:sp macro="" textlink="">
      <xdr:nvSpPr>
        <xdr:cNvPr id="30" name="TextBox 29">
          <a:extLst>
            <a:ext uri="{FF2B5EF4-FFF2-40B4-BE49-F238E27FC236}">
              <a16:creationId xmlns:a16="http://schemas.microsoft.com/office/drawing/2014/main" id="{1A53F66C-7F84-421A-BD4A-593374B1729F}"/>
            </a:ext>
          </a:extLst>
        </xdr:cNvPr>
        <xdr:cNvSpPr txBox="1"/>
      </xdr:nvSpPr>
      <xdr:spPr>
        <a:xfrm>
          <a:off x="47625" y="6459864"/>
          <a:ext cx="7312891" cy="2414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a:solidFill>
                <a:srgbClr val="EC6A14"/>
              </a:solidFill>
            </a:rPr>
            <a:t>Chart Summary (Altman's Z-Score Analysis)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Working Capital/Total Assets</a:t>
          </a:r>
          <a:r>
            <a:rPr lang="en-IN"/>
            <a:t> declined from </a:t>
          </a:r>
          <a:r>
            <a:rPr lang="en-IN" b="1"/>
            <a:t>26.6% (2023)</a:t>
          </a:r>
          <a:r>
            <a:rPr lang="en-IN"/>
            <a:t> to </a:t>
          </a:r>
          <a:r>
            <a:rPr lang="en-IN" b="1"/>
            <a:t>19.6% (2026)</a:t>
          </a:r>
          <a:r>
            <a:rPr lang="en-IN"/>
            <a:t>, indicating a gradual reduction in short-term liquidity, though the ratio remains at a comfortable level.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Retained Earnings/Total Assets</a:t>
          </a:r>
          <a:r>
            <a:rPr lang="en-IN"/>
            <a:t> increased from </a:t>
          </a:r>
          <a:r>
            <a:rPr lang="en-IN" b="1"/>
            <a:t>6.7% (2023)</a:t>
          </a:r>
          <a:r>
            <a:rPr lang="en-IN"/>
            <a:t> to </a:t>
          </a:r>
          <a:r>
            <a:rPr lang="en-IN" b="1"/>
            <a:t>7.9% (2024)</a:t>
          </a:r>
          <a:r>
            <a:rPr lang="en-IN"/>
            <a:t> before moderating to </a:t>
          </a:r>
          <a:r>
            <a:rPr lang="en-IN" b="1"/>
            <a:t>5.1% (2026)</a:t>
          </a:r>
          <a:r>
            <a:rPr lang="en-IN"/>
            <a:t>, reflecting slower accumulation of retained profits in the forecast period.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EBIT/Total Assets</a:t>
          </a:r>
          <a:r>
            <a:rPr lang="en-IN"/>
            <a:t> peaked at </a:t>
          </a:r>
          <a:r>
            <a:rPr lang="en-IN" b="1"/>
            <a:t>25.3% (2024)</a:t>
          </a:r>
          <a:r>
            <a:rPr lang="en-IN"/>
            <a:t> and declined to </a:t>
          </a:r>
          <a:r>
            <a:rPr lang="en-IN" b="1"/>
            <a:t>18.0% (2026)</a:t>
          </a:r>
          <a:r>
            <a:rPr lang="en-IN"/>
            <a:t>, suggesting a moderation in operating profitability while remaining healthy.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Market Capitalization/Long-Term Liabilities</a:t>
          </a:r>
          <a:r>
            <a:rPr lang="en-IN"/>
            <a:t> showed a continuous decline from </a:t>
          </a:r>
          <a:r>
            <a:rPr lang="en-IN" b="1"/>
            <a:t>13,706.7% (2023)</a:t>
          </a:r>
          <a:r>
            <a:rPr lang="en-IN"/>
            <a:t> to </a:t>
          </a:r>
          <a:r>
            <a:rPr lang="en-IN" b="1"/>
            <a:t>5,286.1% (2026)</a:t>
          </a:r>
          <a:r>
            <a:rPr lang="en-IN"/>
            <a:t>, indicating reduced market valuation relative to long-term debt, although the coverage remains exceptionally strong. </a:t>
          </a:r>
          <a:r>
            <a:rPr lang="en-IN" b="1"/>
            <a:t>Sales/Total Assets</a:t>
          </a:r>
          <a:r>
            <a:rPr lang="en-IN"/>
            <a:t> decreased steadily from </a:t>
          </a:r>
          <a:r>
            <a:rPr lang="en-IN" b="1"/>
            <a:t>135.8% (2023)</a:t>
          </a:r>
          <a:r>
            <a:rPr lang="en-IN"/>
            <a:t> to </a:t>
          </a:r>
          <a:r>
            <a:rPr lang="en-IN" b="1"/>
            <a:t>103.1% (2026)</a:t>
          </a:r>
          <a:r>
            <a:rPr lang="en-IN"/>
            <a:t>, reflecting a gradual decline in asset utilization efficiency.</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b="1"/>
            <a:t>Altman's Z-Score</a:t>
          </a:r>
          <a:r>
            <a:rPr lang="en-IN"/>
            <a:t> fell from </a:t>
          </a:r>
          <a:r>
            <a:rPr lang="en-IN" b="1"/>
            <a:t>84.7 (2023)</a:t>
          </a:r>
          <a:r>
            <a:rPr lang="en-IN"/>
            <a:t> to </a:t>
          </a:r>
          <a:r>
            <a:rPr lang="en-IN" b="1"/>
            <a:t>33.6 (2026)</a:t>
          </a:r>
          <a:r>
            <a:rPr lang="en-IN"/>
            <a:t>, primarily due to lower profitability, liquidity, and market valuation assumptions in the forecast.</a:t>
          </a:r>
          <a:endParaRPr lang="en-IN"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100" b="0" i="0">
            <a:solidFill>
              <a:schemeClr val="dk1"/>
            </a:solidFill>
            <a:effectLst/>
            <a:latin typeface="+mn-lt"/>
            <a:ea typeface="+mn-ea"/>
            <a:cs typeface="+mn-cs"/>
          </a:endParaRPr>
        </a:p>
      </xdr:txBody>
    </xdr:sp>
    <xdr:clientData/>
  </xdr:twoCellAnchor>
  <xdr:twoCellAnchor>
    <xdr:from>
      <xdr:col>0</xdr:col>
      <xdr:colOff>46650</xdr:colOff>
      <xdr:row>85</xdr:row>
      <xdr:rowOff>73331</xdr:rowOff>
    </xdr:from>
    <xdr:to>
      <xdr:col>8</xdr:col>
      <xdr:colOff>728504</xdr:colOff>
      <xdr:row>88</xdr:row>
      <xdr:rowOff>129898</xdr:rowOff>
    </xdr:to>
    <xdr:sp macro="" textlink="">
      <xdr:nvSpPr>
        <xdr:cNvPr id="32" name="TextBox 31">
          <a:extLst>
            <a:ext uri="{FF2B5EF4-FFF2-40B4-BE49-F238E27FC236}">
              <a16:creationId xmlns:a16="http://schemas.microsoft.com/office/drawing/2014/main" id="{D938DF2C-594D-4E4F-BD62-BFA66EF98B57}"/>
            </a:ext>
          </a:extLst>
        </xdr:cNvPr>
        <xdr:cNvSpPr txBox="1"/>
      </xdr:nvSpPr>
      <xdr:spPr>
        <a:xfrm>
          <a:off x="46650" y="16142320"/>
          <a:ext cx="7297019" cy="6092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solidFill>
                <a:srgbClr val="EC6A14"/>
              </a:solidFill>
            </a:rPr>
            <a:t>Disclaimer:</a:t>
          </a:r>
          <a:r>
            <a:rPr lang="en-IN">
              <a:solidFill>
                <a:srgbClr val="EC6A14"/>
              </a:solidFill>
            </a:rPr>
            <a:t> </a:t>
          </a:r>
          <a:r>
            <a:rPr lang="en-IN" sz="1000" i="1"/>
            <a:t>This report has been prepared solely for academic and educational purposes as part of an assignment. It does not constitute investment advice or a recommendation to buy or sell any security. The author is not liablefor any losses arising from the use of this report. Investors are advised to consult a </a:t>
          </a:r>
          <a:r>
            <a:rPr lang="en-IN" sz="1000" b="1" i="1"/>
            <a:t>SEBI-registered Research Analyst</a:t>
          </a:r>
          <a:r>
            <a:rPr lang="en-IN" sz="1000" i="1"/>
            <a:t> before making any investment decisions.</a:t>
          </a:r>
          <a:endParaRPr lang="en-IN" sz="1000" b="0" i="1">
            <a:solidFill>
              <a:schemeClr val="dk1"/>
            </a:solidFill>
            <a:effectLst/>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101600</xdr:colOff>
      <xdr:row>7</xdr:row>
      <xdr:rowOff>127000</xdr:rowOff>
    </xdr:from>
    <xdr:to>
      <xdr:col>5</xdr:col>
      <xdr:colOff>558801</xdr:colOff>
      <xdr:row>20</xdr:row>
      <xdr:rowOff>84667</xdr:rowOff>
    </xdr:to>
    <xdr:graphicFrame macro="">
      <xdr:nvGraphicFramePr>
        <xdr:cNvPr id="2" name="Chart 1">
          <a:extLst>
            <a:ext uri="{FF2B5EF4-FFF2-40B4-BE49-F238E27FC236}">
              <a16:creationId xmlns:a16="http://schemas.microsoft.com/office/drawing/2014/main" id="{9EE5D8FF-73DE-8DDF-8E2E-E8A4EA03C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110067</xdr:colOff>
      <xdr:row>20</xdr:row>
      <xdr:rowOff>143934</xdr:rowOff>
    </xdr:from>
    <xdr:to>
      <xdr:col>5</xdr:col>
      <xdr:colOff>541867</xdr:colOff>
      <xdr:row>33</xdr:row>
      <xdr:rowOff>152400</xdr:rowOff>
    </xdr:to>
    <xdr:graphicFrame macro="">
      <xdr:nvGraphicFramePr>
        <xdr:cNvPr id="3" name="Chart 2">
          <a:extLst>
            <a:ext uri="{FF2B5EF4-FFF2-40B4-BE49-F238E27FC236}">
              <a16:creationId xmlns:a16="http://schemas.microsoft.com/office/drawing/2014/main" id="{F9985CEB-A28E-1D01-00DD-6F4BE0FBD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220134</xdr:colOff>
      <xdr:row>3</xdr:row>
      <xdr:rowOff>50800</xdr:rowOff>
    </xdr:from>
    <xdr:to>
      <xdr:col>37</xdr:col>
      <xdr:colOff>194734</xdr:colOff>
      <xdr:row>15</xdr:row>
      <xdr:rowOff>8467</xdr:rowOff>
    </xdr:to>
    <xdr:graphicFrame macro="">
      <xdr:nvGraphicFramePr>
        <xdr:cNvPr id="5" name="Chart 4">
          <a:extLst>
            <a:ext uri="{FF2B5EF4-FFF2-40B4-BE49-F238E27FC236}">
              <a16:creationId xmlns:a16="http://schemas.microsoft.com/office/drawing/2014/main" id="{4E20B116-614D-5A1E-4CE4-00C5251C8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screener.in/excel/"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DE039-3B8F-4435-81B1-6CC20BEED2CA}">
  <dimension ref="B1:M53"/>
  <sheetViews>
    <sheetView showGridLines="0" topLeftCell="A10" zoomScale="55" zoomScaleNormal="55" zoomScaleSheetLayoutView="92" workbookViewId="0">
      <selection activeCell="K39" sqref="K39"/>
    </sheetView>
  </sheetViews>
  <sheetFormatPr defaultRowHeight="14.4" x14ac:dyDescent="0.3"/>
  <cols>
    <col min="1" max="1" width="1.88671875" customWidth="1"/>
    <col min="4" max="4" width="10.88671875" customWidth="1"/>
    <col min="12" max="12" width="8.88671875" customWidth="1"/>
    <col min="13" max="13" width="1.88671875" customWidth="1"/>
  </cols>
  <sheetData>
    <row r="1" spans="2:13" x14ac:dyDescent="0.3">
      <c r="B1" s="155"/>
      <c r="C1" s="155"/>
      <c r="D1" s="155"/>
      <c r="E1" s="155"/>
      <c r="F1" s="155"/>
      <c r="G1" s="155"/>
      <c r="H1" s="155"/>
      <c r="I1" s="155"/>
      <c r="J1" s="155"/>
      <c r="K1" s="155"/>
      <c r="L1" s="155"/>
      <c r="M1" s="155"/>
    </row>
    <row r="2" spans="2:13" x14ac:dyDescent="0.3">
      <c r="B2" s="155"/>
      <c r="C2" s="155"/>
      <c r="D2" s="155"/>
      <c r="E2" s="155"/>
      <c r="F2" s="155"/>
      <c r="G2" s="155"/>
      <c r="H2" s="155"/>
      <c r="I2" s="155"/>
      <c r="J2" s="155"/>
      <c r="K2" s="155"/>
      <c r="L2" s="155"/>
      <c r="M2" s="155"/>
    </row>
    <row r="3" spans="2:13" x14ac:dyDescent="0.3">
      <c r="B3" s="155"/>
      <c r="C3" s="155"/>
      <c r="D3" s="155"/>
      <c r="E3" s="155"/>
      <c r="F3" s="155"/>
      <c r="G3" s="155"/>
      <c r="H3" s="155"/>
      <c r="I3" s="155"/>
      <c r="J3" s="155"/>
      <c r="K3" s="155"/>
      <c r="L3" s="155"/>
      <c r="M3" s="155"/>
    </row>
    <row r="4" spans="2:13" ht="5.4" customHeight="1" x14ac:dyDescent="0.3">
      <c r="B4" s="316"/>
      <c r="C4" s="316"/>
      <c r="D4" s="316"/>
      <c r="E4" s="316"/>
      <c r="F4" s="316"/>
      <c r="G4" s="316"/>
      <c r="H4" s="316"/>
      <c r="I4" s="316"/>
      <c r="J4" s="316"/>
      <c r="K4" s="316"/>
      <c r="L4" s="316"/>
      <c r="M4" s="316"/>
    </row>
    <row r="18" spans="3:11" ht="36" customHeight="1" x14ac:dyDescent="0.3"/>
    <row r="19" spans="3:11" ht="4.2" customHeight="1" x14ac:dyDescent="0.3"/>
    <row r="21" spans="3:11" ht="4.2" customHeight="1" x14ac:dyDescent="0.3"/>
    <row r="22" spans="3:11" x14ac:dyDescent="0.3">
      <c r="C22" s="267"/>
      <c r="K22" s="267"/>
    </row>
    <row r="23" spans="3:11" ht="21" x14ac:dyDescent="0.4">
      <c r="D23" s="317"/>
      <c r="E23" s="317"/>
      <c r="F23" s="317"/>
      <c r="G23" s="318" t="s">
        <v>664</v>
      </c>
      <c r="H23" s="317"/>
      <c r="I23" s="317"/>
      <c r="J23" s="317"/>
    </row>
    <row r="25" spans="3:11" ht="46.8" thickBot="1" x14ac:dyDescent="0.9">
      <c r="C25" s="319"/>
      <c r="D25" s="319"/>
      <c r="E25" s="320"/>
      <c r="F25" s="319"/>
      <c r="G25" s="321" t="s">
        <v>159</v>
      </c>
      <c r="H25" s="319"/>
      <c r="I25" s="319"/>
      <c r="J25" s="319"/>
      <c r="K25" s="319"/>
    </row>
    <row r="26" spans="3:11" ht="15" thickTop="1" x14ac:dyDescent="0.3"/>
    <row r="27" spans="3:11" x14ac:dyDescent="0.3">
      <c r="D27" s="109" t="s">
        <v>665</v>
      </c>
    </row>
    <row r="41" ht="10.8" customHeight="1" x14ac:dyDescent="0.3"/>
    <row r="53" spans="2:13" x14ac:dyDescent="0.3">
      <c r="B53" s="155"/>
      <c r="C53" s="155"/>
      <c r="D53" s="155"/>
      <c r="E53" s="155"/>
      <c r="F53" s="155"/>
      <c r="G53" s="155"/>
      <c r="H53" s="155"/>
      <c r="I53" s="155"/>
      <c r="J53" s="155"/>
      <c r="K53" s="155"/>
      <c r="L53" s="155"/>
      <c r="M53" s="155"/>
    </row>
  </sheetData>
  <pageMargins left="0.70866141732283472" right="0.39370078740157483" top="0.74803149606299213" bottom="0.74803149606299213" header="0.31496062992125984" footer="0.31496062992125984"/>
  <pageSetup paperSize="9" scale="8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A5839-8D95-41BB-925D-6E3AB5356074}">
  <dimension ref="A1:M41"/>
  <sheetViews>
    <sheetView showGridLines="0" zoomScale="56" zoomScaleNormal="77" workbookViewId="0">
      <selection activeCell="G26" sqref="G26"/>
    </sheetView>
  </sheetViews>
  <sheetFormatPr defaultRowHeight="14.4" x14ac:dyDescent="0.3"/>
  <cols>
    <col min="1" max="1" width="1.88671875" customWidth="1"/>
    <col min="2" max="2" width="5.6640625" bestFit="1" customWidth="1"/>
    <col min="3" max="3" width="59.33203125" bestFit="1" customWidth="1"/>
    <col min="4" max="4" width="10.88671875" customWidth="1"/>
    <col min="12" max="12" width="8.88671875" customWidth="1"/>
    <col min="13" max="13" width="1.88671875" customWidth="1"/>
  </cols>
  <sheetData>
    <row r="1" spans="2:13" x14ac:dyDescent="0.3">
      <c r="B1" s="155"/>
      <c r="C1" s="155"/>
      <c r="D1" s="155"/>
      <c r="E1" s="155"/>
      <c r="F1" s="155"/>
      <c r="G1" s="155"/>
      <c r="H1" s="155"/>
      <c r="I1" s="155"/>
      <c r="J1" s="155"/>
      <c r="K1" s="155"/>
      <c r="L1" s="155"/>
      <c r="M1" s="155"/>
    </row>
    <row r="2" spans="2:13" ht="46.2" x14ac:dyDescent="0.85">
      <c r="B2" s="322" t="s">
        <v>666</v>
      </c>
      <c r="C2" s="155"/>
      <c r="D2" s="155"/>
      <c r="E2" s="155"/>
      <c r="F2" s="155"/>
      <c r="G2" s="155"/>
      <c r="H2" s="155"/>
      <c r="I2" s="155"/>
      <c r="J2" s="155"/>
      <c r="K2" s="155"/>
      <c r="L2" s="155"/>
      <c r="M2" s="155"/>
    </row>
    <row r="3" spans="2:13" ht="18" x14ac:dyDescent="0.35">
      <c r="B3" s="236" t="s">
        <v>667</v>
      </c>
      <c r="C3" s="155"/>
      <c r="D3" s="155"/>
      <c r="E3" s="155"/>
      <c r="F3" s="155"/>
      <c r="G3" s="155"/>
      <c r="H3" s="155"/>
      <c r="I3" s="155"/>
      <c r="J3" s="155"/>
      <c r="K3" s="155"/>
      <c r="L3" s="155"/>
      <c r="M3" s="155"/>
    </row>
    <row r="4" spans="2:13" x14ac:dyDescent="0.3">
      <c r="B4" s="155"/>
      <c r="C4" s="155"/>
      <c r="D4" s="155"/>
      <c r="E4" s="155"/>
      <c r="F4" s="155"/>
      <c r="G4" s="155"/>
      <c r="H4" s="155"/>
      <c r="I4" s="155"/>
      <c r="J4" s="155"/>
      <c r="K4" s="155"/>
      <c r="L4" s="155"/>
      <c r="M4" s="155"/>
    </row>
    <row r="5" spans="2:13" x14ac:dyDescent="0.3">
      <c r="B5" s="155"/>
      <c r="C5" s="155"/>
      <c r="D5" s="155"/>
      <c r="E5" s="155"/>
      <c r="F5" s="155"/>
      <c r="G5" s="155"/>
      <c r="H5" s="155"/>
      <c r="I5" s="155"/>
      <c r="J5" s="155"/>
      <c r="K5" s="155"/>
      <c r="L5" s="155"/>
      <c r="M5" s="155"/>
    </row>
    <row r="6" spans="2:13" ht="5.4" customHeight="1" x14ac:dyDescent="0.3">
      <c r="B6" s="316"/>
      <c r="C6" s="316"/>
      <c r="D6" s="316"/>
      <c r="E6" s="316"/>
      <c r="F6" s="316"/>
      <c r="G6" s="316"/>
      <c r="H6" s="316"/>
      <c r="I6" s="316"/>
      <c r="J6" s="316"/>
      <c r="K6" s="316"/>
      <c r="L6" s="316"/>
      <c r="M6" s="316"/>
    </row>
    <row r="8" spans="2:13" ht="28.8" x14ac:dyDescent="0.55000000000000004">
      <c r="B8" s="324">
        <v>1</v>
      </c>
      <c r="C8" s="324" t="s">
        <v>669</v>
      </c>
      <c r="D8" s="323"/>
      <c r="E8" s="323"/>
      <c r="K8" s="325">
        <v>1</v>
      </c>
    </row>
    <row r="9" spans="2:13" ht="28.8" x14ac:dyDescent="0.55000000000000004">
      <c r="B9" s="324">
        <v>2</v>
      </c>
      <c r="C9" s="324" t="s">
        <v>674</v>
      </c>
      <c r="D9" s="323"/>
      <c r="E9" s="323"/>
      <c r="K9" s="325">
        <v>2</v>
      </c>
    </row>
    <row r="10" spans="2:13" ht="28.8" x14ac:dyDescent="0.55000000000000004">
      <c r="B10" s="324">
        <v>3</v>
      </c>
      <c r="C10" s="324" t="s">
        <v>668</v>
      </c>
      <c r="D10" s="323"/>
      <c r="E10" s="323"/>
      <c r="K10" s="325">
        <v>3</v>
      </c>
    </row>
    <row r="11" spans="2:13" ht="28.8" x14ac:dyDescent="0.55000000000000004">
      <c r="B11" s="324">
        <v>4</v>
      </c>
      <c r="C11" s="324" t="s">
        <v>670</v>
      </c>
      <c r="D11" s="323"/>
      <c r="E11" s="323"/>
      <c r="K11" s="325">
        <v>4</v>
      </c>
    </row>
    <row r="12" spans="2:13" ht="28.8" x14ac:dyDescent="0.55000000000000004">
      <c r="B12" s="324">
        <v>5</v>
      </c>
      <c r="C12" s="324" t="s">
        <v>671</v>
      </c>
      <c r="D12" s="323"/>
      <c r="E12" s="323"/>
      <c r="K12" s="325">
        <v>5</v>
      </c>
    </row>
    <row r="13" spans="2:13" ht="28.8" x14ac:dyDescent="0.55000000000000004">
      <c r="B13" s="324">
        <v>6</v>
      </c>
      <c r="C13" s="324" t="s">
        <v>672</v>
      </c>
      <c r="D13" s="323"/>
      <c r="E13" s="323"/>
      <c r="K13" s="325">
        <v>6</v>
      </c>
    </row>
    <row r="14" spans="2:13" ht="28.8" x14ac:dyDescent="0.55000000000000004">
      <c r="B14" s="324">
        <v>7</v>
      </c>
      <c r="C14" s="324" t="s">
        <v>673</v>
      </c>
      <c r="D14" s="323"/>
      <c r="E14" s="323"/>
      <c r="K14" s="325">
        <v>7</v>
      </c>
    </row>
    <row r="15" spans="2:13" ht="28.8" x14ac:dyDescent="0.55000000000000004">
      <c r="B15" s="324">
        <v>8</v>
      </c>
      <c r="C15" s="324" t="s">
        <v>675</v>
      </c>
      <c r="D15" s="323"/>
      <c r="E15" s="323"/>
      <c r="K15" s="325">
        <v>8</v>
      </c>
    </row>
    <row r="16" spans="2:13" ht="28.8" x14ac:dyDescent="0.55000000000000004">
      <c r="B16" s="324">
        <v>9</v>
      </c>
      <c r="C16" s="324" t="s">
        <v>676</v>
      </c>
      <c r="D16" s="323"/>
      <c r="E16" s="323"/>
      <c r="K16" s="325">
        <v>9</v>
      </c>
    </row>
    <row r="17" spans="2:11" ht="28.8" x14ac:dyDescent="0.55000000000000004">
      <c r="B17" s="324">
        <v>10</v>
      </c>
      <c r="C17" s="324" t="s">
        <v>336</v>
      </c>
      <c r="D17" s="323"/>
      <c r="E17" s="323"/>
      <c r="K17" s="325">
        <v>10</v>
      </c>
    </row>
    <row r="18" spans="2:11" ht="28.8" x14ac:dyDescent="0.55000000000000004">
      <c r="B18" s="324">
        <v>11</v>
      </c>
      <c r="C18" s="324" t="s">
        <v>677</v>
      </c>
      <c r="D18" s="323"/>
      <c r="E18" s="323"/>
      <c r="K18" s="325">
        <v>11</v>
      </c>
    </row>
    <row r="19" spans="2:11" ht="28.8" x14ac:dyDescent="0.55000000000000004">
      <c r="B19" s="324">
        <v>12</v>
      </c>
      <c r="C19" s="324" t="s">
        <v>678</v>
      </c>
      <c r="D19" s="323"/>
      <c r="E19" s="323"/>
      <c r="K19" s="325">
        <v>12</v>
      </c>
    </row>
    <row r="20" spans="2:11" ht="28.8" x14ac:dyDescent="0.55000000000000004">
      <c r="B20" s="324">
        <v>13</v>
      </c>
      <c r="C20" s="324" t="s">
        <v>679</v>
      </c>
      <c r="D20" s="323"/>
      <c r="E20" s="323"/>
      <c r="K20" s="325">
        <v>13</v>
      </c>
    </row>
    <row r="21" spans="2:11" ht="28.8" x14ac:dyDescent="0.55000000000000004">
      <c r="B21" s="324">
        <v>14</v>
      </c>
      <c r="C21" s="324" t="s">
        <v>452</v>
      </c>
      <c r="D21" s="323"/>
      <c r="E21" s="323"/>
      <c r="K21" s="325">
        <v>14</v>
      </c>
    </row>
    <row r="22" spans="2:11" ht="28.8" x14ac:dyDescent="0.55000000000000004">
      <c r="B22" s="324">
        <v>15</v>
      </c>
      <c r="C22" s="324" t="s">
        <v>494</v>
      </c>
      <c r="D22" s="323"/>
      <c r="E22" s="323"/>
      <c r="K22" s="325">
        <v>15</v>
      </c>
    </row>
    <row r="23" spans="2:11" ht="28.8" x14ac:dyDescent="0.55000000000000004">
      <c r="B23" s="324">
        <v>16</v>
      </c>
      <c r="C23" s="324" t="s">
        <v>680</v>
      </c>
      <c r="D23" s="323"/>
      <c r="E23" s="323"/>
      <c r="K23" s="325">
        <v>16</v>
      </c>
    </row>
    <row r="24" spans="2:11" ht="28.8" x14ac:dyDescent="0.55000000000000004">
      <c r="B24" s="324">
        <v>17</v>
      </c>
      <c r="C24" s="324" t="s">
        <v>681</v>
      </c>
      <c r="D24" s="323"/>
      <c r="E24" s="323"/>
      <c r="K24" s="325">
        <v>17</v>
      </c>
    </row>
    <row r="25" spans="2:11" ht="28.8" x14ac:dyDescent="0.55000000000000004">
      <c r="B25" s="324">
        <v>18</v>
      </c>
      <c r="C25" s="324" t="s">
        <v>682</v>
      </c>
      <c r="D25" s="323"/>
      <c r="E25" s="323"/>
      <c r="K25" s="325">
        <v>18</v>
      </c>
    </row>
    <row r="26" spans="2:11" ht="28.8" x14ac:dyDescent="0.55000000000000004">
      <c r="B26" s="324">
        <v>19</v>
      </c>
      <c r="C26" s="324" t="s">
        <v>646</v>
      </c>
      <c r="D26" s="323"/>
      <c r="E26" s="323"/>
      <c r="K26" s="325">
        <v>19</v>
      </c>
    </row>
    <row r="41" spans="1:13" ht="10.8" customHeight="1" x14ac:dyDescent="0.3">
      <c r="A41" s="155"/>
      <c r="B41" s="155"/>
      <c r="C41" s="155"/>
      <c r="D41" s="155"/>
      <c r="E41" s="155"/>
      <c r="F41" s="155"/>
      <c r="G41" s="155"/>
      <c r="H41" s="155"/>
      <c r="I41" s="155"/>
      <c r="J41" s="155"/>
      <c r="K41" s="155"/>
      <c r="L41" s="155"/>
      <c r="M41" s="155"/>
    </row>
  </sheetData>
  <pageMargins left="0.70866141732283472" right="0.39370078740157483" top="0.74803149606299213" bottom="0.74803149606299213" header="0.31496062992125984" footer="0.31496062992125984"/>
  <pageSetup paperSize="9"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6682-1E12-424D-AB51-D78AC5492D08}">
  <dimension ref="B1:V61"/>
  <sheetViews>
    <sheetView showGridLines="0" topLeftCell="A7" zoomScale="80" zoomScaleNormal="80" zoomScaleSheetLayoutView="64" workbookViewId="0">
      <selection activeCell="B3" sqref="B3:K3"/>
    </sheetView>
  </sheetViews>
  <sheetFormatPr defaultRowHeight="14.4" x14ac:dyDescent="0.3"/>
  <cols>
    <col min="1" max="1" width="1.88671875" customWidth="1"/>
    <col min="2" max="2" width="55.88671875" customWidth="1"/>
    <col min="3" max="3" width="15.33203125" bestFit="1" customWidth="1"/>
    <col min="4" max="4" width="10.44140625" customWidth="1"/>
    <col min="5" max="5" width="11.44140625" customWidth="1"/>
    <col min="6" max="6" width="10.44140625" customWidth="1"/>
    <col min="7" max="7" width="9.33203125" bestFit="1" customWidth="1"/>
    <col min="8" max="8" width="0.5546875" customWidth="1"/>
    <col min="9" max="11" width="13.6640625" customWidth="1"/>
    <col min="12" max="12" width="2.6640625" customWidth="1"/>
    <col min="13" max="22" width="8.88671875" style="129"/>
  </cols>
  <sheetData>
    <row r="1" spans="2:22" ht="10.199999999999999" customHeight="1" x14ac:dyDescent="0.3">
      <c r="B1" s="155"/>
      <c r="C1" s="155"/>
      <c r="D1" s="155"/>
      <c r="E1" s="155"/>
      <c r="F1" s="155"/>
      <c r="G1" s="155"/>
      <c r="H1" s="155"/>
      <c r="I1" s="155"/>
      <c r="J1" s="155"/>
      <c r="K1" s="155"/>
      <c r="M1"/>
      <c r="N1"/>
      <c r="O1"/>
      <c r="P1"/>
      <c r="Q1"/>
      <c r="R1"/>
      <c r="S1"/>
      <c r="T1"/>
      <c r="U1"/>
      <c r="V1"/>
    </row>
    <row r="3" spans="2:22" ht="18" x14ac:dyDescent="0.35">
      <c r="B3" s="332" t="str">
        <f>'Data Sheet'!B1&amp;" - One Page Profile"</f>
        <v>ASIAN PAINTS LTD - One Page Profile</v>
      </c>
      <c r="C3" s="332"/>
      <c r="D3" s="332"/>
      <c r="E3" s="332"/>
      <c r="F3" s="332"/>
      <c r="G3" s="332"/>
      <c r="H3" s="332"/>
      <c r="I3" s="332"/>
      <c r="J3" s="332"/>
      <c r="K3" s="332"/>
    </row>
    <row r="4" spans="2:22" ht="4.8" customHeight="1" x14ac:dyDescent="0.3"/>
    <row r="5" spans="2:22" ht="75" customHeight="1" x14ac:dyDescent="0.3">
      <c r="B5" s="128"/>
      <c r="C5" s="333" t="str">
        <f>InputSheet!C2</f>
        <v>Asian Paints Ltd is an Indian multinational paint company, headquartered in Mumbai. The company is engaged in the business of manufacturing, selling and distribution of paints, coatings, products related to home décor, bath fittings and providing related services.</v>
      </c>
      <c r="D5" s="333"/>
      <c r="E5" s="333"/>
      <c r="F5" s="333"/>
      <c r="G5" s="333"/>
      <c r="H5" s="333"/>
      <c r="I5" s="333"/>
      <c r="J5" s="333"/>
      <c r="K5" s="333"/>
    </row>
    <row r="6" spans="2:22" x14ac:dyDescent="0.3">
      <c r="M6" s="130"/>
      <c r="N6" s="130"/>
      <c r="O6" s="130"/>
      <c r="P6" s="130"/>
      <c r="Q6" s="130"/>
      <c r="R6" s="130"/>
      <c r="S6" s="130"/>
      <c r="T6" s="130"/>
      <c r="U6" s="130"/>
      <c r="V6" s="130"/>
    </row>
    <row r="7" spans="2:22" ht="15.6" x14ac:dyDescent="0.3">
      <c r="B7" s="163" t="s">
        <v>562</v>
      </c>
      <c r="C7" s="164">
        <f>HistoricalFS!H3</f>
        <v>44651</v>
      </c>
      <c r="D7" s="164">
        <f>HistoricalFS!I3</f>
        <v>45016</v>
      </c>
      <c r="E7" s="164">
        <f>HistoricalFS!J3</f>
        <v>45382</v>
      </c>
      <c r="F7" s="164">
        <f>HistoricalFS!K3</f>
        <v>45747</v>
      </c>
      <c r="G7" s="164">
        <f>HistoricalFS!L3</f>
        <v>46112</v>
      </c>
      <c r="I7" s="329" t="s">
        <v>572</v>
      </c>
      <c r="J7" s="329"/>
      <c r="K7" s="329"/>
    </row>
    <row r="8" spans="2:22" ht="4.8" customHeight="1" x14ac:dyDescent="0.3"/>
    <row r="9" spans="2:22" x14ac:dyDescent="0.3">
      <c r="B9" s="86" t="s">
        <v>563</v>
      </c>
      <c r="C9" s="124">
        <f>HistoricalFS!H6</f>
        <v>29101.279999999999</v>
      </c>
      <c r="D9" s="124">
        <f>HistoricalFS!I6</f>
        <v>34488.589999999997</v>
      </c>
      <c r="E9" s="124">
        <f>HistoricalFS!J6</f>
        <v>35494.730000000003</v>
      </c>
      <c r="F9" s="124">
        <f>HistoricalFS!K6</f>
        <v>33905.620000000003</v>
      </c>
      <c r="G9" s="124">
        <f>HistoricalFS!L6</f>
        <v>35583.54</v>
      </c>
    </row>
    <row r="10" spans="2:22" x14ac:dyDescent="0.3">
      <c r="B10" s="86" t="s">
        <v>570</v>
      </c>
      <c r="C10" s="92">
        <f>HistoricalFS!H7</f>
        <v>0.34028284711453471</v>
      </c>
      <c r="D10" s="92">
        <f>HistoricalFS!I7</f>
        <v>0.18512278497715551</v>
      </c>
      <c r="E10" s="92">
        <f>HistoricalFS!J7</f>
        <v>2.9173126532572313E-2</v>
      </c>
      <c r="F10" s="92">
        <f>HistoricalFS!K7</f>
        <v>-4.4770308155605121E-2</v>
      </c>
      <c r="G10" s="92">
        <f>HistoricalFS!L7</f>
        <v>4.9487960992897317E-2</v>
      </c>
    </row>
    <row r="12" spans="2:22" x14ac:dyDescent="0.3">
      <c r="B12" s="86" t="s">
        <v>6</v>
      </c>
      <c r="C12" s="124">
        <f>HistoricalFS!H12</f>
        <v>8510.7099999999991</v>
      </c>
      <c r="D12" s="124">
        <f>HistoricalFS!I12</f>
        <v>10721.889999999996</v>
      </c>
      <c r="E12" s="124">
        <f>HistoricalFS!J12</f>
        <v>12484.740000000002</v>
      </c>
      <c r="F12" s="124">
        <f>HistoricalFS!K12</f>
        <v>11164.350000000002</v>
      </c>
      <c r="G12" s="124">
        <f>HistoricalFS!L12</f>
        <v>12093.910000000003</v>
      </c>
    </row>
    <row r="13" spans="2:22" x14ac:dyDescent="0.3">
      <c r="B13" s="86" t="s">
        <v>564</v>
      </c>
      <c r="C13" s="92">
        <f>HistoricalFS!H13</f>
        <v>0.29245139732685294</v>
      </c>
      <c r="D13" s="92">
        <f>HistoricalFS!I13</f>
        <v>0.31088223670495074</v>
      </c>
      <c r="E13" s="92">
        <f>HistoricalFS!J13</f>
        <v>0.35173503221464147</v>
      </c>
      <c r="F13" s="92">
        <f>HistoricalFS!K13</f>
        <v>0.32927727025785108</v>
      </c>
      <c r="G13" s="92">
        <f>HistoricalFS!L13</f>
        <v>0.33987371689269824</v>
      </c>
    </row>
    <row r="14" spans="2:22" x14ac:dyDescent="0.3">
      <c r="B14" s="86" t="s">
        <v>565</v>
      </c>
      <c r="C14" s="92">
        <f>HistoricalFS!H19</f>
        <v>0.16506524798909186</v>
      </c>
      <c r="D14" s="92">
        <f>HistoricalFS!I19</f>
        <v>0.1815046657459756</v>
      </c>
      <c r="E14" s="92">
        <f>HistoricalFS!J19</f>
        <v>0.21369313134654075</v>
      </c>
      <c r="F14" s="92">
        <f>HistoricalFS!K19</f>
        <v>0.17714496888716388</v>
      </c>
      <c r="G14" s="92">
        <f>HistoricalFS!L19</f>
        <v>0.18828171677129379</v>
      </c>
    </row>
    <row r="15" spans="2:22" x14ac:dyDescent="0.3">
      <c r="B15" s="86" t="s">
        <v>566</v>
      </c>
      <c r="C15" s="92">
        <f>HistoricalFS!H28</f>
        <v>0.14718012403578123</v>
      </c>
      <c r="D15" s="92">
        <f>HistoricalFS!I28</f>
        <v>0.16913651732355528</v>
      </c>
      <c r="E15" s="92">
        <f>HistoricalFS!J28</f>
        <v>0.21279046213339281</v>
      </c>
      <c r="F15" s="92">
        <f>HistoricalFS!K28</f>
        <v>0.15720373200667032</v>
      </c>
      <c r="G15" s="92">
        <f>HistoricalFS!L28</f>
        <v>0.17420554559776807</v>
      </c>
    </row>
    <row r="16" spans="2:22" x14ac:dyDescent="0.3">
      <c r="B16" s="86" t="s">
        <v>568</v>
      </c>
      <c r="C16" s="86">
        <f>HistoricalFS!H39</f>
        <v>3084.8099999999995</v>
      </c>
      <c r="D16" s="86">
        <f>HistoricalFS!I39</f>
        <v>4195.3299999999954</v>
      </c>
      <c r="E16" s="86">
        <f>HistoricalFS!J39</f>
        <v>5557.6900000000023</v>
      </c>
      <c r="F16" s="86">
        <f>HistoricalFS!K39</f>
        <v>3709.7100000000019</v>
      </c>
      <c r="G16" s="86">
        <f>HistoricalFS!L39</f>
        <v>4394.6900000000041</v>
      </c>
    </row>
    <row r="17" spans="2:11" x14ac:dyDescent="0.3">
      <c r="B17" s="86" t="s">
        <v>567</v>
      </c>
      <c r="C17" s="124">
        <f>HistoricalFS!H44</f>
        <v>32.16023769808173</v>
      </c>
      <c r="D17" s="124">
        <f>HistoricalFS!I44</f>
        <v>43.737802335279348</v>
      </c>
      <c r="E17" s="124">
        <f>HistoricalFS!J44</f>
        <v>57.940888240200188</v>
      </c>
      <c r="F17" s="124">
        <f>HistoricalFS!K44</f>
        <v>38.675041701417868</v>
      </c>
      <c r="G17" s="124">
        <f>HistoricalFS!L44</f>
        <v>45.81620100083407</v>
      </c>
    </row>
    <row r="18" spans="2:11" x14ac:dyDescent="0.3">
      <c r="B18" s="86" t="s">
        <v>569</v>
      </c>
      <c r="C18" s="92">
        <f>HistoricalFS!H45</f>
        <v>-3.8026038824356068E-2</v>
      </c>
      <c r="D18" s="92">
        <f>HistoricalFS!I45</f>
        <v>0.35999623963874461</v>
      </c>
      <c r="E18" s="92">
        <f>HistoricalFS!J45</f>
        <v>0.32473250018473121</v>
      </c>
      <c r="F18" s="92">
        <f>HistoricalFS!K45</f>
        <v>-0.33250865017660203</v>
      </c>
      <c r="G18" s="92">
        <f>HistoricalFS!L45</f>
        <v>0.18464516094249994</v>
      </c>
    </row>
    <row r="19" spans="2:11" x14ac:dyDescent="0.3">
      <c r="B19" s="86" t="s">
        <v>571</v>
      </c>
      <c r="C19" s="124">
        <f>HistoricalFS!H47</f>
        <v>19.150020850708923</v>
      </c>
      <c r="D19" s="124">
        <f>HistoricalFS!I47</f>
        <v>25.650020850708923</v>
      </c>
      <c r="E19" s="124">
        <f>HistoricalFS!J47</f>
        <v>33.300041701417847</v>
      </c>
      <c r="F19" s="124">
        <f>HistoricalFS!K47</f>
        <v>24.80004170141785</v>
      </c>
      <c r="G19" s="124">
        <f>HistoricalFS!L47</f>
        <v>27.5</v>
      </c>
    </row>
    <row r="20" spans="2:11" x14ac:dyDescent="0.3">
      <c r="B20" s="86" t="s">
        <v>432</v>
      </c>
      <c r="C20" s="92">
        <f>'Data Sheet'!G34</f>
        <v>7.2831552941588606E-2</v>
      </c>
      <c r="D20" s="92">
        <f>'Data Sheet'!H34</f>
        <v>0.33942521789783719</v>
      </c>
      <c r="E20" s="92">
        <f>'Data Sheet'!I34</f>
        <v>0.2982461844859472</v>
      </c>
      <c r="F20" s="92">
        <f>'Data Sheet'!J34</f>
        <v>-0.25525493560081891</v>
      </c>
      <c r="G20" s="92">
        <f>'Data Sheet'!K34</f>
        <v>0.10886910316879783</v>
      </c>
    </row>
    <row r="21" spans="2:11" ht="4.8" customHeight="1" x14ac:dyDescent="0.3"/>
    <row r="22" spans="2:11" ht="15.6" x14ac:dyDescent="0.3">
      <c r="B22" s="163" t="s">
        <v>573</v>
      </c>
      <c r="C22" s="164">
        <f>HistoricalFS!H3</f>
        <v>44651</v>
      </c>
      <c r="D22" s="164">
        <f>HistoricalFS!I3</f>
        <v>45016</v>
      </c>
      <c r="E22" s="164">
        <f>HistoricalFS!J3</f>
        <v>45382</v>
      </c>
      <c r="F22" s="164">
        <f>HistoricalFS!K3</f>
        <v>45747</v>
      </c>
      <c r="G22" s="164">
        <f>HistoricalFS!L3</f>
        <v>46112</v>
      </c>
      <c r="I22" s="329" t="s">
        <v>574</v>
      </c>
      <c r="J22" s="329"/>
      <c r="K22" s="329"/>
    </row>
    <row r="23" spans="2:11" ht="4.8" customHeight="1" x14ac:dyDescent="0.3"/>
    <row r="24" spans="2:11" x14ac:dyDescent="0.3">
      <c r="B24" s="86" t="s">
        <v>575</v>
      </c>
      <c r="C24" s="94">
        <f>'Data Sheet'!G96</f>
        <v>82.250635857637917</v>
      </c>
      <c r="D24" s="94">
        <f>'Data Sheet'!H96</f>
        <v>60.478575940390932</v>
      </c>
      <c r="E24" s="94">
        <f>'Data Sheet'!I96</f>
        <v>45.653425074086513</v>
      </c>
      <c r="F24" s="94">
        <f>'Data Sheet'!J96</f>
        <v>68.395530647948178</v>
      </c>
      <c r="G24" s="94">
        <f>'Data Sheet'!K96</f>
        <v>57.735035690799521</v>
      </c>
    </row>
    <row r="25" spans="2:11" x14ac:dyDescent="0.3">
      <c r="B25" s="86" t="s">
        <v>467</v>
      </c>
      <c r="C25" s="94">
        <f>'Data Sheet'!G99</f>
        <v>1.7928247695930002</v>
      </c>
      <c r="D25" s="94">
        <f>'Data Sheet'!H99</f>
        <v>1.1006519342670584</v>
      </c>
      <c r="E25" s="94">
        <f>'Data Sheet'!I99</f>
        <v>0.76064096848065221</v>
      </c>
      <c r="F25" s="94">
        <f>'Data Sheet'!J99</f>
        <v>1.3434111194499003</v>
      </c>
      <c r="G25" s="94">
        <f>'Data Sheet'!K99</f>
        <v>1.2527661000460444</v>
      </c>
    </row>
    <row r="26" spans="2:11" x14ac:dyDescent="0.3">
      <c r="B26" s="86" t="s">
        <v>576</v>
      </c>
      <c r="C26" s="94">
        <f>'Data Sheet'!G100</f>
        <v>0.29593306519385504</v>
      </c>
      <c r="D26" s="94">
        <f>'Data Sheet'!H100</f>
        <v>0.19977346143180394</v>
      </c>
      <c r="E26" s="94">
        <f>'Data Sheet'!I100</f>
        <v>0.16254375038509597</v>
      </c>
      <c r="F26" s="94">
        <f>'Data Sheet'!J100</f>
        <v>0.23797852095762259</v>
      </c>
      <c r="G26" s="94">
        <f>'Data Sheet'!K100</f>
        <v>0.23587295202954764</v>
      </c>
    </row>
    <row r="27" spans="2:11" x14ac:dyDescent="0.3">
      <c r="B27" s="86" t="s">
        <v>577</v>
      </c>
      <c r="C27" s="94">
        <f>'Data Sheet'!G102</f>
        <v>0.57122301836031775</v>
      </c>
      <c r="D27" s="94">
        <f>'Data Sheet'!H102</f>
        <v>0.36274522091054834</v>
      </c>
      <c r="E27" s="94">
        <f>'Data Sheet'!I102</f>
        <v>0.23382135768363271</v>
      </c>
      <c r="F27" s="94">
        <f>'Data Sheet'!J102</f>
        <v>0.33817337900480415</v>
      </c>
      <c r="G27" s="94">
        <f>'Data Sheet'!K102</f>
        <v>0.25912646758905122</v>
      </c>
    </row>
    <row r="28" spans="2:11" x14ac:dyDescent="0.3">
      <c r="B28" s="86" t="s">
        <v>578</v>
      </c>
      <c r="C28" s="92">
        <f>'Ratio Analysis'!H29</f>
        <v>0.22334986055159589</v>
      </c>
      <c r="D28" s="92">
        <f>'Ratio Analysis'!I29</f>
        <v>0.26233552168771934</v>
      </c>
      <c r="E28" s="92">
        <f>'Ratio Analysis'!J29</f>
        <v>0.29675357613878478</v>
      </c>
      <c r="F28" s="92">
        <f>'Ratio Analysis'!K29</f>
        <v>0.19122403776119468</v>
      </c>
      <c r="G28" s="92">
        <f>'Ratio Analysis'!L29</f>
        <v>0.20563233713542159</v>
      </c>
    </row>
    <row r="29" spans="2:11" x14ac:dyDescent="0.3">
      <c r="B29" s="86" t="s">
        <v>579</v>
      </c>
      <c r="C29" s="92">
        <f>'Ratio Analysis'!H27</f>
        <v>0.27815350126376437</v>
      </c>
      <c r="D29" s="92">
        <f>'Ratio Analysis'!I27</f>
        <v>0.32542978044446652</v>
      </c>
      <c r="E29" s="92">
        <f>'Ratio Analysis'!J27</f>
        <v>0.35622572240867673</v>
      </c>
      <c r="F29" s="92">
        <f>'Ratio Analysis'!K27</f>
        <v>0.24573837833850476</v>
      </c>
      <c r="G29" s="92">
        <f>'Ratio Analysis'!L27</f>
        <v>0.24500879823813917</v>
      </c>
    </row>
    <row r="30" spans="2:11" ht="42.6" customHeight="1" x14ac:dyDescent="0.3">
      <c r="C30" s="4"/>
      <c r="D30" s="4"/>
      <c r="E30" s="4"/>
      <c r="F30" s="4"/>
      <c r="G30" s="4"/>
    </row>
    <row r="31" spans="2:11" ht="15.6" x14ac:dyDescent="0.3">
      <c r="B31" s="163" t="s">
        <v>599</v>
      </c>
      <c r="C31" s="334" t="str">
        <f>RawData!AB2</f>
        <v>N. Shares (In Cr)</v>
      </c>
      <c r="D31" s="334"/>
      <c r="E31" s="165" t="str">
        <f>RawData!AC2</f>
        <v>(%) Holding</v>
      </c>
      <c r="F31" s="334" t="s">
        <v>585</v>
      </c>
      <c r="G31" s="334"/>
      <c r="I31" s="329" t="s">
        <v>606</v>
      </c>
      <c r="J31" s="329"/>
      <c r="K31" s="329"/>
    </row>
    <row r="32" spans="2:11" ht="4.8" customHeight="1" x14ac:dyDescent="0.3"/>
    <row r="33" spans="2:11" x14ac:dyDescent="0.3">
      <c r="B33" s="86" t="str">
        <f>RawData!AA3</f>
        <v>Life Insurance Corporation of India</v>
      </c>
      <c r="C33" s="327">
        <f>RawData!AB3</f>
        <v>7.7822006000000004</v>
      </c>
      <c r="D33" s="327"/>
      <c r="E33" s="123">
        <f>RawData!AC3</f>
        <v>8.1099999999999992E-2</v>
      </c>
      <c r="F33" s="327">
        <f>C33*'Data Sheet'!$B$8</f>
        <v>20585.47702712</v>
      </c>
      <c r="G33" s="327"/>
    </row>
    <row r="34" spans="2:11" x14ac:dyDescent="0.3">
      <c r="B34" s="86" t="str">
        <f>RawData!AA4</f>
        <v>Sattva Holding and Trading Private Limited</v>
      </c>
      <c r="C34" s="327">
        <f>RawData!AB4</f>
        <v>5.4789183000000001</v>
      </c>
      <c r="D34" s="327"/>
      <c r="E34" s="123">
        <f>RawData!AC4</f>
        <v>5.7099999999999998E-2</v>
      </c>
      <c r="F34" s="327">
        <f>C34*'Data Sheet'!$B$8</f>
        <v>14492.834687159999</v>
      </c>
      <c r="G34" s="327"/>
    </row>
    <row r="35" spans="2:11" x14ac:dyDescent="0.3">
      <c r="B35" s="86" t="str">
        <f>RawData!AA5</f>
        <v>Smiti Holding and Trading Company Private Limited</v>
      </c>
      <c r="C35" s="327">
        <f>RawData!AB5</f>
        <v>5.1442638000000001</v>
      </c>
      <c r="D35" s="327"/>
      <c r="E35" s="123">
        <f>RawData!AC5</f>
        <v>5.3600000000000002E-2</v>
      </c>
      <c r="F35" s="327">
        <f>C35*'Data Sheet'!$B$8</f>
        <v>13607.606603759999</v>
      </c>
      <c r="G35" s="327"/>
    </row>
    <row r="36" spans="2:11" x14ac:dyDescent="0.3">
      <c r="B36" s="86" t="str">
        <f>RawData!AA6</f>
        <v>SBI Mutual Fund</v>
      </c>
      <c r="C36" s="327">
        <f>RawData!AB6</f>
        <v>4.9885007000000003</v>
      </c>
      <c r="D36" s="327"/>
      <c r="E36" s="123">
        <f>RawData!AC6</f>
        <v>5.2000000000000005E-2</v>
      </c>
      <c r="F36" s="327">
        <f>C36*'Data Sheet'!$B$8</f>
        <v>13195.58205164</v>
      </c>
      <c r="G36" s="327"/>
    </row>
    <row r="37" spans="2:11" x14ac:dyDescent="0.3">
      <c r="B37" s="86" t="str">
        <f>RawData!AA7</f>
        <v>Geetanjali Trading and Investments Private Limited</v>
      </c>
      <c r="C37" s="327">
        <f>RawData!AB7</f>
        <v>4.570614</v>
      </c>
      <c r="D37" s="327"/>
      <c r="E37" s="123">
        <f>RawData!AC7</f>
        <v>4.7699999999999992E-2</v>
      </c>
      <c r="F37" s="327">
        <f>C37*'Data Sheet'!$B$8</f>
        <v>12090.188152799999</v>
      </c>
      <c r="G37" s="327"/>
    </row>
    <row r="38" spans="2:11" x14ac:dyDescent="0.3">
      <c r="B38" s="86" t="str">
        <f>RawData!AA8</f>
        <v>Elcid Investments Limited</v>
      </c>
      <c r="C38" s="327">
        <f>RawData!AB8</f>
        <v>2.8313860000000002</v>
      </c>
      <c r="D38" s="327"/>
      <c r="E38" s="123">
        <f>RawData!AC8</f>
        <v>2.9500000000000002E-2</v>
      </c>
      <c r="F38" s="327">
        <f>C38*'Data Sheet'!$B$8</f>
        <v>7489.5822472</v>
      </c>
      <c r="G38" s="327"/>
    </row>
    <row r="39" spans="2:11" x14ac:dyDescent="0.3">
      <c r="B39" s="86" t="str">
        <f>RawData!AA9</f>
        <v>Shubhit Holdings Private Limited</v>
      </c>
      <c r="C39" s="327">
        <f>RawData!AB9</f>
        <v>2.3150729999999999</v>
      </c>
      <c r="D39" s="327"/>
      <c r="E39" s="123">
        <f>RawData!AC9</f>
        <v>2.41E-2</v>
      </c>
      <c r="F39" s="327">
        <f>C39*'Data Sheet'!$B$8</f>
        <v>6123.8310995999991</v>
      </c>
      <c r="G39" s="327"/>
    </row>
    <row r="40" spans="2:11" x14ac:dyDescent="0.3">
      <c r="B40" s="86" t="str">
        <f>RawData!AA10</f>
        <v>ICICI Prudential Mutual Fund</v>
      </c>
      <c r="C40" s="327">
        <f>RawData!AB10</f>
        <v>2.1582800999999998</v>
      </c>
      <c r="D40" s="327"/>
      <c r="E40" s="123">
        <f>RawData!AC10</f>
        <v>2.2499999999999999E-2</v>
      </c>
      <c r="F40" s="327">
        <f>C40*'Data Sheet'!$B$8</f>
        <v>5709.082520519999</v>
      </c>
      <c r="G40" s="327"/>
    </row>
    <row r="41" spans="2:11" x14ac:dyDescent="0.3">
      <c r="B41" s="86" t="str">
        <f>RawData!AA11</f>
        <v>Sudhanva Investments and Trading Company Private Limited</v>
      </c>
      <c r="C41" s="327">
        <f>RawData!AB11</f>
        <v>1.9001760000000001</v>
      </c>
      <c r="D41" s="327"/>
      <c r="E41" s="123">
        <f>RawData!AC11</f>
        <v>1.9799999999999998E-2</v>
      </c>
      <c r="F41" s="327">
        <f>C41*'Data Sheet'!$B$8</f>
        <v>5026.3455551999996</v>
      </c>
      <c r="G41" s="327"/>
    </row>
    <row r="42" spans="2:11" x14ac:dyDescent="0.3">
      <c r="B42" s="86" t="str">
        <f>RawData!AA12</f>
        <v>Rupen Investment &amp; Industries Private Limited</v>
      </c>
      <c r="C42" s="327">
        <f>RawData!AB12</f>
        <v>1.8849825</v>
      </c>
      <c r="D42" s="327"/>
      <c r="E42" s="123">
        <f>RawData!AC12</f>
        <v>1.9699999999999999E-2</v>
      </c>
      <c r="F42" s="327">
        <f>C42*'Data Sheet'!$B$8</f>
        <v>4986.1557089999997</v>
      </c>
      <c r="G42" s="327"/>
    </row>
    <row r="43" spans="2:11" ht="4.8" customHeight="1" x14ac:dyDescent="0.3"/>
    <row r="44" spans="2:11" ht="15.6" x14ac:dyDescent="0.3">
      <c r="B44" s="163" t="s">
        <v>613</v>
      </c>
      <c r="C44" s="166" t="s">
        <v>614</v>
      </c>
      <c r="D44" s="330" t="s">
        <v>615</v>
      </c>
      <c r="E44" s="330"/>
      <c r="F44" s="330" t="s">
        <v>623</v>
      </c>
      <c r="G44" s="330"/>
      <c r="I44" s="329" t="s">
        <v>607</v>
      </c>
      <c r="J44" s="329"/>
      <c r="K44" s="329"/>
    </row>
    <row r="45" spans="2:11" ht="4.8" customHeight="1" x14ac:dyDescent="0.3"/>
    <row r="46" spans="2:11" x14ac:dyDescent="0.3">
      <c r="B46" s="86" t="s">
        <v>618</v>
      </c>
      <c r="C46" s="143" t="s">
        <v>617</v>
      </c>
      <c r="D46" s="327">
        <v>312446860</v>
      </c>
      <c r="E46" s="328"/>
      <c r="F46" s="331">
        <v>249.09</v>
      </c>
      <c r="G46" s="331"/>
      <c r="I46" s="86" t="s">
        <v>423</v>
      </c>
      <c r="J46" s="86"/>
      <c r="K46" s="86">
        <f>'Data Sheet'!B8</f>
        <v>2645.2</v>
      </c>
    </row>
    <row r="47" spans="2:11" ht="15" thickBot="1" x14ac:dyDescent="0.35">
      <c r="B47" s="86" t="s">
        <v>616</v>
      </c>
      <c r="C47" s="143" t="s">
        <v>145</v>
      </c>
      <c r="D47" s="327">
        <v>53653863</v>
      </c>
      <c r="E47" s="328"/>
      <c r="F47" s="331">
        <v>42.77</v>
      </c>
      <c r="G47" s="331"/>
      <c r="I47" t="s">
        <v>608</v>
      </c>
      <c r="K47" s="122">
        <f>'Data Sheet'!B6</f>
        <v>95.919779222743088</v>
      </c>
    </row>
    <row r="48" spans="2:11" ht="15" thickBot="1" x14ac:dyDescent="0.35">
      <c r="B48" s="86" t="s">
        <v>620</v>
      </c>
      <c r="C48" s="143" t="s">
        <v>621</v>
      </c>
      <c r="D48" s="327">
        <v>13700000</v>
      </c>
      <c r="E48" s="328"/>
      <c r="F48" s="331">
        <v>10.92</v>
      </c>
      <c r="G48" s="331"/>
      <c r="I48" s="85" t="s">
        <v>167</v>
      </c>
      <c r="J48" s="87"/>
      <c r="K48" s="87">
        <f>K47*K46</f>
        <v>253727</v>
      </c>
    </row>
    <row r="49" spans="2:11" ht="15" thickTop="1" x14ac:dyDescent="0.3">
      <c r="B49" s="86" t="s">
        <v>619</v>
      </c>
      <c r="C49" s="143" t="s">
        <v>622</v>
      </c>
      <c r="D49" s="327">
        <v>8000000</v>
      </c>
      <c r="E49" s="328"/>
      <c r="F49" s="331">
        <v>6.38</v>
      </c>
      <c r="G49" s="331"/>
      <c r="I49" s="141" t="s">
        <v>609</v>
      </c>
      <c r="K49" s="142">
        <f>-'Data Sheet'!K69</f>
        <v>-1073.68</v>
      </c>
    </row>
    <row r="50" spans="2:11" x14ac:dyDescent="0.3">
      <c r="D50" s="326"/>
      <c r="E50" s="326"/>
      <c r="I50" s="144" t="s">
        <v>610</v>
      </c>
      <c r="J50" s="86"/>
      <c r="K50" s="124">
        <f>'Data Sheet'!K59</f>
        <v>3928.93</v>
      </c>
    </row>
    <row r="51" spans="2:11" ht="15" thickBot="1" x14ac:dyDescent="0.35">
      <c r="I51" s="141" t="s">
        <v>611</v>
      </c>
      <c r="K51" s="147">
        <v>643.39</v>
      </c>
    </row>
    <row r="52" spans="2:11" ht="15" thickBot="1" x14ac:dyDescent="0.35">
      <c r="I52" s="145" t="s">
        <v>612</v>
      </c>
      <c r="J52" s="87"/>
      <c r="K52" s="146">
        <f>SUM(K48:K51)</f>
        <v>257225.64</v>
      </c>
    </row>
    <row r="53" spans="2:11" ht="6" customHeight="1" thickTop="1" x14ac:dyDescent="0.3"/>
    <row r="54" spans="2:11" ht="15.6" x14ac:dyDescent="0.3">
      <c r="B54" s="163" t="s">
        <v>624</v>
      </c>
      <c r="C54" s="155"/>
      <c r="D54" s="155"/>
      <c r="E54" s="155"/>
      <c r="F54" s="155"/>
      <c r="G54" s="155"/>
      <c r="H54" s="155"/>
      <c r="I54" s="155"/>
      <c r="J54" s="155"/>
      <c r="K54" s="155"/>
    </row>
    <row r="55" spans="2:11" ht="4.8" customHeight="1" x14ac:dyDescent="0.3"/>
    <row r="56" spans="2:11" x14ac:dyDescent="0.3">
      <c r="B56" t="s">
        <v>627</v>
      </c>
    </row>
    <row r="57" spans="2:11" x14ac:dyDescent="0.3">
      <c r="B57" t="s">
        <v>625</v>
      </c>
    </row>
    <row r="58" spans="2:11" x14ac:dyDescent="0.3">
      <c r="B58" t="s">
        <v>626</v>
      </c>
    </row>
    <row r="59" spans="2:11" x14ac:dyDescent="0.3">
      <c r="B59" t="s">
        <v>628</v>
      </c>
    </row>
    <row r="60" spans="2:11" ht="7.2" customHeight="1" x14ac:dyDescent="0.3"/>
    <row r="61" spans="2:11" x14ac:dyDescent="0.3">
      <c r="B61" s="155"/>
      <c r="C61" s="155"/>
      <c r="D61" s="155"/>
      <c r="E61" s="155"/>
      <c r="F61" s="155"/>
      <c r="G61" s="155"/>
      <c r="H61" s="155"/>
      <c r="I61" s="155"/>
      <c r="J61" s="155"/>
      <c r="K61" s="155"/>
    </row>
  </sheetData>
  <mergeCells count="39">
    <mergeCell ref="C42:D42"/>
    <mergeCell ref="F33:G33"/>
    <mergeCell ref="B3:K3"/>
    <mergeCell ref="C5:K5"/>
    <mergeCell ref="I7:K7"/>
    <mergeCell ref="I22:K22"/>
    <mergeCell ref="C36:D36"/>
    <mergeCell ref="C37:D37"/>
    <mergeCell ref="C38:D38"/>
    <mergeCell ref="C39:D39"/>
    <mergeCell ref="C40:D40"/>
    <mergeCell ref="C31:D31"/>
    <mergeCell ref="F31:G31"/>
    <mergeCell ref="C33:D33"/>
    <mergeCell ref="C34:D34"/>
    <mergeCell ref="C35:D35"/>
    <mergeCell ref="I31:K31"/>
    <mergeCell ref="F39:G39"/>
    <mergeCell ref="F40:G40"/>
    <mergeCell ref="F41:G41"/>
    <mergeCell ref="C41:D41"/>
    <mergeCell ref="F42:G42"/>
    <mergeCell ref="F34:G34"/>
    <mergeCell ref="F35:G35"/>
    <mergeCell ref="F36:G36"/>
    <mergeCell ref="F37:G37"/>
    <mergeCell ref="F38:G38"/>
    <mergeCell ref="D50:E50"/>
    <mergeCell ref="D48:E48"/>
    <mergeCell ref="I44:K44"/>
    <mergeCell ref="F44:G44"/>
    <mergeCell ref="D44:E44"/>
    <mergeCell ref="D46:E46"/>
    <mergeCell ref="F46:G46"/>
    <mergeCell ref="F47:G47"/>
    <mergeCell ref="F48:G48"/>
    <mergeCell ref="F49:G49"/>
    <mergeCell ref="D47:E47"/>
    <mergeCell ref="D49:E49"/>
  </mergeCells>
  <pageMargins left="0.59055118110236227" right="0.59055118110236227" top="0.15748031496062992" bottom="0.15748031496062992" header="0.11811023622047245" footer="0.11811023622047245"/>
  <pageSetup scale="5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111"/>
  <sheetViews>
    <sheetView showGridLines="0" topLeftCell="A60" zoomScale="80" zoomScaleNormal="80" workbookViewId="0">
      <selection activeCell="C84" sqref="C84"/>
    </sheetView>
  </sheetViews>
  <sheetFormatPr defaultColWidth="8.6640625" defaultRowHeight="14.4" outlineLevelRow="1" x14ac:dyDescent="0.3"/>
  <cols>
    <col min="1" max="1" width="1.88671875" customWidth="1"/>
    <col min="2" max="2" width="27.109375" customWidth="1"/>
    <col min="3" max="13" width="11.77734375" customWidth="1"/>
    <col min="16" max="16" width="9.77734375" customWidth="1"/>
  </cols>
  <sheetData>
    <row r="2" spans="1:16" ht="14.25" customHeight="1" x14ac:dyDescent="0.3">
      <c r="B2" s="335" t="str">
        <f>"Historical Financial Statement"&amp;" - " &amp;'Data Sheet'!B1</f>
        <v>Historical Financial Statement - ASIAN PAINTS LTD</v>
      </c>
      <c r="C2" s="335"/>
      <c r="D2" s="335"/>
      <c r="E2" s="335"/>
      <c r="F2" s="335"/>
      <c r="G2" s="335"/>
      <c r="H2" s="335"/>
      <c r="I2" s="335"/>
      <c r="J2" s="335"/>
      <c r="K2" s="335"/>
      <c r="L2" s="335"/>
    </row>
    <row r="3" spans="1:16" ht="14.25" customHeight="1" x14ac:dyDescent="0.3">
      <c r="B3" s="168" t="s">
        <v>0</v>
      </c>
      <c r="C3" s="169">
        <f>'Data Sheet'!B16</f>
        <v>42825</v>
      </c>
      <c r="D3" s="169">
        <f>'Data Sheet'!C16</f>
        <v>43190</v>
      </c>
      <c r="E3" s="169">
        <f>'Data Sheet'!D16</f>
        <v>43555</v>
      </c>
      <c r="F3" s="169">
        <f>'Data Sheet'!E16</f>
        <v>43921</v>
      </c>
      <c r="G3" s="169">
        <f>'Data Sheet'!F16</f>
        <v>44286</v>
      </c>
      <c r="H3" s="169">
        <f>'Data Sheet'!G16</f>
        <v>44651</v>
      </c>
      <c r="I3" s="169">
        <f>'Data Sheet'!H16</f>
        <v>45016</v>
      </c>
      <c r="J3" s="169">
        <f>'Data Sheet'!I16</f>
        <v>45382</v>
      </c>
      <c r="K3" s="169">
        <f>'Data Sheet'!J16</f>
        <v>45747</v>
      </c>
      <c r="L3" s="169">
        <f>'Data Sheet'!K16</f>
        <v>46112</v>
      </c>
      <c r="N3" s="2"/>
      <c r="O3" s="2"/>
    </row>
    <row r="5" spans="1:16" ht="14.25" customHeight="1" x14ac:dyDescent="0.3">
      <c r="A5" t="s">
        <v>1</v>
      </c>
      <c r="B5" s="170" t="str">
        <f>"Income Statement"&amp;" - "&amp;'Data Sheet'!B1</f>
        <v>Income Statement - ASIAN PAINTS LTD</v>
      </c>
      <c r="C5" s="171"/>
      <c r="D5" s="171"/>
      <c r="E5" s="171"/>
      <c r="F5" s="171"/>
      <c r="G5" s="171"/>
      <c r="H5" s="171"/>
      <c r="I5" s="171"/>
      <c r="J5" s="171"/>
      <c r="K5" s="171"/>
      <c r="L5" s="171"/>
    </row>
    <row r="6" spans="1:16" ht="14.25" customHeight="1" outlineLevel="1" x14ac:dyDescent="0.3">
      <c r="B6" t="s">
        <v>2</v>
      </c>
      <c r="C6" s="3">
        <f>IFERROR('Data Sheet'!B17,0)</f>
        <v>15061.99</v>
      </c>
      <c r="D6" s="3">
        <f>IFERROR('Data Sheet'!C17,0)</f>
        <v>16824.55</v>
      </c>
      <c r="E6" s="3">
        <f>IFERROR('Data Sheet'!D17,0)</f>
        <v>19240.13</v>
      </c>
      <c r="F6" s="3">
        <f>IFERROR('Data Sheet'!E17,0)</f>
        <v>20211.25</v>
      </c>
      <c r="G6" s="3">
        <f>IFERROR('Data Sheet'!F17,0)</f>
        <v>21712.79</v>
      </c>
      <c r="H6" s="3">
        <f>IFERROR('Data Sheet'!G17,0)</f>
        <v>29101.279999999999</v>
      </c>
      <c r="I6" s="3">
        <f>IFERROR('Data Sheet'!H17,0)</f>
        <v>34488.589999999997</v>
      </c>
      <c r="J6" s="3">
        <f>IFERROR('Data Sheet'!I17,0)</f>
        <v>35494.730000000003</v>
      </c>
      <c r="K6" s="3">
        <f>IFERROR('Data Sheet'!J17,0)</f>
        <v>33905.620000000003</v>
      </c>
      <c r="L6" s="3">
        <f>IFERROR('Data Sheet'!K17,0)</f>
        <v>35583.54</v>
      </c>
      <c r="O6" s="4"/>
      <c r="P6" s="5"/>
    </row>
    <row r="7" spans="1:16" ht="14.25" customHeight="1" outlineLevel="1" x14ac:dyDescent="0.3">
      <c r="B7" s="6" t="s">
        <v>3</v>
      </c>
      <c r="C7" s="7"/>
      <c r="D7" s="7">
        <f t="shared" ref="D7:L7" si="0">IFERROR(D6/C6-1,0)</f>
        <v>0.11702039371955486</v>
      </c>
      <c r="E7" s="7">
        <f t="shared" si="0"/>
        <v>0.14357471670861943</v>
      </c>
      <c r="F7" s="7">
        <f t="shared" si="0"/>
        <v>5.0473671435691925E-2</v>
      </c>
      <c r="G7" s="7">
        <f t="shared" si="0"/>
        <v>7.4292287711052118E-2</v>
      </c>
      <c r="H7" s="7">
        <f t="shared" si="0"/>
        <v>0.34028284711453471</v>
      </c>
      <c r="I7" s="7">
        <f t="shared" si="0"/>
        <v>0.18512278497715551</v>
      </c>
      <c r="J7" s="7">
        <f t="shared" si="0"/>
        <v>2.9173126532572313E-2</v>
      </c>
      <c r="K7" s="7">
        <f t="shared" si="0"/>
        <v>-4.4770308155605121E-2</v>
      </c>
      <c r="L7" s="7">
        <f t="shared" si="0"/>
        <v>4.9487960992897317E-2</v>
      </c>
      <c r="O7" s="4"/>
    </row>
    <row r="8" spans="1:16" ht="14.25" customHeight="1" outlineLevel="1" x14ac:dyDescent="0.3">
      <c r="C8" s="3"/>
      <c r="D8" s="3"/>
      <c r="E8" s="3"/>
      <c r="F8" s="3"/>
      <c r="G8" s="3"/>
      <c r="H8" s="3"/>
      <c r="I8" s="3"/>
      <c r="J8" s="3"/>
      <c r="K8" s="3"/>
      <c r="L8" s="3"/>
    </row>
    <row r="9" spans="1:16" ht="14.25" customHeight="1" outlineLevel="1" x14ac:dyDescent="0.3">
      <c r="B9" t="s">
        <v>4</v>
      </c>
      <c r="C9" s="3">
        <f>IFERROR(SUM('Data Sheet'!B18,'Data Sheet'!B20:B22)-1*'Data Sheet'!B19,0)</f>
        <v>9732.66</v>
      </c>
      <c r="D9" s="3">
        <f>IFERROR(SUM('Data Sheet'!C18,'Data Sheet'!C20:C22)-1*'Data Sheet'!C19,0)</f>
        <v>11194.169999999998</v>
      </c>
      <c r="E9" s="3">
        <f>IFERROR(SUM('Data Sheet'!D18,'Data Sheet'!D20:D22)-1*'Data Sheet'!D19,0)</f>
        <v>12905.81</v>
      </c>
      <c r="F9" s="3">
        <f>IFERROR(SUM('Data Sheet'!E18,'Data Sheet'!E20:E22)-1*'Data Sheet'!E19,0)</f>
        <v>13158.020000000002</v>
      </c>
      <c r="G9" s="3">
        <f>IFERROR(SUM('Data Sheet'!F18,'Data Sheet'!F20:F22)-1*'Data Sheet'!F19,0)</f>
        <v>14035.069999999998</v>
      </c>
      <c r="H9" s="3">
        <f>IFERROR(SUM('Data Sheet'!G18,'Data Sheet'!G20:G22)-1*'Data Sheet'!G19,0)</f>
        <v>20590.57</v>
      </c>
      <c r="I9" s="3">
        <f>IFERROR(SUM('Data Sheet'!H18,'Data Sheet'!H20:H22)-1*'Data Sheet'!H19,0)</f>
        <v>23766.7</v>
      </c>
      <c r="J9" s="3">
        <f>IFERROR(SUM('Data Sheet'!I18,'Data Sheet'!I20:I22)-1*'Data Sheet'!I19,0)</f>
        <v>23009.99</v>
      </c>
      <c r="K9" s="3">
        <f>IFERROR(SUM('Data Sheet'!J18,'Data Sheet'!J20:J22)-1*'Data Sheet'!J19,0)</f>
        <v>22741.27</v>
      </c>
      <c r="L9" s="3">
        <f>IFERROR(SUM('Data Sheet'!K18,'Data Sheet'!K20:K22)-1*'Data Sheet'!K19,0)</f>
        <v>23489.629999999997</v>
      </c>
    </row>
    <row r="10" spans="1:16" ht="14.25" customHeight="1" outlineLevel="1" x14ac:dyDescent="0.3">
      <c r="B10" s="6" t="s">
        <v>5</v>
      </c>
      <c r="C10" s="7">
        <f t="shared" ref="C10:L10" si="1">IFERROR(C9/C6,0)</f>
        <v>0.64617357998511482</v>
      </c>
      <c r="D10" s="7">
        <f t="shared" si="1"/>
        <v>0.66534736441687881</v>
      </c>
      <c r="E10" s="7">
        <f t="shared" si="1"/>
        <v>0.67077561326248825</v>
      </c>
      <c r="F10" s="7">
        <f t="shared" si="1"/>
        <v>0.65102455315727636</v>
      </c>
      <c r="G10" s="7">
        <f t="shared" si="1"/>
        <v>0.64639643270164715</v>
      </c>
      <c r="H10" s="7">
        <f t="shared" si="1"/>
        <v>0.70754860267314701</v>
      </c>
      <c r="I10" s="7">
        <f t="shared" si="1"/>
        <v>0.68911776329504926</v>
      </c>
      <c r="J10" s="7">
        <f t="shared" si="1"/>
        <v>0.64826496778535858</v>
      </c>
      <c r="K10" s="7">
        <f t="shared" si="1"/>
        <v>0.67072272974214886</v>
      </c>
      <c r="L10" s="7">
        <f t="shared" si="1"/>
        <v>0.66012628310730181</v>
      </c>
    </row>
    <row r="11" spans="1:16" ht="14.25" customHeight="1" outlineLevel="1" x14ac:dyDescent="0.3">
      <c r="C11" s="3"/>
      <c r="D11" s="3"/>
      <c r="E11" s="3"/>
      <c r="F11" s="3"/>
      <c r="G11" s="3"/>
      <c r="H11" s="3"/>
      <c r="I11" s="3"/>
      <c r="J11" s="3"/>
      <c r="K11" s="3"/>
      <c r="L11" s="3"/>
    </row>
    <row r="12" spans="1:16" ht="14.25" customHeight="1" outlineLevel="1" x14ac:dyDescent="0.3">
      <c r="B12" s="172" t="s">
        <v>6</v>
      </c>
      <c r="C12" s="173">
        <f t="shared" ref="C12:L12" si="2">IFERROR(C6-C9,0)</f>
        <v>5329.33</v>
      </c>
      <c r="D12" s="173">
        <f t="shared" si="2"/>
        <v>5630.380000000001</v>
      </c>
      <c r="E12" s="173">
        <f t="shared" si="2"/>
        <v>6334.3200000000015</v>
      </c>
      <c r="F12" s="173">
        <f t="shared" si="2"/>
        <v>7053.2299999999977</v>
      </c>
      <c r="G12" s="173">
        <f t="shared" si="2"/>
        <v>7677.720000000003</v>
      </c>
      <c r="H12" s="173">
        <f t="shared" si="2"/>
        <v>8510.7099999999991</v>
      </c>
      <c r="I12" s="173">
        <f t="shared" si="2"/>
        <v>10721.889999999996</v>
      </c>
      <c r="J12" s="173">
        <f t="shared" si="2"/>
        <v>12484.740000000002</v>
      </c>
      <c r="K12" s="173">
        <f t="shared" si="2"/>
        <v>11164.350000000002</v>
      </c>
      <c r="L12" s="173">
        <f t="shared" si="2"/>
        <v>12093.910000000003</v>
      </c>
    </row>
    <row r="13" spans="1:16" ht="14.25" customHeight="1" outlineLevel="1" x14ac:dyDescent="0.3">
      <c r="B13" s="6" t="s">
        <v>7</v>
      </c>
      <c r="C13" s="7">
        <f t="shared" ref="C13:L13" si="3">IFERROR(C12/C6,0)</f>
        <v>0.35382642001488518</v>
      </c>
      <c r="D13" s="7">
        <f t="shared" si="3"/>
        <v>0.33465263558312119</v>
      </c>
      <c r="E13" s="7">
        <f t="shared" si="3"/>
        <v>0.3292243867375117</v>
      </c>
      <c r="F13" s="7">
        <f t="shared" si="3"/>
        <v>0.34897544684272364</v>
      </c>
      <c r="G13" s="7">
        <f t="shared" si="3"/>
        <v>0.35360356729835285</v>
      </c>
      <c r="H13" s="7">
        <f t="shared" si="3"/>
        <v>0.29245139732685294</v>
      </c>
      <c r="I13" s="7">
        <f t="shared" si="3"/>
        <v>0.31088223670495074</v>
      </c>
      <c r="J13" s="7">
        <f t="shared" si="3"/>
        <v>0.35173503221464147</v>
      </c>
      <c r="K13" s="7">
        <f t="shared" si="3"/>
        <v>0.32927727025785108</v>
      </c>
      <c r="L13" s="7">
        <f t="shared" si="3"/>
        <v>0.33987371689269824</v>
      </c>
    </row>
    <row r="14" spans="1:16" ht="14.25" customHeight="1" outlineLevel="1" x14ac:dyDescent="0.3">
      <c r="C14" s="3"/>
      <c r="D14" s="3"/>
      <c r="E14" s="3"/>
      <c r="F14" s="3"/>
      <c r="G14" s="3"/>
      <c r="H14" s="3"/>
      <c r="I14" s="3"/>
      <c r="J14" s="3"/>
      <c r="K14" s="3"/>
      <c r="L14" s="3"/>
    </row>
    <row r="15" spans="1:16" ht="14.25" customHeight="1" outlineLevel="1" x14ac:dyDescent="0.3">
      <c r="B15" t="s">
        <v>8</v>
      </c>
      <c r="C15" s="3">
        <f>IFERROR(SUM('Data Sheet'!B23:B24),0)</f>
        <v>2335.5699999999997</v>
      </c>
      <c r="D15" s="3">
        <f>IFERROR(SUM('Data Sheet'!C23:C24),0)</f>
        <v>2426.37</v>
      </c>
      <c r="E15" s="3">
        <f>IFERROR(SUM('Data Sheet'!D23:D24),0)</f>
        <v>2569.38</v>
      </c>
      <c r="F15" s="3">
        <f>IFERROR(SUM('Data Sheet'!E23:E24),0)</f>
        <v>2891.46</v>
      </c>
      <c r="G15" s="3">
        <f>IFERROR(SUM('Data Sheet'!F23:F24),0)</f>
        <v>2822.12</v>
      </c>
      <c r="H15" s="3">
        <f>IFERROR(SUM('Data Sheet'!G23:G24),0)</f>
        <v>3707.1</v>
      </c>
      <c r="I15" s="3">
        <f>IFERROR(SUM('Data Sheet'!H23:H24),0)</f>
        <v>4462.05</v>
      </c>
      <c r="J15" s="3">
        <f>IFERROR(SUM('Data Sheet'!I23:I24),0)</f>
        <v>4899.76</v>
      </c>
      <c r="K15" s="3">
        <f>IFERROR(SUM('Data Sheet'!J23:J24),0)</f>
        <v>5158.1400000000003</v>
      </c>
      <c r="L15" s="3">
        <f>IFERROR(SUM('Data Sheet'!K23:K24),0)</f>
        <v>5394.1799999999994</v>
      </c>
    </row>
    <row r="16" spans="1:16" ht="14.25" customHeight="1" outlineLevel="1" x14ac:dyDescent="0.3">
      <c r="B16" s="7" t="s">
        <v>9</v>
      </c>
      <c r="C16" s="7">
        <f t="shared" ref="C16:L16" si="4">IFERROR(C15/C6,0)</f>
        <v>0.15506383950593511</v>
      </c>
      <c r="D16" s="7">
        <f t="shared" si="4"/>
        <v>0.14421604143944414</v>
      </c>
      <c r="E16" s="7">
        <f t="shared" si="4"/>
        <v>0.13354275672773522</v>
      </c>
      <c r="F16" s="7">
        <f t="shared" si="4"/>
        <v>0.14306190859051271</v>
      </c>
      <c r="G16" s="7">
        <f t="shared" si="4"/>
        <v>0.12997500551518251</v>
      </c>
      <c r="H16" s="7">
        <f t="shared" si="4"/>
        <v>0.1273861493377611</v>
      </c>
      <c r="I16" s="7">
        <f t="shared" si="4"/>
        <v>0.12937757095897515</v>
      </c>
      <c r="J16" s="7">
        <f t="shared" si="4"/>
        <v>0.1380419008681007</v>
      </c>
      <c r="K16" s="7">
        <f t="shared" si="4"/>
        <v>0.15213230137068723</v>
      </c>
      <c r="L16" s="7">
        <f t="shared" si="4"/>
        <v>0.15159200012140442</v>
      </c>
    </row>
    <row r="17" spans="2:12" ht="14.25" customHeight="1" outlineLevel="1" x14ac:dyDescent="0.3">
      <c r="C17" s="3"/>
      <c r="D17" s="3"/>
      <c r="E17" s="3"/>
      <c r="F17" s="3"/>
      <c r="G17" s="3"/>
      <c r="H17" s="3"/>
      <c r="I17" s="3"/>
      <c r="J17" s="3"/>
      <c r="K17" s="3"/>
      <c r="L17" s="3"/>
    </row>
    <row r="18" spans="2:12" ht="14.25" customHeight="1" outlineLevel="1" x14ac:dyDescent="0.3">
      <c r="B18" s="172" t="s">
        <v>10</v>
      </c>
      <c r="C18" s="173">
        <f t="shared" ref="C18:L18" si="5">IFERROR(C12-C15,0)</f>
        <v>2993.76</v>
      </c>
      <c r="D18" s="173">
        <f t="shared" si="5"/>
        <v>3204.0100000000011</v>
      </c>
      <c r="E18" s="173">
        <f t="shared" si="5"/>
        <v>3764.9400000000014</v>
      </c>
      <c r="F18" s="173">
        <f t="shared" si="5"/>
        <v>4161.7699999999977</v>
      </c>
      <c r="G18" s="173">
        <f t="shared" si="5"/>
        <v>4855.6000000000031</v>
      </c>
      <c r="H18" s="173">
        <f t="shared" si="5"/>
        <v>4803.6099999999988</v>
      </c>
      <c r="I18" s="173">
        <f t="shared" si="5"/>
        <v>6259.8399999999956</v>
      </c>
      <c r="J18" s="173">
        <f t="shared" si="5"/>
        <v>7584.9800000000014</v>
      </c>
      <c r="K18" s="173">
        <f t="shared" si="5"/>
        <v>6006.2100000000019</v>
      </c>
      <c r="L18" s="173">
        <f t="shared" si="5"/>
        <v>6699.7300000000041</v>
      </c>
    </row>
    <row r="19" spans="2:12" ht="14.25" customHeight="1" outlineLevel="1" x14ac:dyDescent="0.3">
      <c r="B19" s="7" t="s">
        <v>11</v>
      </c>
      <c r="C19" s="7">
        <f t="shared" ref="C19:L19" si="6">IFERROR(C18/C6,0)</f>
        <v>0.19876258050895004</v>
      </c>
      <c r="D19" s="7">
        <f t="shared" si="6"/>
        <v>0.19043659414367703</v>
      </c>
      <c r="E19" s="7">
        <f t="shared" si="6"/>
        <v>0.19568163000977651</v>
      </c>
      <c r="F19" s="7">
        <f t="shared" si="6"/>
        <v>0.2059135382522109</v>
      </c>
      <c r="G19" s="7">
        <f t="shared" si="6"/>
        <v>0.22362856178317034</v>
      </c>
      <c r="H19" s="7">
        <f t="shared" si="6"/>
        <v>0.16506524798909186</v>
      </c>
      <c r="I19" s="7">
        <f t="shared" si="6"/>
        <v>0.1815046657459756</v>
      </c>
      <c r="J19" s="7">
        <f t="shared" si="6"/>
        <v>0.21369313134654075</v>
      </c>
      <c r="K19" s="7">
        <f t="shared" si="6"/>
        <v>0.17714496888716388</v>
      </c>
      <c r="L19" s="7">
        <f t="shared" si="6"/>
        <v>0.18828171677129379</v>
      </c>
    </row>
    <row r="20" spans="2:12" ht="14.25" customHeight="1" outlineLevel="1" x14ac:dyDescent="0.3">
      <c r="C20" s="3"/>
      <c r="D20" s="3"/>
      <c r="E20" s="3"/>
      <c r="F20" s="3"/>
      <c r="G20" s="3"/>
      <c r="H20" s="3"/>
      <c r="I20" s="3"/>
      <c r="J20" s="3"/>
      <c r="K20" s="3"/>
      <c r="L20" s="3"/>
    </row>
    <row r="21" spans="2:12" ht="14.25" customHeight="1" outlineLevel="1" x14ac:dyDescent="0.3">
      <c r="B21" t="s">
        <v>12</v>
      </c>
      <c r="C21" s="3">
        <f>IFERROR('Data Sheet'!B25,0)</f>
        <v>337.9</v>
      </c>
      <c r="D21" s="3">
        <f>IFERROR('Data Sheet'!C25,0)</f>
        <v>336.41</v>
      </c>
      <c r="E21" s="3">
        <f>IFERROR('Data Sheet'!D25,0)</f>
        <v>273.77</v>
      </c>
      <c r="F21" s="3">
        <f>IFERROR('Data Sheet'!E25,0)</f>
        <v>350.1</v>
      </c>
      <c r="G21" s="3">
        <f>IFERROR('Data Sheet'!F25,0)</f>
        <v>331.65</v>
      </c>
      <c r="H21" s="3">
        <f>IFERROR('Data Sheet'!G25,0)</f>
        <v>295.88</v>
      </c>
      <c r="I21" s="3">
        <f>IFERROR('Data Sheet'!H25,0)</f>
        <v>431.46</v>
      </c>
      <c r="J21" s="3">
        <f>IFERROR('Data Sheet'!I25,0)</f>
        <v>820.96</v>
      </c>
      <c r="K21" s="3">
        <f>IFERROR('Data Sheet'!J25,0)</f>
        <v>350.22</v>
      </c>
      <c r="L21" s="3">
        <f>IFERROR('Data Sheet'!K25,0)</f>
        <v>727.97</v>
      </c>
    </row>
    <row r="22" spans="2:12" ht="14.25" customHeight="1" outlineLevel="1" x14ac:dyDescent="0.3">
      <c r="B22" s="7" t="s">
        <v>13</v>
      </c>
      <c r="C22" s="7">
        <f t="shared" ref="C22:L22" si="7">IFERROR(C21/C6,0)</f>
        <v>2.2433954610247383E-2</v>
      </c>
      <c r="D22" s="7">
        <f t="shared" si="7"/>
        <v>1.9995185606747286E-2</v>
      </c>
      <c r="E22" s="7">
        <f t="shared" si="7"/>
        <v>1.422911383654892E-2</v>
      </c>
      <c r="F22" s="7">
        <f t="shared" si="7"/>
        <v>1.7322035994804873E-2</v>
      </c>
      <c r="G22" s="7">
        <f t="shared" si="7"/>
        <v>1.5274407388456295E-2</v>
      </c>
      <c r="H22" s="7">
        <f t="shared" si="7"/>
        <v>1.0167250375241226E-2</v>
      </c>
      <c r="I22" s="7">
        <f t="shared" si="7"/>
        <v>1.2510224395952401E-2</v>
      </c>
      <c r="J22" s="7">
        <f t="shared" si="7"/>
        <v>2.3129067329149988E-2</v>
      </c>
      <c r="K22" s="7">
        <f t="shared" si="7"/>
        <v>1.0329261048758288E-2</v>
      </c>
      <c r="L22" s="7">
        <f t="shared" si="7"/>
        <v>2.0458054482493871E-2</v>
      </c>
    </row>
    <row r="23" spans="2:12" ht="14.25" customHeight="1" outlineLevel="1" x14ac:dyDescent="0.3">
      <c r="C23" s="3"/>
      <c r="D23" s="3"/>
      <c r="E23" s="3"/>
      <c r="F23" s="3"/>
      <c r="G23" s="3"/>
      <c r="H23" s="3"/>
      <c r="I23" s="3"/>
      <c r="J23" s="3"/>
      <c r="K23" s="3"/>
      <c r="L23" s="3"/>
    </row>
    <row r="24" spans="2:12" ht="14.25" customHeight="1" outlineLevel="1" x14ac:dyDescent="0.3">
      <c r="B24" t="s">
        <v>14</v>
      </c>
      <c r="C24" s="3">
        <f>IFERROR('Data Sheet'!B26,0)</f>
        <v>334.79</v>
      </c>
      <c r="D24" s="3">
        <f>IFERROR('Data Sheet'!C26,0)</f>
        <v>360.47</v>
      </c>
      <c r="E24" s="3">
        <f>IFERROR('Data Sheet'!D26,0)</f>
        <v>622.14</v>
      </c>
      <c r="F24" s="3">
        <f>IFERROR('Data Sheet'!E26,0)</f>
        <v>780.5</v>
      </c>
      <c r="G24" s="3">
        <f>IFERROR('Data Sheet'!F26,0)</f>
        <v>791.27</v>
      </c>
      <c r="H24" s="3">
        <f>IFERROR('Data Sheet'!G26,0)</f>
        <v>816.36</v>
      </c>
      <c r="I24" s="3">
        <f>IFERROR('Data Sheet'!H26,0)</f>
        <v>858.02</v>
      </c>
      <c r="J24" s="3">
        <f>IFERROR('Data Sheet'!I26,0)</f>
        <v>853</v>
      </c>
      <c r="K24" s="3">
        <f>IFERROR('Data Sheet'!J26,0)</f>
        <v>1026.3399999999999</v>
      </c>
      <c r="L24" s="3">
        <f>IFERROR('Data Sheet'!K26,0)</f>
        <v>1228.8499999999999</v>
      </c>
    </row>
    <row r="25" spans="2:12" ht="14.25" customHeight="1" outlineLevel="1" x14ac:dyDescent="0.3">
      <c r="B25" s="7" t="s">
        <v>15</v>
      </c>
      <c r="C25" s="7">
        <f t="shared" ref="C25:L25" si="8">IFERROR(C24/C6,0)</f>
        <v>2.2227474590011016E-2</v>
      </c>
      <c r="D25" s="7">
        <f t="shared" si="8"/>
        <v>2.1425238713665449E-2</v>
      </c>
      <c r="E25" s="7">
        <f t="shared" si="8"/>
        <v>3.2335540352378074E-2</v>
      </c>
      <c r="F25" s="7">
        <f t="shared" si="8"/>
        <v>3.8617106809326486E-2</v>
      </c>
      <c r="G25" s="7">
        <f t="shared" si="8"/>
        <v>3.6442576011650275E-2</v>
      </c>
      <c r="H25" s="7">
        <f t="shared" si="8"/>
        <v>2.8052374328551871E-2</v>
      </c>
      <c r="I25" s="7">
        <f t="shared" si="8"/>
        <v>2.4878372818372688E-2</v>
      </c>
      <c r="J25" s="7">
        <f t="shared" si="8"/>
        <v>2.4031736542297968E-2</v>
      </c>
      <c r="K25" s="7">
        <f t="shared" si="8"/>
        <v>3.0270497929251843E-2</v>
      </c>
      <c r="L25" s="7">
        <f t="shared" si="8"/>
        <v>3.4534225656019608E-2</v>
      </c>
    </row>
    <row r="26" spans="2:12" ht="14.25" customHeight="1" outlineLevel="1" x14ac:dyDescent="0.3">
      <c r="C26" s="3"/>
      <c r="D26" s="3"/>
      <c r="E26" s="3"/>
      <c r="F26" s="3"/>
      <c r="G26" s="3"/>
      <c r="H26" s="3"/>
      <c r="I26" s="3"/>
      <c r="J26" s="3"/>
      <c r="K26" s="3"/>
      <c r="L26" s="3"/>
    </row>
    <row r="27" spans="2:12" ht="14.25" customHeight="1" outlineLevel="1" x14ac:dyDescent="0.3">
      <c r="B27" s="172" t="s">
        <v>16</v>
      </c>
      <c r="C27" s="173">
        <f t="shared" ref="C27:L27" si="9">IFERROR(C18+C21-C24,0)</f>
        <v>2996.8700000000003</v>
      </c>
      <c r="D27" s="173">
        <f t="shared" si="9"/>
        <v>3179.9500000000007</v>
      </c>
      <c r="E27" s="173">
        <f t="shared" si="9"/>
        <v>3416.5700000000015</v>
      </c>
      <c r="F27" s="173">
        <f t="shared" si="9"/>
        <v>3731.3699999999981</v>
      </c>
      <c r="G27" s="173">
        <f t="shared" si="9"/>
        <v>4395.9800000000032</v>
      </c>
      <c r="H27" s="173">
        <f t="shared" si="9"/>
        <v>4283.1299999999992</v>
      </c>
      <c r="I27" s="173">
        <f t="shared" si="9"/>
        <v>5833.2799999999952</v>
      </c>
      <c r="J27" s="173">
        <f t="shared" si="9"/>
        <v>7552.9400000000023</v>
      </c>
      <c r="K27" s="173">
        <f t="shared" si="9"/>
        <v>5330.090000000002</v>
      </c>
      <c r="L27" s="173">
        <f t="shared" si="9"/>
        <v>6198.850000000004</v>
      </c>
    </row>
    <row r="28" spans="2:12" ht="14.25" customHeight="1" outlineLevel="1" x14ac:dyDescent="0.3">
      <c r="B28" s="7" t="s">
        <v>17</v>
      </c>
      <c r="C28" s="7">
        <f t="shared" ref="C28:L28" si="10">IFERROR(C27/C6,0)</f>
        <v>0.19896906052918642</v>
      </c>
      <c r="D28" s="7">
        <f t="shared" si="10"/>
        <v>0.18900654103675885</v>
      </c>
      <c r="E28" s="7">
        <f t="shared" si="10"/>
        <v>0.17757520349394737</v>
      </c>
      <c r="F28" s="7">
        <f t="shared" si="10"/>
        <v>0.18461846743768931</v>
      </c>
      <c r="G28" s="7">
        <f t="shared" si="10"/>
        <v>0.20246039315997635</v>
      </c>
      <c r="H28" s="7">
        <f t="shared" si="10"/>
        <v>0.14718012403578123</v>
      </c>
      <c r="I28" s="7">
        <f t="shared" si="10"/>
        <v>0.16913651732355528</v>
      </c>
      <c r="J28" s="7">
        <f t="shared" si="10"/>
        <v>0.21279046213339281</v>
      </c>
      <c r="K28" s="7">
        <f t="shared" si="10"/>
        <v>0.15720373200667032</v>
      </c>
      <c r="L28" s="7">
        <f t="shared" si="10"/>
        <v>0.17420554559776807</v>
      </c>
    </row>
    <row r="29" spans="2:12" ht="14.25" customHeight="1" outlineLevel="1" x14ac:dyDescent="0.3">
      <c r="C29" s="3"/>
      <c r="D29" s="3"/>
      <c r="E29" s="3"/>
      <c r="F29" s="3"/>
      <c r="G29" s="3"/>
      <c r="H29" s="3"/>
      <c r="I29" s="3"/>
      <c r="J29" s="3"/>
      <c r="K29" s="3"/>
      <c r="L29" s="3"/>
    </row>
    <row r="30" spans="2:12" ht="14.25" customHeight="1" outlineLevel="1" x14ac:dyDescent="0.3">
      <c r="B30" t="s">
        <v>18</v>
      </c>
      <c r="C30" s="3">
        <f>IFERROR('Data Sheet'!B27,0)</f>
        <v>37.33</v>
      </c>
      <c r="D30" s="3">
        <f>IFERROR('Data Sheet'!C27,0)</f>
        <v>41.47</v>
      </c>
      <c r="E30" s="3">
        <f>IFERROR('Data Sheet'!D27,0)</f>
        <v>110.47</v>
      </c>
      <c r="F30" s="3">
        <f>IFERROR('Data Sheet'!E27,0)</f>
        <v>102.33</v>
      </c>
      <c r="G30" s="3">
        <f>IFERROR('Data Sheet'!F27,0)</f>
        <v>91.63</v>
      </c>
      <c r="H30" s="3">
        <f>IFERROR('Data Sheet'!G27,0)</f>
        <v>95.41</v>
      </c>
      <c r="I30" s="3">
        <f>IFERROR('Data Sheet'!H27,0)</f>
        <v>144.44999999999999</v>
      </c>
      <c r="J30" s="3">
        <f>IFERROR('Data Sheet'!I27,0)</f>
        <v>205.17</v>
      </c>
      <c r="K30" s="3">
        <f>IFERROR('Data Sheet'!J27,0)</f>
        <v>227.02</v>
      </c>
      <c r="L30" s="3">
        <f>IFERROR('Data Sheet'!K27,0)</f>
        <v>195.41</v>
      </c>
    </row>
    <row r="31" spans="2:12" ht="14.25" customHeight="1" outlineLevel="1" x14ac:dyDescent="0.3">
      <c r="B31" s="7" t="s">
        <v>19</v>
      </c>
      <c r="C31" s="7">
        <f t="shared" ref="C31:L31" si="11">IFERROR(C30/C6,0)</f>
        <v>2.4784241657310885E-3</v>
      </c>
      <c r="D31" s="7">
        <f t="shared" si="11"/>
        <v>2.4648504714836358E-3</v>
      </c>
      <c r="E31" s="7">
        <f t="shared" si="11"/>
        <v>5.7416451967840128E-3</v>
      </c>
      <c r="F31" s="7">
        <f t="shared" si="11"/>
        <v>5.0630218319005502E-3</v>
      </c>
      <c r="G31" s="7">
        <f t="shared" si="11"/>
        <v>4.2200933182700148E-3</v>
      </c>
      <c r="H31" s="7">
        <f t="shared" si="11"/>
        <v>3.2785499469439143E-3</v>
      </c>
      <c r="I31" s="7">
        <f t="shared" si="11"/>
        <v>4.1883417095335005E-3</v>
      </c>
      <c r="J31" s="7">
        <f t="shared" si="11"/>
        <v>5.7802947085384216E-3</v>
      </c>
      <c r="K31" s="7">
        <f t="shared" si="11"/>
        <v>6.6956451467337858E-3</v>
      </c>
      <c r="L31" s="7">
        <f t="shared" si="11"/>
        <v>5.4915840301442741E-3</v>
      </c>
    </row>
    <row r="32" spans="2:12" ht="14.25" customHeight="1" outlineLevel="1" x14ac:dyDescent="0.3">
      <c r="C32" s="3"/>
      <c r="D32" s="3"/>
      <c r="E32" s="3"/>
      <c r="F32" s="3"/>
      <c r="G32" s="3"/>
      <c r="H32" s="3"/>
      <c r="I32" s="3"/>
      <c r="J32" s="3"/>
      <c r="K32" s="3"/>
      <c r="L32" s="3"/>
    </row>
    <row r="33" spans="2:12" ht="14.25" customHeight="1" outlineLevel="1" x14ac:dyDescent="0.3">
      <c r="B33" s="172" t="s">
        <v>20</v>
      </c>
      <c r="C33" s="173">
        <f t="shared" ref="C33:L33" si="12">IFERROR(C27-C30,0)</f>
        <v>2959.5400000000004</v>
      </c>
      <c r="D33" s="173">
        <f t="shared" si="12"/>
        <v>3138.4800000000009</v>
      </c>
      <c r="E33" s="173">
        <f t="shared" si="12"/>
        <v>3306.1000000000017</v>
      </c>
      <c r="F33" s="173">
        <f t="shared" si="12"/>
        <v>3629.0399999999981</v>
      </c>
      <c r="G33" s="173">
        <f t="shared" si="12"/>
        <v>4304.3500000000031</v>
      </c>
      <c r="H33" s="173">
        <f t="shared" si="12"/>
        <v>4187.7199999999993</v>
      </c>
      <c r="I33" s="173">
        <f t="shared" si="12"/>
        <v>5688.8299999999954</v>
      </c>
      <c r="J33" s="173">
        <f t="shared" si="12"/>
        <v>7347.7700000000023</v>
      </c>
      <c r="K33" s="173">
        <f t="shared" si="12"/>
        <v>5103.0700000000015</v>
      </c>
      <c r="L33" s="173">
        <f t="shared" si="12"/>
        <v>6003.4400000000041</v>
      </c>
    </row>
    <row r="34" spans="2:12" ht="14.25" customHeight="1" outlineLevel="1" x14ac:dyDescent="0.3">
      <c r="B34" s="7" t="s">
        <v>21</v>
      </c>
      <c r="C34" s="7">
        <f t="shared" ref="C34:L34" si="13">IFERROR(C33/C6,0)</f>
        <v>0.19649063636345532</v>
      </c>
      <c r="D34" s="7">
        <f t="shared" si="13"/>
        <v>0.18654169056527523</v>
      </c>
      <c r="E34" s="7">
        <f t="shared" si="13"/>
        <v>0.17183355829716335</v>
      </c>
      <c r="F34" s="7">
        <f t="shared" si="13"/>
        <v>0.17955544560578876</v>
      </c>
      <c r="G34" s="7">
        <f t="shared" si="13"/>
        <v>0.19824029984170632</v>
      </c>
      <c r="H34" s="7">
        <f t="shared" si="13"/>
        <v>0.1439015740888373</v>
      </c>
      <c r="I34" s="7">
        <f t="shared" si="13"/>
        <v>0.16494817561402181</v>
      </c>
      <c r="J34" s="7">
        <f t="shared" si="13"/>
        <v>0.20701016742485437</v>
      </c>
      <c r="K34" s="7">
        <f t="shared" si="13"/>
        <v>0.15050808685993652</v>
      </c>
      <c r="L34" s="7">
        <f t="shared" si="13"/>
        <v>0.1687139615676238</v>
      </c>
    </row>
    <row r="35" spans="2:12" ht="14.25" customHeight="1" outlineLevel="1" x14ac:dyDescent="0.3">
      <c r="C35" s="3"/>
      <c r="D35" s="3"/>
      <c r="E35" s="3"/>
      <c r="F35" s="3"/>
      <c r="G35" s="3"/>
      <c r="H35" s="3"/>
      <c r="I35" s="3"/>
      <c r="J35" s="3"/>
      <c r="K35" s="3"/>
      <c r="L35" s="3"/>
    </row>
    <row r="36" spans="2:12" ht="14.25" customHeight="1" outlineLevel="1" x14ac:dyDescent="0.3">
      <c r="B36" t="s">
        <v>22</v>
      </c>
      <c r="C36" s="3">
        <f>IFERROR('Data Sheet'!B29,0)</f>
        <v>943.29</v>
      </c>
      <c r="D36" s="3">
        <f>IFERROR('Data Sheet'!C29,0)</f>
        <v>1040.96</v>
      </c>
      <c r="E36" s="3">
        <f>IFERROR('Data Sheet'!D29,0)</f>
        <v>1098.06</v>
      </c>
      <c r="F36" s="3">
        <f>IFERROR('Data Sheet'!E29,0)</f>
        <v>854.85</v>
      </c>
      <c r="G36" s="3">
        <f>IFERROR('Data Sheet'!F29,0)</f>
        <v>1097.5999999999999</v>
      </c>
      <c r="H36" s="3">
        <f>IFERROR('Data Sheet'!G29,0)</f>
        <v>1102.9100000000001</v>
      </c>
      <c r="I36" s="3">
        <f>IFERROR('Data Sheet'!H29,0)</f>
        <v>1493.5</v>
      </c>
      <c r="J36" s="3">
        <f>IFERROR('Data Sheet'!I29,0)</f>
        <v>1790.08</v>
      </c>
      <c r="K36" s="3">
        <f>IFERROR('Data Sheet'!J29,0)</f>
        <v>1393.36</v>
      </c>
      <c r="L36" s="3">
        <f>IFERROR('Data Sheet'!K29,0)</f>
        <v>1608.75</v>
      </c>
    </row>
    <row r="37" spans="2:12" ht="14.25" customHeight="1" outlineLevel="1" x14ac:dyDescent="0.3">
      <c r="B37" s="7" t="s">
        <v>23</v>
      </c>
      <c r="C37" s="7">
        <f t="shared" ref="C37:L37" si="14">IFERROR(C36/C33,0)</f>
        <v>0.31872858619920658</v>
      </c>
      <c r="D37" s="7">
        <f t="shared" si="14"/>
        <v>0.33167648033442931</v>
      </c>
      <c r="E37" s="7">
        <f t="shared" si="14"/>
        <v>0.33213151447324624</v>
      </c>
      <c r="F37" s="7">
        <f t="shared" si="14"/>
        <v>0.23555816414258329</v>
      </c>
      <c r="G37" s="7">
        <f t="shared" si="14"/>
        <v>0.25499785101118616</v>
      </c>
      <c r="H37" s="7">
        <f t="shared" si="14"/>
        <v>0.26336765590822697</v>
      </c>
      <c r="I37" s="7">
        <f t="shared" si="14"/>
        <v>0.2625320144915565</v>
      </c>
      <c r="J37" s="7">
        <f t="shared" si="14"/>
        <v>0.24362221463110567</v>
      </c>
      <c r="K37" s="7">
        <f t="shared" si="14"/>
        <v>0.27304348166887765</v>
      </c>
      <c r="L37" s="7">
        <f t="shared" si="14"/>
        <v>0.26797136308516434</v>
      </c>
    </row>
    <row r="38" spans="2:12" ht="14.25" customHeight="1" outlineLevel="1" x14ac:dyDescent="0.3">
      <c r="C38" s="3"/>
      <c r="D38" s="3"/>
      <c r="E38" s="3"/>
      <c r="F38" s="3"/>
      <c r="G38" s="3"/>
      <c r="H38" s="3"/>
      <c r="I38" s="3"/>
      <c r="J38" s="3"/>
      <c r="K38" s="3"/>
      <c r="L38" s="3"/>
    </row>
    <row r="39" spans="2:12" ht="14.25" customHeight="1" outlineLevel="1" x14ac:dyDescent="0.3">
      <c r="B39" s="172" t="s">
        <v>24</v>
      </c>
      <c r="C39" s="173">
        <f t="shared" ref="C39:L39" si="15">IFERROR(C33-C36,0)</f>
        <v>2016.2500000000005</v>
      </c>
      <c r="D39" s="173">
        <f t="shared" si="15"/>
        <v>2097.5200000000009</v>
      </c>
      <c r="E39" s="173">
        <f t="shared" si="15"/>
        <v>2208.0400000000018</v>
      </c>
      <c r="F39" s="173">
        <f t="shared" si="15"/>
        <v>2774.1899999999982</v>
      </c>
      <c r="G39" s="173">
        <f t="shared" si="15"/>
        <v>3206.7500000000032</v>
      </c>
      <c r="H39" s="173">
        <f t="shared" si="15"/>
        <v>3084.8099999999995</v>
      </c>
      <c r="I39" s="173">
        <f t="shared" si="15"/>
        <v>4195.3299999999954</v>
      </c>
      <c r="J39" s="173">
        <f t="shared" si="15"/>
        <v>5557.6900000000023</v>
      </c>
      <c r="K39" s="173">
        <f t="shared" si="15"/>
        <v>3709.7100000000019</v>
      </c>
      <c r="L39" s="173">
        <f t="shared" si="15"/>
        <v>4394.6900000000041</v>
      </c>
    </row>
    <row r="40" spans="2:12" ht="14.25" customHeight="1" outlineLevel="1" x14ac:dyDescent="0.3">
      <c r="B40" s="7" t="s">
        <v>25</v>
      </c>
      <c r="C40" s="7">
        <f t="shared" ref="C40:L40" si="16">IFERROR(C39/C6,0)</f>
        <v>0.1338634536339488</v>
      </c>
      <c r="D40" s="7">
        <f t="shared" si="16"/>
        <v>0.12467019920295051</v>
      </c>
      <c r="E40" s="7">
        <f t="shared" si="16"/>
        <v>0.11476221834259964</v>
      </c>
      <c r="F40" s="7">
        <f t="shared" si="16"/>
        <v>0.13725969447708569</v>
      </c>
      <c r="G40" s="7">
        <f t="shared" si="16"/>
        <v>0.14768944939825804</v>
      </c>
      <c r="H40" s="7">
        <f t="shared" si="16"/>
        <v>0.10600255383955619</v>
      </c>
      <c r="I40" s="7">
        <f t="shared" si="16"/>
        <v>0.12164399878336563</v>
      </c>
      <c r="J40" s="7">
        <f t="shared" si="16"/>
        <v>0.15657789198565539</v>
      </c>
      <c r="K40" s="7">
        <f t="shared" si="16"/>
        <v>0.10941283480437761</v>
      </c>
      <c r="L40" s="7">
        <f t="shared" si="16"/>
        <v>0.12350345131484962</v>
      </c>
    </row>
    <row r="41" spans="2:12" ht="14.25" customHeight="1" outlineLevel="1" x14ac:dyDescent="0.3"/>
    <row r="42" spans="2:12" ht="14.25" customHeight="1" outlineLevel="1" x14ac:dyDescent="0.3">
      <c r="B42" t="s">
        <v>26</v>
      </c>
      <c r="C42" s="8">
        <f>IFERROR('Data Sheet'!B93,0)</f>
        <v>95.92</v>
      </c>
      <c r="D42" s="8">
        <f>IFERROR('Data Sheet'!C93,0)</f>
        <v>95.92</v>
      </c>
      <c r="E42" s="8">
        <f>IFERROR('Data Sheet'!D93,0)</f>
        <v>95.92</v>
      </c>
      <c r="F42" s="8">
        <f>IFERROR('Data Sheet'!E93,0)</f>
        <v>95.92</v>
      </c>
      <c r="G42" s="8">
        <f>IFERROR('Data Sheet'!F93,0)</f>
        <v>95.92</v>
      </c>
      <c r="H42" s="8">
        <f>IFERROR('Data Sheet'!G93,0)</f>
        <v>95.92</v>
      </c>
      <c r="I42" s="8">
        <f>IFERROR('Data Sheet'!H93,0)</f>
        <v>95.92</v>
      </c>
      <c r="J42" s="8">
        <f>IFERROR('Data Sheet'!I93,0)</f>
        <v>95.92</v>
      </c>
      <c r="K42" s="8">
        <f>IFERROR('Data Sheet'!J93,0)</f>
        <v>95.92</v>
      </c>
      <c r="L42" s="8">
        <f>IFERROR('Data Sheet'!K93,0)</f>
        <v>95.92</v>
      </c>
    </row>
    <row r="43" spans="2:12" ht="14.25" customHeight="1" outlineLevel="1" x14ac:dyDescent="0.3"/>
    <row r="44" spans="2:12" ht="14.25" customHeight="1" outlineLevel="1" x14ac:dyDescent="0.3">
      <c r="B44" t="s">
        <v>27</v>
      </c>
      <c r="C44" s="3">
        <f t="shared" ref="C44:L44" si="17">IFERROR(C39/C42,0)</f>
        <v>21.020120934111763</v>
      </c>
      <c r="D44" s="3">
        <f t="shared" si="17"/>
        <v>21.867389491242712</v>
      </c>
      <c r="E44" s="3">
        <f t="shared" si="17"/>
        <v>23.019599666388675</v>
      </c>
      <c r="F44" s="3">
        <f t="shared" si="17"/>
        <v>28.921914095079213</v>
      </c>
      <c r="G44" s="3">
        <f t="shared" si="17"/>
        <v>33.431505421184355</v>
      </c>
      <c r="H44" s="3">
        <f t="shared" si="17"/>
        <v>32.16023769808173</v>
      </c>
      <c r="I44" s="3">
        <f t="shared" si="17"/>
        <v>43.737802335279348</v>
      </c>
      <c r="J44" s="3">
        <f t="shared" si="17"/>
        <v>57.940888240200188</v>
      </c>
      <c r="K44" s="3">
        <f t="shared" si="17"/>
        <v>38.675041701417868</v>
      </c>
      <c r="L44" s="3">
        <f t="shared" si="17"/>
        <v>45.81620100083407</v>
      </c>
    </row>
    <row r="45" spans="2:12" ht="14.25" customHeight="1" outlineLevel="1" x14ac:dyDescent="0.3">
      <c r="B45" s="7" t="s">
        <v>28</v>
      </c>
      <c r="C45" s="7"/>
      <c r="D45" s="7">
        <f t="shared" ref="D45:L45" si="18">IFERROR(D44/C44-1,0)</f>
        <v>4.0307501549907254E-2</v>
      </c>
      <c r="E45" s="7">
        <f t="shared" si="18"/>
        <v>5.2690796750448632E-2</v>
      </c>
      <c r="F45" s="7">
        <f t="shared" si="18"/>
        <v>0.25640386949511607</v>
      </c>
      <c r="G45" s="7">
        <f t="shared" si="18"/>
        <v>0.15592299013405908</v>
      </c>
      <c r="H45" s="7">
        <f t="shared" si="18"/>
        <v>-3.8026038824356068E-2</v>
      </c>
      <c r="I45" s="7">
        <f t="shared" si="18"/>
        <v>0.35999623963874461</v>
      </c>
      <c r="J45" s="7">
        <f t="shared" si="18"/>
        <v>0.32473250018473121</v>
      </c>
      <c r="K45" s="7">
        <f t="shared" si="18"/>
        <v>-0.33250865017660203</v>
      </c>
      <c r="L45" s="7">
        <f t="shared" si="18"/>
        <v>0.18464516094249994</v>
      </c>
    </row>
    <row r="46" spans="2:12" ht="14.25" customHeight="1" outlineLevel="1" x14ac:dyDescent="0.3"/>
    <row r="47" spans="2:12" ht="14.25" customHeight="1" outlineLevel="1" x14ac:dyDescent="0.3">
      <c r="B47" t="s">
        <v>29</v>
      </c>
      <c r="C47" s="3">
        <f>IFERROR('Data Sheet'!B31/HistoricalFS!C42,0)</f>
        <v>10.300041701417848</v>
      </c>
      <c r="D47" s="3">
        <f>IFERROR('Data Sheet'!C31/HistoricalFS!D42,0)</f>
        <v>8.6999582985821515</v>
      </c>
      <c r="E47" s="3">
        <f>IFERROR('Data Sheet'!D31/HistoricalFS!E42,0)</f>
        <v>10.5</v>
      </c>
      <c r="F47" s="3">
        <f>IFERROR('Data Sheet'!E31/HistoricalFS!F42,0)</f>
        <v>12</v>
      </c>
      <c r="G47" s="3">
        <f>IFERROR('Data Sheet'!F31/HistoricalFS!G42,0)</f>
        <v>17.849979149291077</v>
      </c>
      <c r="H47" s="3">
        <f>IFERROR('Data Sheet'!G31/HistoricalFS!H42,0)</f>
        <v>19.150020850708923</v>
      </c>
      <c r="I47" s="3">
        <f>IFERROR('Data Sheet'!H31/HistoricalFS!I42,0)</f>
        <v>25.650020850708923</v>
      </c>
      <c r="J47" s="3">
        <f>IFERROR('Data Sheet'!I31/HistoricalFS!J42,0)</f>
        <v>33.300041701417847</v>
      </c>
      <c r="K47" s="3">
        <f>IFERROR('Data Sheet'!J31/HistoricalFS!K42,0)</f>
        <v>24.80004170141785</v>
      </c>
      <c r="L47" s="3">
        <f>IFERROR('Data Sheet'!K31/HistoricalFS!L42,0)</f>
        <v>27.5</v>
      </c>
    </row>
    <row r="48" spans="2:12" ht="14.25" customHeight="1" outlineLevel="1" x14ac:dyDescent="0.3">
      <c r="B48" s="7" t="s">
        <v>30</v>
      </c>
      <c r="C48" s="7">
        <f t="shared" ref="C48:L48" si="19">IFERROR(C47/C44,0)</f>
        <v>0.49000867947923121</v>
      </c>
      <c r="D48" s="7">
        <f t="shared" si="19"/>
        <v>0.3978507952248368</v>
      </c>
      <c r="E48" s="7">
        <f t="shared" si="19"/>
        <v>0.45613304106809621</v>
      </c>
      <c r="F48" s="7">
        <f t="shared" si="19"/>
        <v>0.41491029814107933</v>
      </c>
      <c r="G48" s="7">
        <f t="shared" si="19"/>
        <v>0.53392687300226038</v>
      </c>
      <c r="H48" s="7">
        <f t="shared" si="19"/>
        <v>0.59545644626411354</v>
      </c>
      <c r="I48" s="7">
        <f t="shared" si="19"/>
        <v>0.5864496952563929</v>
      </c>
      <c r="J48" s="7">
        <f t="shared" si="19"/>
        <v>0.57472439088902016</v>
      </c>
      <c r="K48" s="7">
        <f t="shared" si="19"/>
        <v>0.64124149866162017</v>
      </c>
      <c r="L48" s="7">
        <f t="shared" si="19"/>
        <v>0.60022436167283644</v>
      </c>
    </row>
    <row r="49" spans="1:12" ht="14.25" customHeight="1" outlineLevel="1" x14ac:dyDescent="0.3"/>
    <row r="50" spans="1:12" ht="14.25" customHeight="1" outlineLevel="1" x14ac:dyDescent="0.3">
      <c r="B50" t="s">
        <v>31</v>
      </c>
      <c r="C50" s="4">
        <f t="shared" ref="C50:L50" si="20">IFERROR(IF(C44&gt;C47,1-C48),0)</f>
        <v>0.50999132052076879</v>
      </c>
      <c r="D50" s="4">
        <f>IFERROR(IF(D44&gt;D47,1-D48),0)</f>
        <v>0.6021492047751632</v>
      </c>
      <c r="E50" s="4">
        <f t="shared" si="20"/>
        <v>0.54386695893190384</v>
      </c>
      <c r="F50" s="4">
        <f t="shared" si="20"/>
        <v>0.58508970185892073</v>
      </c>
      <c r="G50" s="4">
        <f t="shared" si="20"/>
        <v>0.46607312699773962</v>
      </c>
      <c r="H50" s="4">
        <f t="shared" si="20"/>
        <v>0.40454355373588646</v>
      </c>
      <c r="I50" s="4">
        <f t="shared" si="20"/>
        <v>0.4135503047436071</v>
      </c>
      <c r="J50" s="4">
        <f t="shared" si="20"/>
        <v>0.42527560911097984</v>
      </c>
      <c r="K50" s="4">
        <f t="shared" si="20"/>
        <v>0.35875850133837983</v>
      </c>
      <c r="L50" s="4">
        <f t="shared" si="20"/>
        <v>0.39977563832716356</v>
      </c>
    </row>
    <row r="52" spans="1:12" ht="14.25" customHeight="1" x14ac:dyDescent="0.3">
      <c r="A52" t="s">
        <v>1</v>
      </c>
      <c r="B52" s="170" t="str">
        <f>"Balance Sheet"&amp;" - "&amp;'Data Sheet'!B1</f>
        <v>Balance Sheet - ASIAN PAINTS LTD</v>
      </c>
      <c r="C52" s="171"/>
      <c r="D52" s="171"/>
      <c r="E52" s="171"/>
      <c r="F52" s="171"/>
      <c r="G52" s="171"/>
      <c r="H52" s="171"/>
      <c r="I52" s="171"/>
      <c r="J52" s="171"/>
      <c r="K52" s="171"/>
      <c r="L52" s="171"/>
    </row>
    <row r="53" spans="1:12" ht="14.25" customHeight="1" outlineLevel="1" x14ac:dyDescent="0.3">
      <c r="B53" s="9" t="s">
        <v>32</v>
      </c>
      <c r="C53" s="3">
        <f>IFERROR('Data Sheet'!B57,0)</f>
        <v>95.92</v>
      </c>
      <c r="D53" s="3">
        <f>IFERROR('Data Sheet'!C57,0)</f>
        <v>95.92</v>
      </c>
      <c r="E53" s="3">
        <f>IFERROR('Data Sheet'!D57,0)</f>
        <v>95.92</v>
      </c>
      <c r="F53" s="3">
        <f>IFERROR('Data Sheet'!E57,0)</f>
        <v>95.92</v>
      </c>
      <c r="G53" s="3">
        <f>IFERROR('Data Sheet'!F57,0)</f>
        <v>95.92</v>
      </c>
      <c r="H53" s="3">
        <f>IFERROR('Data Sheet'!G57,0)</f>
        <v>95.92</v>
      </c>
      <c r="I53" s="3">
        <f>IFERROR('Data Sheet'!H57,0)</f>
        <v>95.92</v>
      </c>
      <c r="J53" s="3">
        <f>IFERROR('Data Sheet'!I57,0)</f>
        <v>95.92</v>
      </c>
      <c r="K53" s="3">
        <f>IFERROR('Data Sheet'!J57,0)</f>
        <v>95.92</v>
      </c>
      <c r="L53" s="3">
        <f>IFERROR('Data Sheet'!K57,0)</f>
        <v>95.92</v>
      </c>
    </row>
    <row r="54" spans="1:12" ht="14.25" customHeight="1" outlineLevel="1" x14ac:dyDescent="0.3">
      <c r="B54" s="9" t="s">
        <v>33</v>
      </c>
      <c r="C54" s="3">
        <f>IFERROR('Data Sheet'!B58,0)</f>
        <v>7507.97</v>
      </c>
      <c r="D54" s="3">
        <f>IFERROR('Data Sheet'!C58,0)</f>
        <v>8314.31</v>
      </c>
      <c r="E54" s="3">
        <f>IFERROR('Data Sheet'!D58,0)</f>
        <v>9374.6299999999992</v>
      </c>
      <c r="F54" s="3">
        <f>IFERROR('Data Sheet'!E58,0)</f>
        <v>10034.24</v>
      </c>
      <c r="G54" s="3">
        <f>IFERROR('Data Sheet'!F58,0)</f>
        <v>12710.37</v>
      </c>
      <c r="H54" s="3">
        <f>IFERROR('Data Sheet'!G58,0)</f>
        <v>13715.64</v>
      </c>
      <c r="I54" s="3">
        <f>IFERROR('Data Sheet'!H58,0)</f>
        <v>15896.31</v>
      </c>
      <c r="J54" s="3">
        <f>IFERROR('Data Sheet'!I58,0)</f>
        <v>18632.38</v>
      </c>
      <c r="K54" s="3">
        <f>IFERROR('Data Sheet'!J58,0)</f>
        <v>19303.89</v>
      </c>
      <c r="L54" s="3">
        <f>IFERROR('Data Sheet'!K58,0)</f>
        <v>21275.67</v>
      </c>
    </row>
    <row r="55" spans="1:12" ht="14.25" customHeight="1" outlineLevel="1" x14ac:dyDescent="0.3">
      <c r="B55" s="9" t="s">
        <v>34</v>
      </c>
      <c r="C55" s="3">
        <f>IFERROR('Data Sheet'!B59,0)</f>
        <v>560.34</v>
      </c>
      <c r="D55" s="3">
        <f>IFERROR('Data Sheet'!C59,0)</f>
        <v>533.42999999999995</v>
      </c>
      <c r="E55" s="3">
        <f>IFERROR('Data Sheet'!D59,0)</f>
        <v>1319.6</v>
      </c>
      <c r="F55" s="3">
        <f>IFERROR('Data Sheet'!E59,0)</f>
        <v>1118.5</v>
      </c>
      <c r="G55" s="3">
        <f>IFERROR('Data Sheet'!F59,0)</f>
        <v>1093.1199999999999</v>
      </c>
      <c r="H55" s="3">
        <f>IFERROR('Data Sheet'!G59,0)</f>
        <v>1586.88</v>
      </c>
      <c r="I55" s="3">
        <f>IFERROR('Data Sheet'!H59,0)</f>
        <v>1932.62</v>
      </c>
      <c r="J55" s="3">
        <f>IFERROR('Data Sheet'!I59,0)</f>
        <v>2474.38</v>
      </c>
      <c r="K55" s="3">
        <f>IFERROR('Data Sheet'!J59,0)</f>
        <v>2290.29</v>
      </c>
      <c r="L55" s="3">
        <f>IFERROR('Data Sheet'!K59,0)</f>
        <v>3928.93</v>
      </c>
    </row>
    <row r="56" spans="1:12" ht="14.25" customHeight="1" outlineLevel="1" x14ac:dyDescent="0.3">
      <c r="B56" s="9" t="s">
        <v>35</v>
      </c>
      <c r="C56" s="3">
        <f>IFERROR('Data Sheet'!B74,0)</f>
        <v>1923</v>
      </c>
      <c r="D56" s="3">
        <f>IFERROR('Data Sheet'!C74,0)</f>
        <v>2160</v>
      </c>
      <c r="E56" s="3">
        <f>IFERROR('Data Sheet'!D74,0)</f>
        <v>2394</v>
      </c>
      <c r="F56" s="3">
        <f>IFERROR('Data Sheet'!E74,0)</f>
        <v>2137</v>
      </c>
      <c r="G56" s="3">
        <f>IFERROR('Data Sheet'!F74,0)</f>
        <v>3379</v>
      </c>
      <c r="H56" s="3">
        <f>IFERROR('Data Sheet'!G74,0)</f>
        <v>4164</v>
      </c>
      <c r="I56" s="3">
        <f>IFERROR('Data Sheet'!H74,0)</f>
        <v>3635</v>
      </c>
      <c r="J56" s="3">
        <f>IFERROR('Data Sheet'!I74,0)</f>
        <v>3831</v>
      </c>
      <c r="K56" s="3">
        <f>IFERROR('Data Sheet'!J74,0)</f>
        <v>3848</v>
      </c>
      <c r="L56" s="3">
        <f>IFERROR('Data Sheet'!K74,0)</f>
        <v>3863</v>
      </c>
    </row>
    <row r="57" spans="1:12" ht="14.25" customHeight="1" outlineLevel="1" x14ac:dyDescent="0.3">
      <c r="B57" s="9" t="s">
        <v>36</v>
      </c>
      <c r="C57" s="3">
        <f>IFERROR('Data Sheet'!B60-'Data Sheet'!B74,0)</f>
        <v>2317.96</v>
      </c>
      <c r="D57" s="3">
        <f>IFERROR('Data Sheet'!C60-'Data Sheet'!C74,0)</f>
        <v>2659.8199999999997</v>
      </c>
      <c r="E57" s="3">
        <f>IFERROR('Data Sheet'!D60-'Data Sheet'!D74,0)</f>
        <v>3064.6899999999996</v>
      </c>
      <c r="F57" s="3">
        <f>IFERROR('Data Sheet'!E60-'Data Sheet'!E74,0)</f>
        <v>2752.3100000000004</v>
      </c>
      <c r="G57" s="3">
        <f>IFERROR('Data Sheet'!F60-'Data Sheet'!F74,0)</f>
        <v>3076.9300000000003</v>
      </c>
      <c r="H57" s="3">
        <f>IFERROR('Data Sheet'!G60-'Data Sheet'!G74,0)</f>
        <v>3395.99</v>
      </c>
      <c r="I57" s="3">
        <f>IFERROR('Data Sheet'!H60-'Data Sheet'!H74,0)</f>
        <v>4219.4799999999996</v>
      </c>
      <c r="J57" s="3">
        <f>IFERROR('Data Sheet'!I60-'Data Sheet'!I74,0)</f>
        <v>4867.09</v>
      </c>
      <c r="K57" s="3">
        <f>IFERROR('Data Sheet'!J60-'Data Sheet'!J74,0)</f>
        <v>4817.1499999999996</v>
      </c>
      <c r="L57" s="3">
        <f>IFERROR('Data Sheet'!K60-'Data Sheet'!K74,0)</f>
        <v>5355.23</v>
      </c>
    </row>
    <row r="58" spans="1:12" ht="14.25" customHeight="1" outlineLevel="1" x14ac:dyDescent="0.3">
      <c r="B58" s="174" t="s">
        <v>37</v>
      </c>
      <c r="C58" s="173">
        <f t="shared" ref="C58:L58" si="21">IFERROR(SUM(C53:C57),0)</f>
        <v>12405.189999999999</v>
      </c>
      <c r="D58" s="173">
        <f t="shared" si="21"/>
        <v>13763.48</v>
      </c>
      <c r="E58" s="173">
        <f t="shared" si="21"/>
        <v>16248.84</v>
      </c>
      <c r="F58" s="173">
        <f t="shared" si="21"/>
        <v>16137.970000000001</v>
      </c>
      <c r="G58" s="173">
        <f t="shared" si="21"/>
        <v>20355.34</v>
      </c>
      <c r="H58" s="173">
        <f t="shared" si="21"/>
        <v>22958.43</v>
      </c>
      <c r="I58" s="173">
        <f t="shared" si="21"/>
        <v>25779.329999999998</v>
      </c>
      <c r="J58" s="173">
        <f t="shared" si="21"/>
        <v>29900.77</v>
      </c>
      <c r="K58" s="173">
        <f t="shared" si="21"/>
        <v>30355.25</v>
      </c>
      <c r="L58" s="173">
        <f t="shared" si="21"/>
        <v>34518.75</v>
      </c>
    </row>
    <row r="59" spans="1:12" ht="14.25" customHeight="1" outlineLevel="1" x14ac:dyDescent="0.3">
      <c r="B59" s="10"/>
    </row>
    <row r="60" spans="1:12" ht="14.25" customHeight="1" outlineLevel="1" x14ac:dyDescent="0.3">
      <c r="B60" t="s">
        <v>38</v>
      </c>
      <c r="C60" s="3">
        <f>IFERROR('Data Sheet'!B62,0)</f>
        <v>3303.74</v>
      </c>
      <c r="D60" s="3">
        <f>IFERROR('Data Sheet'!C62,0)</f>
        <v>3732.24</v>
      </c>
      <c r="E60" s="3">
        <f>IFERROR('Data Sheet'!D62,0)</f>
        <v>6496.56</v>
      </c>
      <c r="F60" s="3">
        <f>IFERROR('Data Sheet'!E62,0)</f>
        <v>6272.31</v>
      </c>
      <c r="G60" s="3">
        <f>IFERROR('Data Sheet'!F62,0)</f>
        <v>5858.52</v>
      </c>
      <c r="H60" s="3">
        <f>IFERROR('Data Sheet'!G62,0)</f>
        <v>5519.06</v>
      </c>
      <c r="I60" s="3">
        <f>IFERROR('Data Sheet'!H62,0)</f>
        <v>5770.46</v>
      </c>
      <c r="J60" s="3">
        <f>IFERROR('Data Sheet'!I62,0)</f>
        <v>7146.62</v>
      </c>
      <c r="K60" s="3">
        <f>IFERROR('Data Sheet'!J62,0)</f>
        <v>9220.1</v>
      </c>
      <c r="L60" s="3">
        <f>IFERROR('Data Sheet'!K62,0)</f>
        <v>9640.2800000000007</v>
      </c>
    </row>
    <row r="61" spans="1:12" ht="14.25" customHeight="1" outlineLevel="1" x14ac:dyDescent="0.3">
      <c r="B61" t="s">
        <v>39</v>
      </c>
      <c r="C61" s="3">
        <f>IFERROR('Data Sheet'!B63,0)</f>
        <v>257.54000000000002</v>
      </c>
      <c r="D61" s="3">
        <f>IFERROR('Data Sheet'!C63,0)</f>
        <v>1405.11</v>
      </c>
      <c r="E61" s="3">
        <f>IFERROR('Data Sheet'!D63,0)</f>
        <v>209.67</v>
      </c>
      <c r="F61" s="3">
        <f>IFERROR('Data Sheet'!E63,0)</f>
        <v>140.24</v>
      </c>
      <c r="G61" s="3">
        <f>IFERROR('Data Sheet'!F63,0)</f>
        <v>182.98</v>
      </c>
      <c r="H61" s="3">
        <f>IFERROR('Data Sheet'!G63,0)</f>
        <v>426.43</v>
      </c>
      <c r="I61" s="3">
        <f>IFERROR('Data Sheet'!H63,0)</f>
        <v>1019.59</v>
      </c>
      <c r="J61" s="3">
        <f>IFERROR('Data Sheet'!I63,0)</f>
        <v>2698.37</v>
      </c>
      <c r="K61" s="3">
        <f>IFERROR('Data Sheet'!J63,0)</f>
        <v>1254.49</v>
      </c>
      <c r="L61" s="3">
        <f>IFERROR('Data Sheet'!K63,0)</f>
        <v>1848.67</v>
      </c>
    </row>
    <row r="62" spans="1:12" ht="14.25" customHeight="1" outlineLevel="1" x14ac:dyDescent="0.3">
      <c r="B62" t="s">
        <v>40</v>
      </c>
      <c r="C62" s="3">
        <f>IFERROR('Data Sheet'!B64,0)</f>
        <v>2651.99</v>
      </c>
      <c r="D62" s="3">
        <f>IFERROR('Data Sheet'!C64,0)</f>
        <v>2140.6999999999998</v>
      </c>
      <c r="E62" s="3">
        <f>IFERROR('Data Sheet'!D64,0)</f>
        <v>2568.58</v>
      </c>
      <c r="F62" s="3">
        <f>IFERROR('Data Sheet'!E64,0)</f>
        <v>2018.85</v>
      </c>
      <c r="G62" s="3">
        <f>IFERROR('Data Sheet'!F64,0)</f>
        <v>4736.8</v>
      </c>
      <c r="H62" s="3">
        <f>IFERROR('Data Sheet'!G64,0)</f>
        <v>3247.53</v>
      </c>
      <c r="I62" s="3">
        <f>IFERROR('Data Sheet'!H64,0)</f>
        <v>4261.71</v>
      </c>
      <c r="J62" s="3">
        <f>IFERROR('Data Sheet'!I64,0)</f>
        <v>4587.92</v>
      </c>
      <c r="K62" s="3">
        <f>IFERROR('Data Sheet'!J64,0)</f>
        <v>4724.75</v>
      </c>
      <c r="L62" s="3">
        <f>IFERROR('Data Sheet'!K64,0)</f>
        <v>7061.74</v>
      </c>
    </row>
    <row r="63" spans="1:12" ht="14.25" customHeight="1" outlineLevel="1" x14ac:dyDescent="0.3">
      <c r="B63" t="s">
        <v>41</v>
      </c>
      <c r="C63" s="3">
        <f>IFERROR('Data Sheet'!B65-SUM('Data Sheet'!B67:B69),0)</f>
        <v>1317.17</v>
      </c>
      <c r="D63" s="3">
        <f>IFERROR('Data Sheet'!C65-SUM('Data Sheet'!C67:C69),0)</f>
        <v>1691.8400000000001</v>
      </c>
      <c r="E63" s="3">
        <f>IFERROR('Data Sheet'!D65-SUM('Data Sheet'!D67:D69),0)</f>
        <v>1471.9599999999991</v>
      </c>
      <c r="F63" s="3">
        <f>IFERROR('Data Sheet'!E65-SUM('Data Sheet'!E67:E69),0)</f>
        <v>1738.71</v>
      </c>
      <c r="G63" s="3">
        <f>IFERROR('Data Sheet'!F65-SUM('Data Sheet'!F67:F69),0)</f>
        <v>2565.5200000000004</v>
      </c>
      <c r="H63" s="3">
        <f>IFERROR('Data Sheet'!G65-SUM('Data Sheet'!G67:G69),0)</f>
        <v>2876.66</v>
      </c>
      <c r="I63" s="3">
        <f>IFERROR('Data Sheet'!H65-SUM('Data Sheet'!H67:H69),0)</f>
        <v>3036.17</v>
      </c>
      <c r="J63" s="3">
        <f>IFERROR('Data Sheet'!I65-SUM('Data Sheet'!I67:I69),0)</f>
        <v>3571.3900000000012</v>
      </c>
      <c r="K63" s="3">
        <f>IFERROR('Data Sheet'!J65-SUM('Data Sheet'!J67:J69),0)</f>
        <v>3341.01</v>
      </c>
      <c r="L63" s="3">
        <f>IFERROR('Data Sheet'!K65-SUM('Data Sheet'!K67:K69),0)</f>
        <v>4688.8899999999994</v>
      </c>
    </row>
    <row r="64" spans="1:12" ht="14.25" customHeight="1" outlineLevel="1" x14ac:dyDescent="0.3">
      <c r="B64" s="175" t="s">
        <v>42</v>
      </c>
      <c r="C64" s="173">
        <f t="shared" ref="C64:L64" si="22">IFERROR(SUM(C60:C63),0)</f>
        <v>7530.44</v>
      </c>
      <c r="D64" s="173">
        <f t="shared" si="22"/>
        <v>8969.89</v>
      </c>
      <c r="E64" s="173">
        <f t="shared" si="22"/>
        <v>10746.77</v>
      </c>
      <c r="F64" s="173">
        <f t="shared" si="22"/>
        <v>10170.11</v>
      </c>
      <c r="G64" s="173">
        <f t="shared" si="22"/>
        <v>13343.82</v>
      </c>
      <c r="H64" s="173">
        <f t="shared" si="22"/>
        <v>12069.68</v>
      </c>
      <c r="I64" s="173">
        <f t="shared" si="22"/>
        <v>14087.93</v>
      </c>
      <c r="J64" s="173">
        <f t="shared" si="22"/>
        <v>18004.300000000003</v>
      </c>
      <c r="K64" s="173">
        <f t="shared" si="22"/>
        <v>18540.349999999999</v>
      </c>
      <c r="L64" s="173">
        <f t="shared" si="22"/>
        <v>23239.58</v>
      </c>
    </row>
    <row r="65" spans="1:12" ht="14.25" customHeight="1" outlineLevel="1" x14ac:dyDescent="0.3">
      <c r="B65" s="11"/>
    </row>
    <row r="66" spans="1:12" ht="14.25" customHeight="1" outlineLevel="1" x14ac:dyDescent="0.3">
      <c r="B66" t="s">
        <v>43</v>
      </c>
      <c r="C66" s="3">
        <f>IFERROR('Data Sheet'!B67,0)</f>
        <v>1446.6</v>
      </c>
      <c r="D66" s="3">
        <f>IFERROR('Data Sheet'!C67,0)</f>
        <v>1730.63</v>
      </c>
      <c r="E66" s="3">
        <f>IFERROR('Data Sheet'!D67,0)</f>
        <v>1907.33</v>
      </c>
      <c r="F66" s="3">
        <f>IFERROR('Data Sheet'!E67,0)</f>
        <v>1795.22</v>
      </c>
      <c r="G66" s="3">
        <f>IFERROR('Data Sheet'!F67,0)</f>
        <v>2602.17</v>
      </c>
      <c r="H66" s="3">
        <f>IFERROR('Data Sheet'!G67,0)</f>
        <v>3871.44</v>
      </c>
      <c r="I66" s="3">
        <f>IFERROR('Data Sheet'!H67,0)</f>
        <v>4636.9399999999996</v>
      </c>
      <c r="J66" s="3">
        <f>IFERROR('Data Sheet'!I67,0)</f>
        <v>4889.05</v>
      </c>
      <c r="K66" s="3">
        <f>IFERROR('Data Sheet'!J67,0)</f>
        <v>4313.6499999999996</v>
      </c>
      <c r="L66" s="3">
        <f>IFERROR('Data Sheet'!K67,0)</f>
        <v>4461.8</v>
      </c>
    </row>
    <row r="67" spans="1:12" ht="14.25" customHeight="1" outlineLevel="1" x14ac:dyDescent="0.3">
      <c r="B67" t="s">
        <v>44</v>
      </c>
      <c r="C67" s="3">
        <f>IFERROR('Data Sheet'!B68,0)</f>
        <v>2626.94</v>
      </c>
      <c r="D67" s="3">
        <f>IFERROR('Data Sheet'!C68,0)</f>
        <v>2658.31</v>
      </c>
      <c r="E67" s="3">
        <f>IFERROR('Data Sheet'!D68,0)</f>
        <v>3149.86</v>
      </c>
      <c r="F67" s="3">
        <f>IFERROR('Data Sheet'!E68,0)</f>
        <v>3389.81</v>
      </c>
      <c r="G67" s="3">
        <f>IFERROR('Data Sheet'!F68,0)</f>
        <v>3798.6</v>
      </c>
      <c r="H67" s="3">
        <f>IFERROR('Data Sheet'!G68,0)</f>
        <v>6152.98</v>
      </c>
      <c r="I67" s="3">
        <f>IFERROR('Data Sheet'!H68,0)</f>
        <v>6210.64</v>
      </c>
      <c r="J67" s="3">
        <f>IFERROR('Data Sheet'!I68,0)</f>
        <v>5923.41</v>
      </c>
      <c r="K67" s="3">
        <f>IFERROR('Data Sheet'!J68,0)</f>
        <v>6719.27</v>
      </c>
      <c r="L67" s="3">
        <f>IFERROR('Data Sheet'!K68,0)</f>
        <v>5743.69</v>
      </c>
    </row>
    <row r="68" spans="1:12" ht="14.25" customHeight="1" outlineLevel="1" x14ac:dyDescent="0.3">
      <c r="B68" t="s">
        <v>45</v>
      </c>
      <c r="C68" s="3">
        <f>IFERROR('Data Sheet'!B69,0)</f>
        <v>801.21</v>
      </c>
      <c r="D68" s="3">
        <f>IFERROR('Data Sheet'!C69,0)</f>
        <v>404.65</v>
      </c>
      <c r="E68" s="3">
        <f>IFERROR('Data Sheet'!D69,0)</f>
        <v>444.88</v>
      </c>
      <c r="F68" s="3">
        <f>IFERROR('Data Sheet'!E69,0)</f>
        <v>782.83</v>
      </c>
      <c r="G68" s="3">
        <f>IFERROR('Data Sheet'!F69,0)</f>
        <v>610.75</v>
      </c>
      <c r="H68" s="3">
        <f>IFERROR('Data Sheet'!G69,0)</f>
        <v>864.33</v>
      </c>
      <c r="I68" s="3">
        <f>IFERROR('Data Sheet'!H69,0)</f>
        <v>843.82</v>
      </c>
      <c r="J68" s="3">
        <f>IFERROR('Data Sheet'!I69,0)</f>
        <v>1084.01</v>
      </c>
      <c r="K68" s="3">
        <f>IFERROR('Data Sheet'!J69,0)</f>
        <v>781.98</v>
      </c>
      <c r="L68" s="3">
        <f>IFERROR('Data Sheet'!K69,0)</f>
        <v>1073.68</v>
      </c>
    </row>
    <row r="69" spans="1:12" ht="14.25" customHeight="1" outlineLevel="1" x14ac:dyDescent="0.3">
      <c r="B69" s="175" t="s">
        <v>46</v>
      </c>
      <c r="C69" s="173">
        <f t="shared" ref="C69:L69" si="23">IFERROR(SUM(C66:C68),0)</f>
        <v>4874.75</v>
      </c>
      <c r="D69" s="173">
        <f t="shared" si="23"/>
        <v>4793.59</v>
      </c>
      <c r="E69" s="173">
        <f t="shared" si="23"/>
        <v>5502.0700000000006</v>
      </c>
      <c r="F69" s="173">
        <f t="shared" si="23"/>
        <v>5967.86</v>
      </c>
      <c r="G69" s="173">
        <f t="shared" si="23"/>
        <v>7011.52</v>
      </c>
      <c r="H69" s="173">
        <f t="shared" si="23"/>
        <v>10888.75</v>
      </c>
      <c r="I69" s="173">
        <f t="shared" si="23"/>
        <v>11691.4</v>
      </c>
      <c r="J69" s="173">
        <f t="shared" si="23"/>
        <v>11896.47</v>
      </c>
      <c r="K69" s="173">
        <f t="shared" si="23"/>
        <v>11814.9</v>
      </c>
      <c r="L69" s="173">
        <f t="shared" si="23"/>
        <v>11279.17</v>
      </c>
    </row>
    <row r="70" spans="1:12" ht="14.25" customHeight="1" outlineLevel="1" x14ac:dyDescent="0.3"/>
    <row r="71" spans="1:12" ht="14.25" customHeight="1" outlineLevel="1" x14ac:dyDescent="0.3">
      <c r="B71" s="175" t="s">
        <v>47</v>
      </c>
      <c r="C71" s="173">
        <f t="shared" ref="C71:L71" si="24">IFERROR(SUM(C69,C64),0)</f>
        <v>12405.189999999999</v>
      </c>
      <c r="D71" s="173">
        <f t="shared" si="24"/>
        <v>13763.48</v>
      </c>
      <c r="E71" s="173">
        <f t="shared" si="24"/>
        <v>16248.84</v>
      </c>
      <c r="F71" s="173">
        <f t="shared" si="24"/>
        <v>16137.970000000001</v>
      </c>
      <c r="G71" s="173">
        <f t="shared" si="24"/>
        <v>20355.34</v>
      </c>
      <c r="H71" s="173">
        <f t="shared" si="24"/>
        <v>22958.43</v>
      </c>
      <c r="I71" s="173">
        <f t="shared" si="24"/>
        <v>25779.33</v>
      </c>
      <c r="J71" s="173">
        <f t="shared" si="24"/>
        <v>29900.770000000004</v>
      </c>
      <c r="K71" s="173">
        <f t="shared" si="24"/>
        <v>30355.25</v>
      </c>
      <c r="L71" s="173">
        <f t="shared" si="24"/>
        <v>34518.75</v>
      </c>
    </row>
    <row r="72" spans="1:12" ht="14.25" customHeight="1" outlineLevel="1" x14ac:dyDescent="0.3"/>
    <row r="73" spans="1:12" ht="14.25" customHeight="1" outlineLevel="1" x14ac:dyDescent="0.3">
      <c r="B73" s="176" t="s">
        <v>48</v>
      </c>
      <c r="C73" s="177" t="b">
        <f t="shared" ref="C73:L73" si="25">IFERROR(C71=C58,0)</f>
        <v>1</v>
      </c>
      <c r="D73" s="177" t="b">
        <f t="shared" si="25"/>
        <v>1</v>
      </c>
      <c r="E73" s="177" t="b">
        <f t="shared" si="25"/>
        <v>1</v>
      </c>
      <c r="F73" s="177" t="b">
        <f t="shared" si="25"/>
        <v>1</v>
      </c>
      <c r="G73" s="177" t="b">
        <f t="shared" si="25"/>
        <v>1</v>
      </c>
      <c r="H73" s="177" t="b">
        <f t="shared" si="25"/>
        <v>1</v>
      </c>
      <c r="I73" s="177" t="b">
        <f t="shared" si="25"/>
        <v>1</v>
      </c>
      <c r="J73" s="177" t="b">
        <f t="shared" si="25"/>
        <v>1</v>
      </c>
      <c r="K73" s="177" t="b">
        <f t="shared" si="25"/>
        <v>1</v>
      </c>
      <c r="L73" s="177" t="b">
        <f t="shared" si="25"/>
        <v>1</v>
      </c>
    </row>
    <row r="75" spans="1:12" ht="14.25" customHeight="1" x14ac:dyDescent="0.3">
      <c r="A75" t="s">
        <v>1</v>
      </c>
      <c r="B75" s="170" t="str">
        <f>"Cash Flow Statement"&amp;" - "&amp;'Data Sheet'!B1</f>
        <v>Cash Flow Statement - ASIAN PAINTS LTD</v>
      </c>
      <c r="C75" s="171"/>
      <c r="D75" s="171"/>
      <c r="E75" s="171"/>
      <c r="F75" s="171"/>
      <c r="G75" s="171"/>
      <c r="H75" s="171"/>
      <c r="I75" s="171"/>
      <c r="J75" s="171"/>
      <c r="K75" s="171"/>
      <c r="L75" s="171"/>
    </row>
    <row r="76" spans="1:12" ht="14.25" customHeight="1" outlineLevel="1" x14ac:dyDescent="0.3">
      <c r="B76" s="11" t="s">
        <v>49</v>
      </c>
    </row>
    <row r="77" spans="1:12" ht="14.25" customHeight="1" outlineLevel="1" x14ac:dyDescent="0.3">
      <c r="B77" t="s">
        <v>50</v>
      </c>
      <c r="C77" s="3">
        <f>IFERROR('CashFlow Statement'!E4,0)</f>
        <v>3056</v>
      </c>
      <c r="D77" s="3">
        <f>IFERROR('CashFlow Statement'!F4,0)</f>
        <v>3274</v>
      </c>
      <c r="E77" s="3">
        <f>IFERROR('CashFlow Statement'!G4,0)</f>
        <v>3861</v>
      </c>
      <c r="F77" s="3">
        <f>IFERROR('CashFlow Statement'!H4,0)</f>
        <v>4380</v>
      </c>
      <c r="G77" s="3">
        <f>IFERROR('CashFlow Statement'!I4,0)</f>
        <v>4970</v>
      </c>
      <c r="H77" s="3">
        <f>IFERROR('CashFlow Statement'!J4,0)</f>
        <v>4957</v>
      </c>
      <c r="I77" s="3">
        <f>IFERROR('CashFlow Statement'!K4,0)</f>
        <v>6460</v>
      </c>
      <c r="J77" s="3">
        <f>IFERROR('CashFlow Statement'!L4,0)</f>
        <v>7929</v>
      </c>
      <c r="K77" s="3">
        <f>IFERROR('CashFlow Statement'!M4,0)</f>
        <v>6390</v>
      </c>
      <c r="L77" s="3">
        <f>IFERROR('CashFlow Statement'!N4,0)</f>
        <v>7186</v>
      </c>
    </row>
    <row r="78" spans="1:12" ht="14.25" customHeight="1" outlineLevel="1" x14ac:dyDescent="0.3">
      <c r="B78" t="s">
        <v>43</v>
      </c>
      <c r="C78" s="3">
        <f>IFERROR('CashFlow Statement'!E5,0)</f>
        <v>-475</v>
      </c>
      <c r="D78" s="3">
        <f>IFERROR('CashFlow Statement'!F5,0)</f>
        <v>-483</v>
      </c>
      <c r="E78" s="3">
        <f>IFERROR('CashFlow Statement'!G5,0)</f>
        <v>-205</v>
      </c>
      <c r="F78" s="3">
        <f>IFERROR('CashFlow Statement'!H5,0)</f>
        <v>160</v>
      </c>
      <c r="G78" s="3">
        <f>IFERROR('CashFlow Statement'!I5,0)</f>
        <v>-849</v>
      </c>
      <c r="H78" s="3">
        <f>IFERROR('CashFlow Statement'!J5,0)</f>
        <v>-1326</v>
      </c>
      <c r="I78" s="3">
        <f>IFERROR('CashFlow Statement'!K5,0)</f>
        <v>-834</v>
      </c>
      <c r="J78" s="3">
        <f>IFERROR('CashFlow Statement'!L5,0)</f>
        <v>-362</v>
      </c>
      <c r="K78" s="3">
        <f>IFERROR('CashFlow Statement'!M5,0)</f>
        <v>282</v>
      </c>
      <c r="L78" s="3">
        <f>IFERROR('CashFlow Statement'!N5,0)</f>
        <v>-274</v>
      </c>
    </row>
    <row r="79" spans="1:12" ht="14.25" customHeight="1" outlineLevel="1" x14ac:dyDescent="0.3">
      <c r="B79" t="s">
        <v>44</v>
      </c>
      <c r="C79" s="3">
        <f>IFERROR('CashFlow Statement'!E6,0)</f>
        <v>-629</v>
      </c>
      <c r="D79" s="3">
        <f>IFERROR('CashFlow Statement'!F6,0)</f>
        <v>-39</v>
      </c>
      <c r="E79" s="3">
        <f>IFERROR('CashFlow Statement'!G6,0)</f>
        <v>-492</v>
      </c>
      <c r="F79" s="3">
        <f>IFERROR('CashFlow Statement'!H6,0)</f>
        <v>-251</v>
      </c>
      <c r="G79" s="3">
        <f>IFERROR('CashFlow Statement'!I6,0)</f>
        <v>-409</v>
      </c>
      <c r="H79" s="3">
        <f>IFERROR('CashFlow Statement'!J6,0)</f>
        <v>-2354</v>
      </c>
      <c r="I79" s="3">
        <f>IFERROR('CashFlow Statement'!K6,0)</f>
        <v>-56</v>
      </c>
      <c r="J79" s="3">
        <f>IFERROR('CashFlow Statement'!L6,0)</f>
        <v>315</v>
      </c>
      <c r="K79" s="3">
        <f>IFERROR('CashFlow Statement'!M6,0)</f>
        <v>-805</v>
      </c>
      <c r="L79" s="3">
        <f>IFERROR('CashFlow Statement'!N6,0)</f>
        <v>976</v>
      </c>
    </row>
    <row r="80" spans="1:12" ht="14.25" customHeight="1" outlineLevel="1" x14ac:dyDescent="0.3">
      <c r="B80" t="s">
        <v>51</v>
      </c>
      <c r="C80" s="3">
        <f>IFERROR('CashFlow Statement'!E7,0)</f>
        <v>501</v>
      </c>
      <c r="D80" s="3">
        <f>IFERROR('CashFlow Statement'!F7,0)</f>
        <v>442</v>
      </c>
      <c r="E80" s="3">
        <f>IFERROR('CashFlow Statement'!G7,0)</f>
        <v>287</v>
      </c>
      <c r="F80" s="3">
        <f>IFERROR('CashFlow Statement'!H7,0)</f>
        <v>-241</v>
      </c>
      <c r="G80" s="3">
        <f>IFERROR('CashFlow Statement'!I7,0)</f>
        <v>1143</v>
      </c>
      <c r="H80" s="3">
        <f>IFERROR('CashFlow Statement'!J7,0)</f>
        <v>644</v>
      </c>
      <c r="I80" s="3">
        <f>IFERROR('CashFlow Statement'!K7,0)</f>
        <v>-539</v>
      </c>
      <c r="J80" s="3">
        <f>IFERROR('CashFlow Statement'!L7,0)</f>
        <v>269</v>
      </c>
      <c r="K80" s="3">
        <f>IFERROR('CashFlow Statement'!M7,0)</f>
        <v>-160</v>
      </c>
      <c r="L80" s="3">
        <f>IFERROR('CashFlow Statement'!N7,0)</f>
        <v>396</v>
      </c>
    </row>
    <row r="81" spans="2:12" ht="14.25" customHeight="1" outlineLevel="1" x14ac:dyDescent="0.3">
      <c r="B81" t="s">
        <v>52</v>
      </c>
      <c r="C81" s="3">
        <f>IFERROR('CashFlow Statement'!E8,0)</f>
        <v>0</v>
      </c>
      <c r="D81" s="3">
        <f>IFERROR('CashFlow Statement'!F8,0)</f>
        <v>0</v>
      </c>
      <c r="E81" s="3">
        <f>IFERROR('CashFlow Statement'!G8,0)</f>
        <v>0</v>
      </c>
      <c r="F81" s="3">
        <f>IFERROR('CashFlow Statement'!H8,0)</f>
        <v>0</v>
      </c>
      <c r="G81" s="3">
        <f>IFERROR('CashFlow Statement'!I8,0)</f>
        <v>-92</v>
      </c>
      <c r="H81" s="3">
        <f>IFERROR('CashFlow Statement'!J8,0)</f>
        <v>242</v>
      </c>
      <c r="I81" s="3">
        <f>IFERROR('CashFlow Statement'!K8,0)</f>
        <v>657</v>
      </c>
      <c r="J81" s="3">
        <f>IFERROR('CashFlow Statement'!L8,0)</f>
        <v>-212</v>
      </c>
      <c r="K81" s="3">
        <f>IFERROR('CashFlow Statement'!M8,0)</f>
        <v>114</v>
      </c>
      <c r="L81" s="3">
        <f>IFERROR('CashFlow Statement'!N8,0)</f>
        <v>378</v>
      </c>
    </row>
    <row r="82" spans="2:12" ht="14.25" customHeight="1" outlineLevel="1" x14ac:dyDescent="0.3">
      <c r="B82" t="s">
        <v>53</v>
      </c>
      <c r="C82" s="3">
        <f>IFERROR('CashFlow Statement'!E9,0)</f>
        <v>-603</v>
      </c>
      <c r="D82" s="3">
        <f>IFERROR('CashFlow Statement'!F9,0)</f>
        <v>-80</v>
      </c>
      <c r="E82" s="3">
        <f>IFERROR('CashFlow Statement'!G9,0)</f>
        <v>-410</v>
      </c>
      <c r="F82" s="3">
        <f>IFERROR('CashFlow Statement'!H9,0)</f>
        <v>-331</v>
      </c>
      <c r="G82" s="3">
        <f>IFERROR('CashFlow Statement'!I9,0)</f>
        <v>-206</v>
      </c>
      <c r="H82" s="3">
        <f>IFERROR('CashFlow Statement'!J9,0)</f>
        <v>-2795</v>
      </c>
      <c r="I82" s="3">
        <f>IFERROR('CashFlow Statement'!K9,0)</f>
        <v>-772</v>
      </c>
      <c r="J82" s="3">
        <f>IFERROR('CashFlow Statement'!L9,0)</f>
        <v>10</v>
      </c>
      <c r="K82" s="3">
        <f>IFERROR('CashFlow Statement'!M9,0)</f>
        <v>-570</v>
      </c>
      <c r="L82" s="3">
        <f>IFERROR('CashFlow Statement'!N9,0)</f>
        <v>1476</v>
      </c>
    </row>
    <row r="83" spans="2:12" ht="14.25" customHeight="1" outlineLevel="1" x14ac:dyDescent="0.3">
      <c r="B83" t="s">
        <v>54</v>
      </c>
      <c r="C83" s="3">
        <f>IFERROR('CashFlow Statement'!E10,0)</f>
        <v>-925</v>
      </c>
      <c r="D83" s="3">
        <f>IFERROR('CashFlow Statement'!F10,0)</f>
        <v>-1081</v>
      </c>
      <c r="E83" s="3">
        <f>IFERROR('CashFlow Statement'!G10,0)</f>
        <v>-982</v>
      </c>
      <c r="F83" s="3">
        <f>IFERROR('CashFlow Statement'!H10,0)</f>
        <v>-1011</v>
      </c>
      <c r="G83" s="3">
        <f>IFERROR('CashFlow Statement'!I10,0)</f>
        <v>-1080</v>
      </c>
      <c r="H83" s="3">
        <f>IFERROR('CashFlow Statement'!J10,0)</f>
        <v>-1176</v>
      </c>
      <c r="I83" s="3">
        <f>IFERROR('CashFlow Statement'!K10,0)</f>
        <v>-1494</v>
      </c>
      <c r="J83" s="3">
        <f>IFERROR('CashFlow Statement'!L10,0)</f>
        <v>-1835</v>
      </c>
      <c r="K83" s="3">
        <f>IFERROR('CashFlow Statement'!M10,0)</f>
        <v>-1396</v>
      </c>
      <c r="L83" s="3">
        <f>IFERROR('CashFlow Statement'!N10,0)</f>
        <v>-1574</v>
      </c>
    </row>
    <row r="84" spans="2:12" ht="14.25" customHeight="1" outlineLevel="1" x14ac:dyDescent="0.3">
      <c r="B84" s="175" t="s">
        <v>55</v>
      </c>
      <c r="C84" s="173">
        <f>IFERROR((C77+C82+C83),0)</f>
        <v>1528</v>
      </c>
      <c r="D84" s="173">
        <f t="shared" ref="D84:L84" si="26">IFERROR((D77+D82+D83),0)</f>
        <v>2113</v>
      </c>
      <c r="E84" s="173">
        <f t="shared" si="26"/>
        <v>2469</v>
      </c>
      <c r="F84" s="173">
        <f t="shared" si="26"/>
        <v>3038</v>
      </c>
      <c r="G84" s="173">
        <f t="shared" si="26"/>
        <v>3684</v>
      </c>
      <c r="H84" s="173">
        <f t="shared" si="26"/>
        <v>986</v>
      </c>
      <c r="I84" s="173">
        <f t="shared" si="26"/>
        <v>4194</v>
      </c>
      <c r="J84" s="173">
        <f t="shared" si="26"/>
        <v>6104</v>
      </c>
      <c r="K84" s="173">
        <f t="shared" si="26"/>
        <v>4424</v>
      </c>
      <c r="L84" s="173">
        <f t="shared" si="26"/>
        <v>7088</v>
      </c>
    </row>
    <row r="85" spans="2:12" ht="14.25" customHeight="1" outlineLevel="1" x14ac:dyDescent="0.3"/>
    <row r="86" spans="2:12" ht="14.25" customHeight="1" outlineLevel="1" x14ac:dyDescent="0.3">
      <c r="B86" s="11" t="s">
        <v>56</v>
      </c>
    </row>
    <row r="87" spans="2:12" ht="14.25" customHeight="1" outlineLevel="1" x14ac:dyDescent="0.3">
      <c r="B87" t="s">
        <v>57</v>
      </c>
      <c r="C87" s="3">
        <f>IFERROR('CashFlow Statement'!E12,0)</f>
        <v>-684</v>
      </c>
      <c r="D87" s="3">
        <f>IFERROR('CashFlow Statement'!F12,0)</f>
        <v>-1426</v>
      </c>
      <c r="E87" s="3">
        <f>IFERROR('CashFlow Statement'!G12,0)</f>
        <v>-1151</v>
      </c>
      <c r="F87" s="3">
        <f>IFERROR('CashFlow Statement'!H12,0)</f>
        <v>-414</v>
      </c>
      <c r="G87" s="3">
        <f>IFERROR('CashFlow Statement'!I12,0)</f>
        <v>-289</v>
      </c>
      <c r="H87" s="3">
        <f>IFERROR('CashFlow Statement'!J12,0)</f>
        <v>-551</v>
      </c>
      <c r="I87" s="3">
        <f>IFERROR('CashFlow Statement'!K12,0)</f>
        <v>-1446</v>
      </c>
      <c r="J87" s="3">
        <f>IFERROR('CashFlow Statement'!L12,0)</f>
        <v>-2496</v>
      </c>
      <c r="K87" s="3">
        <f>IFERROR('CashFlow Statement'!M12,0)</f>
        <v>-1830</v>
      </c>
      <c r="L87" s="3">
        <f>IFERROR('CashFlow Statement'!N12,0)</f>
        <v>-1487</v>
      </c>
    </row>
    <row r="88" spans="2:12" ht="14.25" customHeight="1" outlineLevel="1" x14ac:dyDescent="0.3">
      <c r="B88" t="s">
        <v>58</v>
      </c>
      <c r="C88" s="3">
        <f>IFERROR('CashFlow Statement'!E13,0)</f>
        <v>17</v>
      </c>
      <c r="D88" s="3">
        <f>IFERROR('CashFlow Statement'!F13,0)</f>
        <v>17</v>
      </c>
      <c r="E88" s="3">
        <f>IFERROR('CashFlow Statement'!G13,0)</f>
        <v>17</v>
      </c>
      <c r="F88" s="3">
        <f>IFERROR('CashFlow Statement'!H13,0)</f>
        <v>37</v>
      </c>
      <c r="G88" s="3">
        <f>IFERROR('CashFlow Statement'!I13,0)</f>
        <v>28</v>
      </c>
      <c r="H88" s="3">
        <f>IFERROR('CashFlow Statement'!J13,0)</f>
        <v>40</v>
      </c>
      <c r="I88" s="3">
        <f>IFERROR('CashFlow Statement'!K13,0)</f>
        <v>26</v>
      </c>
      <c r="J88" s="3">
        <f>IFERROR('CashFlow Statement'!L13,0)</f>
        <v>5</v>
      </c>
      <c r="K88" s="3">
        <f>IFERROR('CashFlow Statement'!M13,0)</f>
        <v>10</v>
      </c>
      <c r="L88" s="3">
        <f>IFERROR('CashFlow Statement'!N13,0)</f>
        <v>3</v>
      </c>
    </row>
    <row r="89" spans="2:12" ht="14.25" customHeight="1" outlineLevel="1" x14ac:dyDescent="0.3">
      <c r="B89" t="s">
        <v>59</v>
      </c>
      <c r="C89" s="3">
        <f>IFERROR('CashFlow Statement'!E14,0)</f>
        <v>-153</v>
      </c>
      <c r="D89" s="3">
        <f>IFERROR('CashFlow Statement'!F14,0)</f>
        <v>-320</v>
      </c>
      <c r="E89" s="3">
        <f>IFERROR('CashFlow Statement'!G14,0)</f>
        <v>-573</v>
      </c>
      <c r="F89" s="3">
        <f>IFERROR('CashFlow Statement'!H14,0)</f>
        <v>-25</v>
      </c>
      <c r="G89" s="3">
        <f>IFERROR('CashFlow Statement'!I14,0)</f>
        <v>-140</v>
      </c>
      <c r="H89" s="3">
        <f>IFERROR('CashFlow Statement'!J14,0)</f>
        <v>0</v>
      </c>
      <c r="I89" s="3">
        <f>IFERROR('CashFlow Statement'!K14,0)</f>
        <v>-146</v>
      </c>
      <c r="J89" s="3">
        <f>IFERROR('CashFlow Statement'!L14,0)</f>
        <v>-212</v>
      </c>
      <c r="K89" s="3">
        <f>IFERROR('CashFlow Statement'!M14,0)</f>
        <v>-1</v>
      </c>
      <c r="L89" s="3">
        <f>IFERROR('CashFlow Statement'!N14,0)</f>
        <v>0</v>
      </c>
    </row>
    <row r="90" spans="2:12" ht="14.25" customHeight="1" outlineLevel="1" x14ac:dyDescent="0.3">
      <c r="B90" t="s">
        <v>60</v>
      </c>
      <c r="C90" s="3">
        <f>IFERROR('CashFlow Statement'!E15,0)</f>
        <v>357</v>
      </c>
      <c r="D90" s="3">
        <f>IFERROR('CashFlow Statement'!F15,0)</f>
        <v>362</v>
      </c>
      <c r="E90" s="3">
        <f>IFERROR('CashFlow Statement'!G15,0)</f>
        <v>733</v>
      </c>
      <c r="F90" s="3">
        <f>IFERROR('CashFlow Statement'!H15,0)</f>
        <v>118</v>
      </c>
      <c r="G90" s="3">
        <f>IFERROR('CashFlow Statement'!I15,0)</f>
        <v>272</v>
      </c>
      <c r="H90" s="3">
        <f>IFERROR('CashFlow Statement'!J15,0)</f>
        <v>207</v>
      </c>
      <c r="I90" s="3">
        <f>IFERROR('CashFlow Statement'!K15,0)</f>
        <v>446</v>
      </c>
      <c r="J90" s="3">
        <f>IFERROR('CashFlow Statement'!L15,0)</f>
        <v>240</v>
      </c>
      <c r="K90" s="3">
        <f>IFERROR('CashFlow Statement'!M15,0)</f>
        <v>421</v>
      </c>
      <c r="L90" s="3">
        <f>IFERROR('CashFlow Statement'!N15,0)</f>
        <v>1197</v>
      </c>
    </row>
    <row r="91" spans="2:12" ht="14.25" customHeight="1" outlineLevel="1" x14ac:dyDescent="0.3">
      <c r="B91" t="s">
        <v>61</v>
      </c>
      <c r="C91" s="3">
        <f>IFERROR('CashFlow Statement'!E16,0)</f>
        <v>32</v>
      </c>
      <c r="D91" s="3">
        <f>IFERROR('CashFlow Statement'!F16,0)</f>
        <v>39</v>
      </c>
      <c r="E91" s="3">
        <f>IFERROR('CashFlow Statement'!G16,0)</f>
        <v>40</v>
      </c>
      <c r="F91" s="3">
        <f>IFERROR('CashFlow Statement'!H16,0)</f>
        <v>65</v>
      </c>
      <c r="G91" s="3">
        <f>IFERROR('CashFlow Statement'!I16,0)</f>
        <v>73</v>
      </c>
      <c r="H91" s="3">
        <f>IFERROR('CashFlow Statement'!J16,0)</f>
        <v>77</v>
      </c>
      <c r="I91" s="3">
        <f>IFERROR('CashFlow Statement'!K16,0)</f>
        <v>87</v>
      </c>
      <c r="J91" s="3">
        <f>IFERROR('CashFlow Statement'!L16,0)</f>
        <v>135</v>
      </c>
      <c r="K91" s="3">
        <f>IFERROR('CashFlow Statement'!M16,0)</f>
        <v>155</v>
      </c>
      <c r="L91" s="3">
        <f>IFERROR('CashFlow Statement'!N16,0)</f>
        <v>153</v>
      </c>
    </row>
    <row r="92" spans="2:12" ht="14.25" customHeight="1" outlineLevel="1" x14ac:dyDescent="0.3">
      <c r="B92" t="s">
        <v>62</v>
      </c>
      <c r="C92" s="3">
        <f>IFERROR('CashFlow Statement'!E17,0)</f>
        <v>74</v>
      </c>
      <c r="D92" s="3">
        <f>IFERROR('CashFlow Statement'!F17,0)</f>
        <v>38</v>
      </c>
      <c r="E92" s="3">
        <f>IFERROR('CashFlow Statement'!G17,0)</f>
        <v>40</v>
      </c>
      <c r="F92" s="3">
        <f>IFERROR('CashFlow Statement'!H17,0)</f>
        <v>27</v>
      </c>
      <c r="G92" s="3">
        <f>IFERROR('CashFlow Statement'!I17,0)</f>
        <v>8</v>
      </c>
      <c r="H92" s="3">
        <f>IFERROR('CashFlow Statement'!J17,0)</f>
        <v>15</v>
      </c>
      <c r="I92" s="3">
        <f>IFERROR('CashFlow Statement'!K17,0)</f>
        <v>56</v>
      </c>
      <c r="J92" s="3">
        <f>IFERROR('CashFlow Statement'!L17,0)</f>
        <v>129</v>
      </c>
      <c r="K92" s="3">
        <f>IFERROR('CashFlow Statement'!M17,0)</f>
        <v>136</v>
      </c>
      <c r="L92" s="3">
        <f>IFERROR('CashFlow Statement'!N17,0)</f>
        <v>118</v>
      </c>
    </row>
    <row r="93" spans="2:12" ht="14.25" customHeight="1" outlineLevel="1" x14ac:dyDescent="0.3">
      <c r="B93" t="s">
        <v>63</v>
      </c>
      <c r="C93" s="3">
        <f>IFERROR('CashFlow Statement'!E18,0)</f>
        <v>0</v>
      </c>
      <c r="D93" s="3">
        <f>IFERROR('CashFlow Statement'!F18,0)</f>
        <v>0</v>
      </c>
      <c r="E93" s="3">
        <f>IFERROR('CashFlow Statement'!G18,0)</f>
        <v>0</v>
      </c>
      <c r="F93" s="3">
        <f>IFERROR('CashFlow Statement'!H18,0)</f>
        <v>0</v>
      </c>
      <c r="G93" s="3">
        <f>IFERROR('CashFlow Statement'!I18,0)</f>
        <v>0</v>
      </c>
      <c r="H93" s="3">
        <f>IFERROR('CashFlow Statement'!J18,0)</f>
        <v>0</v>
      </c>
      <c r="I93" s="3">
        <f>IFERROR('CashFlow Statement'!K18,0)</f>
        <v>-180</v>
      </c>
      <c r="J93" s="3">
        <f>IFERROR('CashFlow Statement'!L18,0)</f>
        <v>0</v>
      </c>
      <c r="K93" s="3">
        <f>IFERROR('CashFlow Statement'!M18,0)</f>
        <v>0</v>
      </c>
      <c r="L93" s="3">
        <f>IFERROR('CashFlow Statement'!N18,0)</f>
        <v>0</v>
      </c>
    </row>
    <row r="94" spans="2:12" ht="14.25" customHeight="1" outlineLevel="1" x14ac:dyDescent="0.3">
      <c r="B94" t="s">
        <v>64</v>
      </c>
      <c r="C94" s="3">
        <f>IFERROR('CashFlow Statement'!E19,0)</f>
        <v>0</v>
      </c>
      <c r="D94" s="3">
        <f>IFERROR('CashFlow Statement'!F19,0)</f>
        <v>141</v>
      </c>
      <c r="E94" s="3">
        <f>IFERROR('CashFlow Statement'!G19,0)</f>
        <v>0</v>
      </c>
      <c r="F94" s="3">
        <f>IFERROR('CashFlow Statement'!H19,0)</f>
        <v>17</v>
      </c>
      <c r="G94" s="3">
        <f>IFERROR('CashFlow Statement'!I19,0)</f>
        <v>0</v>
      </c>
      <c r="H94" s="3">
        <f>IFERROR('CashFlow Statement'!J19,0)</f>
        <v>0</v>
      </c>
      <c r="I94" s="3">
        <f>IFERROR('CashFlow Statement'!K19,0)</f>
        <v>0</v>
      </c>
      <c r="J94" s="3">
        <f>IFERROR('CashFlow Statement'!L19,0)</f>
        <v>0</v>
      </c>
      <c r="K94" s="3">
        <f>IFERROR('CashFlow Statement'!M19,0)</f>
        <v>38</v>
      </c>
      <c r="L94" s="3">
        <f>IFERROR('CashFlow Statement'!N19,0)</f>
        <v>0</v>
      </c>
    </row>
    <row r="95" spans="2:12" ht="14.25" customHeight="1" outlineLevel="1" x14ac:dyDescent="0.3">
      <c r="B95" t="s">
        <v>65</v>
      </c>
      <c r="C95" s="3">
        <f>IFERROR('CashFlow Statement'!E20,0)</f>
        <v>0</v>
      </c>
      <c r="D95" s="3">
        <f>IFERROR('CashFlow Statement'!F20,0)</f>
        <v>-525</v>
      </c>
      <c r="E95" s="3">
        <f>IFERROR('CashFlow Statement'!G20,0)</f>
        <v>0</v>
      </c>
      <c r="F95" s="3">
        <f>IFERROR('CashFlow Statement'!H20,0)</f>
        <v>0</v>
      </c>
      <c r="G95" s="3">
        <f>IFERROR('CashFlow Statement'!I20,0)</f>
        <v>0</v>
      </c>
      <c r="H95" s="3">
        <f>IFERROR('CashFlow Statement'!J20,0)</f>
        <v>0</v>
      </c>
      <c r="I95" s="3">
        <f>IFERROR('CashFlow Statement'!K20,0)</f>
        <v>0</v>
      </c>
      <c r="J95" s="3">
        <f>IFERROR('CashFlow Statement'!L20,0)</f>
        <v>0</v>
      </c>
      <c r="K95" s="3">
        <f>IFERROR('CashFlow Statement'!M20,0)</f>
        <v>0</v>
      </c>
      <c r="L95" s="3">
        <f>IFERROR('CashFlow Statement'!N20,0)</f>
        <v>0</v>
      </c>
    </row>
    <row r="96" spans="2:12" ht="14.25" customHeight="1" outlineLevel="1" x14ac:dyDescent="0.3">
      <c r="B96" t="s">
        <v>66</v>
      </c>
      <c r="C96" s="3">
        <f>IFERROR('CashFlow Statement'!E21,0)</f>
        <v>-324</v>
      </c>
      <c r="D96" s="3">
        <f>IFERROR('CashFlow Statement'!F21,0)</f>
        <v>118</v>
      </c>
      <c r="E96" s="3">
        <f>IFERROR('CashFlow Statement'!G21,0)</f>
        <v>-24</v>
      </c>
      <c r="F96" s="3">
        <f>IFERROR('CashFlow Statement'!H21,0)</f>
        <v>-343</v>
      </c>
      <c r="G96" s="3">
        <f>IFERROR('CashFlow Statement'!I21,0)</f>
        <v>-493</v>
      </c>
      <c r="H96" s="3">
        <f>IFERROR('CashFlow Statement'!J21,0)</f>
        <v>-105</v>
      </c>
      <c r="I96" s="3">
        <f>IFERROR('CashFlow Statement'!K21,0)</f>
        <v>-126</v>
      </c>
      <c r="J96" s="3">
        <f>IFERROR('CashFlow Statement'!L21,0)</f>
        <v>-350</v>
      </c>
      <c r="K96" s="3">
        <f>IFERROR('CashFlow Statement'!M21,0)</f>
        <v>130</v>
      </c>
      <c r="L96" s="3">
        <f>IFERROR('CashFlow Statement'!N21,0)</f>
        <v>-1312</v>
      </c>
    </row>
    <row r="97" spans="2:12" ht="14.25" customHeight="1" outlineLevel="1" x14ac:dyDescent="0.3">
      <c r="B97" s="175" t="s">
        <v>67</v>
      </c>
      <c r="C97" s="173">
        <f t="shared" ref="C97:L97" si="27">IFERROR(SUM(C87:C96),0)</f>
        <v>-681</v>
      </c>
      <c r="D97" s="173">
        <f t="shared" si="27"/>
        <v>-1556</v>
      </c>
      <c r="E97" s="173">
        <f t="shared" si="27"/>
        <v>-918</v>
      </c>
      <c r="F97" s="173">
        <f t="shared" si="27"/>
        <v>-518</v>
      </c>
      <c r="G97" s="173">
        <f t="shared" si="27"/>
        <v>-541</v>
      </c>
      <c r="H97" s="173">
        <f t="shared" si="27"/>
        <v>-317</v>
      </c>
      <c r="I97" s="173">
        <f t="shared" si="27"/>
        <v>-1283</v>
      </c>
      <c r="J97" s="173">
        <f t="shared" si="27"/>
        <v>-2549</v>
      </c>
      <c r="K97" s="173">
        <f t="shared" si="27"/>
        <v>-941</v>
      </c>
      <c r="L97" s="173">
        <f t="shared" si="27"/>
        <v>-1328</v>
      </c>
    </row>
    <row r="98" spans="2:12" ht="14.25" customHeight="1" outlineLevel="1" x14ac:dyDescent="0.3"/>
    <row r="99" spans="2:12" ht="14.25" customHeight="1" outlineLevel="1" x14ac:dyDescent="0.3">
      <c r="B99" s="11" t="s">
        <v>68</v>
      </c>
    </row>
    <row r="100" spans="2:12" ht="14.25" customHeight="1" outlineLevel="1" x14ac:dyDescent="0.3">
      <c r="B100" t="s">
        <v>69</v>
      </c>
      <c r="C100" s="3">
        <f>IFERROR('CashFlow Statement'!E23,0)</f>
        <v>0</v>
      </c>
      <c r="D100" s="3">
        <f>IFERROR('CashFlow Statement'!F23,0)</f>
        <v>0</v>
      </c>
      <c r="E100" s="3">
        <f>IFERROR('CashFlow Statement'!G23,0)</f>
        <v>0</v>
      </c>
      <c r="F100" s="3">
        <f>IFERROR('CashFlow Statement'!H23,0)</f>
        <v>0</v>
      </c>
      <c r="G100" s="3">
        <f>IFERROR('CashFlow Statement'!I23,0)</f>
        <v>0</v>
      </c>
      <c r="H100" s="3">
        <f>IFERROR('CashFlow Statement'!J23,0)</f>
        <v>0</v>
      </c>
      <c r="I100" s="3">
        <f>IFERROR('CashFlow Statement'!K23,0)</f>
        <v>0</v>
      </c>
      <c r="J100" s="3">
        <f>IFERROR('CashFlow Statement'!L23,0)</f>
        <v>1</v>
      </c>
      <c r="K100" s="3">
        <f>IFERROR('CashFlow Statement'!M23,0)</f>
        <v>0</v>
      </c>
      <c r="L100" s="3">
        <f>IFERROR('CashFlow Statement'!N23,0)</f>
        <v>0</v>
      </c>
    </row>
    <row r="101" spans="2:12" ht="14.25" customHeight="1" outlineLevel="1" x14ac:dyDescent="0.3">
      <c r="B101" t="s">
        <v>70</v>
      </c>
      <c r="C101" s="3">
        <f>IFERROR('CashFlow Statement'!E24,0)</f>
        <v>271</v>
      </c>
      <c r="D101" s="3">
        <f>IFERROR('CashFlow Statement'!F24,0)</f>
        <v>10</v>
      </c>
      <c r="E101" s="3">
        <f>IFERROR('CashFlow Statement'!G24,0)</f>
        <v>243</v>
      </c>
      <c r="F101" s="3">
        <f>IFERROR('CashFlow Statement'!H24,0)</f>
        <v>18</v>
      </c>
      <c r="G101" s="3">
        <f>IFERROR('CashFlow Statement'!I24,0)</f>
        <v>155</v>
      </c>
      <c r="H101" s="3">
        <f>IFERROR('CashFlow Statement'!J24,0)</f>
        <v>418</v>
      </c>
      <c r="I101" s="3">
        <f>IFERROR('CashFlow Statement'!K24,0)</f>
        <v>254</v>
      </c>
      <c r="J101" s="3">
        <f>IFERROR('CashFlow Statement'!L24,0)</f>
        <v>101</v>
      </c>
      <c r="K101" s="3">
        <f>IFERROR('CashFlow Statement'!M24,0)</f>
        <v>415</v>
      </c>
      <c r="L101" s="3">
        <f>IFERROR('CashFlow Statement'!N24,0)</f>
        <v>1279</v>
      </c>
    </row>
    <row r="102" spans="2:12" ht="14.25" customHeight="1" outlineLevel="1" x14ac:dyDescent="0.3">
      <c r="B102" t="s">
        <v>71</v>
      </c>
      <c r="C102" s="3">
        <f>IFERROR('CashFlow Statement'!E25,0)</f>
        <v>-58</v>
      </c>
      <c r="D102" s="3">
        <f>IFERROR('CashFlow Statement'!F25,0)</f>
        <v>-54</v>
      </c>
      <c r="E102" s="3">
        <f>IFERROR('CashFlow Statement'!G25,0)</f>
        <v>-26</v>
      </c>
      <c r="F102" s="3">
        <f>IFERROR('CashFlow Statement'!H25,0)</f>
        <v>-482</v>
      </c>
      <c r="G102" s="3">
        <f>IFERROR('CashFlow Statement'!I25,0)</f>
        <v>-14</v>
      </c>
      <c r="H102" s="3">
        <f>IFERROR('CashFlow Statement'!J25,0)</f>
        <v>-8</v>
      </c>
      <c r="I102" s="3">
        <f>IFERROR('CashFlow Statement'!K25,0)</f>
        <v>-25</v>
      </c>
      <c r="J102" s="3">
        <f>IFERROR('CashFlow Statement'!L25,0)</f>
        <v>-98</v>
      </c>
      <c r="K102" s="3">
        <f>IFERROR('CashFlow Statement'!M25,0)</f>
        <v>-428</v>
      </c>
      <c r="L102" s="3">
        <f>IFERROR('CashFlow Statement'!N25,0)</f>
        <v>-452</v>
      </c>
    </row>
    <row r="103" spans="2:12" ht="14.25" customHeight="1" outlineLevel="1" x14ac:dyDescent="0.3">
      <c r="B103" t="s">
        <v>72</v>
      </c>
      <c r="C103" s="3">
        <f>IFERROR('CashFlow Statement'!E26,0)</f>
        <v>-36</v>
      </c>
      <c r="D103" s="3">
        <f>IFERROR('CashFlow Statement'!F26,0)</f>
        <v>-35</v>
      </c>
      <c r="E103" s="3">
        <f>IFERROR('CashFlow Statement'!G26,0)</f>
        <v>-106</v>
      </c>
      <c r="F103" s="3">
        <f>IFERROR('CashFlow Statement'!H26,0)</f>
        <v>-101</v>
      </c>
      <c r="G103" s="3">
        <f>IFERROR('CashFlow Statement'!I26,0)</f>
        <v>-89</v>
      </c>
      <c r="H103" s="3">
        <f>IFERROR('CashFlow Statement'!J26,0)</f>
        <v>-94</v>
      </c>
      <c r="I103" s="3">
        <f>IFERROR('CashFlow Statement'!K26,0)</f>
        <v>-142</v>
      </c>
      <c r="J103" s="3">
        <f>IFERROR('CashFlow Statement'!L26,0)</f>
        <v>-191</v>
      </c>
      <c r="K103" s="3">
        <f>IFERROR('CashFlow Statement'!M26,0)</f>
        <v>-203</v>
      </c>
      <c r="L103" s="3">
        <f>IFERROR('CashFlow Statement'!N26,0)</f>
        <v>-228</v>
      </c>
    </row>
    <row r="104" spans="2:12" ht="14.25" customHeight="1" outlineLevel="1" x14ac:dyDescent="0.3">
      <c r="B104" t="s">
        <v>73</v>
      </c>
      <c r="C104" s="3">
        <f>IFERROR('CashFlow Statement'!E27,0)</f>
        <v>-947</v>
      </c>
      <c r="D104" s="3">
        <f>IFERROR('CashFlow Statement'!F27,0)</f>
        <v>-1218</v>
      </c>
      <c r="E104" s="3">
        <f>IFERROR('CashFlow Statement'!G27,0)</f>
        <v>-1049</v>
      </c>
      <c r="F104" s="3">
        <f>IFERROR('CashFlow Statement'!H27,0)</f>
        <v>-2121</v>
      </c>
      <c r="G104" s="3">
        <f>IFERROR('CashFlow Statement'!I27,0)</f>
        <v>-499</v>
      </c>
      <c r="H104" s="3">
        <f>IFERROR('CashFlow Statement'!J27,0)</f>
        <v>-1763</v>
      </c>
      <c r="I104" s="3">
        <f>IFERROR('CashFlow Statement'!K27,0)</f>
        <v>-1936</v>
      </c>
      <c r="J104" s="3">
        <f>IFERROR('CashFlow Statement'!L27,0)</f>
        <v>-2551</v>
      </c>
      <c r="K104" s="3">
        <f>IFERROR('CashFlow Statement'!M27,0)</f>
        <v>-3140</v>
      </c>
      <c r="L104" s="3">
        <f>IFERROR('CashFlow Statement'!N27,0)</f>
        <v>-2425</v>
      </c>
    </row>
    <row r="105" spans="2:12" ht="14.25" customHeight="1" outlineLevel="1" x14ac:dyDescent="0.3">
      <c r="B105" t="s">
        <v>74</v>
      </c>
      <c r="C105" s="3">
        <f>IFERROR('CashFlow Statement'!E28,0)</f>
        <v>0</v>
      </c>
      <c r="D105" s="3">
        <f>IFERROR('CashFlow Statement'!F28,0)</f>
        <v>0</v>
      </c>
      <c r="E105" s="3">
        <f>IFERROR('CashFlow Statement'!G28,0)</f>
        <v>-180</v>
      </c>
      <c r="F105" s="3">
        <f>IFERROR('CashFlow Statement'!H28,0)</f>
        <v>-179</v>
      </c>
      <c r="G105" s="3">
        <f>IFERROR('CashFlow Statement'!I28,0)</f>
        <v>-203</v>
      </c>
      <c r="H105" s="3">
        <f>IFERROR('CashFlow Statement'!J28,0)</f>
        <v>-221</v>
      </c>
      <c r="I105" s="3">
        <f>IFERROR('CashFlow Statement'!K28,0)</f>
        <v>-256</v>
      </c>
      <c r="J105" s="3">
        <f>IFERROR('CashFlow Statement'!L28,0)</f>
        <v>-286</v>
      </c>
      <c r="K105" s="3">
        <f>IFERROR('CashFlow Statement'!M28,0)</f>
        <v>-325</v>
      </c>
      <c r="L105" s="3">
        <f>IFERROR('CashFlow Statement'!N28,0)</f>
        <v>-340</v>
      </c>
    </row>
    <row r="106" spans="2:12" ht="14.25" customHeight="1" outlineLevel="1" x14ac:dyDescent="0.3">
      <c r="B106" t="s">
        <v>75</v>
      </c>
      <c r="C106" s="3">
        <f>IFERROR('CashFlow Statement'!E29,0)</f>
        <v>13</v>
      </c>
      <c r="D106" s="3">
        <f>IFERROR('CashFlow Statement'!F29,0)</f>
        <v>-82</v>
      </c>
      <c r="E106" s="3">
        <f>IFERROR('CashFlow Statement'!G29,0)</f>
        <v>0</v>
      </c>
      <c r="F106" s="3">
        <f>IFERROR('CashFlow Statement'!H29,0)</f>
        <v>-6</v>
      </c>
      <c r="G106" s="3">
        <f>IFERROR('CashFlow Statement'!I29,0)</f>
        <v>0</v>
      </c>
      <c r="H106" s="3">
        <f>IFERROR('CashFlow Statement'!J29,0)</f>
        <v>-140</v>
      </c>
      <c r="I106" s="3">
        <f>IFERROR('CashFlow Statement'!K29,0)</f>
        <v>-36</v>
      </c>
      <c r="J106" s="3">
        <f>IFERROR('CashFlow Statement'!L29,0)</f>
        <v>41</v>
      </c>
      <c r="K106" s="3">
        <f>IFERROR('CashFlow Statement'!M29,0)</f>
        <v>-72</v>
      </c>
      <c r="L106" s="3">
        <f>IFERROR('CashFlow Statement'!N29,0)</f>
        <v>-210</v>
      </c>
    </row>
    <row r="107" spans="2:12" ht="14.25" customHeight="1" outlineLevel="1" x14ac:dyDescent="0.3">
      <c r="B107" s="175" t="s">
        <v>76</v>
      </c>
      <c r="C107" s="173">
        <f t="shared" ref="C107:L107" si="28">IFERROR(SUM(C100:C106),0)</f>
        <v>-757</v>
      </c>
      <c r="D107" s="173">
        <f t="shared" si="28"/>
        <v>-1379</v>
      </c>
      <c r="E107" s="173">
        <f t="shared" si="28"/>
        <v>-1118</v>
      </c>
      <c r="F107" s="173">
        <f t="shared" si="28"/>
        <v>-2871</v>
      </c>
      <c r="G107" s="173">
        <f t="shared" si="28"/>
        <v>-650</v>
      </c>
      <c r="H107" s="173">
        <f t="shared" si="28"/>
        <v>-1808</v>
      </c>
      <c r="I107" s="173">
        <f t="shared" si="28"/>
        <v>-2141</v>
      </c>
      <c r="J107" s="173">
        <f t="shared" si="28"/>
        <v>-2983</v>
      </c>
      <c r="K107" s="173">
        <f t="shared" si="28"/>
        <v>-3753</v>
      </c>
      <c r="L107" s="173">
        <f t="shared" si="28"/>
        <v>-2376</v>
      </c>
    </row>
    <row r="108" spans="2:12" ht="14.25" customHeight="1" outlineLevel="1" x14ac:dyDescent="0.3">
      <c r="C108" s="3"/>
      <c r="D108" s="3"/>
      <c r="E108" s="3"/>
      <c r="F108" s="3"/>
      <c r="G108" s="3"/>
      <c r="H108" s="3"/>
      <c r="I108" s="3"/>
      <c r="J108" s="3"/>
      <c r="K108" s="3"/>
      <c r="L108" s="3"/>
    </row>
    <row r="109" spans="2:12" ht="14.25" customHeight="1" outlineLevel="1" x14ac:dyDescent="0.3">
      <c r="B109" s="175" t="s">
        <v>77</v>
      </c>
      <c r="C109" s="173">
        <f t="shared" ref="C109:L109" si="29">IFERROR(SUM(C107,C97,C84),0)</f>
        <v>90</v>
      </c>
      <c r="D109" s="173">
        <f t="shared" si="29"/>
        <v>-822</v>
      </c>
      <c r="E109" s="173">
        <f t="shared" si="29"/>
        <v>433</v>
      </c>
      <c r="F109" s="173">
        <f t="shared" si="29"/>
        <v>-351</v>
      </c>
      <c r="G109" s="173">
        <f t="shared" si="29"/>
        <v>2493</v>
      </c>
      <c r="H109" s="173">
        <f t="shared" si="29"/>
        <v>-1139</v>
      </c>
      <c r="I109" s="173">
        <f t="shared" si="29"/>
        <v>770</v>
      </c>
      <c r="J109" s="173">
        <f t="shared" si="29"/>
        <v>572</v>
      </c>
      <c r="K109" s="173">
        <f t="shared" si="29"/>
        <v>-270</v>
      </c>
      <c r="L109" s="173">
        <f t="shared" si="29"/>
        <v>3384</v>
      </c>
    </row>
    <row r="111" spans="2:12" ht="10.8" customHeight="1" x14ac:dyDescent="0.3">
      <c r="B111" s="155"/>
      <c r="C111" s="155"/>
      <c r="D111" s="155"/>
      <c r="E111" s="155"/>
      <c r="F111" s="155"/>
      <c r="G111" s="155"/>
      <c r="H111" s="155"/>
      <c r="I111" s="155"/>
      <c r="J111" s="155"/>
      <c r="K111" s="155"/>
      <c r="L111" s="155"/>
    </row>
  </sheetData>
  <mergeCells count="1">
    <mergeCell ref="B2:L2"/>
  </mergeCells>
  <pageMargins left="0.7" right="0.7" top="0.75" bottom="0.75" header="0.511811023622047" footer="0.511811023622047"/>
  <pageSetup scale="61" orientation="portrait" horizontalDpi="300" verticalDpi="300" r:id="rId1"/>
  <rowBreaks count="1" manualBreakCount="1">
    <brk id="7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461C-B4D5-4282-8089-DD3293C904E4}">
  <dimension ref="B1:O48"/>
  <sheetViews>
    <sheetView showGridLines="0" topLeftCell="A19" zoomScale="70" zoomScaleNormal="70" workbookViewId="0">
      <selection activeCell="Q21" sqref="Q21"/>
    </sheetView>
  </sheetViews>
  <sheetFormatPr defaultRowHeight="14.4" x14ac:dyDescent="0.3"/>
  <cols>
    <col min="1" max="1" width="1.88671875" customWidth="1"/>
    <col min="2" max="2" width="23.88671875" bestFit="1" customWidth="1"/>
    <col min="3" max="12" width="11" customWidth="1"/>
    <col min="13" max="13" width="13.88671875" customWidth="1"/>
    <col min="14" max="15" width="11" customWidth="1"/>
  </cols>
  <sheetData>
    <row r="1" spans="2:15" x14ac:dyDescent="0.3">
      <c r="B1" s="154"/>
      <c r="C1" s="154"/>
      <c r="D1" s="154"/>
      <c r="E1" s="154"/>
      <c r="F1" s="154"/>
      <c r="G1" s="154"/>
      <c r="H1" s="154"/>
      <c r="I1" s="154"/>
      <c r="J1" s="154"/>
      <c r="K1" s="154"/>
      <c r="L1" s="154"/>
      <c r="M1" s="154"/>
      <c r="N1" s="154"/>
      <c r="O1" s="154"/>
    </row>
    <row r="2" spans="2:15" ht="46.2" x14ac:dyDescent="0.85">
      <c r="B2" s="157" t="str">
        <f>'Data Sheet'!B1</f>
        <v>ASIAN PAINTS LTD</v>
      </c>
      <c r="J2" s="157"/>
    </row>
    <row r="3" spans="2:15" x14ac:dyDescent="0.3">
      <c r="B3" t="s">
        <v>629</v>
      </c>
    </row>
    <row r="4" spans="2:15" ht="21" x14ac:dyDescent="0.4">
      <c r="B4" s="156" t="str">
        <f>CONCATENATE("INR "&amp;'Data Sheet'!B8)</f>
        <v>INR 2645.2</v>
      </c>
      <c r="J4" s="156"/>
    </row>
    <row r="5" spans="2:15" x14ac:dyDescent="0.3">
      <c r="B5" t="s">
        <v>630</v>
      </c>
    </row>
    <row r="6" spans="2:15" ht="15" thickBot="1" x14ac:dyDescent="0.35">
      <c r="B6" s="148"/>
      <c r="C6" s="148"/>
      <c r="D6" s="148"/>
      <c r="E6" s="148"/>
      <c r="F6" s="148"/>
      <c r="G6" s="148"/>
      <c r="H6" s="148"/>
      <c r="I6" s="148"/>
      <c r="J6" s="148"/>
      <c r="K6" s="148"/>
      <c r="L6" s="148"/>
      <c r="M6" s="148"/>
      <c r="N6" s="148"/>
      <c r="O6" s="148"/>
    </row>
    <row r="8" spans="2:15" x14ac:dyDescent="0.3">
      <c r="B8" s="336" t="str">
        <f>"Ratio Analysis"&amp;" - "&amp;'Data Sheet'!B1</f>
        <v>Ratio Analysis - ASIAN PAINTS LTD</v>
      </c>
      <c r="C8" s="336"/>
      <c r="D8" s="336"/>
      <c r="E8" s="336"/>
      <c r="F8" s="336"/>
      <c r="G8" s="336"/>
      <c r="H8" s="336"/>
      <c r="I8" s="336"/>
      <c r="J8" s="336"/>
      <c r="K8" s="336"/>
      <c r="L8" s="336"/>
      <c r="M8" s="336"/>
      <c r="N8" s="336"/>
      <c r="O8" s="336"/>
    </row>
    <row r="9" spans="2:15" x14ac:dyDescent="0.3">
      <c r="B9" s="179" t="s">
        <v>0</v>
      </c>
      <c r="C9" s="165">
        <f>HistoricalFS!C3</f>
        <v>42825</v>
      </c>
      <c r="D9" s="165">
        <f>HistoricalFS!D3</f>
        <v>43190</v>
      </c>
      <c r="E9" s="165">
        <f>HistoricalFS!E3</f>
        <v>43555</v>
      </c>
      <c r="F9" s="165">
        <f>HistoricalFS!F3</f>
        <v>43921</v>
      </c>
      <c r="G9" s="165">
        <f>HistoricalFS!G3</f>
        <v>44286</v>
      </c>
      <c r="H9" s="165">
        <f>HistoricalFS!H3</f>
        <v>44651</v>
      </c>
      <c r="I9" s="165">
        <f>HistoricalFS!I3</f>
        <v>45016</v>
      </c>
      <c r="J9" s="165">
        <f>HistoricalFS!J3</f>
        <v>45382</v>
      </c>
      <c r="K9" s="165">
        <f>HistoricalFS!K3</f>
        <v>45747</v>
      </c>
      <c r="L9" s="165">
        <f>HistoricalFS!L3</f>
        <v>46112</v>
      </c>
      <c r="M9" s="165" t="s">
        <v>427</v>
      </c>
      <c r="N9" s="180" t="s">
        <v>428</v>
      </c>
      <c r="O9" s="165" t="s">
        <v>220</v>
      </c>
    </row>
    <row r="11" spans="2:15" x14ac:dyDescent="0.3">
      <c r="B11" s="181" t="s">
        <v>3</v>
      </c>
      <c r="C11" s="181"/>
      <c r="D11" s="182">
        <f>HistoricalFS!D6/HistoricalFS!C6-1</f>
        <v>0.11702039371955486</v>
      </c>
      <c r="E11" s="182">
        <f>HistoricalFS!E6/HistoricalFS!D6-1</f>
        <v>0.14357471670861943</v>
      </c>
      <c r="F11" s="182">
        <f>HistoricalFS!F6/HistoricalFS!E6-1</f>
        <v>5.0473671435691925E-2</v>
      </c>
      <c r="G11" s="182">
        <f>HistoricalFS!G6/HistoricalFS!F6-1</f>
        <v>7.4292287711052118E-2</v>
      </c>
      <c r="H11" s="182">
        <f>HistoricalFS!H6/HistoricalFS!G6-1</f>
        <v>0.34028284711453471</v>
      </c>
      <c r="I11" s="182">
        <f>HistoricalFS!I6/HistoricalFS!H6-1</f>
        <v>0.18512278497715551</v>
      </c>
      <c r="J11" s="182">
        <f>HistoricalFS!J6/HistoricalFS!I6-1</f>
        <v>2.9173126532572313E-2</v>
      </c>
      <c r="K11" s="182">
        <f>HistoricalFS!K6/HistoricalFS!J6-1</f>
        <v>-4.4770308155605121E-2</v>
      </c>
      <c r="L11" s="182">
        <f>HistoricalFS!L6/HistoricalFS!K6-1</f>
        <v>4.9487960992897317E-2</v>
      </c>
      <c r="M11" s="182"/>
      <c r="N11" s="182">
        <f>IFERROR(AVERAGE(D11:L11),0)</f>
        <v>0.1049619423373859</v>
      </c>
      <c r="O11" s="182">
        <f>IFERROR(MEDIAN(D11:L11),0)</f>
        <v>7.4292287711052118E-2</v>
      </c>
    </row>
    <row r="12" spans="2:15" x14ac:dyDescent="0.3">
      <c r="B12" t="s">
        <v>429</v>
      </c>
      <c r="D12" s="101">
        <f>HistoricalFS!D18/HistoricalFS!C18-1</f>
        <v>7.0229410507188561E-2</v>
      </c>
      <c r="E12" s="101">
        <f>HistoricalFS!E18/HistoricalFS!D18-1</f>
        <v>0.17507123885381137</v>
      </c>
      <c r="F12" s="101">
        <f>HistoricalFS!F18/HistoricalFS!E18-1</f>
        <v>0.10540141409955961</v>
      </c>
      <c r="G12" s="101">
        <f>HistoricalFS!G18/HistoricalFS!F18-1</f>
        <v>0.16671512361327179</v>
      </c>
      <c r="H12" s="101">
        <f>HistoricalFS!H18/HistoricalFS!G18-1</f>
        <v>-1.0707224647830249E-2</v>
      </c>
      <c r="I12" s="101">
        <f>HistoricalFS!I18/HistoricalFS!H18-1</f>
        <v>0.3031532534906034</v>
      </c>
      <c r="J12" s="101">
        <f>HistoricalFS!J18/HistoricalFS!I18-1</f>
        <v>0.21168911665473988</v>
      </c>
      <c r="K12" s="101">
        <f>HistoricalFS!K18/HistoricalFS!J18-1</f>
        <v>-0.20814425351154509</v>
      </c>
      <c r="L12" s="101">
        <f>HistoricalFS!L18/HistoricalFS!K18-1</f>
        <v>0.11546715815797359</v>
      </c>
      <c r="M12" s="101"/>
      <c r="N12" s="101">
        <f>IFERROR(AVERAGE(D12:L12),0)</f>
        <v>0.10320835969086367</v>
      </c>
      <c r="O12" s="101">
        <f t="shared" ref="O12:O15" si="0">IFERROR(MEDIAN(D12:L12),0)</f>
        <v>0.11546715815797359</v>
      </c>
    </row>
    <row r="13" spans="2:15" x14ac:dyDescent="0.3">
      <c r="B13" t="s">
        <v>430</v>
      </c>
      <c r="D13" s="101">
        <f>HistoricalFS!D27/HistoricalFS!C27-1</f>
        <v>6.109040432184254E-2</v>
      </c>
      <c r="E13" s="101">
        <f>HistoricalFS!E27/HistoricalFS!D27-1</f>
        <v>7.440997499960722E-2</v>
      </c>
      <c r="F13" s="101">
        <f>HistoricalFS!F27/HistoricalFS!E27-1</f>
        <v>9.2139192230803468E-2</v>
      </c>
      <c r="G13" s="101">
        <f>HistoricalFS!G27/HistoricalFS!F27-1</f>
        <v>0.17811420470229589</v>
      </c>
      <c r="H13" s="101">
        <f>HistoricalFS!H27/HistoricalFS!G27-1</f>
        <v>-2.5671181397550424E-2</v>
      </c>
      <c r="I13" s="101">
        <f>HistoricalFS!I27/HistoricalFS!H27-1</f>
        <v>0.36191990436900023</v>
      </c>
      <c r="J13" s="101">
        <f>HistoricalFS!J27/HistoricalFS!I27-1</f>
        <v>0.29480155247133832</v>
      </c>
      <c r="K13" s="101">
        <f>HistoricalFS!K27/HistoricalFS!J27-1</f>
        <v>-0.29430261593498686</v>
      </c>
      <c r="L13" s="101">
        <f>HistoricalFS!L27/HistoricalFS!K27-1</f>
        <v>0.16299161927847394</v>
      </c>
      <c r="M13" s="101"/>
      <c r="N13" s="101">
        <f>IFERROR(AVERAGE(D13:L13),0)</f>
        <v>0.10061033944898047</v>
      </c>
      <c r="O13" s="101">
        <f t="shared" si="0"/>
        <v>9.2139192230803468E-2</v>
      </c>
    </row>
    <row r="14" spans="2:15" x14ac:dyDescent="0.3">
      <c r="B14" t="s">
        <v>431</v>
      </c>
      <c r="D14" s="101">
        <f>HistoricalFS!D39/HistoricalFS!C39-1</f>
        <v>4.0307501549907254E-2</v>
      </c>
      <c r="E14" s="101">
        <f>HistoricalFS!E39/HistoricalFS!D39-1</f>
        <v>5.2690796750448632E-2</v>
      </c>
      <c r="F14" s="101">
        <f>HistoricalFS!F39/HistoricalFS!E39-1</f>
        <v>0.25640386949511607</v>
      </c>
      <c r="G14" s="101">
        <f>HistoricalFS!G39/HistoricalFS!F39-1</f>
        <v>0.15592299013405908</v>
      </c>
      <c r="H14" s="101">
        <f>HistoricalFS!H39/HistoricalFS!G39-1</f>
        <v>-3.8026038824355957E-2</v>
      </c>
      <c r="I14" s="101">
        <f>HistoricalFS!I39/HistoricalFS!H39-1</f>
        <v>0.35999623963874461</v>
      </c>
      <c r="J14" s="101">
        <f>HistoricalFS!J39/HistoricalFS!I39-1</f>
        <v>0.32473250018473121</v>
      </c>
      <c r="K14" s="101">
        <f>HistoricalFS!K39/HistoricalFS!J39-1</f>
        <v>-0.33250865017660214</v>
      </c>
      <c r="L14" s="101">
        <f>HistoricalFS!L39/HistoricalFS!K39-1</f>
        <v>0.18464516094250016</v>
      </c>
      <c r="M14" s="101"/>
      <c r="N14" s="101">
        <f t="shared" ref="N14" si="1">IFERROR(AVERAGE(D14:L14),0)</f>
        <v>0.11157381885494987</v>
      </c>
      <c r="O14" s="101">
        <f>IFERROR(MEDIAN(D14:L14),0)</f>
        <v>0.15592299013405908</v>
      </c>
    </row>
    <row r="15" spans="2:15" x14ac:dyDescent="0.3">
      <c r="B15" s="183" t="s">
        <v>432</v>
      </c>
      <c r="C15" s="183"/>
      <c r="D15" s="184">
        <f>HistoricalFS!D47/HistoricalFS!C47-1</f>
        <v>-0.15534727423632066</v>
      </c>
      <c r="E15" s="184">
        <f>HistoricalFS!E47/HistoricalFS!D47-1</f>
        <v>0.20690233672858005</v>
      </c>
      <c r="F15" s="184">
        <f>HistoricalFS!F47/HistoricalFS!E47-1</f>
        <v>0.14285714285714279</v>
      </c>
      <c r="G15" s="184">
        <f>HistoricalFS!G47/HistoricalFS!F47-1</f>
        <v>0.48749826244092298</v>
      </c>
      <c r="H15" s="184">
        <f>HistoricalFS!H47/HistoricalFS!G47-1</f>
        <v>7.2831552941588606E-2</v>
      </c>
      <c r="I15" s="184">
        <f>HistoricalFS!I47/HistoricalFS!H47-1</f>
        <v>0.33942521789783719</v>
      </c>
      <c r="J15" s="184">
        <f>HistoricalFS!J47/HistoricalFS!I47-1</f>
        <v>0.2982461844859472</v>
      </c>
      <c r="K15" s="184">
        <f>HistoricalFS!K47/HistoricalFS!J47-1</f>
        <v>-0.25525493560081891</v>
      </c>
      <c r="L15" s="184">
        <f>HistoricalFS!L47/HistoricalFS!K47-1</f>
        <v>0.10886910316879783</v>
      </c>
      <c r="M15" s="184"/>
      <c r="N15" s="184">
        <f>IFERROR(AVERAGE(D15:L15),0)</f>
        <v>0.13844751007596412</v>
      </c>
      <c r="O15" s="184">
        <f t="shared" si="0"/>
        <v>0.14285714285714279</v>
      </c>
    </row>
    <row r="17" spans="2:15" x14ac:dyDescent="0.3">
      <c r="B17" s="181" t="s">
        <v>7</v>
      </c>
      <c r="C17" s="182">
        <f>HistoricalFS!C13</f>
        <v>0.35382642001488518</v>
      </c>
      <c r="D17" s="182">
        <f>HistoricalFS!D13</f>
        <v>0.33465263558312119</v>
      </c>
      <c r="E17" s="182">
        <f>HistoricalFS!E13</f>
        <v>0.3292243867375117</v>
      </c>
      <c r="F17" s="182">
        <f>HistoricalFS!F13</f>
        <v>0.34897544684272364</v>
      </c>
      <c r="G17" s="182">
        <f>HistoricalFS!G13</f>
        <v>0.35360356729835285</v>
      </c>
      <c r="H17" s="182">
        <f>HistoricalFS!H13</f>
        <v>0.29245139732685294</v>
      </c>
      <c r="I17" s="182">
        <f>HistoricalFS!I13</f>
        <v>0.31088223670495074</v>
      </c>
      <c r="J17" s="182">
        <f>HistoricalFS!J13</f>
        <v>0.35173503221464147</v>
      </c>
      <c r="K17" s="182">
        <f>HistoricalFS!K13</f>
        <v>0.32927727025785108</v>
      </c>
      <c r="L17" s="182">
        <f>HistoricalFS!L13</f>
        <v>0.33987371689269824</v>
      </c>
      <c r="M17" s="182"/>
      <c r="N17" s="182">
        <f>IFERROR(AVERAGE(C17:L17),0)</f>
        <v>0.33445021098735889</v>
      </c>
      <c r="O17" s="182">
        <f>IFERROR(MEDIAN(C17:L17),0)</f>
        <v>0.33726317623790969</v>
      </c>
    </row>
    <row r="18" spans="2:15" x14ac:dyDescent="0.3">
      <c r="B18" t="s">
        <v>11</v>
      </c>
      <c r="C18" s="101">
        <f>HistoricalFS!C19</f>
        <v>0.19876258050895004</v>
      </c>
      <c r="D18" s="101">
        <f>HistoricalFS!D19</f>
        <v>0.19043659414367703</v>
      </c>
      <c r="E18" s="101">
        <f>HistoricalFS!E19</f>
        <v>0.19568163000977651</v>
      </c>
      <c r="F18" s="101">
        <f>HistoricalFS!F19</f>
        <v>0.2059135382522109</v>
      </c>
      <c r="G18" s="101">
        <f>HistoricalFS!G19</f>
        <v>0.22362856178317034</v>
      </c>
      <c r="H18" s="101">
        <f>HistoricalFS!H19</f>
        <v>0.16506524798909186</v>
      </c>
      <c r="I18" s="101">
        <f>HistoricalFS!I19</f>
        <v>0.1815046657459756</v>
      </c>
      <c r="J18" s="101">
        <f>HistoricalFS!J19</f>
        <v>0.21369313134654075</v>
      </c>
      <c r="K18" s="101">
        <f>HistoricalFS!K19</f>
        <v>0.17714496888716388</v>
      </c>
      <c r="L18" s="101">
        <f>HistoricalFS!L19</f>
        <v>0.18828171677129379</v>
      </c>
      <c r="M18" s="101"/>
      <c r="N18" s="101">
        <f t="shared" ref="N18:N21" si="2">IFERROR(AVERAGE(C18:L18),0)</f>
        <v>0.19401126354378506</v>
      </c>
      <c r="O18" s="101">
        <f>IFERROR(MEDIAN(C18:L18),0)</f>
        <v>0.19305911207672677</v>
      </c>
    </row>
    <row r="19" spans="2:15" x14ac:dyDescent="0.3">
      <c r="B19" t="s">
        <v>17</v>
      </c>
      <c r="C19" s="101">
        <f>HistoricalFS!C28</f>
        <v>0.19896906052918642</v>
      </c>
      <c r="D19" s="101">
        <f>HistoricalFS!D28</f>
        <v>0.18900654103675885</v>
      </c>
      <c r="E19" s="101">
        <f>HistoricalFS!E28</f>
        <v>0.17757520349394737</v>
      </c>
      <c r="F19" s="101">
        <f>HistoricalFS!F28</f>
        <v>0.18461846743768931</v>
      </c>
      <c r="G19" s="101">
        <f>HistoricalFS!G28</f>
        <v>0.20246039315997635</v>
      </c>
      <c r="H19" s="101">
        <f>HistoricalFS!H28</f>
        <v>0.14718012403578123</v>
      </c>
      <c r="I19" s="101">
        <f>HistoricalFS!I28</f>
        <v>0.16913651732355528</v>
      </c>
      <c r="J19" s="101">
        <f>HistoricalFS!J28</f>
        <v>0.21279046213339281</v>
      </c>
      <c r="K19" s="101">
        <f>HistoricalFS!K28</f>
        <v>0.15720373200667032</v>
      </c>
      <c r="L19" s="101">
        <f>HistoricalFS!L28</f>
        <v>0.17420554559776807</v>
      </c>
      <c r="M19" s="101"/>
      <c r="N19" s="101">
        <f t="shared" si="2"/>
        <v>0.18131460467547261</v>
      </c>
      <c r="O19" s="101">
        <f>IFERROR(MEDIAN(C19:L19),0)</f>
        <v>0.18109683546581834</v>
      </c>
    </row>
    <row r="20" spans="2:15" x14ac:dyDescent="0.3">
      <c r="B20" t="s">
        <v>433</v>
      </c>
      <c r="C20" s="101">
        <f>HistoricalFS!C34</f>
        <v>0.19649063636345532</v>
      </c>
      <c r="D20" s="101">
        <f>HistoricalFS!D34</f>
        <v>0.18654169056527523</v>
      </c>
      <c r="E20" s="101">
        <f>HistoricalFS!E34</f>
        <v>0.17183355829716335</v>
      </c>
      <c r="F20" s="101">
        <f>HistoricalFS!F34</f>
        <v>0.17955544560578876</v>
      </c>
      <c r="G20" s="101">
        <f>HistoricalFS!G34</f>
        <v>0.19824029984170632</v>
      </c>
      <c r="H20" s="101">
        <f>HistoricalFS!H34</f>
        <v>0.1439015740888373</v>
      </c>
      <c r="I20" s="101">
        <f>HistoricalFS!I34</f>
        <v>0.16494817561402181</v>
      </c>
      <c r="J20" s="101">
        <f>HistoricalFS!J34</f>
        <v>0.20701016742485437</v>
      </c>
      <c r="K20" s="101">
        <f>HistoricalFS!K34</f>
        <v>0.15050808685993652</v>
      </c>
      <c r="L20" s="101">
        <f>HistoricalFS!L34</f>
        <v>0.1687139615676238</v>
      </c>
      <c r="M20" s="101"/>
      <c r="N20" s="101">
        <f>IFERROR(AVERAGE(C20:L20),0)</f>
        <v>0.17677435962286628</v>
      </c>
      <c r="O20" s="101">
        <f>IFERROR(MEDIAN(C20:L20),0)</f>
        <v>0.17569450195147607</v>
      </c>
    </row>
    <row r="21" spans="2:15" x14ac:dyDescent="0.3">
      <c r="B21" s="183" t="s">
        <v>25</v>
      </c>
      <c r="C21" s="184">
        <f>HistoricalFS!C40</f>
        <v>0.1338634536339488</v>
      </c>
      <c r="D21" s="184">
        <f>HistoricalFS!D40</f>
        <v>0.12467019920295051</v>
      </c>
      <c r="E21" s="184">
        <f>HistoricalFS!E40</f>
        <v>0.11476221834259964</v>
      </c>
      <c r="F21" s="184">
        <f>HistoricalFS!F40</f>
        <v>0.13725969447708569</v>
      </c>
      <c r="G21" s="184">
        <f>HistoricalFS!G40</f>
        <v>0.14768944939825804</v>
      </c>
      <c r="H21" s="184">
        <f>HistoricalFS!H40</f>
        <v>0.10600255383955619</v>
      </c>
      <c r="I21" s="184">
        <f>HistoricalFS!I40</f>
        <v>0.12164399878336563</v>
      </c>
      <c r="J21" s="184">
        <f>HistoricalFS!J40</f>
        <v>0.15657789198565539</v>
      </c>
      <c r="K21" s="184">
        <f>HistoricalFS!K40</f>
        <v>0.10941283480437761</v>
      </c>
      <c r="L21" s="184">
        <f>HistoricalFS!L40</f>
        <v>0.12350345131484962</v>
      </c>
      <c r="M21" s="184"/>
      <c r="N21" s="184">
        <f t="shared" si="2"/>
        <v>0.12753857457826473</v>
      </c>
      <c r="O21" s="184">
        <f>IFERROR(MEDIAN(C21:L21),0)</f>
        <v>0.12408682525890007</v>
      </c>
    </row>
    <row r="23" spans="2:15" x14ac:dyDescent="0.3">
      <c r="B23" s="181" t="s">
        <v>434</v>
      </c>
      <c r="C23" s="182">
        <f>HistoricalFS!C16</f>
        <v>0.15506383950593511</v>
      </c>
      <c r="D23" s="182">
        <f>HistoricalFS!D16</f>
        <v>0.14421604143944414</v>
      </c>
      <c r="E23" s="182">
        <f>HistoricalFS!E16</f>
        <v>0.13354275672773522</v>
      </c>
      <c r="F23" s="182">
        <f>HistoricalFS!F16</f>
        <v>0.14306190859051271</v>
      </c>
      <c r="G23" s="182">
        <f>HistoricalFS!G16</f>
        <v>0.12997500551518251</v>
      </c>
      <c r="H23" s="182">
        <f>HistoricalFS!H16</f>
        <v>0.1273861493377611</v>
      </c>
      <c r="I23" s="182">
        <f>HistoricalFS!I16</f>
        <v>0.12937757095897515</v>
      </c>
      <c r="J23" s="182">
        <f>HistoricalFS!J16</f>
        <v>0.1380419008681007</v>
      </c>
      <c r="K23" s="182">
        <f>HistoricalFS!K16</f>
        <v>0.15213230137068723</v>
      </c>
      <c r="L23" s="182">
        <f>HistoricalFS!L16</f>
        <v>0.15159200012140442</v>
      </c>
      <c r="M23" s="181"/>
      <c r="N23" s="182">
        <f>IFERROR(AVERAGE(C23:L23),0)</f>
        <v>0.14043894744357382</v>
      </c>
      <c r="O23" s="182">
        <f>IFERROR(MEDIAN(C23:L23),0)</f>
        <v>0.1405519047293067</v>
      </c>
    </row>
    <row r="24" spans="2:15" x14ac:dyDescent="0.3">
      <c r="B24" t="s">
        <v>435</v>
      </c>
      <c r="C24" s="101">
        <f>HistoricalFS!C25</f>
        <v>2.2227474590011016E-2</v>
      </c>
      <c r="D24" s="101">
        <f>HistoricalFS!D25</f>
        <v>2.1425238713665449E-2</v>
      </c>
      <c r="E24" s="101">
        <f>HistoricalFS!E25</f>
        <v>3.2335540352378074E-2</v>
      </c>
      <c r="F24" s="101">
        <f>HistoricalFS!F25</f>
        <v>3.8617106809326486E-2</v>
      </c>
      <c r="G24" s="101">
        <f>HistoricalFS!G25</f>
        <v>3.6442576011650275E-2</v>
      </c>
      <c r="H24" s="101">
        <f>HistoricalFS!H25</f>
        <v>2.8052374328551871E-2</v>
      </c>
      <c r="I24" s="101">
        <f>HistoricalFS!I25</f>
        <v>2.4878372818372688E-2</v>
      </c>
      <c r="J24" s="101">
        <f>HistoricalFS!J25</f>
        <v>2.4031736542297968E-2</v>
      </c>
      <c r="K24" s="101">
        <f>HistoricalFS!K25</f>
        <v>3.0270497929251843E-2</v>
      </c>
      <c r="L24" s="101">
        <f>HistoricalFS!L25</f>
        <v>3.4534225656019608E-2</v>
      </c>
      <c r="N24" s="101">
        <f>IFERROR(AVERAGE(C24:L24),0)</f>
        <v>2.9281514375152529E-2</v>
      </c>
      <c r="O24" s="101">
        <f t="shared" ref="O24" si="3">IFERROR(MEDIAN(C24:L24),0)</f>
        <v>2.9161436128901857E-2</v>
      </c>
    </row>
    <row r="25" spans="2:15" x14ac:dyDescent="0.3">
      <c r="B25" s="183" t="s">
        <v>436</v>
      </c>
      <c r="C25" s="184">
        <f>C19</f>
        <v>0.19896906052918642</v>
      </c>
      <c r="D25" s="184">
        <f t="shared" ref="D25:L25" si="4">D19</f>
        <v>0.18900654103675885</v>
      </c>
      <c r="E25" s="184">
        <f t="shared" si="4"/>
        <v>0.17757520349394737</v>
      </c>
      <c r="F25" s="184">
        <f t="shared" si="4"/>
        <v>0.18461846743768931</v>
      </c>
      <c r="G25" s="184">
        <f t="shared" si="4"/>
        <v>0.20246039315997635</v>
      </c>
      <c r="H25" s="184">
        <f t="shared" si="4"/>
        <v>0.14718012403578123</v>
      </c>
      <c r="I25" s="184">
        <f t="shared" si="4"/>
        <v>0.16913651732355528</v>
      </c>
      <c r="J25" s="184">
        <f t="shared" si="4"/>
        <v>0.21279046213339281</v>
      </c>
      <c r="K25" s="184">
        <f t="shared" si="4"/>
        <v>0.15720373200667032</v>
      </c>
      <c r="L25" s="184">
        <f t="shared" si="4"/>
        <v>0.17420554559776807</v>
      </c>
      <c r="M25" s="183"/>
      <c r="N25" s="184">
        <f t="shared" ref="N25" si="5">IFERROR(AVERAGE(C25:L25),0)</f>
        <v>0.18131460467547261</v>
      </c>
      <c r="O25" s="184">
        <f>IFERROR(MEDIAN(C25:L25),0)</f>
        <v>0.18109683546581834</v>
      </c>
    </row>
    <row r="27" spans="2:15" x14ac:dyDescent="0.3">
      <c r="B27" s="181" t="s">
        <v>437</v>
      </c>
      <c r="C27" s="182">
        <f>HistoricalFS!C27/SUM(HistoricalFS!C53:C55)</f>
        <v>0.36707319612504796</v>
      </c>
      <c r="D27" s="182">
        <f>HistoricalFS!D27/SUM(HistoricalFS!D53:D55)</f>
        <v>0.35555354295668673</v>
      </c>
      <c r="E27" s="182">
        <f>HistoricalFS!E27/SUM(HistoricalFS!E53:E55)</f>
        <v>0.31663785952929308</v>
      </c>
      <c r="F27" s="182">
        <f>HistoricalFS!F27/SUM(HistoricalFS!F53:F55)</f>
        <v>0.33171684449525529</v>
      </c>
      <c r="G27" s="182">
        <f>HistoricalFS!G27/SUM(HistoricalFS!G53:G55)</f>
        <v>0.31627097840843627</v>
      </c>
      <c r="H27" s="182">
        <f>HistoricalFS!H27/SUM(HistoricalFS!H53:H55)</f>
        <v>0.27815350126376437</v>
      </c>
      <c r="I27" s="182">
        <f>HistoricalFS!I27/SUM(HistoricalFS!I53:I55)</f>
        <v>0.32542978044446652</v>
      </c>
      <c r="J27" s="182">
        <f>HistoricalFS!J27/SUM(HistoricalFS!J53:J55)</f>
        <v>0.35622572240867673</v>
      </c>
      <c r="K27" s="182">
        <f>HistoricalFS!K27/SUM(HistoricalFS!K53:K55)</f>
        <v>0.24573837833850476</v>
      </c>
      <c r="L27" s="182">
        <f>HistoricalFS!L27/SUM(HistoricalFS!L53:L55)</f>
        <v>0.24500879823813917</v>
      </c>
      <c r="M27" s="181"/>
      <c r="N27" s="182">
        <f>IFERROR(AVERAGE(C27:L27),0)</f>
        <v>0.31378086022082707</v>
      </c>
      <c r="O27" s="182">
        <f>IFERROR(MEDIAN(C27:L27),0)</f>
        <v>0.3210338199868798</v>
      </c>
    </row>
    <row r="28" spans="2:15" x14ac:dyDescent="0.3">
      <c r="B28" t="s">
        <v>438</v>
      </c>
      <c r="C28" s="101">
        <f>HistoricalFS!C50</f>
        <v>0.50999132052076879</v>
      </c>
      <c r="D28" s="101">
        <f>HistoricalFS!D50</f>
        <v>0.6021492047751632</v>
      </c>
      <c r="E28" s="101">
        <f>HistoricalFS!E50</f>
        <v>0.54386695893190384</v>
      </c>
      <c r="F28" s="101">
        <f>HistoricalFS!F50</f>
        <v>0.58508970185892073</v>
      </c>
      <c r="G28" s="101">
        <f>HistoricalFS!G50</f>
        <v>0.46607312699773962</v>
      </c>
      <c r="H28" s="101">
        <f>HistoricalFS!H50</f>
        <v>0.40454355373588646</v>
      </c>
      <c r="I28" s="101">
        <f>HistoricalFS!I50</f>
        <v>0.4135503047436071</v>
      </c>
      <c r="J28" s="101">
        <f>HistoricalFS!J50</f>
        <v>0.42527560911097984</v>
      </c>
      <c r="K28" s="101">
        <f>HistoricalFS!K50</f>
        <v>0.35875850133837983</v>
      </c>
      <c r="L28" s="101">
        <f>HistoricalFS!L50</f>
        <v>0.39977563832716356</v>
      </c>
      <c r="N28" s="101">
        <f t="shared" ref="N28:N31" si="6">IFERROR(AVERAGE(C28:L28),0)</f>
        <v>0.4709073920340513</v>
      </c>
      <c r="O28" s="101">
        <f t="shared" ref="O28:O46" si="7">IFERROR(MEDIAN(C28:L28),0)</f>
        <v>0.44567436805435973</v>
      </c>
    </row>
    <row r="29" spans="2:15" x14ac:dyDescent="0.3">
      <c r="B29" t="s">
        <v>439</v>
      </c>
      <c r="C29" s="101">
        <f>HistoricalFS!C39/SUM(HistoricalFS!C53:C54)</f>
        <v>0.2651603324088066</v>
      </c>
      <c r="D29" s="101">
        <f>HistoricalFS!D39/SUM(HistoricalFS!D53:D54)</f>
        <v>0.2494010270824937</v>
      </c>
      <c r="E29" s="101">
        <f>HistoricalFS!E39/SUM(HistoricalFS!E53:E54)</f>
        <v>0.2331480220261761</v>
      </c>
      <c r="F29" s="101">
        <f>HistoricalFS!F39/SUM(HistoricalFS!F53:F54)</f>
        <v>0.2738545097017222</v>
      </c>
      <c r="G29" s="101">
        <f>HistoricalFS!G39/SUM(HistoricalFS!G53:G54)</f>
        <v>0.25040429351514004</v>
      </c>
      <c r="H29" s="101">
        <f>HistoricalFS!H39/SUM(HistoricalFS!H53:H54)</f>
        <v>0.22334986055159589</v>
      </c>
      <c r="I29" s="101">
        <f>HistoricalFS!I39/SUM(HistoricalFS!I53:I54)</f>
        <v>0.26233552168771934</v>
      </c>
      <c r="J29" s="101">
        <f>HistoricalFS!J39/SUM(HistoricalFS!J53:J54)</f>
        <v>0.29675357613878478</v>
      </c>
      <c r="K29" s="101">
        <f>HistoricalFS!K39/SUM(HistoricalFS!K53:K54)</f>
        <v>0.19122403776119468</v>
      </c>
      <c r="L29" s="101">
        <f>HistoricalFS!L39/SUM(HistoricalFS!L53:L54)</f>
        <v>0.20563233713542159</v>
      </c>
      <c r="N29" s="101">
        <f t="shared" si="6"/>
        <v>0.24512635180090553</v>
      </c>
      <c r="O29" s="101">
        <f t="shared" si="7"/>
        <v>0.24990266029881686</v>
      </c>
    </row>
    <row r="30" spans="2:15" x14ac:dyDescent="0.3">
      <c r="B30" t="s">
        <v>440</v>
      </c>
      <c r="C30" s="101">
        <f>C29*C28</f>
        <v>0.13522946807489328</v>
      </c>
      <c r="D30" s="101">
        <f t="shared" ref="D30:L30" si="8">D29*D28</f>
        <v>0.15017663012783253</v>
      </c>
      <c r="E30" s="101">
        <f t="shared" si="8"/>
        <v>0.12680150572036494</v>
      </c>
      <c r="F30" s="101">
        <f t="shared" si="8"/>
        <v>0.16022945343410155</v>
      </c>
      <c r="G30" s="101">
        <f t="shared" si="8"/>
        <v>0.11670671209226113</v>
      </c>
      <c r="H30" s="101">
        <f t="shared" si="8"/>
        <v>9.0354746313957277E-2</v>
      </c>
      <c r="I30" s="101">
        <f t="shared" si="8"/>
        <v>0.10848893493902949</v>
      </c>
      <c r="J30" s="101">
        <f t="shared" si="8"/>
        <v>0.12620205784828323</v>
      </c>
      <c r="K30" s="101">
        <f t="shared" si="8"/>
        <v>6.8603249207079955E-2</v>
      </c>
      <c r="L30" s="101">
        <f t="shared" si="8"/>
        <v>8.2206798839019671E-2</v>
      </c>
      <c r="N30" s="101">
        <f t="shared" si="6"/>
        <v>0.1164999556596823</v>
      </c>
      <c r="O30" s="101">
        <f t="shared" si="7"/>
        <v>0.12145438497027218</v>
      </c>
    </row>
    <row r="31" spans="2:15" x14ac:dyDescent="0.3">
      <c r="B31" s="183" t="s">
        <v>441</v>
      </c>
      <c r="C31" s="185">
        <f>HistoricalFS!C27/HistoricalFS!C30</f>
        <v>80.280471470667038</v>
      </c>
      <c r="D31" s="185">
        <f>HistoricalFS!D27/HistoricalFS!D30</f>
        <v>76.680733060043423</v>
      </c>
      <c r="E31" s="185">
        <f>HistoricalFS!E27/HistoricalFS!E30</f>
        <v>30.927582148999743</v>
      </c>
      <c r="F31" s="185">
        <f>HistoricalFS!F27/HistoricalFS!F30</f>
        <v>36.464086778070929</v>
      </c>
      <c r="G31" s="185">
        <f>HistoricalFS!G27/HistoricalFS!G30</f>
        <v>47.975335588781007</v>
      </c>
      <c r="H31" s="185">
        <f>HistoricalFS!H27/HistoricalFS!H30</f>
        <v>44.891835237396492</v>
      </c>
      <c r="I31" s="185">
        <f>HistoricalFS!I27/HistoricalFS!I30</f>
        <v>40.382692973347147</v>
      </c>
      <c r="J31" s="185">
        <f>HistoricalFS!J27/HistoricalFS!J30</f>
        <v>36.813081834576217</v>
      </c>
      <c r="K31" s="185">
        <f>HistoricalFS!K27/HistoricalFS!K30</f>
        <v>23.478504096555376</v>
      </c>
      <c r="L31" s="185">
        <f>HistoricalFS!L27/HistoricalFS!L30</f>
        <v>31.722276239701163</v>
      </c>
      <c r="M31" s="183"/>
      <c r="N31" s="185">
        <f t="shared" si="6"/>
        <v>44.961659942813853</v>
      </c>
      <c r="O31" s="185">
        <f t="shared" si="7"/>
        <v>38.597887403961678</v>
      </c>
    </row>
    <row r="33" spans="2:15" x14ac:dyDescent="0.3">
      <c r="B33" s="181" t="s">
        <v>442</v>
      </c>
      <c r="C33" s="186">
        <f>HistoricalFS!C6/HistoricalFS!C66</f>
        <v>10.41199364025992</v>
      </c>
      <c r="D33" s="186">
        <f>HistoricalFS!D6/HistoricalFS!D66</f>
        <v>9.7216331624899599</v>
      </c>
      <c r="E33" s="186">
        <f>HistoricalFS!E6/HistoricalFS!E66</f>
        <v>10.08746782150965</v>
      </c>
      <c r="F33" s="186">
        <f>HistoricalFS!F6/HistoricalFS!F66</f>
        <v>11.258369447755706</v>
      </c>
      <c r="G33" s="186">
        <f>HistoricalFS!G6/HistoricalFS!G66</f>
        <v>8.3441089552181449</v>
      </c>
      <c r="H33" s="186">
        <f>HistoricalFS!H6/HistoricalFS!H66</f>
        <v>7.5169136032070751</v>
      </c>
      <c r="I33" s="186">
        <f>HistoricalFS!I6/HistoricalFS!I66</f>
        <v>7.4377908707035241</v>
      </c>
      <c r="J33" s="186">
        <f>HistoricalFS!J6/HistoricalFS!J66</f>
        <v>7.2600464302880932</v>
      </c>
      <c r="K33" s="186">
        <f>HistoricalFS!K6/HistoricalFS!K66</f>
        <v>7.8600767331610131</v>
      </c>
      <c r="L33" s="186">
        <f>HistoricalFS!L6/HistoricalFS!L66</f>
        <v>7.9751535254829884</v>
      </c>
      <c r="M33" s="181"/>
      <c r="N33" s="186">
        <f>IFERROR(AVERAGE(C33:L33),0)</f>
        <v>8.7873554190076071</v>
      </c>
      <c r="O33" s="186">
        <f t="shared" si="7"/>
        <v>8.1596312403505671</v>
      </c>
    </row>
    <row r="34" spans="2:15" x14ac:dyDescent="0.3">
      <c r="B34" t="s">
        <v>443</v>
      </c>
      <c r="C34" s="187">
        <f>HistoricalFS!C6/HistoricalFS!C57</f>
        <v>6.4979507843103415</v>
      </c>
      <c r="D34" s="187">
        <f>HistoricalFS!D6/HistoricalFS!D57</f>
        <v>6.3254468347482167</v>
      </c>
      <c r="E34" s="187">
        <f>HistoricalFS!E6/HistoricalFS!E57</f>
        <v>6.2780020165171697</v>
      </c>
      <c r="F34" s="187">
        <f>HistoricalFS!F6/HistoricalFS!F57</f>
        <v>7.3433770178504592</v>
      </c>
      <c r="G34" s="187">
        <f>HistoricalFS!G6/HistoricalFS!G57</f>
        <v>7.0566408725580363</v>
      </c>
      <c r="H34" s="187">
        <f>HistoricalFS!H6/HistoricalFS!H57</f>
        <v>8.5693067411859278</v>
      </c>
      <c r="I34" s="187">
        <f>HistoricalFS!I6/HistoricalFS!I57</f>
        <v>8.1736588394778504</v>
      </c>
      <c r="J34" s="187">
        <f>HistoricalFS!J6/HistoricalFS!J57</f>
        <v>7.2928032972474313</v>
      </c>
      <c r="K34" s="187">
        <f>HistoricalFS!K6/HistoricalFS!K57</f>
        <v>7.0385227779911368</v>
      </c>
      <c r="L34" s="187">
        <f>HistoricalFS!L6/HistoricalFS!L57</f>
        <v>6.6446333770911803</v>
      </c>
      <c r="N34" s="187">
        <f t="shared" ref="N34:N37" si="9">IFERROR(AVERAGE(C34:L34),0)</f>
        <v>7.1220342558977752</v>
      </c>
      <c r="O34" s="187">
        <f t="shared" si="7"/>
        <v>7.0475818252745865</v>
      </c>
    </row>
    <row r="35" spans="2:15" x14ac:dyDescent="0.3">
      <c r="B35" t="s">
        <v>444</v>
      </c>
      <c r="C35" s="187">
        <f>HistoricalFS!C6/HistoricalFS!C67</f>
        <v>5.7336635020213631</v>
      </c>
      <c r="D35" s="187">
        <f>HistoricalFS!D6/HistoricalFS!D67</f>
        <v>6.3290398787199385</v>
      </c>
      <c r="E35" s="187">
        <f>HistoricalFS!E6/HistoricalFS!E67</f>
        <v>6.1082492555224679</v>
      </c>
      <c r="F35" s="187">
        <f>HistoricalFS!F6/HistoricalFS!F67</f>
        <v>5.9623548222466747</v>
      </c>
      <c r="G35" s="187">
        <f>HistoricalFS!G6/HistoricalFS!G67</f>
        <v>5.7159979992628864</v>
      </c>
      <c r="H35" s="187">
        <f>HistoricalFS!H6/HistoricalFS!H67</f>
        <v>4.7296236945350056</v>
      </c>
      <c r="I35" s="187">
        <f>HistoricalFS!I6/HistoricalFS!I67</f>
        <v>5.5531458915667296</v>
      </c>
      <c r="J35" s="187">
        <f>HistoricalFS!J6/HistoricalFS!J67</f>
        <v>5.9922797847861293</v>
      </c>
      <c r="K35" s="187">
        <f>HistoricalFS!K6/HistoricalFS!K67</f>
        <v>5.0460273214203326</v>
      </c>
      <c r="L35" s="187">
        <f>HistoricalFS!L6/HistoricalFS!L67</f>
        <v>6.1952403420101021</v>
      </c>
      <c r="N35" s="187">
        <f t="shared" si="9"/>
        <v>5.7365622492091628</v>
      </c>
      <c r="O35" s="187">
        <f t="shared" si="7"/>
        <v>5.8480091621340193</v>
      </c>
    </row>
    <row r="36" spans="2:15" x14ac:dyDescent="0.3">
      <c r="B36" t="s">
        <v>445</v>
      </c>
      <c r="C36" s="187">
        <f>HistoricalFS!C6/HistoricalFS!C60</f>
        <v>4.5590724451682032</v>
      </c>
      <c r="D36" s="187">
        <f>HistoricalFS!D6/HistoricalFS!D60</f>
        <v>4.50789606241828</v>
      </c>
      <c r="E36" s="187">
        <f>HistoricalFS!E6/HistoricalFS!E60</f>
        <v>2.9615873631583485</v>
      </c>
      <c r="F36" s="187">
        <f>HistoricalFS!F6/HistoricalFS!F60</f>
        <v>3.2222976861794139</v>
      </c>
      <c r="G36" s="187">
        <f>HistoricalFS!G6/HistoricalFS!G60</f>
        <v>3.7061903006220001</v>
      </c>
      <c r="H36" s="187">
        <f>HistoricalFS!H6/HistoricalFS!H60</f>
        <v>5.2728689305787571</v>
      </c>
      <c r="I36" s="187">
        <f>HistoricalFS!I6/HistoricalFS!I60</f>
        <v>5.9767488207179316</v>
      </c>
      <c r="J36" s="187">
        <f>HistoricalFS!J6/HistoricalFS!J60</f>
        <v>4.9666457710078333</v>
      </c>
      <c r="K36" s="187">
        <f>HistoricalFS!K6/HistoricalFS!K60</f>
        <v>3.6773592477305019</v>
      </c>
      <c r="L36" s="187">
        <f>HistoricalFS!L6/HistoricalFS!L60</f>
        <v>3.6911313779267823</v>
      </c>
      <c r="N36" s="187">
        <f t="shared" si="9"/>
        <v>4.2541798005508049</v>
      </c>
      <c r="O36" s="187">
        <f t="shared" si="7"/>
        <v>4.1070431815201403</v>
      </c>
    </row>
    <row r="37" spans="2:15" x14ac:dyDescent="0.3">
      <c r="B37" s="183" t="s">
        <v>446</v>
      </c>
      <c r="C37" s="185">
        <f>HistoricalFS!C6/SUM(HistoricalFS!C53:C54)</f>
        <v>1.9808269188533763</v>
      </c>
      <c r="D37" s="185">
        <f>HistoricalFS!D6/SUM(HistoricalFS!D53:D54)</f>
        <v>2.0004863125027494</v>
      </c>
      <c r="E37" s="185">
        <f>HistoricalFS!E6/SUM(HistoricalFS!E53:E54)</f>
        <v>2.0315747237488848</v>
      </c>
      <c r="F37" s="185">
        <f>HistoricalFS!F6/SUM(HistoricalFS!F53:F54)</f>
        <v>1.995156048867935</v>
      </c>
      <c r="G37" s="185">
        <f>HistoricalFS!G6/SUM(HistoricalFS!G53:G54)</f>
        <v>1.6954785499937921</v>
      </c>
      <c r="H37" s="185">
        <f>HistoricalFS!H6/SUM(HistoricalFS!H53:H54)</f>
        <v>2.1070233919991659</v>
      </c>
      <c r="I37" s="185">
        <f>HistoricalFS!I6/SUM(HistoricalFS!I53:I54)</f>
        <v>2.1565841661857039</v>
      </c>
      <c r="J37" s="185">
        <f>HistoricalFS!J6/SUM(HistoricalFS!J53:J54)</f>
        <v>1.8952456976874572</v>
      </c>
      <c r="K37" s="185">
        <f>HistoricalFS!K6/SUM(HistoricalFS!K53:K54)</f>
        <v>1.7477294880723062</v>
      </c>
      <c r="L37" s="185">
        <f>HistoricalFS!L6/SUM(HistoricalFS!L53:L54)</f>
        <v>1.6649926374219235</v>
      </c>
      <c r="M37" s="183"/>
      <c r="N37" s="185">
        <f t="shared" si="9"/>
        <v>1.9275097935333296</v>
      </c>
      <c r="O37" s="185">
        <f t="shared" si="7"/>
        <v>1.9879914838606556</v>
      </c>
    </row>
    <row r="39" spans="2:15" x14ac:dyDescent="0.3">
      <c r="B39" s="181" t="s">
        <v>90</v>
      </c>
      <c r="C39" s="188">
        <f>(365/C33)</f>
        <v>35.055726368162503</v>
      </c>
      <c r="D39" s="188">
        <f t="shared" ref="D39:L39" si="10">(365/D33)</f>
        <v>37.545131964896534</v>
      </c>
      <c r="E39" s="188">
        <f t="shared" si="10"/>
        <v>36.183510714324697</v>
      </c>
      <c r="F39" s="188">
        <f t="shared" si="10"/>
        <v>32.420325313872226</v>
      </c>
      <c r="G39" s="188">
        <f t="shared" si="10"/>
        <v>43.743436472235949</v>
      </c>
      <c r="H39" s="188">
        <f t="shared" si="10"/>
        <v>48.557163121347244</v>
      </c>
      <c r="I39" s="188">
        <f t="shared" si="10"/>
        <v>49.073711044725229</v>
      </c>
      <c r="J39" s="188">
        <f t="shared" si="10"/>
        <v>50.275160566089667</v>
      </c>
      <c r="K39" s="188">
        <f t="shared" si="10"/>
        <v>46.437205690384069</v>
      </c>
      <c r="L39" s="188">
        <f t="shared" si="10"/>
        <v>45.767144022208022</v>
      </c>
      <c r="M39" s="181"/>
      <c r="N39" s="188">
        <f>IFERROR(AVERAGE(C39:L39),0)</f>
        <v>42.505851527824618</v>
      </c>
      <c r="O39" s="188">
        <f t="shared" si="7"/>
        <v>44.755290247221986</v>
      </c>
    </row>
    <row r="40" spans="2:15" x14ac:dyDescent="0.3">
      <c r="B40" t="s">
        <v>447</v>
      </c>
      <c r="C40" s="189">
        <f>365/C34</f>
        <v>56.171555020286171</v>
      </c>
      <c r="D40" s="189">
        <f t="shared" ref="D40:L40" si="11">365/D34</f>
        <v>57.703433375632628</v>
      </c>
      <c r="E40" s="189">
        <f t="shared" si="11"/>
        <v>58.139516209090047</v>
      </c>
      <c r="F40" s="189">
        <f t="shared" si="11"/>
        <v>49.704652112066306</v>
      </c>
      <c r="G40" s="189">
        <f t="shared" si="11"/>
        <v>51.724326998050458</v>
      </c>
      <c r="H40" s="189">
        <f t="shared" si="11"/>
        <v>42.593877313987562</v>
      </c>
      <c r="I40" s="189">
        <f t="shared" si="11"/>
        <v>44.65564408402895</v>
      </c>
      <c r="J40" s="189">
        <f t="shared" si="11"/>
        <v>50.049341127542029</v>
      </c>
      <c r="K40" s="189">
        <f t="shared" si="11"/>
        <v>51.857472301052148</v>
      </c>
      <c r="L40" s="189">
        <f t="shared" si="11"/>
        <v>54.931548406931967</v>
      </c>
      <c r="N40" s="189">
        <f t="shared" ref="N40:N42" si="12">IFERROR(AVERAGE(C40:L40),0)</f>
        <v>51.753136694866825</v>
      </c>
      <c r="O40" s="189">
        <f t="shared" si="7"/>
        <v>51.790899649551307</v>
      </c>
    </row>
    <row r="41" spans="2:15" x14ac:dyDescent="0.3">
      <c r="B41" t="s">
        <v>91</v>
      </c>
      <c r="C41" s="189">
        <f>365/C35</f>
        <v>63.659124723891068</v>
      </c>
      <c r="D41" s="189">
        <f t="shared" ref="D41:L41" si="13">365/D35</f>
        <v>57.670674698580349</v>
      </c>
      <c r="E41" s="189">
        <f t="shared" si="13"/>
        <v>59.755256331428114</v>
      </c>
      <c r="F41" s="189">
        <f t="shared" si="13"/>
        <v>61.217423464654587</v>
      </c>
      <c r="G41" s="189">
        <f t="shared" si="13"/>
        <v>63.855865598110604</v>
      </c>
      <c r="H41" s="189">
        <f t="shared" si="13"/>
        <v>77.173158706421162</v>
      </c>
      <c r="I41" s="189">
        <f t="shared" si="13"/>
        <v>65.728509051834251</v>
      </c>
      <c r="J41" s="189">
        <f t="shared" si="13"/>
        <v>60.911708583217838</v>
      </c>
      <c r="K41" s="189">
        <f t="shared" si="13"/>
        <v>72.334130742926988</v>
      </c>
      <c r="L41" s="189">
        <f t="shared" si="13"/>
        <v>58.916196927006133</v>
      </c>
      <c r="N41" s="189">
        <f t="shared" si="12"/>
        <v>64.122204882807097</v>
      </c>
      <c r="O41" s="189">
        <f>IFERROR(MEDIAN(C41:L41),0)</f>
        <v>62.438274094272828</v>
      </c>
    </row>
    <row r="42" spans="2:15" x14ac:dyDescent="0.3">
      <c r="B42" s="183" t="s">
        <v>448</v>
      </c>
      <c r="C42" s="190">
        <f>SUM(C39+C41-C40)</f>
        <v>42.543296071767408</v>
      </c>
      <c r="D42" s="190">
        <f t="shared" ref="D42:L42" si="14">SUM(D39+D41-D40)</f>
        <v>37.512373287844255</v>
      </c>
      <c r="E42" s="190">
        <f t="shared" si="14"/>
        <v>37.799250836662765</v>
      </c>
      <c r="F42" s="190">
        <f t="shared" si="14"/>
        <v>43.933096666460507</v>
      </c>
      <c r="G42" s="190">
        <f t="shared" si="14"/>
        <v>55.874975072296095</v>
      </c>
      <c r="H42" s="190">
        <f t="shared" si="14"/>
        <v>83.136444513780845</v>
      </c>
      <c r="I42" s="190">
        <f t="shared" si="14"/>
        <v>70.146576012530531</v>
      </c>
      <c r="J42" s="190">
        <f t="shared" si="14"/>
        <v>61.137528021765483</v>
      </c>
      <c r="K42" s="190">
        <f t="shared" si="14"/>
        <v>66.913864132258908</v>
      </c>
      <c r="L42" s="190">
        <f t="shared" si="14"/>
        <v>49.751792542282189</v>
      </c>
      <c r="M42" s="183"/>
      <c r="N42" s="190">
        <f t="shared" si="12"/>
        <v>54.874919715764896</v>
      </c>
      <c r="O42" s="190">
        <f t="shared" si="7"/>
        <v>52.813383807289142</v>
      </c>
    </row>
    <row r="44" spans="2:15" x14ac:dyDescent="0.3">
      <c r="B44" s="181" t="s">
        <v>449</v>
      </c>
      <c r="C44" s="182">
        <f>HistoricalFS!C84/HistoricalFS!C6</f>
        <v>0.101447418302628</v>
      </c>
      <c r="D44" s="182">
        <f>HistoricalFS!D84/HistoricalFS!D6</f>
        <v>0.12559028324680305</v>
      </c>
      <c r="E44" s="182">
        <f>HistoricalFS!E84/HistoricalFS!E6</f>
        <v>0.12832553626196913</v>
      </c>
      <c r="F44" s="182">
        <f>HistoricalFS!F84/HistoricalFS!F6</f>
        <v>0.15031232605603315</v>
      </c>
      <c r="G44" s="182">
        <f>HistoricalFS!G84/HistoricalFS!G6</f>
        <v>0.16966958184553896</v>
      </c>
      <c r="H44" s="182">
        <f>HistoricalFS!H84/HistoricalFS!H6</f>
        <v>3.3881671184222827E-2</v>
      </c>
      <c r="I44" s="182">
        <f>HistoricalFS!I84/HistoricalFS!I6</f>
        <v>0.12160543530483561</v>
      </c>
      <c r="J44" s="182">
        <f>HistoricalFS!J84/HistoricalFS!J6</f>
        <v>0.171969190919328</v>
      </c>
      <c r="K44" s="182">
        <f>HistoricalFS!K84/HistoricalFS!K6</f>
        <v>0.13047984375451621</v>
      </c>
      <c r="L44" s="182">
        <f>HistoricalFS!L84/HistoricalFS!L6</f>
        <v>0.19919322248432841</v>
      </c>
      <c r="M44" s="181"/>
      <c r="N44" s="182">
        <f t="shared" ref="N44:N46" si="15">IFERROR(AVERAGE(C44:L44),0)</f>
        <v>0.13324745093602033</v>
      </c>
      <c r="O44" s="182">
        <f t="shared" si="7"/>
        <v>0.12940269000824267</v>
      </c>
    </row>
    <row r="45" spans="2:15" x14ac:dyDescent="0.3">
      <c r="B45" t="s">
        <v>450</v>
      </c>
      <c r="C45" s="101">
        <f>HistoricalFS!C84/HistoricalFS!C71</f>
        <v>0.12317425206707838</v>
      </c>
      <c r="D45" s="101">
        <f>HistoricalFS!D84/HistoricalFS!D71</f>
        <v>0.15352221967118782</v>
      </c>
      <c r="E45" s="101">
        <f>HistoricalFS!E84/HistoricalFS!E71</f>
        <v>0.15194930838139831</v>
      </c>
      <c r="F45" s="101">
        <f>HistoricalFS!F84/HistoricalFS!F71</f>
        <v>0.18825168221281857</v>
      </c>
      <c r="G45" s="101">
        <f>HistoricalFS!G84/HistoricalFS!G71</f>
        <v>0.18098444928947391</v>
      </c>
      <c r="H45" s="101">
        <f>HistoricalFS!H84/HistoricalFS!H71</f>
        <v>4.2947187590789089E-2</v>
      </c>
      <c r="I45" s="101">
        <f>HistoricalFS!I84/HistoricalFS!I71</f>
        <v>0.16268847949112719</v>
      </c>
      <c r="J45" s="101">
        <f>HistoricalFS!J84/HistoricalFS!J71</f>
        <v>0.20414190002464816</v>
      </c>
      <c r="K45" s="101">
        <f>HistoricalFS!K84/HistoricalFS!K71</f>
        <v>0.14574085207665891</v>
      </c>
      <c r="L45" s="101">
        <f>HistoricalFS!L84/HistoricalFS!L71</f>
        <v>0.20533767879775483</v>
      </c>
      <c r="N45" s="101">
        <f>IFERROR(AVERAGE(C45:L45),0)</f>
        <v>0.15587380096029352</v>
      </c>
      <c r="O45" s="101">
        <f>IFERROR(MEDIAN(C45:L45),0)</f>
        <v>0.15810534958115752</v>
      </c>
    </row>
    <row r="46" spans="2:15" x14ac:dyDescent="0.3">
      <c r="B46" s="183" t="s">
        <v>451</v>
      </c>
      <c r="C46" s="184">
        <f>HistoricalFS!C84/HistoricalFS!C55</f>
        <v>2.7269158011207479</v>
      </c>
      <c r="D46" s="184">
        <f>HistoricalFS!D84/HistoricalFS!D55</f>
        <v>3.9611570402864484</v>
      </c>
      <c r="E46" s="184">
        <f>HistoricalFS!E84/HistoricalFS!E55</f>
        <v>1.8710215216732344</v>
      </c>
      <c r="F46" s="184">
        <f>HistoricalFS!F84/HistoricalFS!F55</f>
        <v>2.7161376843987481</v>
      </c>
      <c r="G46" s="184">
        <f>HistoricalFS!G84/HistoricalFS!G55</f>
        <v>3.3701697892271665</v>
      </c>
      <c r="H46" s="184">
        <f>HistoricalFS!H84/HistoricalFS!H55</f>
        <v>0.62134502923976609</v>
      </c>
      <c r="I46" s="184">
        <f>HistoricalFS!I84/HistoricalFS!I55</f>
        <v>2.1701110409702893</v>
      </c>
      <c r="J46" s="184">
        <f>HistoricalFS!J84/HistoricalFS!J55</f>
        <v>2.4668805923099928</v>
      </c>
      <c r="K46" s="184">
        <f>HistoricalFS!K84/HistoricalFS!K55</f>
        <v>1.9316331119639871</v>
      </c>
      <c r="L46" s="184">
        <f>HistoricalFS!L84/HistoricalFS!L55</f>
        <v>1.8040535209331803</v>
      </c>
      <c r="M46" s="183"/>
      <c r="N46" s="184">
        <f t="shared" si="15"/>
        <v>2.3639425132123559</v>
      </c>
      <c r="O46" s="184">
        <f t="shared" si="7"/>
        <v>2.3184958166401408</v>
      </c>
    </row>
    <row r="48" spans="2:15" ht="10.199999999999999" customHeight="1" x14ac:dyDescent="0.3">
      <c r="B48" s="155"/>
      <c r="C48" s="155"/>
      <c r="D48" s="155"/>
      <c r="E48" s="155"/>
      <c r="F48" s="155"/>
      <c r="G48" s="155"/>
      <c r="H48" s="155"/>
      <c r="I48" s="155"/>
      <c r="J48" s="155"/>
      <c r="K48" s="155"/>
      <c r="L48" s="155"/>
      <c r="M48" s="155"/>
      <c r="N48" s="155"/>
      <c r="O48" s="155"/>
    </row>
  </sheetData>
  <mergeCells count="1">
    <mergeCell ref="B8:O8"/>
  </mergeCells>
  <phoneticPr fontId="47" type="noConversion"/>
  <pageMargins left="0.7" right="0.7" top="0.75" bottom="0.75" header="0.3" footer="0.3"/>
  <pageSetup scale="52" orientation="portrait" r:id="rId1"/>
  <drawing r:id="rId2"/>
  <extLst>
    <ext xmlns:x14="http://schemas.microsoft.com/office/spreadsheetml/2009/9/main" uri="{05C60535-1F16-4fd2-B633-F4F36F0B64E0}">
      <x14:sparklineGroups xmlns:xm="http://schemas.microsoft.com/office/excel/2006/main">
        <x14:sparklineGroup displayEmptyCellsAs="gap" markers="1" high="1" xr2:uid="{17FF53A8-29C3-467E-BBF6-FFCD05ED0A54}">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
              <xm:f>'Ratio Analysis'!D15:L15</xm:f>
              <xm:sqref>M15</xm:sqref>
            </x14:sparkline>
          </x14:sparklines>
        </x14:sparklineGroup>
        <x14:sparklineGroup displayEmptyCellsAs="gap" markers="1" high="1" xr2:uid="{0F8FBDF5-72B2-4437-A3CA-C64E9812CF5C}">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s>
        </x14:sparklineGroup>
        <x14:sparklineGroup displayEmptyCellsAs="gap" markers="1" high="1" xr2:uid="{4185511C-1829-412D-9C76-B3B27F150FDC}">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Analysis'!C23:L23</xm:f>
              <xm:sqref>M23</xm:sqref>
            </x14:sparkline>
            <x14:sparkline>
              <xm:f>'Ratio Analysis'!C24:L24</xm:f>
              <xm:sqref>M24</xm:sqref>
            </x14:sparkline>
            <x14:sparkline>
              <xm:f>'Ratio Analysis'!C25:L25</xm:f>
              <xm:sqref>M25</xm:sqref>
            </x14:sparkline>
          </x14:sparklines>
        </x14:sparklineGroup>
        <x14:sparklineGroup displayEmptyCellsAs="gap" markers="1" high="1" xr2:uid="{41B4BAF4-9503-4D59-B98A-047BA0883CA2}">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s>
        </x14:sparklineGroup>
        <x14:sparklineGroup displayEmptyCellsAs="gap" markers="1" high="1" xr2:uid="{C29F1726-44F0-43B4-8A30-668668276A49}">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s>
        </x14:sparklineGroup>
        <x14:sparklineGroup displayEmptyCellsAs="gap" markers="1" high="1" xr2:uid="{0BEB5296-ADB5-4D60-B714-5759FAA6B941}">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s>
        </x14:sparklineGroup>
        <x14:sparklineGroup displayEmptyCellsAs="gap" markers="1" high="1" xr2:uid="{17A1E588-FD31-4040-817D-4E97849F6514}">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Analysis'!C44:L44</xm:f>
              <xm:sqref>M44</xm:sqref>
            </x14:sparkline>
            <x14:sparkline>
              <xm:f>'Ratio Analysis'!C45:L45</xm:f>
              <xm:sqref>M45</xm:sqref>
            </x14:sparkline>
            <x14:sparkline>
              <xm:f>'Ratio Analysis'!C46:L46</xm:f>
              <xm:sqref>M46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A146-7E7F-477A-813E-91521310C814}">
  <dimension ref="B1:L48"/>
  <sheetViews>
    <sheetView showGridLines="0" topLeftCell="A25" zoomScaleNormal="100" zoomScaleSheetLayoutView="91" workbookViewId="0">
      <selection activeCell="C31" sqref="C31"/>
    </sheetView>
  </sheetViews>
  <sheetFormatPr defaultRowHeight="14.4" x14ac:dyDescent="0.3"/>
  <cols>
    <col min="1" max="1" width="1.88671875" customWidth="1"/>
    <col min="2" max="2" width="22" bestFit="1" customWidth="1"/>
  </cols>
  <sheetData>
    <row r="1" spans="2:12" ht="10.8" customHeight="1" x14ac:dyDescent="0.3">
      <c r="B1" s="154"/>
      <c r="C1" s="154"/>
      <c r="D1" s="154"/>
      <c r="E1" s="154"/>
      <c r="F1" s="154"/>
      <c r="G1" s="154"/>
      <c r="H1" s="154"/>
      <c r="I1" s="154"/>
      <c r="J1" s="154"/>
      <c r="K1" s="154"/>
      <c r="L1" s="154"/>
    </row>
    <row r="2" spans="2:12" ht="46.2" x14ac:dyDescent="0.85">
      <c r="B2" s="157" t="str">
        <f>'Data Sheet'!B1</f>
        <v>ASIAN PAINTS LTD</v>
      </c>
    </row>
    <row r="3" spans="2:12" x14ac:dyDescent="0.3">
      <c r="B3" t="s">
        <v>629</v>
      </c>
    </row>
    <row r="4" spans="2:12" ht="21" x14ac:dyDescent="0.4">
      <c r="B4" s="156" t="str">
        <f>CONCATENATE("INR "&amp;'Data Sheet'!B8)</f>
        <v>INR 2645.2</v>
      </c>
    </row>
    <row r="5" spans="2:12" x14ac:dyDescent="0.3">
      <c r="B5" t="s">
        <v>630</v>
      </c>
    </row>
    <row r="6" spans="2:12" ht="15" thickBot="1" x14ac:dyDescent="0.35">
      <c r="B6" s="148"/>
      <c r="C6" s="148"/>
      <c r="D6" s="148"/>
      <c r="E6" s="148"/>
      <c r="F6" s="148"/>
      <c r="G6" s="148"/>
      <c r="H6" s="148"/>
    </row>
    <row r="7" spans="2:12" ht="4.2" customHeight="1" x14ac:dyDescent="0.3">
      <c r="I7" s="191"/>
      <c r="J7" s="191"/>
      <c r="K7" s="191"/>
      <c r="L7" s="191"/>
    </row>
    <row r="8" spans="2:12" x14ac:dyDescent="0.3">
      <c r="B8" s="336" t="str">
        <f>"Common Size Income Statement"&amp;" - "&amp;'Data Sheet'!B1</f>
        <v>Common Size Income Statement - ASIAN PAINTS LTD</v>
      </c>
      <c r="C8" s="336"/>
      <c r="D8" s="336"/>
      <c r="E8" s="336"/>
      <c r="F8" s="336"/>
      <c r="G8" s="336"/>
      <c r="H8" s="336"/>
      <c r="I8" s="336"/>
      <c r="J8" s="336"/>
      <c r="K8" s="336"/>
      <c r="L8" s="336"/>
    </row>
    <row r="10" spans="2:12" x14ac:dyDescent="0.3">
      <c r="B10" s="107" t="s">
        <v>128</v>
      </c>
      <c r="C10" s="108">
        <f>'Data Sheet'!B16</f>
        <v>42825</v>
      </c>
      <c r="D10" s="108">
        <f>'Data Sheet'!C16</f>
        <v>43190</v>
      </c>
      <c r="E10" s="108">
        <f>'Data Sheet'!D16</f>
        <v>43555</v>
      </c>
      <c r="F10" s="108">
        <f>'Data Sheet'!E16</f>
        <v>43921</v>
      </c>
      <c r="G10" s="108">
        <f>'Data Sheet'!F16</f>
        <v>44286</v>
      </c>
      <c r="H10" s="108">
        <f>'Data Sheet'!G16</f>
        <v>44651</v>
      </c>
      <c r="I10" s="108">
        <f>'Data Sheet'!H16</f>
        <v>45016</v>
      </c>
      <c r="J10" s="108">
        <f>'Data Sheet'!I16</f>
        <v>45382</v>
      </c>
      <c r="K10" s="108">
        <f>'Data Sheet'!J16</f>
        <v>45747</v>
      </c>
      <c r="L10" s="108">
        <f>'Data Sheet'!K16</f>
        <v>46112</v>
      </c>
    </row>
    <row r="12" spans="2:12" x14ac:dyDescent="0.3">
      <c r="B12" s="102" t="s">
        <v>2</v>
      </c>
      <c r="C12" s="103">
        <f>'Data Sheet'!B17/'Data Sheet'!B$17</f>
        <v>1</v>
      </c>
      <c r="D12" s="103">
        <f>'Data Sheet'!C17/'Data Sheet'!C$17</f>
        <v>1</v>
      </c>
      <c r="E12" s="103">
        <f>'Data Sheet'!D17/'Data Sheet'!D$17</f>
        <v>1</v>
      </c>
      <c r="F12" s="103">
        <f>'Data Sheet'!E17/'Data Sheet'!E$17</f>
        <v>1</v>
      </c>
      <c r="G12" s="103">
        <f>'Data Sheet'!F17/'Data Sheet'!F$17</f>
        <v>1</v>
      </c>
      <c r="H12" s="103">
        <f>'Data Sheet'!G17/'Data Sheet'!G$17</f>
        <v>1</v>
      </c>
      <c r="I12" s="103">
        <f>'Data Sheet'!H17/'Data Sheet'!H$17</f>
        <v>1</v>
      </c>
      <c r="J12" s="103">
        <f>'Data Sheet'!I17/'Data Sheet'!I$17</f>
        <v>1</v>
      </c>
      <c r="K12" s="103">
        <f>'Data Sheet'!J17/'Data Sheet'!J$17</f>
        <v>1</v>
      </c>
      <c r="L12" s="103">
        <f>'Data Sheet'!K17/'Data Sheet'!K$17</f>
        <v>1</v>
      </c>
    </row>
    <row r="13" spans="2:12" x14ac:dyDescent="0.3">
      <c r="B13" s="93" t="s">
        <v>170</v>
      </c>
      <c r="C13" s="105">
        <f>'Data Sheet'!B18/'Data Sheet'!B$17</f>
        <v>0.4947951764673858</v>
      </c>
      <c r="D13" s="105">
        <f>'Data Sheet'!C18/'Data Sheet'!C$17</f>
        <v>0.48311366425847946</v>
      </c>
      <c r="E13" s="105">
        <f>'Data Sheet'!D18/'Data Sheet'!D$17</f>
        <v>0.51841645560606919</v>
      </c>
      <c r="F13" s="105">
        <f>'Data Sheet'!E18/'Data Sheet'!E$17</f>
        <v>0.4938828622673016</v>
      </c>
      <c r="G13" s="105">
        <f>'Data Sheet'!F18/'Data Sheet'!F$17</f>
        <v>0.48015708713619937</v>
      </c>
      <c r="H13" s="105">
        <f>'Data Sheet'!G18/'Data Sheet'!G$17</f>
        <v>0.58840195345359381</v>
      </c>
      <c r="I13" s="105">
        <f>'Data Sheet'!H18/'Data Sheet'!H$17</f>
        <v>0.55048727709657019</v>
      </c>
      <c r="J13" s="105">
        <f>'Data Sheet'!I18/'Data Sheet'!I$17</f>
        <v>0.49051901507632256</v>
      </c>
      <c r="K13" s="105">
        <f>'Data Sheet'!J18/'Data Sheet'!J$17</f>
        <v>0.51627163874307558</v>
      </c>
      <c r="L13" s="105">
        <f>'Data Sheet'!K18/'Data Sheet'!K$17</f>
        <v>0.48173987186210249</v>
      </c>
    </row>
    <row r="14" spans="2:12" x14ac:dyDescent="0.3">
      <c r="B14" s="93" t="s">
        <v>171</v>
      </c>
      <c r="C14" s="105">
        <f>'Data Sheet'!B19/'Data Sheet'!B$17</f>
        <v>3.5094964211236368E-2</v>
      </c>
      <c r="D14" s="105">
        <f>'Data Sheet'!C19/'Data Sheet'!C$17</f>
        <v>-8.4477742346749252E-3</v>
      </c>
      <c r="E14" s="105">
        <f>'Data Sheet'!D19/'Data Sheet'!D$17</f>
        <v>1.5242100755036478E-2</v>
      </c>
      <c r="F14" s="105">
        <f>'Data Sheet'!E19/'Data Sheet'!E$17</f>
        <v>1.1832519017873709E-2</v>
      </c>
      <c r="G14" s="105">
        <f>'Data Sheet'!F19/'Data Sheet'!F$17</f>
        <v>4.2578590775298802E-3</v>
      </c>
      <c r="H14" s="105">
        <f>'Data Sheet'!G19/'Data Sheet'!G$17</f>
        <v>4.5529612443164016E-2</v>
      </c>
      <c r="I14" s="105">
        <f>'Data Sheet'!H19/'Data Sheet'!H$17</f>
        <v>8.9806512820616927E-3</v>
      </c>
      <c r="J14" s="105">
        <f>'Data Sheet'!I19/'Data Sheet'!I$17</f>
        <v>-1.0249408855906214E-2</v>
      </c>
      <c r="K14" s="105">
        <f>'Data Sheet'!J19/'Data Sheet'!J$17</f>
        <v>6.0461952915180431E-3</v>
      </c>
      <c r="L14" s="105">
        <f>'Data Sheet'!K19/'Data Sheet'!K$17</f>
        <v>-1.696514736869912E-2</v>
      </c>
    </row>
    <row r="15" spans="2:12" x14ac:dyDescent="0.3">
      <c r="B15" s="93" t="s">
        <v>172</v>
      </c>
      <c r="C15" s="105">
        <f>'Data Sheet'!B20/'Data Sheet'!B$17</f>
        <v>7.0389105290867941E-3</v>
      </c>
      <c r="D15" s="105">
        <f>'Data Sheet'!C20/'Data Sheet'!C$17</f>
        <v>6.5558959972183504E-3</v>
      </c>
      <c r="E15" s="105">
        <f>'Data Sheet'!D20/'Data Sheet'!D$17</f>
        <v>6.2177334560629266E-3</v>
      </c>
      <c r="F15" s="105">
        <f>'Data Sheet'!E20/'Data Sheet'!E$17</f>
        <v>4.8383944585317588E-3</v>
      </c>
      <c r="G15" s="105">
        <f>'Data Sheet'!F20/'Data Sheet'!F$17</f>
        <v>3.9631019320870327E-3</v>
      </c>
      <c r="H15" s="105">
        <f>'Data Sheet'!G20/'Data Sheet'!G$17</f>
        <v>4.0283451449558234E-3</v>
      </c>
      <c r="I15" s="105">
        <f>'Data Sheet'!H20/'Data Sheet'!H$17</f>
        <v>4.0097319142359837E-3</v>
      </c>
      <c r="J15" s="105">
        <f>'Data Sheet'!I20/'Data Sheet'!I$17</f>
        <v>3.7540784223460775E-3</v>
      </c>
      <c r="K15" s="105">
        <f>'Data Sheet'!J20/'Data Sheet'!J$17</f>
        <v>4.3821643727500045E-3</v>
      </c>
      <c r="L15" s="105">
        <f>'Data Sheet'!K20/'Data Sheet'!K$17</f>
        <v>4.6959914612205531E-3</v>
      </c>
    </row>
    <row r="16" spans="2:12" x14ac:dyDescent="0.3">
      <c r="B16" s="93" t="s">
        <v>173</v>
      </c>
      <c r="C16" s="105">
        <f>'Data Sheet'!B21/'Data Sheet'!B$17</f>
        <v>0.11039377930804628</v>
      </c>
      <c r="D16" s="105">
        <f>'Data Sheet'!C21/'Data Sheet'!C$17</f>
        <v>0.10054830589822611</v>
      </c>
      <c r="E16" s="105">
        <f>'Data Sheet'!D21/'Data Sheet'!D$17</f>
        <v>9.679508402490003E-2</v>
      </c>
      <c r="F16" s="105">
        <f>'Data Sheet'!E21/'Data Sheet'!E$17</f>
        <v>9.6288947986888487E-2</v>
      </c>
      <c r="G16" s="105">
        <f>'Data Sheet'!F21/'Data Sheet'!F$17</f>
        <v>9.5257679920452407E-2</v>
      </c>
      <c r="H16" s="105">
        <f>'Data Sheet'!G21/'Data Sheet'!G$17</f>
        <v>9.8980182315004703E-2</v>
      </c>
      <c r="I16" s="105">
        <f>'Data Sheet'!H21/'Data Sheet'!H$17</f>
        <v>8.455550081925646E-2</v>
      </c>
      <c r="J16" s="105">
        <f>'Data Sheet'!I21/'Data Sheet'!I$17</f>
        <v>7.796030565664254E-2</v>
      </c>
      <c r="K16" s="105">
        <f>'Data Sheet'!J21/'Data Sheet'!J$17</f>
        <v>7.9261196226466282E-2</v>
      </c>
      <c r="L16" s="105">
        <f>'Data Sheet'!K21/'Data Sheet'!K$17</f>
        <v>7.7763763807648142E-2</v>
      </c>
    </row>
    <row r="17" spans="2:12" x14ac:dyDescent="0.3">
      <c r="B17" s="93" t="s">
        <v>174</v>
      </c>
      <c r="C17" s="105">
        <f>'Data Sheet'!B22/'Data Sheet'!B$17</f>
        <v>6.9040677891832367E-2</v>
      </c>
      <c r="D17" s="105">
        <f>'Data Sheet'!C22/'Data Sheet'!C$17</f>
        <v>6.6681724028280112E-2</v>
      </c>
      <c r="E17" s="105">
        <f>'Data Sheet'!D22/'Data Sheet'!D$17</f>
        <v>6.4588440930492666E-2</v>
      </c>
      <c r="F17" s="105">
        <f>'Data Sheet'!E22/'Data Sheet'!E$17</f>
        <v>6.7846867462428101E-2</v>
      </c>
      <c r="G17" s="105">
        <f>'Data Sheet'!F22/'Data Sheet'!F$17</f>
        <v>7.1276422790438249E-2</v>
      </c>
      <c r="H17" s="105">
        <f>'Data Sheet'!G22/'Data Sheet'!G$17</f>
        <v>6.1667734202756716E-2</v>
      </c>
      <c r="I17" s="105">
        <f>'Data Sheet'!H22/'Data Sheet'!H$17</f>
        <v>5.9045904747048232E-2</v>
      </c>
      <c r="J17" s="105">
        <f>'Data Sheet'!I22/'Data Sheet'!I$17</f>
        <v>6.5782159774141119E-2</v>
      </c>
      <c r="K17" s="105">
        <f>'Data Sheet'!J22/'Data Sheet'!J$17</f>
        <v>7.6853925691375058E-2</v>
      </c>
      <c r="L17" s="105">
        <f>'Data Sheet'!K22/'Data Sheet'!K$17</f>
        <v>7.89615086076315E-2</v>
      </c>
    </row>
    <row r="18" spans="2:12" x14ac:dyDescent="0.3">
      <c r="B18" s="93" t="s">
        <v>175</v>
      </c>
      <c r="C18" s="105">
        <f>'Data Sheet'!B23/'Data Sheet'!B$17</f>
        <v>0.28973860691714709</v>
      </c>
      <c r="D18" s="105">
        <f>'Data Sheet'!C23/'Data Sheet'!C$17</f>
        <v>0.13402557572119314</v>
      </c>
      <c r="E18" s="105">
        <f>'Data Sheet'!D23/'Data Sheet'!D$17</f>
        <v>0.12301736006981241</v>
      </c>
      <c r="F18" s="105">
        <f>'Data Sheet'!E23/'Data Sheet'!E$17</f>
        <v>0.11436749335147506</v>
      </c>
      <c r="G18" s="105">
        <f>'Data Sheet'!F23/'Data Sheet'!F$17</f>
        <v>0.10342705842961683</v>
      </c>
      <c r="H18" s="105">
        <f>'Data Sheet'!G23/'Data Sheet'!G$17</f>
        <v>0.10109452230279906</v>
      </c>
      <c r="I18" s="105">
        <f>'Data Sheet'!H23/'Data Sheet'!H$17</f>
        <v>0.10150719411840266</v>
      </c>
      <c r="J18" s="105">
        <f>'Data Sheet'!I23/'Data Sheet'!I$17</f>
        <v>0.10739228048783579</v>
      </c>
      <c r="K18" s="105">
        <f>'Data Sheet'!J23/'Data Sheet'!J$17</f>
        <v>0.1142860682093411</v>
      </c>
      <c r="L18" s="105">
        <f>'Data Sheet'!K23/'Data Sheet'!K$17</f>
        <v>0.11556101500862476</v>
      </c>
    </row>
    <row r="19" spans="2:12" x14ac:dyDescent="0.3">
      <c r="B19" s="93" t="s">
        <v>176</v>
      </c>
      <c r="C19" s="105">
        <f>'Data Sheet'!B24/'Data Sheet'!B$17</f>
        <v>-0.13467476741121193</v>
      </c>
      <c r="D19" s="105">
        <f>'Data Sheet'!C24/'Data Sheet'!C$17</f>
        <v>1.0190465718251008E-2</v>
      </c>
      <c r="E19" s="105">
        <f>'Data Sheet'!D24/'Data Sheet'!D$17</f>
        <v>1.0525396657922789E-2</v>
      </c>
      <c r="F19" s="105">
        <f>'Data Sheet'!E24/'Data Sheet'!E$17</f>
        <v>2.8694415239037666E-2</v>
      </c>
      <c r="G19" s="105">
        <f>'Data Sheet'!F24/'Data Sheet'!F$17</f>
        <v>2.6547947085565692E-2</v>
      </c>
      <c r="H19" s="105">
        <f>'Data Sheet'!G24/'Data Sheet'!G$17</f>
        <v>2.6291627034962038E-2</v>
      </c>
      <c r="I19" s="105">
        <f>'Data Sheet'!H24/'Data Sheet'!H$17</f>
        <v>2.7870376840572496E-2</v>
      </c>
      <c r="J19" s="105">
        <f>'Data Sheet'!I24/'Data Sheet'!I$17</f>
        <v>3.0649620380264902E-2</v>
      </c>
      <c r="K19" s="105">
        <f>'Data Sheet'!J24/'Data Sheet'!J$17</f>
        <v>3.784623316134611E-2</v>
      </c>
      <c r="L19" s="105">
        <f>'Data Sheet'!K24/'Data Sheet'!K$17</f>
        <v>3.6030985112779669E-2</v>
      </c>
    </row>
    <row r="20" spans="2:12" x14ac:dyDescent="0.3">
      <c r="B20" s="93" t="s">
        <v>12</v>
      </c>
      <c r="C20" s="105">
        <f>'Data Sheet'!B25/'Data Sheet'!B$17</f>
        <v>2.2433954610247383E-2</v>
      </c>
      <c r="D20" s="105">
        <f>'Data Sheet'!C25/'Data Sheet'!C$17</f>
        <v>1.9995185606747286E-2</v>
      </c>
      <c r="E20" s="105">
        <f>'Data Sheet'!D25/'Data Sheet'!D$17</f>
        <v>1.422911383654892E-2</v>
      </c>
      <c r="F20" s="105">
        <f>'Data Sheet'!E25/'Data Sheet'!E$17</f>
        <v>1.7322035994804873E-2</v>
      </c>
      <c r="G20" s="105">
        <f>'Data Sheet'!F25/'Data Sheet'!F$17</f>
        <v>1.5274407388456295E-2</v>
      </c>
      <c r="H20" s="105">
        <f>'Data Sheet'!G25/'Data Sheet'!G$17</f>
        <v>1.0167250375241226E-2</v>
      </c>
      <c r="I20" s="105">
        <f>'Data Sheet'!H25/'Data Sheet'!H$17</f>
        <v>1.2510224395952401E-2</v>
      </c>
      <c r="J20" s="105">
        <f>'Data Sheet'!I25/'Data Sheet'!I$17</f>
        <v>2.3129067329149988E-2</v>
      </c>
      <c r="K20" s="105">
        <f>'Data Sheet'!J25/'Data Sheet'!J$17</f>
        <v>1.0329261048758288E-2</v>
      </c>
      <c r="L20" s="105">
        <f>'Data Sheet'!K25/'Data Sheet'!K$17</f>
        <v>2.0458054482493871E-2</v>
      </c>
    </row>
    <row r="21" spans="2:12" x14ac:dyDescent="0.3">
      <c r="B21" s="93" t="s">
        <v>14</v>
      </c>
      <c r="C21" s="105">
        <f>'Data Sheet'!B26/'Data Sheet'!B$17</f>
        <v>2.2227474590011016E-2</v>
      </c>
      <c r="D21" s="105">
        <f>'Data Sheet'!C26/'Data Sheet'!C$17</f>
        <v>2.1425238713665449E-2</v>
      </c>
      <c r="E21" s="105">
        <f>'Data Sheet'!D26/'Data Sheet'!D$17</f>
        <v>3.2335540352378074E-2</v>
      </c>
      <c r="F21" s="105">
        <f>'Data Sheet'!E26/'Data Sheet'!E$17</f>
        <v>3.8617106809326486E-2</v>
      </c>
      <c r="G21" s="105">
        <f>'Data Sheet'!F26/'Data Sheet'!F$17</f>
        <v>3.6442576011650275E-2</v>
      </c>
      <c r="H21" s="105">
        <f>'Data Sheet'!G26/'Data Sheet'!G$17</f>
        <v>2.8052374328551871E-2</v>
      </c>
      <c r="I21" s="105">
        <f>'Data Sheet'!H26/'Data Sheet'!H$17</f>
        <v>2.4878372818372688E-2</v>
      </c>
      <c r="J21" s="105">
        <f>'Data Sheet'!I26/'Data Sheet'!I$17</f>
        <v>2.4031736542297968E-2</v>
      </c>
      <c r="K21" s="105">
        <f>'Data Sheet'!J26/'Data Sheet'!J$17</f>
        <v>3.0270497929251843E-2</v>
      </c>
      <c r="L21" s="105">
        <f>'Data Sheet'!K26/'Data Sheet'!K$17</f>
        <v>3.4534225656019608E-2</v>
      </c>
    </row>
    <row r="22" spans="2:12" x14ac:dyDescent="0.3">
      <c r="B22" s="93" t="s">
        <v>18</v>
      </c>
      <c r="C22" s="105">
        <f>'Data Sheet'!B27/'Data Sheet'!B$17</f>
        <v>2.4784241657310885E-3</v>
      </c>
      <c r="D22" s="105">
        <f>'Data Sheet'!C27/'Data Sheet'!C$17</f>
        <v>2.4648504714836358E-3</v>
      </c>
      <c r="E22" s="105">
        <f>'Data Sheet'!D27/'Data Sheet'!D$17</f>
        <v>5.7416451967840128E-3</v>
      </c>
      <c r="F22" s="105">
        <f>'Data Sheet'!E27/'Data Sheet'!E$17</f>
        <v>5.0630218319005502E-3</v>
      </c>
      <c r="G22" s="105">
        <f>'Data Sheet'!F27/'Data Sheet'!F$17</f>
        <v>4.2200933182700148E-3</v>
      </c>
      <c r="H22" s="105">
        <f>'Data Sheet'!G27/'Data Sheet'!G$17</f>
        <v>3.2785499469439143E-3</v>
      </c>
      <c r="I22" s="105">
        <f>'Data Sheet'!H27/'Data Sheet'!H$17</f>
        <v>4.1883417095335005E-3</v>
      </c>
      <c r="J22" s="105">
        <f>'Data Sheet'!I27/'Data Sheet'!I$17</f>
        <v>5.7802947085384216E-3</v>
      </c>
      <c r="K22" s="105">
        <f>'Data Sheet'!J27/'Data Sheet'!J$17</f>
        <v>6.6956451467337858E-3</v>
      </c>
      <c r="L22" s="105">
        <f>'Data Sheet'!K27/'Data Sheet'!K$17</f>
        <v>5.4915840301442741E-3</v>
      </c>
    </row>
    <row r="23" spans="2:12" x14ac:dyDescent="0.3">
      <c r="B23" s="93" t="s">
        <v>177</v>
      </c>
      <c r="C23" s="105">
        <f>'Data Sheet'!B28/'Data Sheet'!B$17</f>
        <v>0.19649063636345529</v>
      </c>
      <c r="D23" s="105">
        <f>'Data Sheet'!C28/'Data Sheet'!C$17</f>
        <v>0.18654169056527517</v>
      </c>
      <c r="E23" s="105">
        <f>'Data Sheet'!D28/'Data Sheet'!D$17</f>
        <v>0.17183355829716326</v>
      </c>
      <c r="F23" s="105">
        <f>'Data Sheet'!E28/'Data Sheet'!E$17</f>
        <v>0.17955544560578884</v>
      </c>
      <c r="G23" s="105">
        <f>'Data Sheet'!F28/'Data Sheet'!F$17</f>
        <v>0.19824029984170621</v>
      </c>
      <c r="H23" s="105">
        <f>'Data Sheet'!G28/'Data Sheet'!G$17</f>
        <v>0.14390157408883733</v>
      </c>
      <c r="I23" s="105">
        <f>'Data Sheet'!H28/'Data Sheet'!H$17</f>
        <v>0.16494817561402192</v>
      </c>
      <c r="J23" s="105">
        <f>'Data Sheet'!I28/'Data Sheet'!I$17</f>
        <v>0.20701016742485434</v>
      </c>
      <c r="K23" s="105">
        <f>'Data Sheet'!J28/'Data Sheet'!J$17</f>
        <v>0.15050808685993647</v>
      </c>
      <c r="L23" s="105">
        <f>'Data Sheet'!K28/'Data Sheet'!K$17</f>
        <v>0.16871396156762367</v>
      </c>
    </row>
    <row r="24" spans="2:12" x14ac:dyDescent="0.3">
      <c r="B24" s="93" t="s">
        <v>22</v>
      </c>
      <c r="C24" s="105">
        <f>'Data Sheet'!B29/'Data Sheet'!B$17</f>
        <v>6.2627182729506528E-2</v>
      </c>
      <c r="D24" s="105">
        <f>'Data Sheet'!C29/'Data Sheet'!C$17</f>
        <v>6.1871491362324706E-2</v>
      </c>
      <c r="E24" s="105">
        <f>'Data Sheet'!D29/'Data Sheet'!D$17</f>
        <v>5.7071339954563712E-2</v>
      </c>
      <c r="F24" s="105">
        <f>'Data Sheet'!E29/'Data Sheet'!E$17</f>
        <v>4.2295751128703075E-2</v>
      </c>
      <c r="G24" s="105">
        <f>'Data Sheet'!F29/'Data Sheet'!F$17</f>
        <v>5.05508504434483E-2</v>
      </c>
      <c r="H24" s="105">
        <f>'Data Sheet'!G29/'Data Sheet'!G$17</f>
        <v>3.7899020249281136E-2</v>
      </c>
      <c r="I24" s="105">
        <f>'Data Sheet'!H29/'Data Sheet'!H$17</f>
        <v>4.3304176830656176E-2</v>
      </c>
      <c r="J24" s="105">
        <f>'Data Sheet'!I29/'Data Sheet'!I$17</f>
        <v>5.0432275439198995E-2</v>
      </c>
      <c r="K24" s="105">
        <f>'Data Sheet'!J29/'Data Sheet'!J$17</f>
        <v>4.1095252055558924E-2</v>
      </c>
      <c r="L24" s="105">
        <f>'Data Sheet'!K29/'Data Sheet'!K$17</f>
        <v>4.5210510252774172E-2</v>
      </c>
    </row>
    <row r="25" spans="2:12" x14ac:dyDescent="0.3">
      <c r="B25" s="93" t="s">
        <v>178</v>
      </c>
      <c r="C25" s="105">
        <f>'Data Sheet'!B30/'Data Sheet'!B$17</f>
        <v>0.12876319795724203</v>
      </c>
      <c r="D25" s="105">
        <f>'Data Sheet'!C30/'Data Sheet'!C$17</f>
        <v>0.12118778808348515</v>
      </c>
      <c r="E25" s="105">
        <f>'Data Sheet'!D30/'Data Sheet'!D$17</f>
        <v>0.11205329693718286</v>
      </c>
      <c r="F25" s="105">
        <f>'Data Sheet'!E30/'Data Sheet'!E$17</f>
        <v>0.13384476467313997</v>
      </c>
      <c r="G25" s="105">
        <f>'Data Sheet'!F30/'Data Sheet'!F$17</f>
        <v>0.14458252486207437</v>
      </c>
      <c r="H25" s="105">
        <f>'Data Sheet'!G30/'Data Sheet'!G$17</f>
        <v>0.10413871829692715</v>
      </c>
      <c r="I25" s="105">
        <f>'Data Sheet'!H30/'Data Sheet'!H$17</f>
        <v>0.11906691459407301</v>
      </c>
      <c r="J25" s="105">
        <f>'Data Sheet'!I30/'Data Sheet'!I$17</f>
        <v>0.15383213226301479</v>
      </c>
      <c r="K25" s="105">
        <f>'Data Sheet'!J30/'Data Sheet'!J$17</f>
        <v>0.10815994516543274</v>
      </c>
      <c r="L25" s="105">
        <f>'Data Sheet'!K30/'Data Sheet'!K$17</f>
        <v>0.12155479752717127</v>
      </c>
    </row>
    <row r="26" spans="2:12" x14ac:dyDescent="0.3">
      <c r="B26" s="93" t="s">
        <v>179</v>
      </c>
      <c r="C26" s="105">
        <f>'Data Sheet'!B31/'Data Sheet'!B$17</f>
        <v>6.559425414570054E-2</v>
      </c>
      <c r="D26" s="105">
        <f>'Data Sheet'!C31/'Data Sheet'!C$17</f>
        <v>4.9600137893732674E-2</v>
      </c>
      <c r="E26" s="105">
        <f>'Data Sheet'!D31/'Data Sheet'!D$17</f>
        <v>5.2346839652330827E-2</v>
      </c>
      <c r="F26" s="105">
        <f>'Data Sheet'!E31/'Data Sheet'!E$17</f>
        <v>5.6950460758241075E-2</v>
      </c>
      <c r="G26" s="105">
        <f>'Data Sheet'!F31/'Data Sheet'!F$17</f>
        <v>7.8855365892637475E-2</v>
      </c>
      <c r="H26" s="105">
        <f>'Data Sheet'!G31/'Data Sheet'!G$17</f>
        <v>6.3119904004222488E-2</v>
      </c>
      <c r="I26" s="105">
        <f>'Data Sheet'!H31/'Data Sheet'!H$17</f>
        <v>7.1338086016273797E-2</v>
      </c>
      <c r="J26" s="105">
        <f>'Data Sheet'!I31/'Data Sheet'!I$17</f>
        <v>8.998913359814259E-2</v>
      </c>
      <c r="K26" s="105">
        <f>'Data Sheet'!J31/'Data Sheet'!J$17</f>
        <v>7.0160050162775378E-2</v>
      </c>
      <c r="L26" s="105">
        <f>'Data Sheet'!K31/'Data Sheet'!K$17</f>
        <v>7.4129780229847855E-2</v>
      </c>
    </row>
    <row r="27" spans="2:12" x14ac:dyDescent="0.3">
      <c r="B27" s="93" t="s">
        <v>10</v>
      </c>
      <c r="C27" s="105">
        <f>HistoricalFS!C18/'Data Sheet'!B$17</f>
        <v>0.19876258050895004</v>
      </c>
      <c r="D27" s="105">
        <f>HistoricalFS!D18/'Data Sheet'!C$17</f>
        <v>0.19043659414367703</v>
      </c>
      <c r="E27" s="105">
        <f>HistoricalFS!E18/'Data Sheet'!D$17</f>
        <v>0.19568163000977651</v>
      </c>
      <c r="F27" s="105">
        <f>HistoricalFS!F18/'Data Sheet'!E$17</f>
        <v>0.2059135382522109</v>
      </c>
      <c r="G27" s="105">
        <f>HistoricalFS!G18/'Data Sheet'!F$17</f>
        <v>0.22362856178317034</v>
      </c>
      <c r="H27" s="105">
        <f>HistoricalFS!H18/'Data Sheet'!G$17</f>
        <v>0.16506524798909186</v>
      </c>
      <c r="I27" s="105">
        <f>HistoricalFS!I18/'Data Sheet'!H$17</f>
        <v>0.1815046657459756</v>
      </c>
      <c r="J27" s="105">
        <f>HistoricalFS!J18/'Data Sheet'!I$17</f>
        <v>0.21369313134654075</v>
      </c>
      <c r="K27" s="105">
        <f>HistoricalFS!K18/'Data Sheet'!J$17</f>
        <v>0.17714496888716388</v>
      </c>
      <c r="L27" s="105">
        <f>HistoricalFS!L18/'Data Sheet'!K$17</f>
        <v>0.18828171677129379</v>
      </c>
    </row>
    <row r="28" spans="2:12" x14ac:dyDescent="0.3">
      <c r="B28" s="93"/>
    </row>
    <row r="29" spans="2:12" x14ac:dyDescent="0.3">
      <c r="B29" s="336" t="str">
        <f>"Common Size Balance Sheet"&amp;" - "&amp;'Data Sheet'!B1</f>
        <v>Common Size Balance Sheet - ASIAN PAINTS LTD</v>
      </c>
      <c r="C29" s="336"/>
      <c r="D29" s="336"/>
      <c r="E29" s="336"/>
      <c r="F29" s="336"/>
      <c r="G29" s="336"/>
      <c r="H29" s="336"/>
      <c r="I29" s="336"/>
      <c r="J29" s="336"/>
      <c r="K29" s="336"/>
      <c r="L29" s="336"/>
    </row>
    <row r="30" spans="2:12" x14ac:dyDescent="0.3">
      <c r="B30" s="93"/>
    </row>
    <row r="31" spans="2:12" x14ac:dyDescent="0.3">
      <c r="B31" s="107" t="s">
        <v>128</v>
      </c>
      <c r="C31" s="108">
        <f>C10</f>
        <v>42825</v>
      </c>
      <c r="D31" s="108">
        <f t="shared" ref="D31:K31" si="0">D10</f>
        <v>43190</v>
      </c>
      <c r="E31" s="108">
        <f t="shared" si="0"/>
        <v>43555</v>
      </c>
      <c r="F31" s="108">
        <f t="shared" si="0"/>
        <v>43921</v>
      </c>
      <c r="G31" s="108">
        <f t="shared" si="0"/>
        <v>44286</v>
      </c>
      <c r="H31" s="108">
        <f t="shared" si="0"/>
        <v>44651</v>
      </c>
      <c r="I31" s="108">
        <f t="shared" si="0"/>
        <v>45016</v>
      </c>
      <c r="J31" s="108">
        <f t="shared" si="0"/>
        <v>45382</v>
      </c>
      <c r="K31" s="108">
        <f t="shared" si="0"/>
        <v>45747</v>
      </c>
      <c r="L31" s="108">
        <f>L10</f>
        <v>46112</v>
      </c>
    </row>
    <row r="32" spans="2:12" x14ac:dyDescent="0.3">
      <c r="B32" s="71"/>
      <c r="C32" s="104"/>
      <c r="D32" s="104"/>
      <c r="E32" s="104"/>
      <c r="F32" s="104"/>
      <c r="G32" s="104"/>
      <c r="H32" s="104"/>
      <c r="I32" s="104"/>
      <c r="J32" s="104"/>
      <c r="K32" s="104"/>
      <c r="L32" s="104"/>
    </row>
    <row r="33" spans="2:12" x14ac:dyDescent="0.3">
      <c r="B33" s="102" t="s">
        <v>37</v>
      </c>
      <c r="C33" s="103">
        <f>'Data Sheet'!B61/'Data Sheet'!B$61</f>
        <v>1</v>
      </c>
      <c r="D33" s="103">
        <f>'Data Sheet'!C61/'Data Sheet'!C$61</f>
        <v>1</v>
      </c>
      <c r="E33" s="103">
        <f>'Data Sheet'!D61/'Data Sheet'!D$61</f>
        <v>1</v>
      </c>
      <c r="F33" s="103">
        <f>'Data Sheet'!E61/'Data Sheet'!E$61</f>
        <v>1</v>
      </c>
      <c r="G33" s="103">
        <f>'Data Sheet'!F61/'Data Sheet'!F$61</f>
        <v>1</v>
      </c>
      <c r="H33" s="103">
        <f>'Data Sheet'!G61/'Data Sheet'!G$61</f>
        <v>1</v>
      </c>
      <c r="I33" s="103">
        <f>'Data Sheet'!H61/'Data Sheet'!H$61</f>
        <v>1</v>
      </c>
      <c r="J33" s="103">
        <f>'Data Sheet'!I61/'Data Sheet'!I$61</f>
        <v>1</v>
      </c>
      <c r="K33" s="103">
        <f>'Data Sheet'!J61/'Data Sheet'!J$61</f>
        <v>1</v>
      </c>
      <c r="L33" s="103">
        <f>'Data Sheet'!K61/'Data Sheet'!K$61</f>
        <v>1</v>
      </c>
    </row>
    <row r="34" spans="2:12" x14ac:dyDescent="0.3">
      <c r="B34" s="93" t="s">
        <v>32</v>
      </c>
      <c r="C34" s="72">
        <f>'Data Sheet'!B57/'Data Sheet'!B$61</f>
        <v>7.732247551226543E-3</v>
      </c>
      <c r="D34" s="72">
        <f>'Data Sheet'!C57/'Data Sheet'!C$61</f>
        <v>6.969167681429406E-3</v>
      </c>
      <c r="E34" s="72">
        <f>'Data Sheet'!D57/'Data Sheet'!D$61</f>
        <v>5.9031906277617358E-3</v>
      </c>
      <c r="F34" s="72">
        <f>'Data Sheet'!E57/'Data Sheet'!E$61</f>
        <v>5.9437463324073601E-3</v>
      </c>
      <c r="G34" s="72">
        <f>'Data Sheet'!F57/'Data Sheet'!F$61</f>
        <v>4.712276974985434E-3</v>
      </c>
      <c r="H34" s="72">
        <f>'Data Sheet'!G57/'Data Sheet'!G$61</f>
        <v>4.1779860382439044E-3</v>
      </c>
      <c r="I34" s="72">
        <f>'Data Sheet'!H57/'Data Sheet'!H$61</f>
        <v>3.7208104322338864E-3</v>
      </c>
      <c r="J34" s="72">
        <f>'Data Sheet'!I57/'Data Sheet'!I$61</f>
        <v>3.2079441432444717E-3</v>
      </c>
      <c r="K34" s="72">
        <f>'Data Sheet'!J57/'Data Sheet'!J$61</f>
        <v>3.1599146770328033E-3</v>
      </c>
      <c r="L34" s="72">
        <f>'Data Sheet'!K57/'Data Sheet'!K$61</f>
        <v>2.7787796487416258E-3</v>
      </c>
    </row>
    <row r="35" spans="2:12" x14ac:dyDescent="0.3">
      <c r="B35" s="93" t="s">
        <v>33</v>
      </c>
      <c r="C35" s="72">
        <f>'Data Sheet'!B58/'Data Sheet'!B$61</f>
        <v>0.60522813435344402</v>
      </c>
      <c r="D35" s="72">
        <f>'Data Sheet'!C58/'Data Sheet'!C$61</f>
        <v>0.60408486807115636</v>
      </c>
      <c r="E35" s="72">
        <f>'Data Sheet'!D58/'Data Sheet'!D$61</f>
        <v>0.57694149243884485</v>
      </c>
      <c r="F35" s="72">
        <f>'Data Sheet'!E58/'Data Sheet'!E$61</f>
        <v>0.62177832775745645</v>
      </c>
      <c r="G35" s="72">
        <f>'Data Sheet'!F58/'Data Sheet'!F$61</f>
        <v>0.62442435252862394</v>
      </c>
      <c r="H35" s="72">
        <f>'Data Sheet'!G58/'Data Sheet'!G$61</f>
        <v>0.59741193104232293</v>
      </c>
      <c r="I35" s="72">
        <f>'Data Sheet'!H58/'Data Sheet'!H$61</f>
        <v>0.61663006757739625</v>
      </c>
      <c r="J35" s="72">
        <f>'Data Sheet'!I58/'Data Sheet'!I$61</f>
        <v>0.62314047430885566</v>
      </c>
      <c r="K35" s="72">
        <f>'Data Sheet'!J58/'Data Sheet'!J$61</f>
        <v>0.63593249932054585</v>
      </c>
      <c r="L35" s="72">
        <f>'Data Sheet'!K58/'Data Sheet'!K$61</f>
        <v>0.61635111352525795</v>
      </c>
    </row>
    <row r="36" spans="2:12" x14ac:dyDescent="0.3">
      <c r="B36" s="93" t="s">
        <v>34</v>
      </c>
      <c r="C36" s="72">
        <f>'Data Sheet'!B59/'Data Sheet'!B$61</f>
        <v>4.5169803928839465E-2</v>
      </c>
      <c r="D36" s="72">
        <f>'Data Sheet'!C59/'Data Sheet'!C$61</f>
        <v>3.8756913222528021E-2</v>
      </c>
      <c r="E36" s="72">
        <f>'Data Sheet'!D59/'Data Sheet'!D$61</f>
        <v>8.1211951130049892E-2</v>
      </c>
      <c r="F36" s="72">
        <f>'Data Sheet'!E59/'Data Sheet'!E$61</f>
        <v>6.9308593336088742E-2</v>
      </c>
      <c r="G36" s="72">
        <f>'Data Sheet'!F59/'Data Sheet'!F$61</f>
        <v>5.3701878720768106E-2</v>
      </c>
      <c r="H36" s="72">
        <f>'Data Sheet'!G59/'Data Sheet'!G$61</f>
        <v>6.9119708969646448E-2</v>
      </c>
      <c r="I36" s="72">
        <f>'Data Sheet'!H59/'Data Sheet'!H$61</f>
        <v>7.4967813360548932E-2</v>
      </c>
      <c r="J36" s="72">
        <f>'Data Sheet'!I59/'Data Sheet'!I$61</f>
        <v>8.2753052847802919E-2</v>
      </c>
      <c r="K36" s="72">
        <f>'Data Sheet'!J59/'Data Sheet'!J$61</f>
        <v>7.5449551560273762E-2</v>
      </c>
      <c r="L36" s="72">
        <f>'Data Sheet'!K59/'Data Sheet'!K$61</f>
        <v>0.1138201701973565</v>
      </c>
    </row>
    <row r="37" spans="2:12" x14ac:dyDescent="0.3">
      <c r="B37" s="93" t="s">
        <v>36</v>
      </c>
      <c r="C37" s="72">
        <f>'Data Sheet'!B60/'Data Sheet'!B$61</f>
        <v>0.34186981416648998</v>
      </c>
      <c r="D37" s="72">
        <f>'Data Sheet'!C60/'Data Sheet'!C$61</f>
        <v>0.35018905102488612</v>
      </c>
      <c r="E37" s="72">
        <f>'Data Sheet'!D60/'Data Sheet'!D$61</f>
        <v>0.3359433658033435</v>
      </c>
      <c r="F37" s="72">
        <f>'Data Sheet'!E60/'Data Sheet'!E$61</f>
        <v>0.30296933257404746</v>
      </c>
      <c r="G37" s="72">
        <f>'Data Sheet'!F60/'Data Sheet'!F$61</f>
        <v>0.31716149177562253</v>
      </c>
      <c r="H37" s="72">
        <f>'Data Sheet'!G60/'Data Sheet'!G$61</f>
        <v>0.32929037394978661</v>
      </c>
      <c r="I37" s="72">
        <f>'Data Sheet'!H60/'Data Sheet'!H$61</f>
        <v>0.30468130862982085</v>
      </c>
      <c r="J37" s="72">
        <f>'Data Sheet'!I60/'Data Sheet'!I$61</f>
        <v>0.29089852870009703</v>
      </c>
      <c r="K37" s="72">
        <f>'Data Sheet'!J60/'Data Sheet'!J$61</f>
        <v>0.28545803444214757</v>
      </c>
      <c r="L37" s="72">
        <f>'Data Sheet'!K60/'Data Sheet'!K$61</f>
        <v>0.26704993662864385</v>
      </c>
    </row>
    <row r="38" spans="2:12" x14ac:dyDescent="0.3">
      <c r="B38" s="93"/>
    </row>
    <row r="39" spans="2:12" x14ac:dyDescent="0.3">
      <c r="B39" s="102" t="s">
        <v>47</v>
      </c>
      <c r="C39" s="103">
        <f>'Data Sheet'!B66/'Data Sheet'!B$66</f>
        <v>1</v>
      </c>
      <c r="D39" s="103">
        <f>'Data Sheet'!C66/'Data Sheet'!C$66</f>
        <v>1</v>
      </c>
      <c r="E39" s="103">
        <f>'Data Sheet'!D66/'Data Sheet'!D$66</f>
        <v>1</v>
      </c>
      <c r="F39" s="103">
        <f>'Data Sheet'!E66/'Data Sheet'!E$66</f>
        <v>1</v>
      </c>
      <c r="G39" s="103">
        <f>'Data Sheet'!F66/'Data Sheet'!F$66</f>
        <v>1</v>
      </c>
      <c r="H39" s="103">
        <f>'Data Sheet'!G66/'Data Sheet'!G$66</f>
        <v>1</v>
      </c>
      <c r="I39" s="103">
        <f>'Data Sheet'!H66/'Data Sheet'!H$66</f>
        <v>1</v>
      </c>
      <c r="J39" s="103">
        <f>'Data Sheet'!I66/'Data Sheet'!I$66</f>
        <v>1</v>
      </c>
      <c r="K39" s="103">
        <f>'Data Sheet'!J66/'Data Sheet'!J$66</f>
        <v>1</v>
      </c>
      <c r="L39" s="103">
        <f>'Data Sheet'!K66/'Data Sheet'!K$66</f>
        <v>1</v>
      </c>
    </row>
    <row r="40" spans="2:12" x14ac:dyDescent="0.3">
      <c r="B40" s="93" t="s">
        <v>185</v>
      </c>
      <c r="C40" s="72">
        <f>'Data Sheet'!B62/'Data Sheet'!B$66</f>
        <v>0.26631917769901142</v>
      </c>
      <c r="D40" s="72">
        <f>'Data Sheet'!C62/'Data Sheet'!C$66</f>
        <v>0.2711697913609058</v>
      </c>
      <c r="E40" s="72">
        <f>'Data Sheet'!D62/'Data Sheet'!D$66</f>
        <v>0.39981684846425963</v>
      </c>
      <c r="F40" s="72">
        <f>'Data Sheet'!E62/'Data Sheet'!E$66</f>
        <v>0.38866784360114692</v>
      </c>
      <c r="G40" s="72">
        <f>'Data Sheet'!F62/'Data Sheet'!F$66</f>
        <v>0.28781243644173965</v>
      </c>
      <c r="H40" s="72">
        <f>'Data Sheet'!G62/'Data Sheet'!G$66</f>
        <v>0.240393615765538</v>
      </c>
      <c r="I40" s="72">
        <f>'Data Sheet'!H62/'Data Sheet'!H$66</f>
        <v>0.22384057304825222</v>
      </c>
      <c r="J40" s="72">
        <f>'Data Sheet'!I62/'Data Sheet'!I$66</f>
        <v>0.23901123616549005</v>
      </c>
      <c r="K40" s="72">
        <f>'Data Sheet'!J62/'Data Sheet'!J$66</f>
        <v>0.30373988025135684</v>
      </c>
      <c r="L40" s="72">
        <f>'Data Sheet'!K62/'Data Sheet'!K$66</f>
        <v>0.27927662502263262</v>
      </c>
    </row>
    <row r="41" spans="2:12" x14ac:dyDescent="0.3">
      <c r="B41" s="93" t="s">
        <v>39</v>
      </c>
      <c r="C41" s="72">
        <f>'Data Sheet'!B63/'Data Sheet'!B$66</f>
        <v>2.0760665495651417E-2</v>
      </c>
      <c r="D41" s="72">
        <f>'Data Sheet'!C63/'Data Sheet'!C$66</f>
        <v>0.10208973311982143</v>
      </c>
      <c r="E41" s="72">
        <f>'Data Sheet'!D63/'Data Sheet'!D$66</f>
        <v>1.2903690355742316E-2</v>
      </c>
      <c r="F41" s="72">
        <f>'Data Sheet'!E63/'Data Sheet'!E$66</f>
        <v>8.6900644876648069E-3</v>
      </c>
      <c r="G41" s="72">
        <f>'Data Sheet'!F63/'Data Sheet'!F$66</f>
        <v>8.9892873319728384E-3</v>
      </c>
      <c r="H41" s="72">
        <f>'Data Sheet'!G63/'Data Sheet'!G$66</f>
        <v>1.8574005278235488E-2</v>
      </c>
      <c r="I41" s="72">
        <f>'Data Sheet'!H63/'Data Sheet'!H$66</f>
        <v>3.9550678780247588E-2</v>
      </c>
      <c r="J41" s="72">
        <f>'Data Sheet'!I63/'Data Sheet'!I$66</f>
        <v>9.0244164280719186E-2</v>
      </c>
      <c r="K41" s="72">
        <f>'Data Sheet'!J63/'Data Sheet'!J$66</f>
        <v>4.1326953327678079E-2</v>
      </c>
      <c r="L41" s="72">
        <f>'Data Sheet'!K63/'Data Sheet'!K$66</f>
        <v>5.3555531414086546E-2</v>
      </c>
    </row>
    <row r="42" spans="2:12" x14ac:dyDescent="0.3">
      <c r="B42" s="93" t="s">
        <v>40</v>
      </c>
      <c r="C42" s="72">
        <f>'Data Sheet'!B64/'Data Sheet'!B$66</f>
        <v>0.21378068372995493</v>
      </c>
      <c r="D42" s="72">
        <f>'Data Sheet'!C64/'Data Sheet'!C$66</f>
        <v>0.15553479207293502</v>
      </c>
      <c r="E42" s="72">
        <f>'Data Sheet'!D64/'Data Sheet'!D$66</f>
        <v>0.15807774585755044</v>
      </c>
      <c r="F42" s="72">
        <f>'Data Sheet'!E64/'Data Sheet'!E$66</f>
        <v>0.12509937743099039</v>
      </c>
      <c r="G42" s="72">
        <f>'Data Sheet'!F64/'Data Sheet'!F$66</f>
        <v>0.23270552100824649</v>
      </c>
      <c r="H42" s="72">
        <f>'Data Sheet'!G64/'Data Sheet'!G$66</f>
        <v>0.14145261675123255</v>
      </c>
      <c r="I42" s="72">
        <f>'Data Sheet'!H64/'Data Sheet'!H$66</f>
        <v>0.16531500236817637</v>
      </c>
      <c r="J42" s="72">
        <f>'Data Sheet'!I64/'Data Sheet'!I$66</f>
        <v>0.15343818904998099</v>
      </c>
      <c r="K42" s="72">
        <f>'Data Sheet'!J64/'Data Sheet'!J$66</f>
        <v>0.1556485286729643</v>
      </c>
      <c r="L42" s="72">
        <f>'Data Sheet'!K64/'Data Sheet'!K$66</f>
        <v>0.20457693282636247</v>
      </c>
    </row>
    <row r="43" spans="2:12" x14ac:dyDescent="0.3">
      <c r="B43" s="93" t="s">
        <v>41</v>
      </c>
      <c r="C43" s="72">
        <f>'Data Sheet'!B75/'Data Sheet'!B$66</f>
        <v>0.10617894607015289</v>
      </c>
      <c r="D43" s="72">
        <f>'Data Sheet'!C75/'Data Sheet'!C$66</f>
        <v>0.12292240043942376</v>
      </c>
      <c r="E43" s="72">
        <f>'Data Sheet'!D75/'Data Sheet'!D$66</f>
        <v>9.0588620479984977E-2</v>
      </c>
      <c r="F43" s="72">
        <f>'Data Sheet'!E75/'Data Sheet'!E$66</f>
        <v>0.10774031678085906</v>
      </c>
      <c r="G43" s="72">
        <f>'Data Sheet'!F75/'Data Sheet'!F$66</f>
        <v>0.1260367058472126</v>
      </c>
      <c r="H43" s="72">
        <f>'Data Sheet'!G75/'Data Sheet'!G$66</f>
        <v>0.12529863758105408</v>
      </c>
      <c r="I43" s="72">
        <f>'Data Sheet'!H75/'Data Sheet'!H$66</f>
        <v>0.11777536499203044</v>
      </c>
      <c r="J43" s="72">
        <f>'Data Sheet'!I75/'Data Sheet'!I$66</f>
        <v>0.11944140568955251</v>
      </c>
      <c r="K43" s="72">
        <f>'Data Sheet'!J75/'Data Sheet'!J$66</f>
        <v>0.11006366279309181</v>
      </c>
      <c r="L43" s="72">
        <f>'Data Sheet'!K75/'Data Sheet'!K$66</f>
        <v>0.13583603114249501</v>
      </c>
    </row>
    <row r="44" spans="2:12" x14ac:dyDescent="0.3">
      <c r="B44" s="93" t="s">
        <v>43</v>
      </c>
      <c r="C44" s="72">
        <f>'Data Sheet'!B67/'Data Sheet'!B$66</f>
        <v>0.11661248235617511</v>
      </c>
      <c r="D44" s="72">
        <f>'Data Sheet'!C67/'Data Sheet'!C$66</f>
        <v>0.12574072836230374</v>
      </c>
      <c r="E44" s="72">
        <f>'Data Sheet'!D67/'Data Sheet'!D$66</f>
        <v>0.11738253315313585</v>
      </c>
      <c r="F44" s="72">
        <f>'Data Sheet'!E67/'Data Sheet'!E$66</f>
        <v>0.111241996360137</v>
      </c>
      <c r="G44" s="72">
        <f>'Data Sheet'!F67/'Data Sheet'!F$66</f>
        <v>0.12783721618012767</v>
      </c>
      <c r="H44" s="72">
        <f>'Data Sheet'!G67/'Data Sheet'!G$66</f>
        <v>0.168628255503534</v>
      </c>
      <c r="I44" s="72">
        <f>'Data Sheet'!H67/'Data Sheet'!H$66</f>
        <v>0.17987046211053581</v>
      </c>
      <c r="J44" s="72">
        <f>'Data Sheet'!I67/'Data Sheet'!I$66</f>
        <v>0.16350916715522712</v>
      </c>
      <c r="K44" s="72">
        <f>'Data Sheet'!J67/'Data Sheet'!J$66</f>
        <v>0.14210556658238688</v>
      </c>
      <c r="L44" s="72">
        <f>'Data Sheet'!K67/'Data Sheet'!K$66</f>
        <v>0.1292572877059569</v>
      </c>
    </row>
    <row r="45" spans="2:12" x14ac:dyDescent="0.3">
      <c r="B45" s="93" t="s">
        <v>44</v>
      </c>
      <c r="C45" s="72">
        <f>'Data Sheet'!B68/'Data Sheet'!B$66</f>
        <v>0.21176136762113276</v>
      </c>
      <c r="D45" s="72">
        <f>'Data Sheet'!C68/'Data Sheet'!C$66</f>
        <v>0.19314228668912223</v>
      </c>
      <c r="E45" s="72">
        <f>'Data Sheet'!D68/'Data Sheet'!D$66</f>
        <v>0.19385137646748937</v>
      </c>
      <c r="F45" s="72">
        <f>'Data Sheet'!E68/'Data Sheet'!E$66</f>
        <v>0.21005182188342153</v>
      </c>
      <c r="G45" s="72">
        <f>'Data Sheet'!F68/'Data Sheet'!F$66</f>
        <v>0.18661442157193148</v>
      </c>
      <c r="H45" s="72">
        <f>'Data Sheet'!G68/'Data Sheet'!G$66</f>
        <v>0.26800525994155522</v>
      </c>
      <c r="I45" s="72">
        <f>'Data Sheet'!H68/'Data Sheet'!H$66</f>
        <v>0.24091549314896857</v>
      </c>
      <c r="J45" s="72">
        <f>'Data Sheet'!I68/'Data Sheet'!I$66</f>
        <v>0.19810225622952185</v>
      </c>
      <c r="K45" s="72">
        <f>'Data Sheet'!J68/'Data Sheet'!J$66</f>
        <v>0.22135446092521063</v>
      </c>
      <c r="L45" s="72">
        <f>'Data Sheet'!K68/'Data Sheet'!K$66</f>
        <v>0.16639333695455366</v>
      </c>
    </row>
    <row r="46" spans="2:12" x14ac:dyDescent="0.3">
      <c r="B46" s="93" t="s">
        <v>45</v>
      </c>
      <c r="C46" s="72">
        <f>'Data Sheet'!B69/'Data Sheet'!B$66</f>
        <v>6.4586677027921383E-2</v>
      </c>
      <c r="D46" s="72">
        <f>'Data Sheet'!C69/'Data Sheet'!C$66</f>
        <v>2.9400267955488002E-2</v>
      </c>
      <c r="E46" s="72">
        <f>'Data Sheet'!D69/'Data Sheet'!D$66</f>
        <v>2.7379185221837375E-2</v>
      </c>
      <c r="F46" s="72">
        <f>'Data Sheet'!E69/'Data Sheet'!E$66</f>
        <v>4.8508579455780382E-2</v>
      </c>
      <c r="G46" s="72">
        <f>'Data Sheet'!F69/'Data Sheet'!F$66</f>
        <v>3.0004411618769326E-2</v>
      </c>
      <c r="H46" s="72">
        <f>'Data Sheet'!G69/'Data Sheet'!G$66</f>
        <v>3.7647609178850648E-2</v>
      </c>
      <c r="I46" s="72">
        <f>'Data Sheet'!H69/'Data Sheet'!H$66</f>
        <v>3.2732425551788971E-2</v>
      </c>
      <c r="J46" s="72">
        <f>'Data Sheet'!I69/'Data Sheet'!I$66</f>
        <v>3.6253581429508339E-2</v>
      </c>
      <c r="K46" s="72">
        <f>'Data Sheet'!J69/'Data Sheet'!J$66</f>
        <v>2.576094744731142E-2</v>
      </c>
      <c r="L46" s="72">
        <f>'Data Sheet'!K69/'Data Sheet'!K$66</f>
        <v>3.110425493391273E-2</v>
      </c>
    </row>
    <row r="48" spans="2:12" ht="10.8" customHeight="1" x14ac:dyDescent="0.3">
      <c r="B48" s="155"/>
      <c r="C48" s="155"/>
      <c r="D48" s="155"/>
      <c r="E48" s="155"/>
      <c r="F48" s="155"/>
      <c r="G48" s="155"/>
      <c r="H48" s="155"/>
      <c r="I48" s="155"/>
      <c r="J48" s="155"/>
      <c r="K48" s="155"/>
      <c r="L48" s="155"/>
    </row>
  </sheetData>
  <mergeCells count="2">
    <mergeCell ref="B8:L8"/>
    <mergeCell ref="B29:L29"/>
  </mergeCells>
  <pageMargins left="0.7" right="0.7" top="0.75" bottom="0.75" header="0.3" footer="0.3"/>
  <pageSetup scale="8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9"/>
  <sheetViews>
    <sheetView showGridLines="0" zoomScale="50" zoomScaleNormal="50" zoomScaleSheetLayoutView="70" workbookViewId="0">
      <selection activeCell="O9" sqref="O9"/>
    </sheetView>
  </sheetViews>
  <sheetFormatPr defaultColWidth="8.6640625" defaultRowHeight="14.4" outlineLevelRow="1" x14ac:dyDescent="0.3"/>
  <cols>
    <col min="1" max="1" width="1.88671875" customWidth="1"/>
    <col min="2" max="2" width="25.5546875" customWidth="1"/>
    <col min="3" max="13" width="15.88671875" customWidth="1"/>
  </cols>
  <sheetData>
    <row r="1" spans="1:13" x14ac:dyDescent="0.3">
      <c r="B1" s="154"/>
      <c r="C1" s="154"/>
      <c r="D1" s="154"/>
      <c r="E1" s="154"/>
      <c r="F1" s="154"/>
      <c r="G1" s="154"/>
      <c r="H1" s="154"/>
      <c r="I1" s="154"/>
      <c r="J1" s="154"/>
      <c r="K1" s="154"/>
      <c r="L1" s="154"/>
      <c r="M1" s="154"/>
    </row>
    <row r="2" spans="1:13" ht="46.2" x14ac:dyDescent="0.85">
      <c r="B2" s="157" t="str">
        <f>'Data Sheet'!B1</f>
        <v>ASIAN PAINTS LTD</v>
      </c>
      <c r="J2" s="157"/>
    </row>
    <row r="3" spans="1:13" x14ac:dyDescent="0.3">
      <c r="B3" t="s">
        <v>629</v>
      </c>
    </row>
    <row r="4" spans="1:13" ht="21" x14ac:dyDescent="0.4">
      <c r="B4" s="156" t="str">
        <f>CONCATENATE("INR "&amp;'Data Sheet'!B8)</f>
        <v>INR 2645.2</v>
      </c>
      <c r="J4" s="156"/>
    </row>
    <row r="5" spans="1:13" x14ac:dyDescent="0.3">
      <c r="B5" t="s">
        <v>630</v>
      </c>
    </row>
    <row r="6" spans="1:13" ht="15" thickBot="1" x14ac:dyDescent="0.35">
      <c r="B6" s="148"/>
      <c r="C6" s="148"/>
      <c r="D6" s="148"/>
      <c r="E6" s="148"/>
      <c r="F6" s="148"/>
      <c r="G6" s="148"/>
      <c r="H6" s="148"/>
      <c r="I6" s="148"/>
      <c r="J6" s="148"/>
      <c r="K6" s="148"/>
      <c r="L6" s="148"/>
      <c r="M6" s="148"/>
    </row>
    <row r="7" spans="1:13" ht="6" customHeight="1" x14ac:dyDescent="0.3"/>
    <row r="8" spans="1:13" ht="15" customHeight="1" x14ac:dyDescent="0.3">
      <c r="B8" s="337" t="str">
        <f>"Assumption Sheet"&amp;" - "&amp;'Data Sheet'!B1</f>
        <v>Assumption Sheet - ASIAN PAINTS LTD</v>
      </c>
      <c r="C8" s="337"/>
      <c r="D8" s="337"/>
      <c r="E8" s="337"/>
      <c r="F8" s="337"/>
      <c r="G8" s="337"/>
      <c r="H8" s="337"/>
      <c r="I8" s="337"/>
      <c r="J8" s="337"/>
      <c r="K8" s="337"/>
      <c r="L8" s="337"/>
      <c r="M8" s="337"/>
    </row>
    <row r="9" spans="1:13" ht="14.25" customHeight="1" x14ac:dyDescent="0.3">
      <c r="C9" s="12"/>
      <c r="D9" s="12"/>
      <c r="E9" s="12"/>
      <c r="F9" s="12"/>
      <c r="G9" s="12"/>
      <c r="H9" s="12"/>
      <c r="I9" s="12"/>
      <c r="J9" s="12"/>
      <c r="K9" s="12"/>
      <c r="L9" s="12"/>
    </row>
    <row r="10" spans="1:13" ht="15" customHeight="1" x14ac:dyDescent="0.3">
      <c r="A10" t="s">
        <v>1</v>
      </c>
      <c r="B10" s="192" t="s">
        <v>78</v>
      </c>
      <c r="C10" s="193"/>
      <c r="D10" s="193"/>
      <c r="E10" s="193"/>
      <c r="F10" s="193"/>
      <c r="G10" s="193"/>
      <c r="H10" s="193"/>
      <c r="I10" s="193"/>
      <c r="J10" s="193"/>
      <c r="K10" s="193"/>
      <c r="L10" s="193"/>
      <c r="M10" s="193"/>
    </row>
    <row r="11" spans="1:13" ht="14.25" customHeight="1" outlineLevel="1" x14ac:dyDescent="0.3">
      <c r="B11" s="195" t="s">
        <v>79</v>
      </c>
      <c r="C11" s="196">
        <f>IFERROR(HistoricalFS!G3,0)</f>
        <v>44286</v>
      </c>
      <c r="D11" s="196">
        <f>IFERROR(HistoricalFS!H3,0)</f>
        <v>44651</v>
      </c>
      <c r="E11" s="196">
        <f>IFERROR(HistoricalFS!I3,0)</f>
        <v>45016</v>
      </c>
      <c r="F11" s="196">
        <f>IFERROR(HistoricalFS!J3,0)</f>
        <v>45382</v>
      </c>
      <c r="G11" s="196">
        <f>IFERROR(HistoricalFS!K3,0)</f>
        <v>45747</v>
      </c>
      <c r="H11" s="196">
        <f>IFERROR(HistoricalFS!L3,0)</f>
        <v>46112</v>
      </c>
      <c r="I11" s="197">
        <f>H11+365</f>
        <v>46477</v>
      </c>
      <c r="J11" s="197">
        <f>I11+365</f>
        <v>46842</v>
      </c>
      <c r="K11" s="197">
        <f>J11+365</f>
        <v>47207</v>
      </c>
      <c r="L11" s="197">
        <f>K11+365</f>
        <v>47572</v>
      </c>
      <c r="M11" s="197">
        <f>L11+365</f>
        <v>47937</v>
      </c>
    </row>
    <row r="12" spans="1:13" ht="14.25" customHeight="1" outlineLevel="1" x14ac:dyDescent="0.3">
      <c r="B12" t="s">
        <v>80</v>
      </c>
      <c r="C12" s="4">
        <f>IFERROR(HistoricalFS!G7,0)</f>
        <v>7.4292287711052118E-2</v>
      </c>
      <c r="D12" s="4">
        <f>IFERROR(HistoricalFS!H7,0)</f>
        <v>0.34028284711453471</v>
      </c>
      <c r="E12" s="4">
        <f>IFERROR(HistoricalFS!I7,0)</f>
        <v>0.18512278497715551</v>
      </c>
      <c r="F12" s="4">
        <f>IFERROR(HistoricalFS!J7,0)</f>
        <v>2.9173126532572313E-2</v>
      </c>
      <c r="G12" s="4">
        <f>IFERROR(HistoricalFS!K7,0)</f>
        <v>-4.4770308155605121E-2</v>
      </c>
      <c r="H12" s="4">
        <f>IFERROR(HistoricalFS!L7,0)</f>
        <v>4.9487960992897317E-2</v>
      </c>
      <c r="I12" s="15">
        <f>IF($C$55="Bull Case",I58,I57)</f>
        <v>7.0000000000000007E-2</v>
      </c>
      <c r="J12" s="15">
        <f>IF($C$55="Bull Case",J58,J57)</f>
        <v>7.0000000000000007E-2</v>
      </c>
      <c r="K12" s="15">
        <f>IF($C$55="Bull Case",K58,K57)</f>
        <v>7.4999999999999997E-2</v>
      </c>
      <c r="L12" s="15">
        <f>IF($C$55="Bull Case",L58,L57)</f>
        <v>7.4999999999999997E-2</v>
      </c>
      <c r="M12" s="15">
        <f>IF($C$55="Bull Case",M58,M57)</f>
        <v>0.08</v>
      </c>
    </row>
    <row r="13" spans="1:13" ht="14.25" customHeight="1" outlineLevel="1" x14ac:dyDescent="0.3">
      <c r="B13" t="s">
        <v>5</v>
      </c>
      <c r="C13" s="4">
        <f>IFERROR(HistoricalFS!G10,0)</f>
        <v>0.64639643270164715</v>
      </c>
      <c r="D13" s="4">
        <f>IFERROR(HistoricalFS!H10,0)</f>
        <v>0.70754860267314701</v>
      </c>
      <c r="E13" s="4">
        <f>IFERROR(HistoricalFS!I10,0)</f>
        <v>0.68911776329504926</v>
      </c>
      <c r="F13" s="4">
        <f>IFERROR(HistoricalFS!J10,0)</f>
        <v>0.64826496778535858</v>
      </c>
      <c r="G13" s="4">
        <f>IFERROR(HistoricalFS!K10,0)</f>
        <v>0.67072272974214886</v>
      </c>
      <c r="H13" s="4">
        <f>IFERROR(HistoricalFS!L10,0)</f>
        <v>0.66012628310730181</v>
      </c>
      <c r="I13" s="15">
        <f>IF($C$55="Bull Case",I60,I59)</f>
        <v>0.66</v>
      </c>
      <c r="J13" s="15">
        <f>IF($C$55="Bull Case",J60,J59)</f>
        <v>0.66</v>
      </c>
      <c r="K13" s="15">
        <f>IF($C$55="Bull Case",K60,K59)</f>
        <v>0.65500000000000003</v>
      </c>
      <c r="L13" s="15">
        <f>IF($C$55="Bull Case",L60,L59)</f>
        <v>0.65500000000000003</v>
      </c>
      <c r="M13" s="15">
        <f>IF($C$55="Bull Case",M60,M59)</f>
        <v>0.65</v>
      </c>
    </row>
    <row r="14" spans="1:13" ht="14.25" customHeight="1" outlineLevel="1" x14ac:dyDescent="0.3">
      <c r="B14" t="s">
        <v>81</v>
      </c>
      <c r="C14" s="4">
        <f t="shared" ref="C14:M14" si="0">1-C13</f>
        <v>0.35360356729835285</v>
      </c>
      <c r="D14" s="4">
        <f t="shared" si="0"/>
        <v>0.29245139732685299</v>
      </c>
      <c r="E14" s="4">
        <f t="shared" si="0"/>
        <v>0.31088223670495074</v>
      </c>
      <c r="F14" s="4">
        <f t="shared" si="0"/>
        <v>0.35173503221464142</v>
      </c>
      <c r="G14" s="4">
        <f t="shared" si="0"/>
        <v>0.32927727025785114</v>
      </c>
      <c r="H14" s="4">
        <f t="shared" si="0"/>
        <v>0.33987371689269819</v>
      </c>
      <c r="I14" s="4">
        <f t="shared" si="0"/>
        <v>0.33999999999999997</v>
      </c>
      <c r="J14" s="4">
        <f t="shared" si="0"/>
        <v>0.33999999999999997</v>
      </c>
      <c r="K14" s="4">
        <f t="shared" si="0"/>
        <v>0.34499999999999997</v>
      </c>
      <c r="L14" s="4">
        <f t="shared" si="0"/>
        <v>0.34499999999999997</v>
      </c>
      <c r="M14" s="4">
        <f t="shared" si="0"/>
        <v>0.35</v>
      </c>
    </row>
    <row r="15" spans="1:13" ht="14.25" customHeight="1" outlineLevel="1" x14ac:dyDescent="0.3">
      <c r="B15" t="s">
        <v>82</v>
      </c>
      <c r="C15" s="4">
        <f>IFERROR(HistoricalFS!G16,0)</f>
        <v>0.12997500551518251</v>
      </c>
      <c r="D15" s="4">
        <f>IFERROR(HistoricalFS!H16,0)</f>
        <v>0.1273861493377611</v>
      </c>
      <c r="E15" s="4">
        <f>IFERROR(HistoricalFS!I16,0)</f>
        <v>0.12937757095897515</v>
      </c>
      <c r="F15" s="4">
        <f>IFERROR(HistoricalFS!J16,0)</f>
        <v>0.1380419008681007</v>
      </c>
      <c r="G15" s="4">
        <f>IFERROR(HistoricalFS!K16,0)</f>
        <v>0.15213230137068723</v>
      </c>
      <c r="H15" s="4">
        <f>IFERROR(HistoricalFS!L16,0)</f>
        <v>0.15159200012140442</v>
      </c>
      <c r="I15" s="15">
        <f>IF($C$55="Bull Case",I62,I61)</f>
        <v>0.15</v>
      </c>
      <c r="J15" s="15">
        <f>IF($C$55="Bull Case",J62,J61)</f>
        <v>0.15</v>
      </c>
      <c r="K15" s="15">
        <f>IF($C$55="Bull Case",K62,K61)</f>
        <v>0.15</v>
      </c>
      <c r="L15" s="15">
        <f>IF($C$55="Bull Case",L62,L61)</f>
        <v>0.15</v>
      </c>
      <c r="M15" s="15">
        <f>IF($C$55="Bull Case",M62,M61)</f>
        <v>0.15</v>
      </c>
    </row>
    <row r="16" spans="1:13" ht="14.25" customHeight="1" outlineLevel="1" x14ac:dyDescent="0.3">
      <c r="B16" t="s">
        <v>83</v>
      </c>
      <c r="C16" s="4">
        <f>IFERROR(HistoricalFS!G19,0)</f>
        <v>0.22362856178317034</v>
      </c>
      <c r="D16" s="4">
        <f>IFERROR(HistoricalFS!H19,0)</f>
        <v>0.16506524798909186</v>
      </c>
      <c r="E16" s="4">
        <f>IFERROR(HistoricalFS!I19,0)</f>
        <v>0.1815046657459756</v>
      </c>
      <c r="F16" s="4">
        <f>IFERROR(HistoricalFS!J19,0)</f>
        <v>0.21369313134654075</v>
      </c>
      <c r="G16" s="4">
        <f>IFERROR(HistoricalFS!K19,0)</f>
        <v>0.17714496888716388</v>
      </c>
      <c r="H16" s="4">
        <f>IFERROR(HistoricalFS!L19,0)</f>
        <v>0.18828171677129379</v>
      </c>
      <c r="I16" s="4">
        <f>I14-I15</f>
        <v>0.18999999999999997</v>
      </c>
      <c r="J16" s="4">
        <f>J14-J15</f>
        <v>0.18999999999999997</v>
      </c>
      <c r="K16" s="4">
        <f>K14-K15</f>
        <v>0.19499999999999998</v>
      </c>
      <c r="L16" s="4">
        <f>L14-L15</f>
        <v>0.19499999999999998</v>
      </c>
      <c r="M16" s="4">
        <f>M14-M15</f>
        <v>0.19999999999999998</v>
      </c>
    </row>
    <row r="17" spans="1:16" ht="14.25" customHeight="1" outlineLevel="1" x14ac:dyDescent="0.3">
      <c r="B17" t="s">
        <v>84</v>
      </c>
      <c r="C17" s="3">
        <f>IFERROR(HistoricalFS!G24,0)</f>
        <v>791.27</v>
      </c>
      <c r="D17" s="3">
        <f>IFERROR(HistoricalFS!H24,0)</f>
        <v>816.36</v>
      </c>
      <c r="E17" s="3">
        <f>IFERROR(HistoricalFS!I24,0)</f>
        <v>858.02</v>
      </c>
      <c r="F17" s="3">
        <f>IFERROR(HistoricalFS!J24,0)</f>
        <v>853</v>
      </c>
      <c r="G17" s="3">
        <f>IFERROR(HistoricalFS!K24,0)</f>
        <v>1026.3399999999999</v>
      </c>
      <c r="H17" s="3">
        <f>IFERROR(HistoricalFS!L24,0)</f>
        <v>1228.8499999999999</v>
      </c>
      <c r="I17" s="16">
        <v>1350</v>
      </c>
      <c r="J17" s="16">
        <v>1450</v>
      </c>
      <c r="K17" s="16">
        <v>1550</v>
      </c>
      <c r="L17" s="16">
        <v>1650</v>
      </c>
      <c r="M17" s="16">
        <v>1750</v>
      </c>
    </row>
    <row r="18" spans="1:16" ht="14.25" customHeight="1" outlineLevel="1" x14ac:dyDescent="0.3">
      <c r="B18" t="s">
        <v>85</v>
      </c>
      <c r="C18" s="3">
        <f>IFERROR(HistoricalFS!G30,0)</f>
        <v>91.63</v>
      </c>
      <c r="D18" s="3">
        <f>IFERROR(HistoricalFS!H30,0)</f>
        <v>95.41</v>
      </c>
      <c r="E18" s="3">
        <f>IFERROR(HistoricalFS!I30,0)</f>
        <v>144.44999999999999</v>
      </c>
      <c r="F18" s="3">
        <f>IFERROR(HistoricalFS!J30,0)</f>
        <v>205.17</v>
      </c>
      <c r="G18" s="3">
        <f>IFERROR(HistoricalFS!K30,0)</f>
        <v>227.02</v>
      </c>
      <c r="H18" s="3">
        <f>IFERROR(HistoricalFS!L30,0)</f>
        <v>195.41</v>
      </c>
      <c r="I18" s="16">
        <v>210</v>
      </c>
      <c r="J18" s="16">
        <v>220</v>
      </c>
      <c r="K18" s="16">
        <v>230</v>
      </c>
      <c r="L18" s="16">
        <v>240</v>
      </c>
      <c r="M18" s="16">
        <v>250</v>
      </c>
    </row>
    <row r="19" spans="1:16" ht="14.25" customHeight="1" outlineLevel="1" x14ac:dyDescent="0.3">
      <c r="B19" t="s">
        <v>86</v>
      </c>
      <c r="C19" s="4">
        <f>IFERROR(HistoricalFS!G37,0)</f>
        <v>0.25499785101118616</v>
      </c>
      <c r="D19" s="4">
        <f>IFERROR(HistoricalFS!H37,0)</f>
        <v>0.26336765590822697</v>
      </c>
      <c r="E19" s="4">
        <f>IFERROR(HistoricalFS!I37,0)</f>
        <v>0.2625320144915565</v>
      </c>
      <c r="F19" s="4">
        <f>IFERROR(HistoricalFS!J37,0)</f>
        <v>0.24362221463110567</v>
      </c>
      <c r="G19" s="4">
        <f>IFERROR(HistoricalFS!K37,0)</f>
        <v>0.27304348166887765</v>
      </c>
      <c r="H19" s="4">
        <f>IFERROR(HistoricalFS!L37,0)</f>
        <v>0.26797136308516434</v>
      </c>
      <c r="I19" s="15">
        <v>0.26</v>
      </c>
      <c r="J19" s="15">
        <v>0.26</v>
      </c>
      <c r="K19" s="15">
        <v>0.26</v>
      </c>
      <c r="L19" s="15">
        <v>0.26</v>
      </c>
      <c r="M19" s="15">
        <v>0.26</v>
      </c>
    </row>
    <row r="20" spans="1:16" ht="14.25" customHeight="1" outlineLevel="1" x14ac:dyDescent="0.3">
      <c r="B20" t="s">
        <v>87</v>
      </c>
      <c r="C20" s="3">
        <f>IFERROR(HistoricalFS!G21,0)</f>
        <v>331.65</v>
      </c>
      <c r="D20" s="3">
        <f>IFERROR(HistoricalFS!H21,0)</f>
        <v>295.88</v>
      </c>
      <c r="E20" s="3">
        <f>IFERROR(HistoricalFS!I21,0)</f>
        <v>431.46</v>
      </c>
      <c r="F20" s="3">
        <f>IFERROR(HistoricalFS!J21,0)</f>
        <v>820.96</v>
      </c>
      <c r="G20" s="3">
        <f>IFERROR(HistoricalFS!K21,0)</f>
        <v>350.22</v>
      </c>
      <c r="H20" s="3">
        <f>IFERROR(HistoricalFS!L21,0)</f>
        <v>727.97</v>
      </c>
      <c r="I20" s="16">
        <v>500</v>
      </c>
      <c r="J20" s="16">
        <v>500</v>
      </c>
      <c r="K20" s="16">
        <v>500</v>
      </c>
      <c r="L20" s="16">
        <v>500</v>
      </c>
      <c r="M20" s="16">
        <v>500</v>
      </c>
    </row>
    <row r="21" spans="1:16" ht="14.25" customHeight="1" outlineLevel="1" x14ac:dyDescent="0.3">
      <c r="B21" t="s">
        <v>30</v>
      </c>
      <c r="C21" s="4">
        <f>IFERROR(HistoricalFS!G48,0)</f>
        <v>0.53392687300226038</v>
      </c>
      <c r="D21" s="4">
        <f>IFERROR(HistoricalFS!H48,0)</f>
        <v>0.59545644626411354</v>
      </c>
      <c r="E21" s="4">
        <f>IFERROR(HistoricalFS!I48,0)</f>
        <v>0.5864496952563929</v>
      </c>
      <c r="F21" s="4">
        <f>IFERROR(HistoricalFS!J48,0)</f>
        <v>0.57472439088902016</v>
      </c>
      <c r="G21" s="4">
        <f>IFERROR(HistoricalFS!K48,0)</f>
        <v>0.64124149866162017</v>
      </c>
      <c r="H21" s="4">
        <f>IFERROR(HistoricalFS!L48,0)</f>
        <v>0.60022436167283644</v>
      </c>
      <c r="I21" s="15">
        <v>0.6</v>
      </c>
      <c r="J21" s="15">
        <v>0.6</v>
      </c>
      <c r="K21" s="15">
        <v>0.6</v>
      </c>
      <c r="L21" s="15">
        <v>0.6</v>
      </c>
      <c r="M21" s="15">
        <v>0.6</v>
      </c>
    </row>
    <row r="22" spans="1:16" ht="14.25" customHeight="1" x14ac:dyDescent="0.3">
      <c r="G22" s="17"/>
      <c r="H22" s="4"/>
      <c r="M22" s="4"/>
    </row>
    <row r="23" spans="1:16" ht="15" customHeight="1" x14ac:dyDescent="0.3">
      <c r="A23" t="s">
        <v>1</v>
      </c>
      <c r="B23" s="192" t="s">
        <v>88</v>
      </c>
      <c r="C23" s="193"/>
      <c r="D23" s="193"/>
      <c r="E23" s="193"/>
      <c r="F23" s="193"/>
      <c r="G23" s="193"/>
      <c r="H23" s="193"/>
      <c r="I23" s="193"/>
      <c r="J23" s="193"/>
      <c r="K23" s="193"/>
      <c r="L23" s="193"/>
      <c r="M23" s="193"/>
    </row>
    <row r="24" spans="1:16" ht="14.25" customHeight="1" outlineLevel="1" x14ac:dyDescent="0.3">
      <c r="B24" s="195" t="s">
        <v>79</v>
      </c>
      <c r="C24" s="196">
        <f>IFERROR(HistoricalFS!G3,0)</f>
        <v>44286</v>
      </c>
      <c r="D24" s="196">
        <f>IFERROR(HistoricalFS!H3,0)</f>
        <v>44651</v>
      </c>
      <c r="E24" s="196">
        <f>IFERROR(HistoricalFS!I3,0)</f>
        <v>45016</v>
      </c>
      <c r="F24" s="196">
        <f>IFERROR(HistoricalFS!J3,0)</f>
        <v>45382</v>
      </c>
      <c r="G24" s="196">
        <f>IFERROR(HistoricalFS!K3,0)</f>
        <v>45747</v>
      </c>
      <c r="H24" s="196">
        <f>IFERROR(HistoricalFS!L3,0)</f>
        <v>46112</v>
      </c>
      <c r="I24" s="197">
        <f>H24+365</f>
        <v>46477</v>
      </c>
      <c r="J24" s="197">
        <f>I24+365</f>
        <v>46842</v>
      </c>
      <c r="K24" s="197">
        <f>J24+365</f>
        <v>47207</v>
      </c>
      <c r="L24" s="197">
        <f>K24+365</f>
        <v>47572</v>
      </c>
      <c r="M24" s="197">
        <f>L24+365</f>
        <v>47937</v>
      </c>
      <c r="P24" t="s">
        <v>89</v>
      </c>
    </row>
    <row r="25" spans="1:16" ht="14.25" customHeight="1" outlineLevel="1" x14ac:dyDescent="0.3">
      <c r="B25" t="s">
        <v>90</v>
      </c>
      <c r="C25" s="18">
        <f>IFERROR((HistoricalFS!G66/HistoricalFS!G6)*365,0)</f>
        <v>43.743436472235949</v>
      </c>
      <c r="D25" s="18">
        <f>IFERROR((HistoricalFS!H66/HistoricalFS!H6)*365,0)</f>
        <v>48.557163121347244</v>
      </c>
      <c r="E25" s="18">
        <f>IFERROR((HistoricalFS!I66/HistoricalFS!I6)*365,0)</f>
        <v>49.073711044725229</v>
      </c>
      <c r="F25" s="18">
        <f>IFERROR((HistoricalFS!J66/HistoricalFS!J6)*365,0)</f>
        <v>50.275160566089667</v>
      </c>
      <c r="G25" s="18">
        <f>IFERROR((HistoricalFS!K66/HistoricalFS!K6)*365,0)</f>
        <v>46.437205690384062</v>
      </c>
      <c r="H25" s="18">
        <f>IFERROR((HistoricalFS!L66/HistoricalFS!L6)*365,0)</f>
        <v>45.767144022208022</v>
      </c>
      <c r="I25" s="19">
        <v>46</v>
      </c>
      <c r="J25" s="19">
        <v>46</v>
      </c>
      <c r="K25" s="19">
        <v>45</v>
      </c>
      <c r="L25" s="19">
        <v>45</v>
      </c>
      <c r="M25" s="19">
        <v>44</v>
      </c>
    </row>
    <row r="26" spans="1:16" ht="14.25" customHeight="1" outlineLevel="1" x14ac:dyDescent="0.3">
      <c r="B26" t="s">
        <v>91</v>
      </c>
      <c r="C26" s="18">
        <f>IFERROR((HistoricalFS!G67/HistoricalFS!G9)*365,0)</f>
        <v>98.787465969175798</v>
      </c>
      <c r="D26" s="18">
        <f>IFERROR((HistoricalFS!H67/HistoricalFS!H9)*365,0)</f>
        <v>109.07117675712718</v>
      </c>
      <c r="E26" s="18">
        <f>IFERROR((HistoricalFS!I67/HistoricalFS!I9)*365,0)</f>
        <v>95.380662860220383</v>
      </c>
      <c r="F26" s="18">
        <f>IFERROR((HistoricalFS!J67/HistoricalFS!J9)*365,0)</f>
        <v>93.961129492016283</v>
      </c>
      <c r="G26" s="18">
        <f>IFERROR((HistoricalFS!K67/HistoricalFS!K9)*365,0)</f>
        <v>107.84505658654948</v>
      </c>
      <c r="H26" s="18">
        <f>IFERROR((HistoricalFS!L67/HistoricalFS!L9)*365,0)</f>
        <v>89.249888142129109</v>
      </c>
      <c r="I26" s="19">
        <v>90</v>
      </c>
      <c r="J26" s="19">
        <v>88</v>
      </c>
      <c r="K26" s="19">
        <v>86</v>
      </c>
      <c r="L26" s="19">
        <v>85</v>
      </c>
      <c r="M26" s="19">
        <v>83</v>
      </c>
    </row>
    <row r="27" spans="1:16" ht="14.25" customHeight="1" outlineLevel="1" x14ac:dyDescent="0.3">
      <c r="B27" t="s">
        <v>92</v>
      </c>
      <c r="C27" s="18">
        <f>IFERROR(('Data Sheet'!F74/HistoricalFS!G9)*365,0)</f>
        <v>87.875229692477504</v>
      </c>
      <c r="D27" s="18">
        <f>IFERROR(('Data Sheet'!G74/HistoricalFS!H9)*365,0)</f>
        <v>73.813400988899289</v>
      </c>
      <c r="E27" s="18">
        <f>IFERROR(('Data Sheet'!H74/HistoricalFS!I9)*365,0)</f>
        <v>55.824956767241559</v>
      </c>
      <c r="F27" s="18">
        <f>IFERROR(('Data Sheet'!I74/HistoricalFS!J9)*365,0)</f>
        <v>60.769909069930058</v>
      </c>
      <c r="G27" s="18">
        <f>IFERROR(('Data Sheet'!J74/HistoricalFS!K9)*365,0)</f>
        <v>61.760842732178105</v>
      </c>
      <c r="H27" s="18">
        <f>IFERROR(('Data Sheet'!K74/HistoricalFS!L9)*365,0)</f>
        <v>60.026275424517124</v>
      </c>
      <c r="I27" s="19">
        <v>60</v>
      </c>
      <c r="J27" s="19">
        <v>60</v>
      </c>
      <c r="K27" s="19">
        <v>60</v>
      </c>
      <c r="L27" s="19">
        <v>62</v>
      </c>
      <c r="M27" s="19">
        <v>62</v>
      </c>
    </row>
    <row r="29" spans="1:16" ht="15" customHeight="1" x14ac:dyDescent="0.3">
      <c r="A29" t="s">
        <v>1</v>
      </c>
      <c r="B29" s="192" t="s">
        <v>93</v>
      </c>
      <c r="C29" s="193"/>
      <c r="D29" s="193"/>
      <c r="E29" s="193"/>
      <c r="F29" s="193"/>
      <c r="G29" s="193"/>
      <c r="H29" s="193"/>
      <c r="I29" s="193"/>
      <c r="J29" s="193"/>
      <c r="K29" s="193"/>
      <c r="L29" s="193"/>
      <c r="M29" s="193"/>
    </row>
    <row r="30" spans="1:16" ht="14.25" customHeight="1" outlineLevel="1" x14ac:dyDescent="0.3">
      <c r="B30" s="195" t="s">
        <v>79</v>
      </c>
      <c r="C30" s="196">
        <f>IFERROR('Assumption Sheet'!C24,0)</f>
        <v>44286</v>
      </c>
      <c r="D30" s="196">
        <f>IFERROR('Assumption Sheet'!D24,0)</f>
        <v>44651</v>
      </c>
      <c r="E30" s="196">
        <f>IFERROR('Assumption Sheet'!E24,0)</f>
        <v>45016</v>
      </c>
      <c r="F30" s="196">
        <f>IFERROR('Assumption Sheet'!F24,0)</f>
        <v>45382</v>
      </c>
      <c r="G30" s="196">
        <f>IFERROR('Assumption Sheet'!G24,0)</f>
        <v>45747</v>
      </c>
      <c r="H30" s="196">
        <f>IFERROR('Assumption Sheet'!H24,0)</f>
        <v>46112</v>
      </c>
      <c r="I30" s="197">
        <f>H30+365</f>
        <v>46477</v>
      </c>
      <c r="J30" s="197">
        <f>I30+365</f>
        <v>46842</v>
      </c>
      <c r="K30" s="197">
        <f>J30+365</f>
        <v>47207</v>
      </c>
      <c r="L30" s="197">
        <f>K30+365</f>
        <v>47572</v>
      </c>
      <c r="M30" s="197">
        <f>L30+365</f>
        <v>47937</v>
      </c>
    </row>
    <row r="31" spans="1:16" ht="14.25" customHeight="1" outlineLevel="1" x14ac:dyDescent="0.3">
      <c r="B31" t="s">
        <v>94</v>
      </c>
      <c r="C31" s="3">
        <f>ABS(HistoricalFS!G87)</f>
        <v>289</v>
      </c>
      <c r="D31" s="3">
        <f>ABS(HistoricalFS!H87)</f>
        <v>551</v>
      </c>
      <c r="E31" s="3">
        <f>ABS(HistoricalFS!I87)</f>
        <v>1446</v>
      </c>
      <c r="F31" s="3">
        <f>ABS(HistoricalFS!J87)</f>
        <v>2496</v>
      </c>
      <c r="G31" s="3">
        <f>ABS(HistoricalFS!K87)</f>
        <v>1830</v>
      </c>
      <c r="H31" s="3">
        <f>ABS(HistoricalFS!L87)</f>
        <v>1487</v>
      </c>
      <c r="I31" s="16">
        <f>IF($C$55="Bull Case",I64,ForecastFS!H6*I63)</f>
        <v>1903.7193900000002</v>
      </c>
      <c r="J31" s="16">
        <f>IF($C$55="Bull Case",J64,ForecastFS!I6*J63)</f>
        <v>2036.9797473000003</v>
      </c>
      <c r="K31" s="16">
        <f>IF($C$55="Bull Case",K64,ForecastFS!J6*K63)</f>
        <v>2189.7532283475002</v>
      </c>
      <c r="L31" s="16">
        <f>IF($C$55="Bull Case",L64,ForecastFS!K6*L63)</f>
        <v>2353.9847204735629</v>
      </c>
      <c r="M31" s="16">
        <f>IF($C$55="Bull Case",M64,ForecastFS!L6*M63)</f>
        <v>2542.3034981114479</v>
      </c>
    </row>
    <row r="32" spans="1:16" ht="14.25" customHeight="1" outlineLevel="1" x14ac:dyDescent="0.3">
      <c r="B32" t="s">
        <v>95</v>
      </c>
      <c r="C32" s="4">
        <f>IFERROR(C31/HistoricalFS!G6,0)</f>
        <v>1.3310127348903572E-2</v>
      </c>
      <c r="D32" s="4">
        <f>IFERROR(D31/HistoricalFS!H6,0)</f>
        <v>1.8933875073536284E-2</v>
      </c>
      <c r="E32" s="4">
        <f>IFERROR(E31/HistoricalFS!I6,0)</f>
        <v>4.1926909740293825E-2</v>
      </c>
      <c r="F32" s="4">
        <f>IFERROR(F31/HistoricalFS!J6,0)</f>
        <v>7.0320298252726524E-2</v>
      </c>
      <c r="G32" s="4">
        <f>IFERROR(G31/HistoricalFS!K6,0)</f>
        <v>5.3973353090136678E-2</v>
      </c>
      <c r="H32" s="4">
        <f>IFERROR(H31/HistoricalFS!L6,0)</f>
        <v>4.1788984457420478E-2</v>
      </c>
      <c r="I32" s="4">
        <f>IFERROR(I31/ForecastFS!H6,0)</f>
        <v>0.05</v>
      </c>
      <c r="J32" s="4">
        <f>IFERROR(J31/ForecastFS!I6,0)</f>
        <v>0.05</v>
      </c>
      <c r="K32" s="4">
        <f>IFERROR(K31/ForecastFS!J6,0)</f>
        <v>0.05</v>
      </c>
      <c r="L32" s="4">
        <f>IFERROR(L31/ForecastFS!K6,0)</f>
        <v>0.05</v>
      </c>
      <c r="M32" s="4">
        <f>IFERROR(M31/ForecastFS!L6,0)</f>
        <v>0.05</v>
      </c>
    </row>
    <row r="33" spans="1:13" ht="27.6" hidden="1" customHeight="1" outlineLevel="1" x14ac:dyDescent="0.3">
      <c r="B33" s="13" t="s">
        <v>96</v>
      </c>
      <c r="C33" s="14"/>
      <c r="D33" s="14"/>
      <c r="E33" s="14"/>
      <c r="F33" s="14"/>
      <c r="G33" s="14"/>
      <c r="H33" s="14"/>
      <c r="I33" s="338" t="s">
        <v>97</v>
      </c>
      <c r="J33" s="338"/>
      <c r="K33" s="338"/>
      <c r="L33" s="338"/>
      <c r="M33" s="338"/>
    </row>
    <row r="34" spans="1:13" ht="27.6" hidden="1" customHeight="1" outlineLevel="1" x14ac:dyDescent="0.3">
      <c r="B34" t="s">
        <v>98</v>
      </c>
    </row>
    <row r="35" spans="1:13" ht="27.6" hidden="1" customHeight="1" outlineLevel="1" x14ac:dyDescent="0.3">
      <c r="B35" t="s">
        <v>99</v>
      </c>
    </row>
    <row r="36" spans="1:13" ht="27.6" hidden="1" customHeight="1" outlineLevel="1" x14ac:dyDescent="0.3">
      <c r="B36" t="s">
        <v>100</v>
      </c>
    </row>
    <row r="37" spans="1:13" ht="27.6" hidden="1" customHeight="1" outlineLevel="1" x14ac:dyDescent="0.3">
      <c r="B37" t="s">
        <v>101</v>
      </c>
    </row>
    <row r="38" spans="1:13" ht="27.6" hidden="1" customHeight="1" outlineLevel="1" x14ac:dyDescent="0.3">
      <c r="B38" t="s">
        <v>102</v>
      </c>
    </row>
    <row r="39" spans="1:13" ht="27.6" hidden="1" customHeight="1" outlineLevel="1" x14ac:dyDescent="0.3">
      <c r="B39" t="s">
        <v>103</v>
      </c>
    </row>
    <row r="40" spans="1:13" ht="27.6" hidden="1" customHeight="1" outlineLevel="1" x14ac:dyDescent="0.3">
      <c r="B40" t="s">
        <v>104</v>
      </c>
    </row>
    <row r="41" spans="1:13" ht="27.6" hidden="1" customHeight="1" outlineLevel="1" x14ac:dyDescent="0.3">
      <c r="B41" t="s">
        <v>105</v>
      </c>
    </row>
    <row r="42" spans="1:13" ht="27.6" hidden="1" customHeight="1" outlineLevel="1" x14ac:dyDescent="0.3">
      <c r="B42" t="s">
        <v>106</v>
      </c>
    </row>
    <row r="43" spans="1:13" ht="27.6" hidden="1" customHeight="1" outlineLevel="1" x14ac:dyDescent="0.3">
      <c r="B43" t="s">
        <v>107</v>
      </c>
    </row>
    <row r="44" spans="1:13" ht="27.6" hidden="1" customHeight="1" outlineLevel="1" x14ac:dyDescent="0.3">
      <c r="B44" t="s">
        <v>108</v>
      </c>
    </row>
    <row r="46" spans="1:13" ht="15" customHeight="1" x14ac:dyDescent="0.3">
      <c r="A46" t="s">
        <v>1</v>
      </c>
      <c r="B46" s="192" t="s">
        <v>109</v>
      </c>
      <c r="C46" s="194"/>
      <c r="D46" s="194"/>
      <c r="E46" s="194"/>
      <c r="F46" s="194"/>
      <c r="G46" s="194"/>
      <c r="H46" s="194"/>
      <c r="I46" s="194"/>
      <c r="J46" s="194"/>
      <c r="K46" s="194"/>
      <c r="L46" s="194"/>
      <c r="M46" s="194"/>
    </row>
    <row r="47" spans="1:13" ht="14.25" customHeight="1" outlineLevel="1" x14ac:dyDescent="0.3">
      <c r="B47" s="195" t="s">
        <v>79</v>
      </c>
      <c r="C47" s="196">
        <f>IFERROR('Assumption Sheet'!C24,0)</f>
        <v>44286</v>
      </c>
      <c r="D47" s="196">
        <f>IFERROR('Assumption Sheet'!D24,0)</f>
        <v>44651</v>
      </c>
      <c r="E47" s="196">
        <f>IFERROR('Assumption Sheet'!E24,0)</f>
        <v>45016</v>
      </c>
      <c r="F47" s="196">
        <f>IFERROR('Assumption Sheet'!F24,0)</f>
        <v>45382</v>
      </c>
      <c r="G47" s="196">
        <f>IFERROR('Assumption Sheet'!G24,0)</f>
        <v>45747</v>
      </c>
      <c r="H47" s="196">
        <f>IFERROR('Assumption Sheet'!H24,0)</f>
        <v>46112</v>
      </c>
      <c r="I47" s="197">
        <f>IFERROR('Assumption Sheet'!I24,0)</f>
        <v>46477</v>
      </c>
      <c r="J47" s="197">
        <f>IFERROR('Assumption Sheet'!J24,0)</f>
        <v>46842</v>
      </c>
      <c r="K47" s="197">
        <f>IFERROR('Assumption Sheet'!K24,0)</f>
        <v>47207</v>
      </c>
      <c r="L47" s="197">
        <f>IFERROR('Assumption Sheet'!L24,0)</f>
        <v>47572</v>
      </c>
      <c r="M47" s="197">
        <f>IFERROR('Assumption Sheet'!M24,0)</f>
        <v>47937</v>
      </c>
    </row>
    <row r="48" spans="1:13" ht="14.25" customHeight="1" outlineLevel="1" x14ac:dyDescent="0.3">
      <c r="B48" t="s">
        <v>110</v>
      </c>
      <c r="C48" s="4">
        <f>IFERROR(HistoricalFS!G57/HistoricalFS!G6,0)</f>
        <v>0.14171048492616564</v>
      </c>
      <c r="D48" s="4">
        <f>IFERROR(HistoricalFS!H57/HistoricalFS!H6,0)</f>
        <v>0.11669555428489743</v>
      </c>
      <c r="E48" s="4">
        <f>IFERROR(HistoricalFS!I57/HistoricalFS!I6,0)</f>
        <v>0.1223442303672026</v>
      </c>
      <c r="F48" s="4">
        <f>IFERROR(HistoricalFS!J57/HistoricalFS!J6,0)</f>
        <v>0.13712148254121104</v>
      </c>
      <c r="G48" s="4">
        <f>IFERROR(HistoricalFS!K57/HistoricalFS!K6,0)</f>
        <v>0.14207526657822506</v>
      </c>
      <c r="H48" s="4">
        <f>IFERROR(HistoricalFS!L57/HistoricalFS!L6,0)</f>
        <v>0.15049739289570402</v>
      </c>
      <c r="I48" s="15">
        <f>$H$48</f>
        <v>0.15049739289570402</v>
      </c>
      <c r="J48" s="15">
        <f>$H$48</f>
        <v>0.15049739289570402</v>
      </c>
      <c r="K48" s="15">
        <f>$H$48</f>
        <v>0.15049739289570402</v>
      </c>
      <c r="L48" s="15">
        <f>$H$48</f>
        <v>0.15049739289570402</v>
      </c>
      <c r="M48" s="15">
        <f>$H$48</f>
        <v>0.15049739289570402</v>
      </c>
    </row>
    <row r="49" spans="1:13" ht="14.25" customHeight="1" outlineLevel="1" x14ac:dyDescent="0.3">
      <c r="B49" t="s">
        <v>111</v>
      </c>
      <c r="C49" s="4">
        <f>IFERROR(HistoricalFS!G63/HistoricalFS!G6,0)</f>
        <v>0.11815708621508339</v>
      </c>
      <c r="D49" s="4">
        <f>IFERROR(HistoricalFS!H63/HistoricalFS!H6,0)</f>
        <v>9.884994749371849E-2</v>
      </c>
      <c r="E49" s="4">
        <f>IFERROR(HistoricalFS!I63/HistoricalFS!I6,0)</f>
        <v>8.8034042563062173E-2</v>
      </c>
      <c r="F49" s="4">
        <f>IFERROR(HistoricalFS!J63/HistoricalFS!J6,0)</f>
        <v>0.10061747194583537</v>
      </c>
      <c r="G49" s="4">
        <f>IFERROR(HistoricalFS!K63/HistoricalFS!K6,0)</f>
        <v>9.8538531370315596E-2</v>
      </c>
      <c r="H49" s="4">
        <f>IFERROR(HistoricalFS!L63/HistoricalFS!L6,0)</f>
        <v>0.13177131898625036</v>
      </c>
      <c r="I49" s="15">
        <f>$H$49</f>
        <v>0.13177131898625036</v>
      </c>
      <c r="J49" s="15">
        <f>$H$49</f>
        <v>0.13177131898625036</v>
      </c>
      <c r="K49" s="15">
        <f>$H$49</f>
        <v>0.13177131898625036</v>
      </c>
      <c r="L49" s="15">
        <f>$H$49</f>
        <v>0.13177131898625036</v>
      </c>
      <c r="M49" s="15">
        <f>$H$49</f>
        <v>0.13177131898625036</v>
      </c>
    </row>
    <row r="50" spans="1:13" ht="14.25" customHeight="1" outlineLevel="1" x14ac:dyDescent="0.3">
      <c r="B50" t="s">
        <v>112</v>
      </c>
      <c r="C50" s="3">
        <f>IFERROR(HistoricalFS!G61,0)</f>
        <v>182.98</v>
      </c>
      <c r="D50" s="3">
        <f>IFERROR(HistoricalFS!H61,0)</f>
        <v>426.43</v>
      </c>
      <c r="E50" s="3">
        <f>IFERROR(HistoricalFS!I61,0)</f>
        <v>1019.59</v>
      </c>
      <c r="F50" s="3">
        <f>IFERROR(HistoricalFS!J61,0)</f>
        <v>2698.37</v>
      </c>
      <c r="G50" s="3">
        <f>IFERROR(HistoricalFS!K61,0)</f>
        <v>1254.49</v>
      </c>
      <c r="H50" s="3">
        <f>IFERROR(HistoricalFS!L61,0)</f>
        <v>1848.67</v>
      </c>
      <c r="I50" s="16">
        <f>$H$50</f>
        <v>1848.67</v>
      </c>
      <c r="J50" s="16">
        <f>$H$50</f>
        <v>1848.67</v>
      </c>
      <c r="K50" s="16">
        <f>$H$50</f>
        <v>1848.67</v>
      </c>
      <c r="L50" s="16">
        <f>$H$50</f>
        <v>1848.67</v>
      </c>
      <c r="M50" s="16">
        <f>$H$50</f>
        <v>1848.67</v>
      </c>
    </row>
    <row r="51" spans="1:13" ht="14.25" customHeight="1" outlineLevel="1" x14ac:dyDescent="0.3">
      <c r="B51" t="s">
        <v>113</v>
      </c>
      <c r="C51" s="3">
        <f>IFERROR(HistoricalFS!G62,0)</f>
        <v>4736.8</v>
      </c>
      <c r="D51" s="3">
        <f>IFERROR(HistoricalFS!H62,0)</f>
        <v>3247.53</v>
      </c>
      <c r="E51" s="3">
        <f>IFERROR(HistoricalFS!I62,0)</f>
        <v>4261.71</v>
      </c>
      <c r="F51" s="3">
        <f>IFERROR(HistoricalFS!J62,0)</f>
        <v>4587.92</v>
      </c>
      <c r="G51" s="3">
        <f>IFERROR(HistoricalFS!K62,0)</f>
        <v>4724.75</v>
      </c>
      <c r="H51" s="3">
        <f>IFERROR(HistoricalFS!L62,0)</f>
        <v>7061.74</v>
      </c>
      <c r="I51" s="16">
        <f>$H$51</f>
        <v>7061.74</v>
      </c>
      <c r="J51" s="16">
        <f>$H$51</f>
        <v>7061.74</v>
      </c>
      <c r="K51" s="16">
        <f>$H$51</f>
        <v>7061.74</v>
      </c>
      <c r="L51" s="16">
        <f>$H$51</f>
        <v>7061.74</v>
      </c>
      <c r="M51" s="16">
        <f>$H$51</f>
        <v>7061.74</v>
      </c>
    </row>
    <row r="52" spans="1:13" ht="14.25" customHeight="1" outlineLevel="1" x14ac:dyDescent="0.3">
      <c r="B52" t="s">
        <v>114</v>
      </c>
      <c r="C52" s="3">
        <f>IFERROR(HistoricalFS!G55,0)</f>
        <v>1093.1199999999999</v>
      </c>
      <c r="D52" s="3">
        <f>IFERROR(HistoricalFS!H55,0)</f>
        <v>1586.88</v>
      </c>
      <c r="E52" s="3">
        <f>IFERROR(HistoricalFS!I55,0)</f>
        <v>1932.62</v>
      </c>
      <c r="F52" s="3">
        <f>IFERROR(HistoricalFS!J55,0)</f>
        <v>2474.38</v>
      </c>
      <c r="G52" s="3">
        <f>IFERROR(HistoricalFS!K55,0)</f>
        <v>2290.29</v>
      </c>
      <c r="H52" s="3">
        <f>IFERROR(HistoricalFS!L55,0)</f>
        <v>3928.93</v>
      </c>
      <c r="I52" s="16">
        <f>$H$52</f>
        <v>3928.93</v>
      </c>
      <c r="J52" s="16">
        <f>$H$52</f>
        <v>3928.93</v>
      </c>
      <c r="K52" s="16">
        <f>$H$52</f>
        <v>3928.93</v>
      </c>
      <c r="L52" s="16">
        <f>$H$52</f>
        <v>3928.93</v>
      </c>
      <c r="M52" s="16">
        <f>$H$52</f>
        <v>3928.93</v>
      </c>
    </row>
    <row r="54" spans="1:13" ht="15" customHeight="1" x14ac:dyDescent="0.3">
      <c r="A54" t="s">
        <v>1</v>
      </c>
      <c r="B54" s="192" t="s">
        <v>115</v>
      </c>
      <c r="C54" s="194"/>
      <c r="D54" s="194"/>
      <c r="E54" s="194"/>
      <c r="F54" s="194"/>
      <c r="G54" s="194"/>
      <c r="H54" s="194"/>
      <c r="I54" s="194"/>
      <c r="J54" s="194"/>
      <c r="K54" s="194"/>
      <c r="L54" s="194"/>
      <c r="M54" s="194"/>
    </row>
    <row r="55" spans="1:13" ht="14.25" customHeight="1" outlineLevel="1" x14ac:dyDescent="0.3">
      <c r="B55" t="s">
        <v>116</v>
      </c>
      <c r="C55" s="20" t="s">
        <v>117</v>
      </c>
    </row>
    <row r="56" spans="1:13" ht="14.25" customHeight="1" outlineLevel="1" x14ac:dyDescent="0.3"/>
    <row r="57" spans="1:13" ht="14.25" customHeight="1" outlineLevel="1" x14ac:dyDescent="0.3">
      <c r="B57" t="s">
        <v>118</v>
      </c>
      <c r="I57" s="15">
        <v>7.0000000000000007E-2</v>
      </c>
      <c r="J57" s="15">
        <v>7.0000000000000007E-2</v>
      </c>
      <c r="K57" s="15">
        <v>7.4999999999999997E-2</v>
      </c>
      <c r="L57" s="15">
        <v>7.4999999999999997E-2</v>
      </c>
      <c r="M57" s="15">
        <v>0.08</v>
      </c>
    </row>
    <row r="58" spans="1:13" ht="14.25" customHeight="1" outlineLevel="1" x14ac:dyDescent="0.3">
      <c r="B58" t="s">
        <v>119</v>
      </c>
      <c r="I58" s="15">
        <v>0.08</v>
      </c>
      <c r="J58" s="15">
        <v>0.09</v>
      </c>
      <c r="K58" s="15">
        <v>0.09</v>
      </c>
      <c r="L58" s="15">
        <v>0.09</v>
      </c>
      <c r="M58" s="15">
        <v>0.1</v>
      </c>
    </row>
    <row r="59" spans="1:13" ht="14.25" customHeight="1" outlineLevel="1" x14ac:dyDescent="0.3">
      <c r="B59" t="s">
        <v>120</v>
      </c>
      <c r="I59" s="15">
        <v>0.66</v>
      </c>
      <c r="J59" s="15">
        <v>0.66</v>
      </c>
      <c r="K59" s="15">
        <v>0.65500000000000003</v>
      </c>
      <c r="L59" s="15">
        <v>0.65500000000000003</v>
      </c>
      <c r="M59" s="15">
        <v>0.65</v>
      </c>
    </row>
    <row r="60" spans="1:13" ht="14.25" customHeight="1" outlineLevel="1" x14ac:dyDescent="0.3">
      <c r="B60" t="s">
        <v>121</v>
      </c>
      <c r="I60" s="15">
        <v>0.65500000000000003</v>
      </c>
      <c r="J60" s="15">
        <v>0.65500000000000003</v>
      </c>
      <c r="K60" s="15">
        <v>0.64500000000000002</v>
      </c>
      <c r="L60" s="15">
        <v>0.64500000000000002</v>
      </c>
      <c r="M60" s="15">
        <v>0.64</v>
      </c>
    </row>
    <row r="61" spans="1:13" ht="14.25" customHeight="1" outlineLevel="1" x14ac:dyDescent="0.3">
      <c r="B61" t="s">
        <v>122</v>
      </c>
      <c r="I61" s="15">
        <v>0.15</v>
      </c>
      <c r="J61" s="15">
        <v>0.15</v>
      </c>
      <c r="K61" s="15">
        <v>0.15</v>
      </c>
      <c r="L61" s="15">
        <v>0.15</v>
      </c>
      <c r="M61" s="15">
        <v>0.15</v>
      </c>
    </row>
    <row r="62" spans="1:13" ht="14.25" customHeight="1" outlineLevel="1" x14ac:dyDescent="0.3">
      <c r="B62" t="s">
        <v>123</v>
      </c>
      <c r="I62" s="15">
        <v>0.15</v>
      </c>
      <c r="J62" s="15">
        <v>0.14799999999999999</v>
      </c>
      <c r="K62" s="15">
        <v>0.14499999999999999</v>
      </c>
      <c r="L62" s="15">
        <v>0.14299999999999999</v>
      </c>
      <c r="M62" s="15">
        <v>0.14000000000000001</v>
      </c>
    </row>
    <row r="63" spans="1:13" ht="14.25" customHeight="1" outlineLevel="1" x14ac:dyDescent="0.3">
      <c r="B63" t="s">
        <v>124</v>
      </c>
      <c r="I63" s="15">
        <v>0.05</v>
      </c>
      <c r="J63" s="15">
        <v>0.05</v>
      </c>
      <c r="K63" s="15">
        <v>0.05</v>
      </c>
      <c r="L63" s="15">
        <v>0.05</v>
      </c>
      <c r="M63" s="15">
        <v>0.05</v>
      </c>
    </row>
    <row r="64" spans="1:13" ht="14.25" customHeight="1" outlineLevel="1" x14ac:dyDescent="0.3">
      <c r="B64" t="s">
        <v>125</v>
      </c>
      <c r="I64" s="16">
        <v>1600</v>
      </c>
      <c r="J64" s="16">
        <v>1500</v>
      </c>
      <c r="K64" s="16">
        <v>1400</v>
      </c>
      <c r="L64" s="16">
        <v>1300</v>
      </c>
      <c r="M64" s="16">
        <v>1200</v>
      </c>
    </row>
    <row r="65" spans="2:13" ht="14.25" customHeight="1" outlineLevel="1" x14ac:dyDescent="0.3"/>
    <row r="66" spans="2:13" ht="14.25" customHeight="1" outlineLevel="1" x14ac:dyDescent="0.3">
      <c r="B66" t="s">
        <v>126</v>
      </c>
      <c r="I66" s="4">
        <f t="shared" ref="I66:M67" si="1">1-I59-I61</f>
        <v>0.18999999999999997</v>
      </c>
      <c r="J66" s="4">
        <f t="shared" si="1"/>
        <v>0.18999999999999997</v>
      </c>
      <c r="K66" s="4">
        <f t="shared" si="1"/>
        <v>0.19499999999999998</v>
      </c>
      <c r="L66" s="4">
        <f t="shared" si="1"/>
        <v>0.19499999999999998</v>
      </c>
      <c r="M66" s="4">
        <f t="shared" si="1"/>
        <v>0.19999999999999998</v>
      </c>
    </row>
    <row r="67" spans="2:13" ht="13.8" customHeight="1" outlineLevel="1" x14ac:dyDescent="0.3">
      <c r="B67" t="s">
        <v>127</v>
      </c>
      <c r="I67" s="4">
        <f t="shared" si="1"/>
        <v>0.19499999999999998</v>
      </c>
      <c r="J67" s="4">
        <f t="shared" si="1"/>
        <v>0.19699999999999998</v>
      </c>
      <c r="K67" s="4">
        <f t="shared" si="1"/>
        <v>0.21</v>
      </c>
      <c r="L67" s="4">
        <f t="shared" si="1"/>
        <v>0.21199999999999999</v>
      </c>
      <c r="M67" s="4">
        <f t="shared" si="1"/>
        <v>0.21999999999999997</v>
      </c>
    </row>
    <row r="69" spans="2:13" ht="12" customHeight="1" x14ac:dyDescent="0.3">
      <c r="B69" s="194"/>
      <c r="C69" s="194"/>
      <c r="D69" s="194"/>
      <c r="E69" s="194"/>
      <c r="F69" s="194"/>
      <c r="G69" s="194"/>
      <c r="H69" s="194"/>
      <c r="I69" s="194"/>
      <c r="J69" s="194"/>
      <c r="K69" s="194"/>
      <c r="L69" s="194"/>
      <c r="M69" s="194"/>
    </row>
  </sheetData>
  <mergeCells count="2">
    <mergeCell ref="B8:M8"/>
    <mergeCell ref="I33:M33"/>
  </mergeCells>
  <dataValidations count="1">
    <dataValidation type="list" sqref="C55" xr:uid="{00000000-0002-0000-0200-000000000000}">
      <formula1>"Base Case,Bull Case"</formula1>
      <formula2>0</formula2>
    </dataValidation>
  </dataValidations>
  <pageMargins left="0.7" right="0.7" top="0.75" bottom="0.75" header="0.3" footer="0.3"/>
  <pageSetup scale="44" orientation="portrait" horizontalDpi="300" verticalDpi="3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96"/>
  <sheetViews>
    <sheetView showGridLines="0" topLeftCell="A33" zoomScale="80" zoomScaleNormal="80" zoomScaleSheetLayoutView="100" workbookViewId="0">
      <selection activeCell="N60" sqref="N60"/>
    </sheetView>
  </sheetViews>
  <sheetFormatPr defaultColWidth="8.6640625" defaultRowHeight="14.4" outlineLevelRow="1" x14ac:dyDescent="0.3"/>
  <cols>
    <col min="1" max="1" width="1.88671875" customWidth="1"/>
    <col min="2" max="2" width="33.44140625" customWidth="1"/>
    <col min="3" max="12" width="12.109375" customWidth="1"/>
    <col min="14" max="15" width="9.44140625" customWidth="1"/>
  </cols>
  <sheetData>
    <row r="2" spans="1:15" ht="15" customHeight="1" x14ac:dyDescent="0.3">
      <c r="B2" s="339" t="str">
        <f>"Forecasted Financial Statement"&amp;" - "&amp;'Data Sheet'!B1</f>
        <v>Forecasted Financial Statement - ASIAN PAINTS LTD</v>
      </c>
      <c r="C2" s="339"/>
      <c r="D2" s="339"/>
      <c r="E2" s="339"/>
      <c r="F2" s="339"/>
      <c r="G2" s="339"/>
      <c r="H2" s="339"/>
      <c r="I2" s="339"/>
      <c r="J2" s="339"/>
      <c r="K2" s="339"/>
      <c r="L2" s="339"/>
    </row>
    <row r="4" spans="1:15" ht="15" customHeight="1" x14ac:dyDescent="0.3">
      <c r="A4" t="s">
        <v>1</v>
      </c>
      <c r="B4" s="192" t="str">
        <f>"Income Statement"&amp;" - "&amp;'Data Sheet'!B1</f>
        <v>Income Statement - ASIAN PAINTS LTD</v>
      </c>
      <c r="C4" s="193"/>
      <c r="D4" s="193"/>
      <c r="E4" s="193"/>
      <c r="F4" s="193"/>
      <c r="G4" s="193"/>
      <c r="H4" s="193"/>
      <c r="I4" s="193"/>
      <c r="J4" s="193"/>
      <c r="K4" s="193"/>
      <c r="L4" s="193"/>
    </row>
    <row r="5" spans="1:15" ht="14.25" customHeight="1" outlineLevel="1" x14ac:dyDescent="0.3">
      <c r="B5" s="195" t="s">
        <v>128</v>
      </c>
      <c r="C5" s="196">
        <f>IFERROR('Assumption Sheet'!D11,0)</f>
        <v>44651</v>
      </c>
      <c r="D5" s="196">
        <f>IFERROR('Assumption Sheet'!E11,0)</f>
        <v>45016</v>
      </c>
      <c r="E5" s="196">
        <f>IFERROR('Assumption Sheet'!F11,0)</f>
        <v>45382</v>
      </c>
      <c r="F5" s="196">
        <f>IFERROR('Assumption Sheet'!G11,0)</f>
        <v>45747</v>
      </c>
      <c r="G5" s="196">
        <f>IFERROR('Assumption Sheet'!H11,0)</f>
        <v>46112</v>
      </c>
      <c r="H5" s="197">
        <f>IFERROR('Assumption Sheet'!I11,0)</f>
        <v>46477</v>
      </c>
      <c r="I5" s="197">
        <f>IFERROR('Assumption Sheet'!J11,0)</f>
        <v>46842</v>
      </c>
      <c r="J5" s="197">
        <f>IFERROR('Assumption Sheet'!K11,0)</f>
        <v>47207</v>
      </c>
      <c r="K5" s="197">
        <f>IFERROR('Assumption Sheet'!L11,0)</f>
        <v>47572</v>
      </c>
      <c r="L5" s="197">
        <f>IFERROR('Assumption Sheet'!M11,0)</f>
        <v>47937</v>
      </c>
      <c r="M5" s="21"/>
    </row>
    <row r="6" spans="1:15" ht="14.25" customHeight="1" outlineLevel="1" x14ac:dyDescent="0.3">
      <c r="B6" s="11" t="s">
        <v>2</v>
      </c>
      <c r="C6" s="22">
        <f>IFERROR(HistoricalFS!H6,0)</f>
        <v>29101.279999999999</v>
      </c>
      <c r="D6" s="22">
        <f>IFERROR(HistoricalFS!I6,0)</f>
        <v>34488.589999999997</v>
      </c>
      <c r="E6" s="22">
        <f>IFERROR(HistoricalFS!J6,0)</f>
        <v>35494.730000000003</v>
      </c>
      <c r="F6" s="22">
        <f>IFERROR(HistoricalFS!K6,0)</f>
        <v>33905.620000000003</v>
      </c>
      <c r="G6" s="22">
        <f>IFERROR(HistoricalFS!L6,0)</f>
        <v>35583.54</v>
      </c>
      <c r="H6" s="210">
        <f>G6*(1+H7)</f>
        <v>38074.387800000004</v>
      </c>
      <c r="I6" s="210">
        <f>H6*(1+I7)</f>
        <v>40739.594946000005</v>
      </c>
      <c r="J6" s="210">
        <f>I6*(1+J7)</f>
        <v>43795.064566950001</v>
      </c>
      <c r="K6" s="210">
        <f>J6*(1+K7)</f>
        <v>47079.694409471253</v>
      </c>
      <c r="L6" s="210">
        <f>K6*(1+L7)</f>
        <v>50846.069962228954</v>
      </c>
    </row>
    <row r="7" spans="1:15" ht="14.25" customHeight="1" outlineLevel="1" x14ac:dyDescent="0.3">
      <c r="B7" t="s">
        <v>129</v>
      </c>
      <c r="C7" s="4">
        <f>IFERROR(HistoricalFS!H7,0)</f>
        <v>0.34028284711453471</v>
      </c>
      <c r="D7" s="4">
        <f>IFERROR(HistoricalFS!I7,0)</f>
        <v>0.18512278497715551</v>
      </c>
      <c r="E7" s="4">
        <f>IFERROR(HistoricalFS!J7,0)</f>
        <v>2.9173126532572313E-2</v>
      </c>
      <c r="F7" s="4">
        <f>IFERROR(HistoricalFS!K7,0)</f>
        <v>-4.4770308155605121E-2</v>
      </c>
      <c r="G7" s="4">
        <f>IFERROR(HistoricalFS!L7,0)</f>
        <v>4.9487960992897317E-2</v>
      </c>
      <c r="H7" s="211">
        <f>IFERROR('Assumption Sheet'!I12,0)</f>
        <v>7.0000000000000007E-2</v>
      </c>
      <c r="I7" s="211">
        <f>IFERROR('Assumption Sheet'!J12,0)</f>
        <v>7.0000000000000007E-2</v>
      </c>
      <c r="J7" s="211">
        <f>IFERROR('Assumption Sheet'!K12,0)</f>
        <v>7.4999999999999997E-2</v>
      </c>
      <c r="K7" s="211">
        <f>IFERROR('Assumption Sheet'!L12,0)</f>
        <v>7.4999999999999997E-2</v>
      </c>
      <c r="L7" s="211">
        <f>IFERROR('Assumption Sheet'!M12,0)</f>
        <v>0.08</v>
      </c>
    </row>
    <row r="8" spans="1:15" ht="14.25" customHeight="1" outlineLevel="1" x14ac:dyDescent="0.3">
      <c r="O8" t="s">
        <v>130</v>
      </c>
    </row>
    <row r="9" spans="1:15" ht="14.25" customHeight="1" outlineLevel="1" x14ac:dyDescent="0.3">
      <c r="B9" t="s">
        <v>4</v>
      </c>
      <c r="C9" s="3">
        <f>IFERROR(HistoricalFS!H9,0)</f>
        <v>20590.57</v>
      </c>
      <c r="D9" s="3">
        <f>IFERROR(HistoricalFS!I9,0)</f>
        <v>23766.7</v>
      </c>
      <c r="E9" s="3">
        <f>IFERROR(HistoricalFS!J9,0)</f>
        <v>23009.99</v>
      </c>
      <c r="F9" s="3">
        <f>IFERROR(HistoricalFS!K9,0)</f>
        <v>22741.27</v>
      </c>
      <c r="G9" s="3">
        <f>IFERROR(HistoricalFS!L9,0)</f>
        <v>23489.629999999997</v>
      </c>
      <c r="H9" s="212">
        <f>H6*H10</f>
        <v>25129.095948000006</v>
      </c>
      <c r="I9" s="212">
        <f>I6*I10</f>
        <v>26888.132664360004</v>
      </c>
      <c r="J9" s="212">
        <f>J6*J10</f>
        <v>28685.767291352251</v>
      </c>
      <c r="K9" s="212">
        <f>K6*K10</f>
        <v>30837.199838203673</v>
      </c>
      <c r="L9" s="212">
        <f>L6*L10</f>
        <v>33049.945475448818</v>
      </c>
    </row>
    <row r="10" spans="1:15" ht="14.25" customHeight="1" outlineLevel="1" x14ac:dyDescent="0.3">
      <c r="B10" t="s">
        <v>5</v>
      </c>
      <c r="C10" s="4">
        <f>IFERROR(HistoricalFS!H10,0)</f>
        <v>0.70754860267314701</v>
      </c>
      <c r="D10" s="4">
        <f>IFERROR(HistoricalFS!I10,0)</f>
        <v>0.68911776329504926</v>
      </c>
      <c r="E10" s="4">
        <f>IFERROR(HistoricalFS!J10,0)</f>
        <v>0.64826496778535858</v>
      </c>
      <c r="F10" s="4">
        <f>IFERROR(HistoricalFS!K10,0)</f>
        <v>0.67072272974214886</v>
      </c>
      <c r="G10" s="4">
        <f>IFERROR(HistoricalFS!L10,0)</f>
        <v>0.66012628310730181</v>
      </c>
      <c r="H10" s="211">
        <f>IFERROR('Assumption Sheet'!I13,0)</f>
        <v>0.66</v>
      </c>
      <c r="I10" s="211">
        <f>IFERROR('Assumption Sheet'!J13,0)</f>
        <v>0.66</v>
      </c>
      <c r="J10" s="211">
        <f>IFERROR('Assumption Sheet'!K13,0)</f>
        <v>0.65500000000000003</v>
      </c>
      <c r="K10" s="211">
        <f>IFERROR('Assumption Sheet'!L13,0)</f>
        <v>0.65500000000000003</v>
      </c>
      <c r="L10" s="211">
        <f>IFERROR('Assumption Sheet'!M13,0)</f>
        <v>0.65</v>
      </c>
    </row>
    <row r="11" spans="1:15" ht="15" customHeight="1" outlineLevel="1" x14ac:dyDescent="0.3"/>
    <row r="12" spans="1:15" ht="14.25" customHeight="1" outlineLevel="1" x14ac:dyDescent="0.3">
      <c r="B12" s="198" t="s">
        <v>6</v>
      </c>
      <c r="C12" s="199">
        <f t="shared" ref="C12:L12" si="0">C6-C9</f>
        <v>8510.7099999999991</v>
      </c>
      <c r="D12" s="199">
        <f t="shared" si="0"/>
        <v>10721.889999999996</v>
      </c>
      <c r="E12" s="199">
        <f t="shared" si="0"/>
        <v>12484.740000000002</v>
      </c>
      <c r="F12" s="199">
        <f t="shared" si="0"/>
        <v>11164.350000000002</v>
      </c>
      <c r="G12" s="199">
        <f t="shared" si="0"/>
        <v>12093.910000000003</v>
      </c>
      <c r="H12" s="213">
        <f t="shared" si="0"/>
        <v>12945.291851999998</v>
      </c>
      <c r="I12" s="213">
        <f t="shared" si="0"/>
        <v>13851.462281640001</v>
      </c>
      <c r="J12" s="213">
        <f t="shared" si="0"/>
        <v>15109.29727559775</v>
      </c>
      <c r="K12" s="213">
        <f t="shared" si="0"/>
        <v>16242.49457126758</v>
      </c>
      <c r="L12" s="213">
        <f t="shared" si="0"/>
        <v>17796.124486780136</v>
      </c>
    </row>
    <row r="13" spans="1:15" ht="14.25" customHeight="1" outlineLevel="1" x14ac:dyDescent="0.3">
      <c r="B13" t="s">
        <v>81</v>
      </c>
      <c r="C13" s="4">
        <f>IFERROR(HistoricalFS!H13,0)</f>
        <v>0.29245139732685294</v>
      </c>
      <c r="D13" s="4">
        <f>IFERROR(HistoricalFS!I13,0)</f>
        <v>0.31088223670495074</v>
      </c>
      <c r="E13" s="4">
        <f>IFERROR(HistoricalFS!J13,0)</f>
        <v>0.35173503221464147</v>
      </c>
      <c r="F13" s="4">
        <f>IFERROR(HistoricalFS!K13,0)</f>
        <v>0.32927727025785108</v>
      </c>
      <c r="G13" s="4">
        <f>IFERROR(HistoricalFS!L13,0)</f>
        <v>0.33987371689269824</v>
      </c>
      <c r="H13" s="211">
        <f>IFERROR('Assumption Sheet'!I14,0)</f>
        <v>0.33999999999999997</v>
      </c>
      <c r="I13" s="211">
        <f>IFERROR('Assumption Sheet'!J14,0)</f>
        <v>0.33999999999999997</v>
      </c>
      <c r="J13" s="211">
        <f>IFERROR('Assumption Sheet'!K14,0)</f>
        <v>0.34499999999999997</v>
      </c>
      <c r="K13" s="211">
        <f>IFERROR('Assumption Sheet'!L14,0)</f>
        <v>0.34499999999999997</v>
      </c>
      <c r="L13" s="211">
        <f>IFERROR('Assumption Sheet'!M14,0)</f>
        <v>0.35</v>
      </c>
    </row>
    <row r="14" spans="1:15" ht="14.25" customHeight="1" outlineLevel="1" x14ac:dyDescent="0.3"/>
    <row r="15" spans="1:15" ht="14.25" customHeight="1" outlineLevel="1" x14ac:dyDescent="0.3">
      <c r="B15" t="s">
        <v>131</v>
      </c>
      <c r="C15" s="3">
        <f>IFERROR(HistoricalFS!H15,0)</f>
        <v>3707.1</v>
      </c>
      <c r="D15" s="3">
        <f>IFERROR(HistoricalFS!I15,0)</f>
        <v>4462.05</v>
      </c>
      <c r="E15" s="3">
        <f>IFERROR(HistoricalFS!J15,0)</f>
        <v>4899.76</v>
      </c>
      <c r="F15" s="3">
        <f>IFERROR(HistoricalFS!K15,0)</f>
        <v>5158.1400000000003</v>
      </c>
      <c r="G15" s="3">
        <f>IFERROR(HistoricalFS!L15,0)</f>
        <v>5394.1799999999994</v>
      </c>
      <c r="H15" s="212">
        <f>H6*H16</f>
        <v>5711.1581700000006</v>
      </c>
      <c r="I15" s="212">
        <f>I6*I16</f>
        <v>6110.9392419000005</v>
      </c>
      <c r="J15" s="212">
        <f>J6*J16</f>
        <v>6569.2596850424998</v>
      </c>
      <c r="K15" s="212">
        <f>K6*K16</f>
        <v>7061.9541614206873</v>
      </c>
      <c r="L15" s="212">
        <f>L6*L16</f>
        <v>7626.9104943343427</v>
      </c>
    </row>
    <row r="16" spans="1:15" ht="14.25" customHeight="1" outlineLevel="1" x14ac:dyDescent="0.3">
      <c r="B16" t="s">
        <v>132</v>
      </c>
      <c r="C16" s="4">
        <f>IFERROR(HistoricalFS!H16,0)</f>
        <v>0.1273861493377611</v>
      </c>
      <c r="D16" s="4">
        <f>IFERROR(HistoricalFS!I16,0)</f>
        <v>0.12937757095897515</v>
      </c>
      <c r="E16" s="4">
        <f>IFERROR(HistoricalFS!J16,0)</f>
        <v>0.1380419008681007</v>
      </c>
      <c r="F16" s="4">
        <f>IFERROR(HistoricalFS!K16,0)</f>
        <v>0.15213230137068723</v>
      </c>
      <c r="G16" s="4">
        <f>IFERROR(HistoricalFS!L16,0)</f>
        <v>0.15159200012140442</v>
      </c>
      <c r="H16" s="211">
        <f>IFERROR('Assumption Sheet'!I15,0)</f>
        <v>0.15</v>
      </c>
      <c r="I16" s="211">
        <f>IFERROR('Assumption Sheet'!J15,0)</f>
        <v>0.15</v>
      </c>
      <c r="J16" s="211">
        <f>IFERROR('Assumption Sheet'!K15,0)</f>
        <v>0.15</v>
      </c>
      <c r="K16" s="211">
        <f>IFERROR('Assumption Sheet'!L15,0)</f>
        <v>0.15</v>
      </c>
      <c r="L16" s="211">
        <f>IFERROR('Assumption Sheet'!M15,0)</f>
        <v>0.15</v>
      </c>
    </row>
    <row r="17" spans="2:12" ht="15" customHeight="1" outlineLevel="1" x14ac:dyDescent="0.3"/>
    <row r="18" spans="2:12" ht="14.25" customHeight="1" outlineLevel="1" x14ac:dyDescent="0.3">
      <c r="B18" s="198" t="s">
        <v>10</v>
      </c>
      <c r="C18" s="199">
        <f t="shared" ref="C18:L18" si="1">C12-C15</f>
        <v>4803.6099999999988</v>
      </c>
      <c r="D18" s="199">
        <f t="shared" si="1"/>
        <v>6259.8399999999956</v>
      </c>
      <c r="E18" s="199">
        <f t="shared" si="1"/>
        <v>7584.9800000000014</v>
      </c>
      <c r="F18" s="199">
        <f t="shared" si="1"/>
        <v>6006.2100000000019</v>
      </c>
      <c r="G18" s="199">
        <f t="shared" si="1"/>
        <v>6699.7300000000041</v>
      </c>
      <c r="H18" s="213">
        <f t="shared" si="1"/>
        <v>7234.1336819999979</v>
      </c>
      <c r="I18" s="213">
        <f t="shared" si="1"/>
        <v>7740.5230397400001</v>
      </c>
      <c r="J18" s="213">
        <f t="shared" si="1"/>
        <v>8540.0375905552501</v>
      </c>
      <c r="K18" s="213">
        <f t="shared" si="1"/>
        <v>9180.5404098468935</v>
      </c>
      <c r="L18" s="213">
        <f t="shared" si="1"/>
        <v>10169.213992445793</v>
      </c>
    </row>
    <row r="19" spans="2:12" ht="14.25" customHeight="1" outlineLevel="1" x14ac:dyDescent="0.3">
      <c r="B19" t="s">
        <v>83</v>
      </c>
      <c r="C19" s="4">
        <f t="shared" ref="C19:L19" si="2">IFERROR(C18/C6,0)</f>
        <v>0.16506524798909186</v>
      </c>
      <c r="D19" s="4">
        <f t="shared" si="2"/>
        <v>0.1815046657459756</v>
      </c>
      <c r="E19" s="4">
        <f t="shared" si="2"/>
        <v>0.21369313134654075</v>
      </c>
      <c r="F19" s="4">
        <f t="shared" si="2"/>
        <v>0.17714496888716388</v>
      </c>
      <c r="G19" s="4">
        <f t="shared" si="2"/>
        <v>0.18828171677129379</v>
      </c>
      <c r="H19" s="211">
        <f t="shared" si="2"/>
        <v>0.18999999999999992</v>
      </c>
      <c r="I19" s="211">
        <f t="shared" si="2"/>
        <v>0.18999999999999997</v>
      </c>
      <c r="J19" s="211">
        <f t="shared" si="2"/>
        <v>0.19500000000000001</v>
      </c>
      <c r="K19" s="211">
        <f t="shared" si="2"/>
        <v>0.19499999999999998</v>
      </c>
      <c r="L19" s="211">
        <f t="shared" si="2"/>
        <v>0.20000000000000004</v>
      </c>
    </row>
    <row r="20" spans="2:12" ht="14.25" customHeight="1" outlineLevel="1" x14ac:dyDescent="0.3">
      <c r="C20" s="4"/>
      <c r="D20" s="4"/>
      <c r="E20" s="4"/>
      <c r="F20" s="4"/>
      <c r="G20" s="4"/>
    </row>
    <row r="21" spans="2:12" ht="14.25" customHeight="1" outlineLevel="1" x14ac:dyDescent="0.3">
      <c r="B21" t="s">
        <v>12</v>
      </c>
      <c r="C21" s="3">
        <f>IFERROR(HistoricalFS!H21,0)</f>
        <v>295.88</v>
      </c>
      <c r="D21" s="3">
        <f>IFERROR(HistoricalFS!I21,0)</f>
        <v>431.46</v>
      </c>
      <c r="E21" s="3">
        <f>IFERROR(HistoricalFS!J21,0)</f>
        <v>820.96</v>
      </c>
      <c r="F21" s="3">
        <f>IFERROR(HistoricalFS!K21,0)</f>
        <v>350.22</v>
      </c>
      <c r="G21" s="3">
        <f>IFERROR(HistoricalFS!L21,0)</f>
        <v>727.97</v>
      </c>
      <c r="H21" s="212">
        <f>IFERROR('Assumption Sheet'!I20,0)</f>
        <v>500</v>
      </c>
      <c r="I21" s="212">
        <f>IFERROR('Assumption Sheet'!J20,0)</f>
        <v>500</v>
      </c>
      <c r="J21" s="212">
        <f>IFERROR('Assumption Sheet'!K20,0)</f>
        <v>500</v>
      </c>
      <c r="K21" s="212">
        <f>IFERROR('Assumption Sheet'!L20,0)</f>
        <v>500</v>
      </c>
      <c r="L21" s="212">
        <f>IFERROR('Assumption Sheet'!M20,0)</f>
        <v>500</v>
      </c>
    </row>
    <row r="22" spans="2:12" ht="14.25" customHeight="1" outlineLevel="1" x14ac:dyDescent="0.3">
      <c r="B22" t="s">
        <v>14</v>
      </c>
      <c r="C22" s="3">
        <f>IFERROR(HistoricalFS!H24,0)</f>
        <v>816.36</v>
      </c>
      <c r="D22" s="3">
        <f>IFERROR(HistoricalFS!I24,0)</f>
        <v>858.02</v>
      </c>
      <c r="E22" s="3">
        <f>IFERROR(HistoricalFS!J24,0)</f>
        <v>853</v>
      </c>
      <c r="F22" s="3">
        <f>IFERROR(HistoricalFS!K24,0)</f>
        <v>1026.3399999999999</v>
      </c>
      <c r="G22" s="3">
        <f>IFERROR(HistoricalFS!L24,0)</f>
        <v>1228.8499999999999</v>
      </c>
      <c r="H22" s="212">
        <f>IFERROR('Assumption Sheet'!I17,0)</f>
        <v>1350</v>
      </c>
      <c r="I22" s="212">
        <f>IFERROR('Assumption Sheet'!J17,0)</f>
        <v>1450</v>
      </c>
      <c r="J22" s="212">
        <f>IFERROR('Assumption Sheet'!K17,0)</f>
        <v>1550</v>
      </c>
      <c r="K22" s="212">
        <f>IFERROR('Assumption Sheet'!L17,0)</f>
        <v>1650</v>
      </c>
      <c r="L22" s="212">
        <f>IFERROR('Assumption Sheet'!M17,0)</f>
        <v>1750</v>
      </c>
    </row>
    <row r="23" spans="2:12" ht="15" customHeight="1" outlineLevel="1" x14ac:dyDescent="0.3"/>
    <row r="24" spans="2:12" ht="14.25" customHeight="1" outlineLevel="1" x14ac:dyDescent="0.3">
      <c r="B24" s="198" t="s">
        <v>133</v>
      </c>
      <c r="C24" s="199">
        <f>IFERROR(HistoricalFS!H27,0)</f>
        <v>4283.1299999999992</v>
      </c>
      <c r="D24" s="199">
        <f>IFERROR(HistoricalFS!I27,0)</f>
        <v>5833.2799999999952</v>
      </c>
      <c r="E24" s="199">
        <f>IFERROR(HistoricalFS!J27,0)</f>
        <v>7552.9400000000023</v>
      </c>
      <c r="F24" s="199">
        <f>IFERROR(HistoricalFS!K27,0)</f>
        <v>5330.090000000002</v>
      </c>
      <c r="G24" s="199">
        <f>IFERROR(HistoricalFS!L27,0)</f>
        <v>6198.850000000004</v>
      </c>
      <c r="H24" s="213">
        <f>(H18+H21)-H22</f>
        <v>6384.1336819999979</v>
      </c>
      <c r="I24" s="213">
        <f>(I18+I21)-I22</f>
        <v>6790.523039740001</v>
      </c>
      <c r="J24" s="213">
        <f>(J18+J21)-J22</f>
        <v>7490.0375905552501</v>
      </c>
      <c r="K24" s="213">
        <f>(K18+K21)-K22</f>
        <v>8030.5404098468935</v>
      </c>
      <c r="L24" s="213">
        <f>(L18+L21)-L22</f>
        <v>8919.2139924457933</v>
      </c>
    </row>
    <row r="25" spans="2:12" ht="14.25" customHeight="1" outlineLevel="1" x14ac:dyDescent="0.3">
      <c r="B25" t="s">
        <v>134</v>
      </c>
      <c r="C25" s="4">
        <f t="shared" ref="C25:L25" si="3">IFERROR(C24/C6,0)</f>
        <v>0.14718012403578123</v>
      </c>
      <c r="D25" s="4">
        <f t="shared" si="3"/>
        <v>0.16913651732355528</v>
      </c>
      <c r="E25" s="4">
        <f t="shared" si="3"/>
        <v>0.21279046213339281</v>
      </c>
      <c r="F25" s="4">
        <f t="shared" si="3"/>
        <v>0.15720373200667032</v>
      </c>
      <c r="G25" s="4">
        <f t="shared" si="3"/>
        <v>0.17420554559776807</v>
      </c>
      <c r="H25" s="211">
        <f t="shared" si="3"/>
        <v>0.16767528122934119</v>
      </c>
      <c r="I25" s="211">
        <f t="shared" si="3"/>
        <v>0.16668116236159891</v>
      </c>
      <c r="J25" s="211">
        <f t="shared" si="3"/>
        <v>0.17102469569613596</v>
      </c>
      <c r="K25" s="211">
        <f t="shared" si="3"/>
        <v>0.170573333378123</v>
      </c>
      <c r="L25" s="211">
        <f t="shared" si="3"/>
        <v>0.175415995750929</v>
      </c>
    </row>
    <row r="26" spans="2:12" ht="14.25" customHeight="1" outlineLevel="1" x14ac:dyDescent="0.3">
      <c r="C26" s="4"/>
      <c r="D26" s="4"/>
      <c r="E26" s="4"/>
      <c r="F26" s="4"/>
      <c r="G26" s="4"/>
      <c r="H26" s="4"/>
      <c r="I26" s="4"/>
      <c r="J26" s="4"/>
      <c r="K26" s="4"/>
      <c r="L26" s="4"/>
    </row>
    <row r="27" spans="2:12" ht="14.25" customHeight="1" outlineLevel="1" x14ac:dyDescent="0.3">
      <c r="B27" t="s">
        <v>135</v>
      </c>
      <c r="C27" s="3">
        <f>IFERROR(HistoricalFS!H30,0)</f>
        <v>95.41</v>
      </c>
      <c r="D27" s="3">
        <f>IFERROR(HistoricalFS!I30,0)</f>
        <v>144.44999999999999</v>
      </c>
      <c r="E27" s="3">
        <f>IFERROR(HistoricalFS!J30,0)</f>
        <v>205.17</v>
      </c>
      <c r="F27" s="3">
        <f>IFERROR(HistoricalFS!K30,0)</f>
        <v>227.02</v>
      </c>
      <c r="G27" s="3">
        <f>IFERROR(HistoricalFS!L30,0)</f>
        <v>195.41</v>
      </c>
      <c r="H27" s="212">
        <f>IFERROR('Assumption Sheet'!I18,0)</f>
        <v>210</v>
      </c>
      <c r="I27" s="212">
        <f>IFERROR('Assumption Sheet'!J18,0)</f>
        <v>220</v>
      </c>
      <c r="J27" s="212">
        <f>IFERROR('Assumption Sheet'!K18,0)</f>
        <v>230</v>
      </c>
      <c r="K27" s="212">
        <f>IFERROR('Assumption Sheet'!L18,0)</f>
        <v>240</v>
      </c>
      <c r="L27" s="212">
        <f>IFERROR('Assumption Sheet'!M18,0)</f>
        <v>250</v>
      </c>
    </row>
    <row r="28" spans="2:12" ht="15" customHeight="1" outlineLevel="1" x14ac:dyDescent="0.3"/>
    <row r="29" spans="2:12" ht="14.25" customHeight="1" outlineLevel="1" x14ac:dyDescent="0.3">
      <c r="B29" s="198" t="s">
        <v>20</v>
      </c>
      <c r="C29" s="199">
        <f t="shared" ref="C29:L29" si="4">C24-C27</f>
        <v>4187.7199999999993</v>
      </c>
      <c r="D29" s="199">
        <f t="shared" si="4"/>
        <v>5688.8299999999954</v>
      </c>
      <c r="E29" s="199">
        <f t="shared" si="4"/>
        <v>7347.7700000000023</v>
      </c>
      <c r="F29" s="199">
        <f t="shared" si="4"/>
        <v>5103.0700000000015</v>
      </c>
      <c r="G29" s="199">
        <f t="shared" si="4"/>
        <v>6003.4400000000041</v>
      </c>
      <c r="H29" s="213">
        <f t="shared" si="4"/>
        <v>6174.1336819999979</v>
      </c>
      <c r="I29" s="213">
        <f t="shared" si="4"/>
        <v>6570.523039740001</v>
      </c>
      <c r="J29" s="213">
        <f t="shared" si="4"/>
        <v>7260.0375905552501</v>
      </c>
      <c r="K29" s="213">
        <f t="shared" si="4"/>
        <v>7790.5404098468935</v>
      </c>
      <c r="L29" s="213">
        <f t="shared" si="4"/>
        <v>8669.2139924457933</v>
      </c>
    </row>
    <row r="30" spans="2:12" ht="14.25" customHeight="1" outlineLevel="1" x14ac:dyDescent="0.3"/>
    <row r="31" spans="2:12" ht="14.25" customHeight="1" outlineLevel="1" x14ac:dyDescent="0.3">
      <c r="B31" t="s">
        <v>22</v>
      </c>
      <c r="C31" s="3">
        <f>IFERROR(HistoricalFS!H36,0)</f>
        <v>1102.9100000000001</v>
      </c>
      <c r="D31" s="3">
        <f>IFERROR(HistoricalFS!I36,0)</f>
        <v>1493.5</v>
      </c>
      <c r="E31" s="3">
        <f>IFERROR(HistoricalFS!J36,0)</f>
        <v>1790.08</v>
      </c>
      <c r="F31" s="3">
        <f>IFERROR(HistoricalFS!K36,0)</f>
        <v>1393.36</v>
      </c>
      <c r="G31" s="3">
        <f>IFERROR(HistoricalFS!L36,0)</f>
        <v>1608.75</v>
      </c>
      <c r="H31" s="212">
        <f>H29*H32</f>
        <v>1605.2747573199995</v>
      </c>
      <c r="I31" s="212">
        <f>I29*I32</f>
        <v>1708.3359903324003</v>
      </c>
      <c r="J31" s="212">
        <f>J29*J32</f>
        <v>1887.609773544365</v>
      </c>
      <c r="K31" s="212">
        <f>K29*K32</f>
        <v>2025.5405065601924</v>
      </c>
      <c r="L31" s="212">
        <f>L29*L32</f>
        <v>2253.9956380359063</v>
      </c>
    </row>
    <row r="32" spans="2:12" ht="14.25" customHeight="1" outlineLevel="1" x14ac:dyDescent="0.3">
      <c r="B32" t="s">
        <v>23</v>
      </c>
      <c r="C32" s="4">
        <f>IFERROR(HistoricalFS!H37,0)</f>
        <v>0.26336765590822697</v>
      </c>
      <c r="D32" s="4">
        <f>IFERROR(HistoricalFS!I37,0)</f>
        <v>0.2625320144915565</v>
      </c>
      <c r="E32" s="4">
        <f>IFERROR(HistoricalFS!J37,0)</f>
        <v>0.24362221463110567</v>
      </c>
      <c r="F32" s="4">
        <f>IFERROR(HistoricalFS!K37,0)</f>
        <v>0.27304348166887765</v>
      </c>
      <c r="G32" s="4">
        <f>IFERROR(HistoricalFS!L37,0)</f>
        <v>0.26797136308516434</v>
      </c>
      <c r="H32" s="211">
        <f>IFERROR('Assumption Sheet'!I19,0)</f>
        <v>0.26</v>
      </c>
      <c r="I32" s="211">
        <f>IFERROR('Assumption Sheet'!J19,0)</f>
        <v>0.26</v>
      </c>
      <c r="J32" s="211">
        <f>IFERROR('Assumption Sheet'!K19,0)</f>
        <v>0.26</v>
      </c>
      <c r="K32" s="211">
        <f>IFERROR('Assumption Sheet'!L19,0)</f>
        <v>0.26</v>
      </c>
      <c r="L32" s="211">
        <f>IFERROR('Assumption Sheet'!M19,0)</f>
        <v>0.26</v>
      </c>
    </row>
    <row r="33" spans="1:14" ht="15" customHeight="1" outlineLevel="1" x14ac:dyDescent="0.3"/>
    <row r="34" spans="1:14" ht="15" customHeight="1" outlineLevel="1" x14ac:dyDescent="0.3">
      <c r="B34" s="200" t="s">
        <v>24</v>
      </c>
      <c r="C34" s="201">
        <f t="shared" ref="C34:L34" si="5">C29-C31</f>
        <v>3084.8099999999995</v>
      </c>
      <c r="D34" s="201">
        <f t="shared" si="5"/>
        <v>4195.3299999999954</v>
      </c>
      <c r="E34" s="201">
        <f t="shared" si="5"/>
        <v>5557.6900000000023</v>
      </c>
      <c r="F34" s="201">
        <f t="shared" si="5"/>
        <v>3709.7100000000019</v>
      </c>
      <c r="G34" s="201">
        <f t="shared" si="5"/>
        <v>4394.6900000000041</v>
      </c>
      <c r="H34" s="214">
        <f t="shared" si="5"/>
        <v>4568.8589246799984</v>
      </c>
      <c r="I34" s="214">
        <f t="shared" si="5"/>
        <v>4862.1870494076011</v>
      </c>
      <c r="J34" s="214">
        <f t="shared" si="5"/>
        <v>5372.4278170108846</v>
      </c>
      <c r="K34" s="214">
        <f t="shared" si="5"/>
        <v>5764.9999032867008</v>
      </c>
      <c r="L34" s="214">
        <f t="shared" si="5"/>
        <v>6415.2183544098871</v>
      </c>
    </row>
    <row r="35" spans="1:14" ht="15" customHeight="1" x14ac:dyDescent="0.3">
      <c r="B35" s="11"/>
      <c r="C35" s="22"/>
      <c r="D35" s="22"/>
      <c r="E35" s="22"/>
      <c r="F35" s="22"/>
      <c r="G35" s="22"/>
    </row>
    <row r="36" spans="1:14" ht="15" customHeight="1" x14ac:dyDescent="0.3">
      <c r="A36" t="s">
        <v>1</v>
      </c>
      <c r="B36" s="192" t="str">
        <f>"Balance Sheet"&amp;" - "&amp;'Data Sheet'!B1</f>
        <v>Balance Sheet - ASIAN PAINTS LTD</v>
      </c>
      <c r="C36" s="194"/>
      <c r="D36" s="194"/>
      <c r="E36" s="194"/>
      <c r="F36" s="194"/>
      <c r="G36" s="194"/>
      <c r="H36" s="194"/>
      <c r="I36" s="194"/>
      <c r="J36" s="194"/>
      <c r="K36" s="194"/>
      <c r="L36" s="194"/>
    </row>
    <row r="37" spans="1:14" ht="14.25" customHeight="1" outlineLevel="1" x14ac:dyDescent="0.3">
      <c r="B37" s="195" t="s">
        <v>128</v>
      </c>
      <c r="C37" s="196">
        <f t="shared" ref="C37:L37" si="6">IFERROR(C5,0)</f>
        <v>44651</v>
      </c>
      <c r="D37" s="196">
        <f t="shared" si="6"/>
        <v>45016</v>
      </c>
      <c r="E37" s="196">
        <f t="shared" si="6"/>
        <v>45382</v>
      </c>
      <c r="F37" s="196">
        <f t="shared" si="6"/>
        <v>45747</v>
      </c>
      <c r="G37" s="196">
        <f t="shared" si="6"/>
        <v>46112</v>
      </c>
      <c r="H37" s="197">
        <f t="shared" si="6"/>
        <v>46477</v>
      </c>
      <c r="I37" s="197">
        <f t="shared" si="6"/>
        <v>46842</v>
      </c>
      <c r="J37" s="197">
        <f t="shared" si="6"/>
        <v>47207</v>
      </c>
      <c r="K37" s="197">
        <f t="shared" si="6"/>
        <v>47572</v>
      </c>
      <c r="L37" s="197">
        <f t="shared" si="6"/>
        <v>47937</v>
      </c>
    </row>
    <row r="38" spans="1:14" ht="14.25" customHeight="1" outlineLevel="1" x14ac:dyDescent="0.3">
      <c r="B38" t="str">
        <f>IFERROR(HistoricalFS!B53,0)</f>
        <v>Equity Share Capital</v>
      </c>
      <c r="C38" s="3">
        <f>IFERROR(HistoricalFS!H53,0)</f>
        <v>95.92</v>
      </c>
      <c r="D38" s="3">
        <f>IFERROR(HistoricalFS!I53,0)</f>
        <v>95.92</v>
      </c>
      <c r="E38" s="3">
        <f>IFERROR(HistoricalFS!J53,0)</f>
        <v>95.92</v>
      </c>
      <c r="F38" s="3">
        <f>IFERROR(HistoricalFS!K53,0)</f>
        <v>95.92</v>
      </c>
      <c r="G38" s="3">
        <f>IFERROR(HistoricalFS!L53,0)</f>
        <v>95.92</v>
      </c>
      <c r="H38" s="16">
        <v>95.92</v>
      </c>
      <c r="I38" s="16">
        <v>95.92</v>
      </c>
      <c r="J38" s="16">
        <v>95.92</v>
      </c>
      <c r="K38" s="16">
        <v>95.92</v>
      </c>
      <c r="L38" s="16">
        <v>95.92</v>
      </c>
    </row>
    <row r="39" spans="1:14" ht="14.25" customHeight="1" outlineLevel="1" x14ac:dyDescent="0.3">
      <c r="B39" t="str">
        <f>IFERROR(HistoricalFS!B54,0)</f>
        <v>Reserves</v>
      </c>
      <c r="C39" s="3">
        <f>IFERROR(HistoricalFS!H54,0)</f>
        <v>13715.64</v>
      </c>
      <c r="D39" s="3">
        <f>IFERROR(HistoricalFS!I54,0)</f>
        <v>15896.31</v>
      </c>
      <c r="E39" s="3">
        <f>IFERROR(HistoricalFS!J54,0)</f>
        <v>18632.38</v>
      </c>
      <c r="F39" s="3">
        <f>IFERROR(HistoricalFS!K54,0)</f>
        <v>19303.89</v>
      </c>
      <c r="G39" s="3">
        <f>IFERROR(HistoricalFS!L54,0)</f>
        <v>21275.67</v>
      </c>
      <c r="H39" s="3">
        <f>G39+H34*(1-'Assumption Sheet'!I21)</f>
        <v>23103.213569871998</v>
      </c>
      <c r="I39" s="3">
        <f>H39+I34*(1-'Assumption Sheet'!J21)</f>
        <v>25048.088389635039</v>
      </c>
      <c r="J39" s="3">
        <f>I39+J34*(1-'Assumption Sheet'!K21)</f>
        <v>27197.059516439393</v>
      </c>
      <c r="K39" s="3">
        <f>J39+K34*(1-'Assumption Sheet'!L21)</f>
        <v>29503.059477754072</v>
      </c>
      <c r="L39" s="3">
        <f>K39+L34*(1-'Assumption Sheet'!M21)</f>
        <v>32069.146819518028</v>
      </c>
      <c r="N39" t="s">
        <v>130</v>
      </c>
    </row>
    <row r="40" spans="1:14" ht="14.25" customHeight="1" outlineLevel="1" x14ac:dyDescent="0.3">
      <c r="B40" t="str">
        <f>IFERROR(HistoricalFS!B55,0)</f>
        <v>Borrowings</v>
      </c>
      <c r="C40" s="3">
        <f>IFERROR(HistoricalFS!H55,0)</f>
        <v>1586.88</v>
      </c>
      <c r="D40" s="3">
        <f>IFERROR(HistoricalFS!I55,0)</f>
        <v>1932.62</v>
      </c>
      <c r="E40" s="3">
        <f>IFERROR(HistoricalFS!J55,0)</f>
        <v>2474.38</v>
      </c>
      <c r="F40" s="3">
        <f>IFERROR(HistoricalFS!K55,0)</f>
        <v>2290.29</v>
      </c>
      <c r="G40" s="3">
        <f>IFERROR(HistoricalFS!L55,0)</f>
        <v>3928.93</v>
      </c>
      <c r="H40" s="3">
        <f>IFERROR('Assumption Sheet'!I52,0)</f>
        <v>3928.93</v>
      </c>
      <c r="I40" s="3">
        <f>IFERROR('Assumption Sheet'!J52,0)</f>
        <v>3928.93</v>
      </c>
      <c r="J40" s="3">
        <f>IFERROR('Assumption Sheet'!K52,0)</f>
        <v>3928.93</v>
      </c>
      <c r="K40" s="3">
        <f>IFERROR('Assumption Sheet'!L52,0)</f>
        <v>3928.93</v>
      </c>
      <c r="L40" s="3">
        <f>IFERROR('Assumption Sheet'!M52,0)</f>
        <v>3928.93</v>
      </c>
    </row>
    <row r="41" spans="1:14" ht="14.25" customHeight="1" outlineLevel="1" x14ac:dyDescent="0.3">
      <c r="B41" t="str">
        <f>IFERROR(HistoricalFS!B56,0)</f>
        <v>Trade Payables</v>
      </c>
      <c r="C41" s="3">
        <f>IFERROR(HistoricalFS!H56,0)</f>
        <v>4164</v>
      </c>
      <c r="D41" s="3">
        <f>IFERROR(HistoricalFS!I56,0)</f>
        <v>3635</v>
      </c>
      <c r="E41" s="3">
        <f>IFERROR(HistoricalFS!J56,0)</f>
        <v>3831</v>
      </c>
      <c r="F41" s="3">
        <f>IFERROR(HistoricalFS!K56,0)</f>
        <v>3848</v>
      </c>
      <c r="G41" s="3">
        <f>IFERROR(HistoricalFS!L56,0)</f>
        <v>3863</v>
      </c>
      <c r="H41" s="3">
        <f>IFERROR('Assumption Sheet'!I27*(ForecastFS!H9/365),0)</f>
        <v>4130.8102928219187</v>
      </c>
      <c r="I41" s="3">
        <f>IFERROR('Assumption Sheet'!J27*(ForecastFS!I9/365),0)</f>
        <v>4419.9670133194522</v>
      </c>
      <c r="J41" s="3">
        <f>IFERROR('Assumption Sheet'!K27*(ForecastFS!J9/365),0)</f>
        <v>4715.4685958387263</v>
      </c>
      <c r="K41" s="3">
        <f>IFERROR('Assumption Sheet'!L27*(ForecastFS!K9/365),0)</f>
        <v>5238.0996985441861</v>
      </c>
      <c r="L41" s="3">
        <f>IFERROR('Assumption Sheet'!M27*(ForecastFS!L9/365),0)</f>
        <v>5613.9633410351416</v>
      </c>
    </row>
    <row r="42" spans="1:14" ht="15" customHeight="1" outlineLevel="1" x14ac:dyDescent="0.3">
      <c r="B42" t="str">
        <f>IFERROR(HistoricalFS!B57,0)</f>
        <v>Other Liabilities</v>
      </c>
      <c r="C42" s="3">
        <f>IFERROR(HistoricalFS!H57,0)</f>
        <v>3395.99</v>
      </c>
      <c r="D42" s="3">
        <f>IFERROR(HistoricalFS!I57,0)</f>
        <v>4219.4799999999996</v>
      </c>
      <c r="E42" s="3">
        <f>IFERROR(HistoricalFS!J57,0)</f>
        <v>4867.09</v>
      </c>
      <c r="F42" s="3">
        <f>IFERROR(HistoricalFS!K57,0)</f>
        <v>4817.1499999999996</v>
      </c>
      <c r="G42" s="3">
        <f>IFERROR(HistoricalFS!L57,0)</f>
        <v>5355.23</v>
      </c>
      <c r="H42" s="3">
        <f>H6*IFERROR('Assumption Sheet'!I48,0)</f>
        <v>5730.0961000000007</v>
      </c>
      <c r="I42" s="3">
        <f>I6*IFERROR('Assumption Sheet'!J48,0)</f>
        <v>6131.2028270000001</v>
      </c>
      <c r="J42" s="3">
        <f>J6*IFERROR('Assumption Sheet'!K48,0)</f>
        <v>6591.0430390249994</v>
      </c>
      <c r="K42" s="3">
        <f>K6*IFERROR('Assumption Sheet'!L48,0)</f>
        <v>7085.3712669518754</v>
      </c>
      <c r="L42" s="3">
        <f>L6*IFERROR('Assumption Sheet'!M48,0)</f>
        <v>7652.200968308025</v>
      </c>
    </row>
    <row r="43" spans="1:14" ht="15" customHeight="1" outlineLevel="1" x14ac:dyDescent="0.3">
      <c r="B43" s="202" t="str">
        <f>IFERROR(HistoricalFS!B58,0)</f>
        <v>Total Liabilities</v>
      </c>
      <c r="C43" s="203">
        <f>IFERROR(HistoricalFS!H58,0)</f>
        <v>22958.43</v>
      </c>
      <c r="D43" s="203">
        <f>IFERROR(HistoricalFS!I58,0)</f>
        <v>25779.329999999998</v>
      </c>
      <c r="E43" s="203">
        <f>IFERROR(HistoricalFS!J58,0)</f>
        <v>29900.77</v>
      </c>
      <c r="F43" s="203">
        <f>IFERROR(HistoricalFS!K58,0)</f>
        <v>30355.25</v>
      </c>
      <c r="G43" s="203">
        <f>IFERROR(HistoricalFS!L58,0)</f>
        <v>34518.75</v>
      </c>
      <c r="H43" s="203">
        <f>SUM(H38:H42)</f>
        <v>36988.969962693918</v>
      </c>
      <c r="I43" s="203">
        <f>SUM(I38:I42)</f>
        <v>39624.108229954494</v>
      </c>
      <c r="J43" s="203">
        <f>SUM(J38:J42)</f>
        <v>42528.421151303111</v>
      </c>
      <c r="K43" s="203">
        <f>SUM(K38:K42)</f>
        <v>45851.380443250135</v>
      </c>
      <c r="L43" s="203">
        <f>SUM(L38:L42)</f>
        <v>49360.161128861189</v>
      </c>
    </row>
    <row r="44" spans="1:14" ht="14.25" customHeight="1" outlineLevel="1" x14ac:dyDescent="0.3">
      <c r="C44" s="3"/>
      <c r="D44" s="3"/>
      <c r="E44" s="3"/>
      <c r="F44" s="3"/>
      <c r="G44" s="3"/>
    </row>
    <row r="45" spans="1:14" ht="14.25" customHeight="1" outlineLevel="1" x14ac:dyDescent="0.3">
      <c r="B45" t="str">
        <f>IFERROR(HistoricalFS!B60,0)</f>
        <v>Fixed Assets Net Block</v>
      </c>
      <c r="C45" s="3">
        <f>IFERROR(HistoricalFS!H60,0)</f>
        <v>5519.06</v>
      </c>
      <c r="D45" s="3">
        <f>IFERROR(HistoricalFS!I60,0)</f>
        <v>5770.46</v>
      </c>
      <c r="E45" s="3">
        <f>IFERROR(HistoricalFS!J60,0)</f>
        <v>7146.62</v>
      </c>
      <c r="F45" s="3">
        <f>IFERROR(HistoricalFS!K60,0)</f>
        <v>9220.1</v>
      </c>
      <c r="G45" s="3">
        <f>IFERROR(HistoricalFS!L60,0)</f>
        <v>9640.2800000000007</v>
      </c>
      <c r="H45" s="3">
        <f>G45+'Assumption Sheet'!I31-H22</f>
        <v>10193.999390000001</v>
      </c>
      <c r="I45" s="3">
        <f>H45+'Assumption Sheet'!J31-I22</f>
        <v>10780.979137300001</v>
      </c>
      <c r="J45" s="3">
        <f>I45+'Assumption Sheet'!K31-J22</f>
        <v>11420.732365647502</v>
      </c>
      <c r="K45" s="3">
        <f>J45+'Assumption Sheet'!L31-K22</f>
        <v>12124.717086121065</v>
      </c>
      <c r="L45" s="3">
        <f>K45+'Assumption Sheet'!M31-L22</f>
        <v>12917.020584232512</v>
      </c>
    </row>
    <row r="46" spans="1:14" ht="14.25" customHeight="1" outlineLevel="1" x14ac:dyDescent="0.3">
      <c r="B46" t="str">
        <f>IFERROR(HistoricalFS!B61,0)</f>
        <v>Capital Work in Progress</v>
      </c>
      <c r="C46" s="3">
        <f>IFERROR(HistoricalFS!H61,0)</f>
        <v>426.43</v>
      </c>
      <c r="D46" s="3">
        <f>IFERROR(HistoricalFS!I61,0)</f>
        <v>1019.59</v>
      </c>
      <c r="E46" s="3">
        <f>IFERROR(HistoricalFS!J61,0)</f>
        <v>2698.37</v>
      </c>
      <c r="F46" s="3">
        <f>IFERROR(HistoricalFS!K61,0)</f>
        <v>1254.49</v>
      </c>
      <c r="G46" s="3">
        <f>IFERROR(HistoricalFS!L61,0)</f>
        <v>1848.67</v>
      </c>
      <c r="H46" s="3">
        <f>IFERROR('Assumption Sheet'!I50,0)</f>
        <v>1848.67</v>
      </c>
      <c r="I46" s="3">
        <f>IFERROR('Assumption Sheet'!J50,0)</f>
        <v>1848.67</v>
      </c>
      <c r="J46" s="3">
        <f>IFERROR('Assumption Sheet'!K50,0)</f>
        <v>1848.67</v>
      </c>
      <c r="K46" s="3">
        <f>IFERROR('Assumption Sheet'!L50,0)</f>
        <v>1848.67</v>
      </c>
      <c r="L46" s="3">
        <f>IFERROR('Assumption Sheet'!M50,0)</f>
        <v>1848.67</v>
      </c>
    </row>
    <row r="47" spans="1:14" ht="14.25" customHeight="1" outlineLevel="1" x14ac:dyDescent="0.3">
      <c r="B47" t="str">
        <f>IFERROR(HistoricalFS!B62,0)</f>
        <v>Investments</v>
      </c>
      <c r="C47" s="3">
        <f>IFERROR(HistoricalFS!H62,0)</f>
        <v>3247.53</v>
      </c>
      <c r="D47" s="3">
        <f>IFERROR(HistoricalFS!I62,0)</f>
        <v>4261.71</v>
      </c>
      <c r="E47" s="3">
        <f>IFERROR(HistoricalFS!J62,0)</f>
        <v>4587.92</v>
      </c>
      <c r="F47" s="3">
        <f>IFERROR(HistoricalFS!K62,0)</f>
        <v>4724.75</v>
      </c>
      <c r="G47" s="3">
        <f>IFERROR(HistoricalFS!L62,0)</f>
        <v>7061.74</v>
      </c>
      <c r="H47" s="3">
        <f>IFERROR('Assumption Sheet'!I51,0)</f>
        <v>7061.74</v>
      </c>
      <c r="I47" s="3">
        <f>IFERROR('Assumption Sheet'!J51,0)</f>
        <v>7061.74</v>
      </c>
      <c r="J47" s="3">
        <f>IFERROR('Assumption Sheet'!K51,0)</f>
        <v>7061.74</v>
      </c>
      <c r="K47" s="3">
        <f>IFERROR('Assumption Sheet'!L51,0)</f>
        <v>7061.74</v>
      </c>
      <c r="L47" s="3">
        <f>IFERROR('Assumption Sheet'!M51,0)</f>
        <v>7061.74</v>
      </c>
    </row>
    <row r="48" spans="1:14" ht="15" customHeight="1" outlineLevel="1" x14ac:dyDescent="0.3">
      <c r="B48" t="str">
        <f>IFERROR(HistoricalFS!B63,0)</f>
        <v>Other Assets</v>
      </c>
      <c r="C48" s="3">
        <f>IFERROR(HistoricalFS!H63,0)</f>
        <v>2876.66</v>
      </c>
      <c r="D48" s="3">
        <f>IFERROR(HistoricalFS!I63,0)</f>
        <v>3036.17</v>
      </c>
      <c r="E48" s="3">
        <f>IFERROR(HistoricalFS!J63,0)</f>
        <v>3571.3900000000012</v>
      </c>
      <c r="F48" s="3">
        <f>IFERROR(HistoricalFS!K63,0)</f>
        <v>3341.01</v>
      </c>
      <c r="G48" s="3">
        <f>IFERROR(HistoricalFS!L63,0)</f>
        <v>4688.8899999999994</v>
      </c>
      <c r="H48" s="3">
        <f>H6*IFERROR('Assumption Sheet'!I49,0)</f>
        <v>5017.1122999999998</v>
      </c>
      <c r="I48" s="3">
        <f>I6*IFERROR('Assumption Sheet'!J49,0)</f>
        <v>5368.3101609999994</v>
      </c>
      <c r="J48" s="3">
        <f>J6*IFERROR('Assumption Sheet'!K49,0)</f>
        <v>5770.9334230749992</v>
      </c>
      <c r="K48" s="3">
        <f>K6*IFERROR('Assumption Sheet'!L49,0)</f>
        <v>6203.7534298056244</v>
      </c>
      <c r="L48" s="3">
        <f>L6*IFERROR('Assumption Sheet'!M49,0)</f>
        <v>6700.0537041900743</v>
      </c>
    </row>
    <row r="49" spans="1:12" ht="15" customHeight="1" outlineLevel="1" x14ac:dyDescent="0.3">
      <c r="B49" s="202" t="str">
        <f>IFERROR(HistoricalFS!B64,0)</f>
        <v>Total Current Assets</v>
      </c>
      <c r="C49" s="203">
        <f>IFERROR(HistoricalFS!H64,0)</f>
        <v>12069.68</v>
      </c>
      <c r="D49" s="203">
        <f>IFERROR(HistoricalFS!I64,0)</f>
        <v>14087.93</v>
      </c>
      <c r="E49" s="203">
        <f>IFERROR(HistoricalFS!J64,0)</f>
        <v>18004.300000000003</v>
      </c>
      <c r="F49" s="203">
        <f>IFERROR(HistoricalFS!K64,0)</f>
        <v>18540.349999999999</v>
      </c>
      <c r="G49" s="203">
        <f>IFERROR(HistoricalFS!L64,0)</f>
        <v>23239.58</v>
      </c>
      <c r="H49" s="203">
        <f>SUM(H45:H48)</f>
        <v>24121.521690000001</v>
      </c>
      <c r="I49" s="203">
        <f>SUM(I45:I48)</f>
        <v>25059.699298300002</v>
      </c>
      <c r="J49" s="203">
        <f>SUM(J45:J48)</f>
        <v>26102.075788722501</v>
      </c>
      <c r="K49" s="203">
        <f>SUM(K45:K48)</f>
        <v>27238.880515926689</v>
      </c>
      <c r="L49" s="203">
        <f>SUM(L45:L48)</f>
        <v>28527.484288422587</v>
      </c>
    </row>
    <row r="50" spans="1:12" ht="14.25" customHeight="1" outlineLevel="1" x14ac:dyDescent="0.3">
      <c r="C50" s="3"/>
      <c r="D50" s="3"/>
      <c r="E50" s="3"/>
      <c r="F50" s="3"/>
      <c r="G50" s="3"/>
    </row>
    <row r="51" spans="1:12" ht="14.25" customHeight="1" outlineLevel="1" x14ac:dyDescent="0.3">
      <c r="B51" t="str">
        <f>IFERROR(HistoricalFS!B66,0)</f>
        <v>Receivables</v>
      </c>
      <c r="C51" s="3">
        <f>IFERROR(HistoricalFS!H66,0)</f>
        <v>3871.44</v>
      </c>
      <c r="D51" s="3">
        <f>IFERROR(HistoricalFS!I66,0)</f>
        <v>4636.9399999999996</v>
      </c>
      <c r="E51" s="3">
        <f>IFERROR(HistoricalFS!J66,0)</f>
        <v>4889.05</v>
      </c>
      <c r="F51" s="3">
        <f>IFERROR(HistoricalFS!K66,0)</f>
        <v>4313.6499999999996</v>
      </c>
      <c r="G51" s="3">
        <f>IFERROR(HistoricalFS!L66,0)</f>
        <v>4461.8</v>
      </c>
      <c r="H51" s="3">
        <f>IFERROR('Assumption Sheet'!I25*(ForecastFS!H6/365),0)</f>
        <v>4798.4159967123296</v>
      </c>
      <c r="I51" s="3">
        <f>IFERROR('Assumption Sheet'!J25*(ForecastFS!I6/365),0)</f>
        <v>5134.3051164821927</v>
      </c>
      <c r="J51" s="3">
        <f>IFERROR('Assumption Sheet'!K25*(ForecastFS!J6/365),0)</f>
        <v>5399.3915219527398</v>
      </c>
      <c r="K51" s="3">
        <f>IFERROR('Assumption Sheet'!L25*(ForecastFS!K6/365),0)</f>
        <v>5804.3458860991959</v>
      </c>
      <c r="L51" s="3">
        <f>IFERROR('Assumption Sheet'!M25*(ForecastFS!L6/365),0)</f>
        <v>6129.38925572075</v>
      </c>
    </row>
    <row r="52" spans="1:12" ht="14.25" customHeight="1" outlineLevel="1" x14ac:dyDescent="0.3">
      <c r="B52" t="str">
        <f>IFERROR(HistoricalFS!B67,0)</f>
        <v>Inventory</v>
      </c>
      <c r="C52" s="3">
        <f>IFERROR(HistoricalFS!H67,0)</f>
        <v>6152.98</v>
      </c>
      <c r="D52" s="3">
        <f>IFERROR(HistoricalFS!I67,0)</f>
        <v>6210.64</v>
      </c>
      <c r="E52" s="3">
        <f>IFERROR(HistoricalFS!J67,0)</f>
        <v>5923.41</v>
      </c>
      <c r="F52" s="3">
        <f>IFERROR(HistoricalFS!K67,0)</f>
        <v>6719.27</v>
      </c>
      <c r="G52" s="3">
        <f>IFERROR(HistoricalFS!L67,0)</f>
        <v>5743.69</v>
      </c>
      <c r="H52" s="3">
        <f>IFERROR('Assumption Sheet'!I26*(ForecastFS!H9/365),0)</f>
        <v>6196.2154392328785</v>
      </c>
      <c r="I52" s="3">
        <f>IFERROR('Assumption Sheet'!J26*(ForecastFS!I9/365),0)</f>
        <v>6482.6182862018632</v>
      </c>
      <c r="J52" s="3">
        <f>IFERROR('Assumption Sheet'!K26*(ForecastFS!J9/365),0)</f>
        <v>6758.8383207021734</v>
      </c>
      <c r="K52" s="3">
        <f>IFERROR('Assumption Sheet'!L26*(ForecastFS!K9/365),0)</f>
        <v>7181.2657157460608</v>
      </c>
      <c r="L52" s="3">
        <f>IFERROR('Assumption Sheet'!M26*(ForecastFS!L9/365),0)</f>
        <v>7515.4670533212384</v>
      </c>
    </row>
    <row r="53" spans="1:12" ht="15" customHeight="1" outlineLevel="1" x14ac:dyDescent="0.3">
      <c r="B53" t="str">
        <f>IFERROR(HistoricalFS!B68,0)</f>
        <v>Cash &amp; Bank</v>
      </c>
      <c r="C53" s="3">
        <f>IFERROR(HistoricalFS!H68,0)</f>
        <v>864.33</v>
      </c>
      <c r="D53" s="3">
        <f>IFERROR(HistoricalFS!I68,0)</f>
        <v>843.82</v>
      </c>
      <c r="E53" s="3">
        <f>IFERROR(HistoricalFS!J68,0)</f>
        <v>1084.01</v>
      </c>
      <c r="F53" s="3">
        <f>IFERROR(HistoricalFS!K68,0)</f>
        <v>781.98</v>
      </c>
      <c r="G53" s="3">
        <f>IFERROR(HistoricalFS!L68,0)</f>
        <v>1073.68</v>
      </c>
      <c r="H53" s="3">
        <f>H87</f>
        <v>1872.8168367487103</v>
      </c>
      <c r="I53" s="3">
        <f>I87</f>
        <v>2947.4855289704365</v>
      </c>
      <c r="J53" s="3">
        <f>J87</f>
        <v>4268.1155199257064</v>
      </c>
      <c r="K53" s="3">
        <f>K87</f>
        <v>5626.8883254781913</v>
      </c>
      <c r="L53" s="3">
        <f>L87</f>
        <v>7187.8205313966218</v>
      </c>
    </row>
    <row r="54" spans="1:12" ht="15" customHeight="1" outlineLevel="1" x14ac:dyDescent="0.3">
      <c r="B54" s="202" t="str">
        <f>IFERROR(HistoricalFS!B69,0)</f>
        <v>Total Non Current Assets</v>
      </c>
      <c r="C54" s="203">
        <f>IFERROR(HistoricalFS!H69,0)</f>
        <v>10888.75</v>
      </c>
      <c r="D54" s="203">
        <f>IFERROR(HistoricalFS!I69,0)</f>
        <v>11691.4</v>
      </c>
      <c r="E54" s="203">
        <f>IFERROR(HistoricalFS!J69,0)</f>
        <v>11896.47</v>
      </c>
      <c r="F54" s="203">
        <f>IFERROR(HistoricalFS!K69,0)</f>
        <v>11814.9</v>
      </c>
      <c r="G54" s="203">
        <f>IFERROR(HistoricalFS!L69,0)</f>
        <v>11279.17</v>
      </c>
      <c r="H54" s="203">
        <f>SUM(H51:H53)</f>
        <v>12867.448272693919</v>
      </c>
      <c r="I54" s="203">
        <f>SUM(I51:I53)</f>
        <v>14564.408931654492</v>
      </c>
      <c r="J54" s="203">
        <f>SUM(J51:J53)</f>
        <v>16426.345362580621</v>
      </c>
      <c r="K54" s="203">
        <f>SUM(K51:K53)</f>
        <v>18612.499927323446</v>
      </c>
      <c r="L54" s="203">
        <f>SUM(L51:L53)</f>
        <v>20832.676840438609</v>
      </c>
    </row>
    <row r="55" spans="1:12" ht="15" customHeight="1" outlineLevel="1" x14ac:dyDescent="0.3">
      <c r="C55" s="3"/>
      <c r="D55" s="3"/>
      <c r="E55" s="3"/>
      <c r="F55" s="3"/>
      <c r="G55" s="3"/>
    </row>
    <row r="56" spans="1:12" ht="15" customHeight="1" outlineLevel="1" x14ac:dyDescent="0.3">
      <c r="B56" s="202" t="str">
        <f>IFERROR(HistoricalFS!B71,0)</f>
        <v>Total Assets</v>
      </c>
      <c r="C56" s="203">
        <f>IFERROR(HistoricalFS!H71,0)</f>
        <v>22958.43</v>
      </c>
      <c r="D56" s="203">
        <f>IFERROR(HistoricalFS!I71,0)</f>
        <v>25779.33</v>
      </c>
      <c r="E56" s="203">
        <f>IFERROR(HistoricalFS!J71,0)</f>
        <v>29900.770000000004</v>
      </c>
      <c r="F56" s="203">
        <f>IFERROR(HistoricalFS!K71,0)</f>
        <v>30355.25</v>
      </c>
      <c r="G56" s="203">
        <f>IFERROR(HistoricalFS!L71,0)</f>
        <v>34518.75</v>
      </c>
      <c r="H56" s="203">
        <f>SUM(H54,H49)</f>
        <v>36988.969962693918</v>
      </c>
      <c r="I56" s="203">
        <f>SUM(I54,I49)</f>
        <v>39624.108229954494</v>
      </c>
      <c r="J56" s="203">
        <f>SUM(J54,J49)</f>
        <v>42528.421151303119</v>
      </c>
      <c r="K56" s="203">
        <f>SUM(K54,K49)</f>
        <v>45851.380443250135</v>
      </c>
      <c r="L56" s="203">
        <f>SUM(L54,L49)</f>
        <v>49360.161128861197</v>
      </c>
    </row>
    <row r="57" spans="1:12" ht="15" customHeight="1" outlineLevel="1" x14ac:dyDescent="0.3"/>
    <row r="58" spans="1:12" ht="15" customHeight="1" outlineLevel="1" x14ac:dyDescent="0.3">
      <c r="B58" s="204" t="str">
        <f>IFERROR(HistoricalFS!B73,0)</f>
        <v>Check</v>
      </c>
      <c r="C58" s="204" t="b">
        <f t="shared" ref="C58:L58" si="7">IFERROR(C56=C43,0)</f>
        <v>1</v>
      </c>
      <c r="D58" s="204" t="b">
        <f t="shared" si="7"/>
        <v>1</v>
      </c>
      <c r="E58" s="204" t="b">
        <f t="shared" si="7"/>
        <v>1</v>
      </c>
      <c r="F58" s="204" t="b">
        <f t="shared" si="7"/>
        <v>1</v>
      </c>
      <c r="G58" s="204" t="b">
        <f t="shared" si="7"/>
        <v>1</v>
      </c>
      <c r="H58" s="204" t="b">
        <f t="shared" si="7"/>
        <v>1</v>
      </c>
      <c r="I58" s="204" t="b">
        <f t="shared" si="7"/>
        <v>1</v>
      </c>
      <c r="J58" s="204" t="b">
        <f t="shared" si="7"/>
        <v>1</v>
      </c>
      <c r="K58" s="204" t="b">
        <f t="shared" si="7"/>
        <v>1</v>
      </c>
      <c r="L58" s="204" t="b">
        <f t="shared" si="7"/>
        <v>1</v>
      </c>
    </row>
    <row r="60" spans="1:12" ht="15" customHeight="1" x14ac:dyDescent="0.3">
      <c r="A60" t="s">
        <v>1</v>
      </c>
      <c r="B60" s="192" t="str">
        <f>"Cash Flow Statement"&amp;" - "&amp;'Data Sheet'!B1</f>
        <v>Cash Flow Statement - ASIAN PAINTS LTD</v>
      </c>
      <c r="C60" s="194"/>
      <c r="D60" s="194"/>
      <c r="E60" s="194"/>
      <c r="F60" s="194"/>
      <c r="G60" s="194"/>
      <c r="H60" s="194"/>
      <c r="I60" s="194"/>
      <c r="J60" s="194"/>
      <c r="K60" s="194"/>
      <c r="L60" s="194"/>
    </row>
    <row r="61" spans="1:12" ht="14.25" customHeight="1" outlineLevel="1" x14ac:dyDescent="0.3">
      <c r="B61" s="195" t="s">
        <v>128</v>
      </c>
      <c r="C61" s="196">
        <f t="shared" ref="C61:L61" si="8">IFERROR(C5,0)</f>
        <v>44651</v>
      </c>
      <c r="D61" s="196">
        <f t="shared" si="8"/>
        <v>45016</v>
      </c>
      <c r="E61" s="196">
        <f t="shared" si="8"/>
        <v>45382</v>
      </c>
      <c r="F61" s="196">
        <f t="shared" si="8"/>
        <v>45747</v>
      </c>
      <c r="G61" s="196">
        <f t="shared" si="8"/>
        <v>46112</v>
      </c>
      <c r="H61" s="197">
        <f t="shared" si="8"/>
        <v>46477</v>
      </c>
      <c r="I61" s="197">
        <f t="shared" si="8"/>
        <v>46842</v>
      </c>
      <c r="J61" s="197">
        <f t="shared" si="8"/>
        <v>47207</v>
      </c>
      <c r="K61" s="197">
        <f t="shared" si="8"/>
        <v>47572</v>
      </c>
      <c r="L61" s="197">
        <f t="shared" si="8"/>
        <v>47937</v>
      </c>
    </row>
    <row r="62" spans="1:12" ht="14.25" customHeight="1" outlineLevel="1" x14ac:dyDescent="0.3">
      <c r="A62" t="s">
        <v>89</v>
      </c>
      <c r="B62" s="11" t="s">
        <v>136</v>
      </c>
    </row>
    <row r="63" spans="1:12" ht="14.25" customHeight="1" outlineLevel="1" x14ac:dyDescent="0.3">
      <c r="B63" t="s">
        <v>137</v>
      </c>
      <c r="C63" s="3">
        <f t="shared" ref="C63:L63" si="9">C34</f>
        <v>3084.8099999999995</v>
      </c>
      <c r="D63" s="3">
        <f t="shared" si="9"/>
        <v>4195.3299999999954</v>
      </c>
      <c r="E63" s="3">
        <f t="shared" si="9"/>
        <v>5557.6900000000023</v>
      </c>
      <c r="F63" s="3">
        <f t="shared" si="9"/>
        <v>3709.7100000000019</v>
      </c>
      <c r="G63" s="3">
        <f t="shared" si="9"/>
        <v>4394.6900000000041</v>
      </c>
      <c r="H63" s="3">
        <f t="shared" si="9"/>
        <v>4568.8589246799984</v>
      </c>
      <c r="I63" s="3">
        <f t="shared" si="9"/>
        <v>4862.1870494076011</v>
      </c>
      <c r="J63" s="3">
        <f t="shared" si="9"/>
        <v>5372.4278170108846</v>
      </c>
      <c r="K63" s="3">
        <f t="shared" si="9"/>
        <v>5764.9999032867008</v>
      </c>
      <c r="L63" s="3">
        <f t="shared" si="9"/>
        <v>6415.2183544098871</v>
      </c>
    </row>
    <row r="64" spans="1:12" ht="14.25" customHeight="1" outlineLevel="1" x14ac:dyDescent="0.3">
      <c r="B64" t="s">
        <v>138</v>
      </c>
      <c r="C64" s="3">
        <f>'Assumption Sheet'!D17</f>
        <v>816.36</v>
      </c>
      <c r="D64" s="3">
        <f>'Assumption Sheet'!E17</f>
        <v>858.02</v>
      </c>
      <c r="E64" s="3">
        <f>'Assumption Sheet'!F17</f>
        <v>853</v>
      </c>
      <c r="F64" s="3">
        <f>'Assumption Sheet'!G17</f>
        <v>1026.3399999999999</v>
      </c>
      <c r="G64" s="3">
        <f>'Assumption Sheet'!H17</f>
        <v>1228.8499999999999</v>
      </c>
      <c r="H64" s="3">
        <f>'Assumption Sheet'!I17</f>
        <v>1350</v>
      </c>
      <c r="I64" s="3">
        <f>'Assumption Sheet'!J17</f>
        <v>1450</v>
      </c>
      <c r="J64" s="3">
        <f>'Assumption Sheet'!K17</f>
        <v>1550</v>
      </c>
      <c r="K64" s="3">
        <f>'Assumption Sheet'!L17</f>
        <v>1650</v>
      </c>
      <c r="L64" s="3">
        <f>'Assumption Sheet'!M17</f>
        <v>1750</v>
      </c>
    </row>
    <row r="65" spans="1:12" ht="14.25" customHeight="1" outlineLevel="1" x14ac:dyDescent="0.3">
      <c r="C65" s="3"/>
      <c r="D65" s="3"/>
      <c r="E65" s="3"/>
      <c r="F65" s="3"/>
      <c r="G65" s="3"/>
      <c r="H65" s="3"/>
      <c r="I65" s="3"/>
      <c r="J65" s="3"/>
      <c r="K65" s="3"/>
      <c r="L65" s="3"/>
    </row>
    <row r="66" spans="1:12" ht="14.25" customHeight="1" outlineLevel="1" x14ac:dyDescent="0.3">
      <c r="B66" s="11" t="s">
        <v>139</v>
      </c>
      <c r="C66" s="3"/>
      <c r="D66" s="3"/>
      <c r="E66" s="3"/>
      <c r="F66" s="3"/>
      <c r="G66" s="3"/>
      <c r="H66" s="3"/>
      <c r="I66" s="3"/>
      <c r="J66" s="3"/>
      <c r="K66" s="3"/>
      <c r="L66" s="3"/>
    </row>
    <row r="67" spans="1:12" ht="14.25" customHeight="1" outlineLevel="1" x14ac:dyDescent="0.3">
      <c r="B67" t="s">
        <v>140</v>
      </c>
      <c r="C67" s="3"/>
      <c r="D67" s="3">
        <f t="shared" ref="D67:G68" si="10">-(C51-D51)</f>
        <v>765.49999999999955</v>
      </c>
      <c r="E67" s="3">
        <f t="shared" si="10"/>
        <v>252.11000000000058</v>
      </c>
      <c r="F67" s="3">
        <f t="shared" si="10"/>
        <v>-575.40000000000055</v>
      </c>
      <c r="G67" s="3">
        <f t="shared" si="10"/>
        <v>148.15000000000055</v>
      </c>
      <c r="H67" s="3">
        <f t="shared" ref="H67:L68" si="11">-(H51-G51)</f>
        <v>-336.61599671232943</v>
      </c>
      <c r="I67" s="3">
        <f t="shared" si="11"/>
        <v>-335.8891197698631</v>
      </c>
      <c r="J67" s="3">
        <f t="shared" si="11"/>
        <v>-265.08640547054711</v>
      </c>
      <c r="K67" s="3">
        <f t="shared" si="11"/>
        <v>-404.9543641464561</v>
      </c>
      <c r="L67" s="3">
        <f t="shared" si="11"/>
        <v>-325.04336962155412</v>
      </c>
    </row>
    <row r="68" spans="1:12" ht="14.25" customHeight="1" outlineLevel="1" x14ac:dyDescent="0.3">
      <c r="B68" t="s">
        <v>141</v>
      </c>
      <c r="C68" s="3"/>
      <c r="D68" s="3">
        <f t="shared" si="10"/>
        <v>57.660000000000764</v>
      </c>
      <c r="E68" s="3">
        <f t="shared" si="10"/>
        <v>-287.23000000000047</v>
      </c>
      <c r="F68" s="3">
        <f t="shared" si="10"/>
        <v>795.86000000000058</v>
      </c>
      <c r="G68" s="3">
        <f t="shared" si="10"/>
        <v>-975.58000000000084</v>
      </c>
      <c r="H68" s="3">
        <f t="shared" si="11"/>
        <v>-452.52543923287885</v>
      </c>
      <c r="I68" s="3">
        <f t="shared" si="11"/>
        <v>-286.4028469689847</v>
      </c>
      <c r="J68" s="3">
        <f t="shared" si="11"/>
        <v>-276.22003450031025</v>
      </c>
      <c r="K68" s="3">
        <f t="shared" si="11"/>
        <v>-422.42739504388737</v>
      </c>
      <c r="L68" s="3">
        <f t="shared" si="11"/>
        <v>-334.2013375751776</v>
      </c>
    </row>
    <row r="69" spans="1:12" ht="14.25" customHeight="1" outlineLevel="1" x14ac:dyDescent="0.3">
      <c r="B69" t="s">
        <v>142</v>
      </c>
      <c r="C69" s="3"/>
      <c r="D69" s="3">
        <f t="shared" ref="D69:L69" si="12">D41-C41</f>
        <v>-529</v>
      </c>
      <c r="E69" s="3">
        <f t="shared" si="12"/>
        <v>196</v>
      </c>
      <c r="F69" s="3">
        <f t="shared" si="12"/>
        <v>17</v>
      </c>
      <c r="G69" s="3">
        <f t="shared" si="12"/>
        <v>15</v>
      </c>
      <c r="H69" s="3">
        <f t="shared" si="12"/>
        <v>267.81029282191867</v>
      </c>
      <c r="I69" s="3">
        <f t="shared" si="12"/>
        <v>289.15672049753357</v>
      </c>
      <c r="J69" s="3">
        <f t="shared" si="12"/>
        <v>295.50158251927405</v>
      </c>
      <c r="K69" s="3">
        <f t="shared" si="12"/>
        <v>522.63110270545985</v>
      </c>
      <c r="L69" s="3">
        <f t="shared" si="12"/>
        <v>375.8636424909555</v>
      </c>
    </row>
    <row r="70" spans="1:12" ht="14.25" customHeight="1" outlineLevel="1" x14ac:dyDescent="0.3">
      <c r="B70" t="s">
        <v>143</v>
      </c>
      <c r="C70" s="3"/>
      <c r="D70" s="3">
        <f t="shared" ref="D70:L70" si="13">(D42-C42)-(D48-C48)</f>
        <v>663.97999999999956</v>
      </c>
      <c r="E70" s="3">
        <f t="shared" si="13"/>
        <v>112.38999999999942</v>
      </c>
      <c r="F70" s="3">
        <f t="shared" si="13"/>
        <v>180.44000000000051</v>
      </c>
      <c r="G70" s="3">
        <f t="shared" si="13"/>
        <v>-809.79999999999927</v>
      </c>
      <c r="H70" s="3">
        <f t="shared" si="13"/>
        <v>46.643800000000738</v>
      </c>
      <c r="I70" s="3">
        <f t="shared" si="13"/>
        <v>49.908865999999762</v>
      </c>
      <c r="J70" s="3">
        <f t="shared" si="13"/>
        <v>57.216949949999616</v>
      </c>
      <c r="K70" s="3">
        <f t="shared" si="13"/>
        <v>61.508221196250815</v>
      </c>
      <c r="L70" s="3">
        <f t="shared" si="13"/>
        <v>70.52942697169965</v>
      </c>
    </row>
    <row r="71" spans="1:12" ht="14.25" customHeight="1" outlineLevel="1" x14ac:dyDescent="0.3">
      <c r="B71" t="s">
        <v>144</v>
      </c>
      <c r="C71" s="3">
        <f t="shared" ref="C71:L71" si="14">-C31</f>
        <v>-1102.9100000000001</v>
      </c>
      <c r="D71" s="3">
        <f t="shared" si="14"/>
        <v>-1493.5</v>
      </c>
      <c r="E71" s="3">
        <f t="shared" si="14"/>
        <v>-1790.08</v>
      </c>
      <c r="F71" s="3">
        <f t="shared" si="14"/>
        <v>-1393.36</v>
      </c>
      <c r="G71" s="3">
        <f t="shared" si="14"/>
        <v>-1608.75</v>
      </c>
      <c r="H71" s="3">
        <f t="shared" si="14"/>
        <v>-1605.2747573199995</v>
      </c>
      <c r="I71" s="3">
        <f t="shared" si="14"/>
        <v>-1708.3359903324003</v>
      </c>
      <c r="J71" s="3">
        <f t="shared" si="14"/>
        <v>-1887.609773544365</v>
      </c>
      <c r="K71" s="3">
        <f t="shared" si="14"/>
        <v>-2025.5405065601924</v>
      </c>
      <c r="L71" s="3">
        <f t="shared" si="14"/>
        <v>-2253.9956380359063</v>
      </c>
    </row>
    <row r="72" spans="1:12" ht="14.25" customHeight="1" outlineLevel="1" x14ac:dyDescent="0.3">
      <c r="B72" s="202" t="s">
        <v>145</v>
      </c>
      <c r="C72" s="203"/>
      <c r="D72" s="203">
        <f>SUM(D67:D70,D63:D64,D71)</f>
        <v>4517.9899999999961</v>
      </c>
      <c r="E72" s="203">
        <f>SUM(E67:E70,E63:E64,E71)</f>
        <v>4893.8800000000019</v>
      </c>
      <c r="F72" s="203">
        <f>SUM(F67:F70,F63:F64,F71)</f>
        <v>3760.5900000000029</v>
      </c>
      <c r="G72" s="203">
        <f>SUM(G67:G70,G63:G64,G71)</f>
        <v>2392.5600000000045</v>
      </c>
      <c r="H72" s="203">
        <f>SUM(H67:H70,H63:H64)</f>
        <v>5444.1715815567095</v>
      </c>
      <c r="I72" s="203">
        <f>SUM(I67:I70,I63:I64)</f>
        <v>6028.9606691662866</v>
      </c>
      <c r="J72" s="203">
        <f>SUM(J67:J70,J63:J64)</f>
        <v>6733.8399095093009</v>
      </c>
      <c r="K72" s="203">
        <f>SUM(K67:K70,K63:K64)</f>
        <v>7171.757467998068</v>
      </c>
      <c r="L72" s="203">
        <f>SUM(L67:L70,L63:L64)</f>
        <v>7952.3667166758105</v>
      </c>
    </row>
    <row r="73" spans="1:12" ht="14.25" customHeight="1" outlineLevel="1" x14ac:dyDescent="0.3">
      <c r="B73" s="11"/>
      <c r="C73" s="3"/>
      <c r="D73" s="3"/>
      <c r="E73" s="3"/>
      <c r="F73" s="3"/>
      <c r="G73" s="3"/>
      <c r="H73" s="3"/>
      <c r="I73" s="3"/>
      <c r="J73" s="3"/>
      <c r="K73" s="3"/>
      <c r="L73" s="3"/>
    </row>
    <row r="74" spans="1:12" ht="14.25" customHeight="1" outlineLevel="1" x14ac:dyDescent="0.3">
      <c r="B74" s="11" t="s">
        <v>146</v>
      </c>
      <c r="C74" s="22"/>
      <c r="D74" s="22"/>
      <c r="E74" s="22"/>
      <c r="F74" s="22"/>
      <c r="G74" s="22"/>
      <c r="H74" s="22"/>
      <c r="I74" s="22"/>
      <c r="J74" s="22"/>
      <c r="K74" s="22"/>
      <c r="L74" s="22"/>
    </row>
    <row r="75" spans="1:12" ht="14.25" customHeight="1" outlineLevel="1" x14ac:dyDescent="0.3">
      <c r="A75" t="s">
        <v>89</v>
      </c>
      <c r="B75" t="s">
        <v>147</v>
      </c>
      <c r="C75" s="3">
        <f>-'Assumption Sheet'!D31</f>
        <v>-551</v>
      </c>
      <c r="D75" s="3">
        <f>-'Assumption Sheet'!E31</f>
        <v>-1446</v>
      </c>
      <c r="E75" s="3">
        <f>-'Assumption Sheet'!F31</f>
        <v>-2496</v>
      </c>
      <c r="F75" s="3">
        <f>-'Assumption Sheet'!G31</f>
        <v>-1830</v>
      </c>
      <c r="G75" s="3">
        <f>-'Assumption Sheet'!H31</f>
        <v>-1487</v>
      </c>
      <c r="H75" s="3">
        <f>-'Assumption Sheet'!I31</f>
        <v>-1903.7193900000002</v>
      </c>
      <c r="I75" s="3">
        <f>-'Assumption Sheet'!J31</f>
        <v>-2036.9797473000003</v>
      </c>
      <c r="J75" s="3">
        <f>-'Assumption Sheet'!K31</f>
        <v>-2189.7532283475002</v>
      </c>
      <c r="K75" s="3">
        <f>-'Assumption Sheet'!L31</f>
        <v>-2353.9847204735629</v>
      </c>
      <c r="L75" s="3">
        <f>-'Assumption Sheet'!M31</f>
        <v>-2542.3034981114479</v>
      </c>
    </row>
    <row r="76" spans="1:12" ht="14.25" customHeight="1" outlineLevel="1" x14ac:dyDescent="0.3">
      <c r="B76" s="11" t="s">
        <v>148</v>
      </c>
      <c r="C76" s="22"/>
      <c r="D76" s="22">
        <f t="shared" ref="D76:L76" si="15">-(D47-C47)</f>
        <v>-1014.1799999999998</v>
      </c>
      <c r="E76" s="22">
        <f t="shared" si="15"/>
        <v>-326.21000000000004</v>
      </c>
      <c r="F76" s="22">
        <f t="shared" si="15"/>
        <v>-136.82999999999993</v>
      </c>
      <c r="G76" s="22">
        <f t="shared" si="15"/>
        <v>-2336.9899999999998</v>
      </c>
      <c r="H76" s="22">
        <f t="shared" si="15"/>
        <v>0</v>
      </c>
      <c r="I76" s="22">
        <f t="shared" si="15"/>
        <v>0</v>
      </c>
      <c r="J76" s="22">
        <f t="shared" si="15"/>
        <v>0</v>
      </c>
      <c r="K76" s="22">
        <f t="shared" si="15"/>
        <v>0</v>
      </c>
      <c r="L76" s="22">
        <f t="shared" si="15"/>
        <v>0</v>
      </c>
    </row>
    <row r="77" spans="1:12" ht="14.25" customHeight="1" outlineLevel="1" x14ac:dyDescent="0.3">
      <c r="B77" t="s">
        <v>149</v>
      </c>
      <c r="C77" s="3"/>
      <c r="D77" s="3">
        <f t="shared" ref="D77:L77" si="16">-(D46-C46)</f>
        <v>-593.16000000000008</v>
      </c>
      <c r="E77" s="3">
        <f t="shared" si="16"/>
        <v>-1678.7799999999997</v>
      </c>
      <c r="F77" s="3">
        <f t="shared" si="16"/>
        <v>1443.8799999999999</v>
      </c>
      <c r="G77" s="3">
        <f t="shared" si="16"/>
        <v>-594.18000000000006</v>
      </c>
      <c r="H77" s="3">
        <f t="shared" si="16"/>
        <v>0</v>
      </c>
      <c r="I77" s="3">
        <f t="shared" si="16"/>
        <v>0</v>
      </c>
      <c r="J77" s="3">
        <f t="shared" si="16"/>
        <v>0</v>
      </c>
      <c r="K77" s="3">
        <f t="shared" si="16"/>
        <v>0</v>
      </c>
      <c r="L77" s="3">
        <f t="shared" si="16"/>
        <v>0</v>
      </c>
    </row>
    <row r="78" spans="1:12" ht="14.25" customHeight="1" outlineLevel="1" x14ac:dyDescent="0.3">
      <c r="B78" s="202" t="s">
        <v>150</v>
      </c>
      <c r="C78" s="205"/>
      <c r="D78" s="203">
        <f t="shared" ref="D78:L78" si="17">SUM(D75:D77)</f>
        <v>-3053.34</v>
      </c>
      <c r="E78" s="203">
        <f t="shared" si="17"/>
        <v>-4500.99</v>
      </c>
      <c r="F78" s="203">
        <f t="shared" si="17"/>
        <v>-522.95000000000005</v>
      </c>
      <c r="G78" s="203">
        <f t="shared" si="17"/>
        <v>-4418.17</v>
      </c>
      <c r="H78" s="203">
        <f t="shared" si="17"/>
        <v>-1903.7193900000002</v>
      </c>
      <c r="I78" s="203">
        <f t="shared" si="17"/>
        <v>-2036.9797473000003</v>
      </c>
      <c r="J78" s="203">
        <f t="shared" si="17"/>
        <v>-2189.7532283475002</v>
      </c>
      <c r="K78" s="203">
        <f t="shared" si="17"/>
        <v>-2353.9847204735629</v>
      </c>
      <c r="L78" s="203">
        <f t="shared" si="17"/>
        <v>-2542.3034981114479</v>
      </c>
    </row>
    <row r="79" spans="1:12" ht="14.25" customHeight="1" outlineLevel="1" x14ac:dyDescent="0.3">
      <c r="C79" s="3"/>
      <c r="D79" s="3"/>
      <c r="E79" s="3"/>
      <c r="F79" s="3"/>
      <c r="G79" s="3"/>
      <c r="H79" s="3"/>
      <c r="I79" s="3"/>
      <c r="J79" s="3"/>
      <c r="K79" s="3"/>
      <c r="L79" s="3"/>
    </row>
    <row r="80" spans="1:12" ht="14.25" customHeight="1" outlineLevel="1" x14ac:dyDescent="0.3">
      <c r="B80" s="11" t="s">
        <v>151</v>
      </c>
      <c r="C80" s="3"/>
      <c r="D80" s="3"/>
      <c r="E80" s="3"/>
      <c r="F80" s="3"/>
      <c r="G80" s="3"/>
      <c r="H80" s="3"/>
      <c r="I80" s="3"/>
      <c r="J80" s="3"/>
      <c r="K80" s="3"/>
      <c r="L80" s="3"/>
    </row>
    <row r="81" spans="2:15" ht="14.25" customHeight="1" outlineLevel="1" x14ac:dyDescent="0.3">
      <c r="B81" t="s">
        <v>152</v>
      </c>
      <c r="C81" s="3">
        <f>-(C34*'Assumption Sheet'!D21)</f>
        <v>-1836.8699999999997</v>
      </c>
      <c r="D81" s="3">
        <f>-(D34*'Assumption Sheet'!E21)</f>
        <v>-2460.35</v>
      </c>
      <c r="E81" s="3">
        <f>-(E34*'Assumption Sheet'!F21)</f>
        <v>-3194.14</v>
      </c>
      <c r="F81" s="3">
        <f>-(F34*'Assumption Sheet'!G21)</f>
        <v>-2378.8200000000002</v>
      </c>
      <c r="G81" s="3">
        <f>-(G34*'Assumption Sheet'!H21)</f>
        <v>-2637.8</v>
      </c>
      <c r="H81" s="3">
        <f>-(H34*'Assumption Sheet'!I21)</f>
        <v>-2741.315354807999</v>
      </c>
      <c r="I81" s="3">
        <f>-(I34*'Assumption Sheet'!J21)</f>
        <v>-2917.3122296445604</v>
      </c>
      <c r="J81" s="3">
        <f>-(J34*'Assumption Sheet'!K21)</f>
        <v>-3223.4566902065308</v>
      </c>
      <c r="K81" s="3">
        <f>-(K34*'Assumption Sheet'!L21)</f>
        <v>-3458.9999419720202</v>
      </c>
      <c r="L81" s="3">
        <f>-(L34*'Assumption Sheet'!M21)</f>
        <v>-3849.1310126459321</v>
      </c>
    </row>
    <row r="82" spans="2:15" ht="14.25" customHeight="1" outlineLevel="1" x14ac:dyDescent="0.3">
      <c r="B82" t="s">
        <v>153</v>
      </c>
      <c r="C82" s="3"/>
      <c r="D82" s="3">
        <f t="shared" ref="D82:L82" si="18">D40-C40</f>
        <v>345.73999999999978</v>
      </c>
      <c r="E82" s="3">
        <f t="shared" si="18"/>
        <v>541.76000000000022</v>
      </c>
      <c r="F82" s="3">
        <f t="shared" si="18"/>
        <v>-184.09000000000015</v>
      </c>
      <c r="G82" s="3">
        <f t="shared" si="18"/>
        <v>1638.6399999999999</v>
      </c>
      <c r="H82" s="3">
        <f t="shared" si="18"/>
        <v>0</v>
      </c>
      <c r="I82" s="3">
        <f t="shared" si="18"/>
        <v>0</v>
      </c>
      <c r="J82" s="3">
        <f t="shared" si="18"/>
        <v>0</v>
      </c>
      <c r="K82" s="3">
        <f t="shared" si="18"/>
        <v>0</v>
      </c>
      <c r="L82" s="3">
        <f t="shared" si="18"/>
        <v>0</v>
      </c>
    </row>
    <row r="83" spans="2:15" ht="14.25" customHeight="1" outlineLevel="1" x14ac:dyDescent="0.3">
      <c r="B83" s="202" t="s">
        <v>154</v>
      </c>
      <c r="C83" s="203">
        <f t="shared" ref="C83:L83" si="19">SUM(C81:C82)</f>
        <v>-1836.8699999999997</v>
      </c>
      <c r="D83" s="203">
        <f t="shared" si="19"/>
        <v>-2114.61</v>
      </c>
      <c r="E83" s="203">
        <f t="shared" si="19"/>
        <v>-2652.3799999999997</v>
      </c>
      <c r="F83" s="203">
        <f t="shared" si="19"/>
        <v>-2562.9100000000003</v>
      </c>
      <c r="G83" s="203">
        <f t="shared" si="19"/>
        <v>-999.16000000000031</v>
      </c>
      <c r="H83" s="203">
        <f t="shared" si="19"/>
        <v>-2741.315354807999</v>
      </c>
      <c r="I83" s="203">
        <f t="shared" si="19"/>
        <v>-2917.3122296445604</v>
      </c>
      <c r="J83" s="203">
        <f t="shared" si="19"/>
        <v>-3223.4566902065308</v>
      </c>
      <c r="K83" s="203">
        <f t="shared" si="19"/>
        <v>-3458.9999419720202</v>
      </c>
      <c r="L83" s="203">
        <f t="shared" si="19"/>
        <v>-3849.1310126459321</v>
      </c>
      <c r="O83" s="23"/>
    </row>
    <row r="84" spans="2:15" ht="14.25" customHeight="1" outlineLevel="1" x14ac:dyDescent="0.3">
      <c r="B84" s="11"/>
      <c r="C84" s="3"/>
      <c r="D84" s="22"/>
      <c r="E84" s="22"/>
      <c r="F84" s="22"/>
      <c r="G84" s="22"/>
      <c r="H84" s="22"/>
      <c r="I84" s="22"/>
      <c r="J84" s="22"/>
      <c r="K84" s="22"/>
      <c r="L84" s="22"/>
    </row>
    <row r="85" spans="2:15" ht="14.25" customHeight="1" outlineLevel="1" x14ac:dyDescent="0.3">
      <c r="B85" s="198" t="s">
        <v>155</v>
      </c>
      <c r="C85" s="206">
        <f t="shared" ref="C85:L85" si="20">SUM(C83,C78,C72)</f>
        <v>-1836.8699999999997</v>
      </c>
      <c r="D85" s="199">
        <f t="shared" si="20"/>
        <v>-649.96000000000458</v>
      </c>
      <c r="E85" s="199">
        <f t="shared" si="20"/>
        <v>-2259.4899999999971</v>
      </c>
      <c r="F85" s="199">
        <f t="shared" si="20"/>
        <v>674.73000000000229</v>
      </c>
      <c r="G85" s="199">
        <f t="shared" si="20"/>
        <v>-3024.7699999999954</v>
      </c>
      <c r="H85" s="199">
        <f t="shared" si="20"/>
        <v>799.13683674871027</v>
      </c>
      <c r="I85" s="199">
        <f t="shared" si="20"/>
        <v>1074.6686922217259</v>
      </c>
      <c r="J85" s="199">
        <f t="shared" si="20"/>
        <v>1320.6299909552699</v>
      </c>
      <c r="K85" s="199">
        <f t="shared" si="20"/>
        <v>1358.7728055524849</v>
      </c>
      <c r="L85" s="199">
        <f t="shared" si="20"/>
        <v>1560.9322059184306</v>
      </c>
      <c r="N85" s="23"/>
    </row>
    <row r="86" spans="2:15" ht="14.25" customHeight="1" x14ac:dyDescent="0.3">
      <c r="B86" s="11" t="s">
        <v>156</v>
      </c>
      <c r="C86" s="3"/>
      <c r="D86" s="22">
        <f t="shared" ref="D86:L86" si="21">C53</f>
        <v>864.33</v>
      </c>
      <c r="E86" s="22">
        <f t="shared" si="21"/>
        <v>843.82</v>
      </c>
      <c r="F86" s="22">
        <f t="shared" si="21"/>
        <v>1084.01</v>
      </c>
      <c r="G86" s="22">
        <f t="shared" si="21"/>
        <v>781.98</v>
      </c>
      <c r="H86" s="22">
        <f t="shared" si="21"/>
        <v>1073.68</v>
      </c>
      <c r="I86" s="22">
        <f t="shared" si="21"/>
        <v>1872.8168367487103</v>
      </c>
      <c r="J86" s="22">
        <f t="shared" si="21"/>
        <v>2947.4855289704365</v>
      </c>
      <c r="K86" s="22">
        <f t="shared" si="21"/>
        <v>4268.1155199257064</v>
      </c>
      <c r="L86" s="22">
        <f t="shared" si="21"/>
        <v>5626.8883254781913</v>
      </c>
    </row>
    <row r="87" spans="2:15" ht="15" customHeight="1" x14ac:dyDescent="0.3">
      <c r="B87" s="207" t="s">
        <v>157</v>
      </c>
      <c r="C87" s="208">
        <f t="shared" ref="C87:L87" si="22">SUM(C85:C86)</f>
        <v>-1836.8699999999997</v>
      </c>
      <c r="D87" s="209">
        <f t="shared" si="22"/>
        <v>214.36999999999546</v>
      </c>
      <c r="E87" s="209">
        <f t="shared" si="22"/>
        <v>-1415.6699999999969</v>
      </c>
      <c r="F87" s="209">
        <f t="shared" si="22"/>
        <v>1758.7400000000023</v>
      </c>
      <c r="G87" s="209">
        <f t="shared" si="22"/>
        <v>-2242.7899999999954</v>
      </c>
      <c r="H87" s="209">
        <f t="shared" si="22"/>
        <v>1872.8168367487103</v>
      </c>
      <c r="I87" s="209">
        <f t="shared" si="22"/>
        <v>2947.4855289704365</v>
      </c>
      <c r="J87" s="209">
        <f t="shared" si="22"/>
        <v>4268.1155199257064</v>
      </c>
      <c r="K87" s="209">
        <f t="shared" si="22"/>
        <v>5626.8883254781913</v>
      </c>
      <c r="L87" s="209">
        <f t="shared" si="22"/>
        <v>7187.8205313966218</v>
      </c>
    </row>
    <row r="88" spans="2:15" ht="13.8" customHeight="1" x14ac:dyDescent="0.3">
      <c r="B88" s="11"/>
      <c r="C88" s="3"/>
      <c r="D88" s="24"/>
      <c r="E88" s="24"/>
      <c r="F88" s="24"/>
      <c r="G88" s="24"/>
      <c r="H88" s="25"/>
      <c r="I88" s="25"/>
      <c r="J88" s="25"/>
      <c r="K88" s="25"/>
      <c r="L88" s="25"/>
    </row>
    <row r="89" spans="2:15" ht="10.8" customHeight="1" x14ac:dyDescent="0.3">
      <c r="B89" s="155"/>
      <c r="C89" s="155"/>
      <c r="D89" s="155"/>
      <c r="E89" s="155"/>
      <c r="F89" s="155"/>
      <c r="G89" s="155"/>
      <c r="H89" s="155"/>
      <c r="I89" s="155"/>
      <c r="J89" s="155"/>
      <c r="K89" s="155"/>
      <c r="L89" s="155"/>
    </row>
    <row r="90" spans="2:15" ht="14.25" customHeight="1" x14ac:dyDescent="0.3"/>
    <row r="91" spans="2:15" ht="14.25" customHeight="1" x14ac:dyDescent="0.3"/>
    <row r="92" spans="2:15" ht="14.25" customHeight="1" x14ac:dyDescent="0.3"/>
    <row r="93" spans="2:15" ht="14.25" customHeight="1" x14ac:dyDescent="0.3"/>
    <row r="94" spans="2:15" ht="14.25" customHeight="1" x14ac:dyDescent="0.3"/>
    <row r="95" spans="2:15" ht="14.25" customHeight="1" x14ac:dyDescent="0.3"/>
    <row r="96" spans="2:15" ht="14.25" customHeight="1" x14ac:dyDescent="0.3"/>
  </sheetData>
  <mergeCells count="1">
    <mergeCell ref="B2:L2"/>
  </mergeCells>
  <conditionalFormatting sqref="C58:L58">
    <cfRule type="cellIs" dxfId="2" priority="2" operator="equal">
      <formula>1</formula>
    </cfRule>
    <cfRule type="cellIs" dxfId="1" priority="3" operator="equal">
      <formula>0</formula>
    </cfRule>
  </conditionalFormatting>
  <pageMargins left="0.7" right="0.7" top="0.75" bottom="0.75" header="0.3" footer="0.3"/>
  <pageSetup paperSize="9" scale="55"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D133"/>
  <sheetViews>
    <sheetView showGridLines="0" zoomScale="50" zoomScaleNormal="50" zoomScaleSheetLayoutView="54" workbookViewId="0">
      <selection activeCell="N6" sqref="N6:O6"/>
    </sheetView>
  </sheetViews>
  <sheetFormatPr defaultColWidth="8.6640625" defaultRowHeight="14.4" x14ac:dyDescent="0.3"/>
  <cols>
    <col min="1" max="1" width="1.88671875" customWidth="1"/>
    <col min="2" max="2" width="12.33203125" customWidth="1"/>
    <col min="3" max="3" width="11.6640625" customWidth="1"/>
    <col min="4" max="4" width="17.88671875" customWidth="1"/>
    <col min="5" max="5" width="2.88671875" customWidth="1"/>
    <col min="6" max="6" width="12.44140625" customWidth="1"/>
    <col min="7" max="7" width="9.5546875" customWidth="1"/>
    <col min="8" max="8" width="17.5546875" customWidth="1"/>
    <col min="9" max="9" width="3.33203125" customWidth="1"/>
    <col min="11" max="11" width="11.21875" customWidth="1"/>
    <col min="16" max="16" width="13.88671875" customWidth="1"/>
    <col min="17" max="17" width="13.33203125" customWidth="1"/>
    <col min="18" max="18" width="17.77734375" customWidth="1"/>
    <col min="19" max="19" width="2.88671875" customWidth="1"/>
    <col min="20" max="20" width="12.6640625" bestFit="1" customWidth="1"/>
    <col min="21" max="21" width="7.77734375" bestFit="1" customWidth="1"/>
    <col min="22" max="22" width="17.77734375" bestFit="1" customWidth="1"/>
    <col min="24" max="24" width="13" customWidth="1"/>
    <col min="25" max="25" width="11" customWidth="1"/>
    <col min="26" max="26" width="17.77734375" customWidth="1"/>
    <col min="28" max="28" width="13.6640625" bestFit="1" customWidth="1"/>
    <col min="29" max="29" width="9.21875" customWidth="1"/>
    <col min="30" max="30" width="17.6640625" bestFit="1" customWidth="1"/>
    <col min="32" max="32" width="11.88671875" bestFit="1" customWidth="1"/>
    <col min="33" max="33" width="8.109375" customWidth="1"/>
    <col min="34" max="34" width="17.6640625" bestFit="1" customWidth="1"/>
  </cols>
  <sheetData>
    <row r="2" spans="2:30" ht="14.25" customHeight="1" x14ac:dyDescent="0.3">
      <c r="B2" s="335" t="s">
        <v>240</v>
      </c>
      <c r="C2" s="335"/>
      <c r="D2" s="335"/>
      <c r="E2" s="335"/>
      <c r="F2" s="335"/>
      <c r="G2" s="335"/>
      <c r="H2" s="335"/>
    </row>
    <row r="3" spans="2:30" x14ac:dyDescent="0.3">
      <c r="T3" s="150" t="s">
        <v>99</v>
      </c>
      <c r="U3" s="272">
        <f>SLOPE($V$8:$V$67,$H$8:$H$67)</f>
        <v>1.1308176018773166</v>
      </c>
      <c r="X3" s="150" t="s">
        <v>99</v>
      </c>
      <c r="Y3" s="272">
        <f>SLOPE($Z$8:$Z$67,$H$8:$H$67)</f>
        <v>1.3418924138131609</v>
      </c>
      <c r="AB3" s="150" t="s">
        <v>99</v>
      </c>
      <c r="AC3" s="272">
        <f>SLOPE($AD$8:$AD$67,$H$8:$H$67)</f>
        <v>1.1511567222377412</v>
      </c>
    </row>
    <row r="4" spans="2:30" ht="14.25" customHeight="1" x14ac:dyDescent="0.3">
      <c r="B4" s="335" t="str">
        <f>'Data Sheet'!B1</f>
        <v>ASIAN PAINTS LTD</v>
      </c>
      <c r="C4" s="335"/>
      <c r="D4" s="335"/>
      <c r="F4" s="335" t="s">
        <v>241</v>
      </c>
      <c r="G4" s="335"/>
      <c r="H4" s="335"/>
      <c r="T4" s="167" t="str">
        <f>WACC!B17</f>
        <v>Berger Paints</v>
      </c>
      <c r="U4" s="167"/>
      <c r="V4" s="167"/>
      <c r="X4" s="167" t="str">
        <f>WACC!B19</f>
        <v>Indigo Paints</v>
      </c>
      <c r="Y4" s="167"/>
      <c r="Z4" s="167"/>
      <c r="AB4" s="335" t="str">
        <f>WACC!B18</f>
        <v>Kansai Nerolac</v>
      </c>
      <c r="AC4" s="335"/>
      <c r="AD4" s="335"/>
    </row>
    <row r="5" spans="2:30" ht="15" customHeight="1" x14ac:dyDescent="0.3"/>
    <row r="6" spans="2:30" ht="14.25" customHeight="1" x14ac:dyDescent="0.3">
      <c r="B6" s="271" t="s">
        <v>243</v>
      </c>
      <c r="C6" s="269" t="s">
        <v>244</v>
      </c>
      <c r="D6" s="270" t="s">
        <v>245</v>
      </c>
      <c r="F6" s="268" t="s">
        <v>243</v>
      </c>
      <c r="G6" s="269" t="s">
        <v>244</v>
      </c>
      <c r="H6" s="270" t="s">
        <v>245</v>
      </c>
      <c r="J6" s="341" t="s">
        <v>246</v>
      </c>
      <c r="K6" s="341"/>
      <c r="L6" s="341"/>
      <c r="N6" s="150" t="s">
        <v>99</v>
      </c>
      <c r="O6" s="272">
        <f>K33</f>
        <v>1.08812402513907</v>
      </c>
      <c r="T6" s="271" t="s">
        <v>243</v>
      </c>
      <c r="U6" s="269" t="s">
        <v>244</v>
      </c>
      <c r="V6" s="270" t="s">
        <v>245</v>
      </c>
      <c r="X6" s="271" t="s">
        <v>243</v>
      </c>
      <c r="Y6" s="269" t="s">
        <v>244</v>
      </c>
      <c r="Z6" s="270" t="s">
        <v>245</v>
      </c>
      <c r="AB6" s="271" t="s">
        <v>243</v>
      </c>
      <c r="AC6" s="269" t="s">
        <v>244</v>
      </c>
      <c r="AD6" s="270" t="s">
        <v>245</v>
      </c>
    </row>
    <row r="7" spans="2:30" ht="14.25" customHeight="1" x14ac:dyDescent="0.3">
      <c r="B7" s="55" t="s">
        <v>248</v>
      </c>
      <c r="C7">
        <v>2737.8</v>
      </c>
      <c r="D7" s="56"/>
      <c r="F7" s="55" t="s">
        <v>248</v>
      </c>
      <c r="G7">
        <v>24270.85</v>
      </c>
      <c r="H7" s="56"/>
      <c r="J7" s="55"/>
      <c r="L7" s="56"/>
      <c r="T7" s="55" t="s">
        <v>248</v>
      </c>
      <c r="U7">
        <v>519.45000000000005</v>
      </c>
      <c r="V7" s="56"/>
      <c r="X7" s="55" t="s">
        <v>248</v>
      </c>
      <c r="Y7">
        <v>1065.9000000000001</v>
      </c>
      <c r="Z7" s="56"/>
      <c r="AB7" s="55" t="s">
        <v>248</v>
      </c>
      <c r="AC7">
        <v>211.83</v>
      </c>
      <c r="AD7" s="56"/>
    </row>
    <row r="8" spans="2:30" ht="14.25" customHeight="1" x14ac:dyDescent="0.3">
      <c r="B8" s="55" t="s">
        <v>250</v>
      </c>
      <c r="C8">
        <v>2744.5</v>
      </c>
      <c r="D8" s="57">
        <f t="shared" ref="D8:D39" si="0">C8/C7-1</f>
        <v>2.4472203959382544E-3</v>
      </c>
      <c r="F8" s="55" t="s">
        <v>250</v>
      </c>
      <c r="G8">
        <v>24175.7</v>
      </c>
      <c r="H8" s="57">
        <f t="shared" ref="H8:H39" si="1">G8/G7-1</f>
        <v>-3.9203406555600173E-3</v>
      </c>
      <c r="J8" s="55" t="s">
        <v>251</v>
      </c>
      <c r="L8" s="58">
        <f>O6</f>
        <v>1.08812402513907</v>
      </c>
      <c r="T8" s="55" t="s">
        <v>250</v>
      </c>
      <c r="U8">
        <v>520.75</v>
      </c>
      <c r="V8" s="57">
        <f t="shared" ref="V8:V39" si="2">U8/U7-1</f>
        <v>2.50264703051295E-3</v>
      </c>
      <c r="X8" s="55" t="s">
        <v>250</v>
      </c>
      <c r="Y8">
        <v>1077.0999999999999</v>
      </c>
      <c r="Z8" s="57">
        <f t="shared" ref="Z8:Z39" si="3">Y8/Y7-1</f>
        <v>1.0507552303217871E-2</v>
      </c>
      <c r="AB8" s="55" t="s">
        <v>250</v>
      </c>
      <c r="AC8">
        <v>212.56</v>
      </c>
      <c r="AD8" s="57">
        <f t="shared" ref="AD8:AD39" si="4">AC8/AC7-1</f>
        <v>3.4461596563282182E-3</v>
      </c>
    </row>
    <row r="9" spans="2:30" ht="15" customHeight="1" x14ac:dyDescent="0.3">
      <c r="B9" s="55" t="s">
        <v>253</v>
      </c>
      <c r="C9">
        <v>2635.7</v>
      </c>
      <c r="D9" s="57">
        <f t="shared" si="0"/>
        <v>-3.9642922208052545E-2</v>
      </c>
      <c r="F9" s="55" t="s">
        <v>253</v>
      </c>
      <c r="G9">
        <v>23865.75</v>
      </c>
      <c r="H9" s="57">
        <f t="shared" si="1"/>
        <v>-1.2820724942814499E-2</v>
      </c>
      <c r="J9" s="55" t="s">
        <v>254</v>
      </c>
      <c r="L9" s="57">
        <v>0.75</v>
      </c>
      <c r="T9" s="55" t="s">
        <v>253</v>
      </c>
      <c r="U9">
        <v>510.1</v>
      </c>
      <c r="V9" s="57">
        <f t="shared" si="2"/>
        <v>-2.0451272203552473E-2</v>
      </c>
      <c r="X9" s="55" t="s">
        <v>253</v>
      </c>
      <c r="Y9">
        <v>1015.25</v>
      </c>
      <c r="Z9" s="57">
        <f t="shared" si="3"/>
        <v>-5.7422709126357718E-2</v>
      </c>
      <c r="AB9" s="55" t="s">
        <v>253</v>
      </c>
      <c r="AC9">
        <v>204.06</v>
      </c>
      <c r="AD9" s="57">
        <f t="shared" si="4"/>
        <v>-3.9988709070380102E-2</v>
      </c>
    </row>
    <row r="10" spans="2:30" ht="14.25" customHeight="1" x14ac:dyDescent="0.3">
      <c r="B10" s="55" t="s">
        <v>256</v>
      </c>
      <c r="C10">
        <v>2648.62</v>
      </c>
      <c r="D10" s="57">
        <f t="shared" si="0"/>
        <v>4.9019235876617273E-3</v>
      </c>
      <c r="F10" s="55" t="s">
        <v>256</v>
      </c>
      <c r="G10">
        <v>23547.75</v>
      </c>
      <c r="H10" s="57">
        <f t="shared" si="1"/>
        <v>-1.3324534112692854E-2</v>
      </c>
      <c r="J10" s="55"/>
      <c r="L10" s="56"/>
      <c r="T10" s="55" t="s">
        <v>256</v>
      </c>
      <c r="U10">
        <v>500.6</v>
      </c>
      <c r="V10" s="57">
        <f t="shared" si="2"/>
        <v>-1.8623799255047979E-2</v>
      </c>
      <c r="X10" s="55" t="s">
        <v>256</v>
      </c>
      <c r="Y10">
        <v>990.9</v>
      </c>
      <c r="Z10" s="57">
        <f t="shared" si="3"/>
        <v>-2.3984240334892881E-2</v>
      </c>
      <c r="AB10" s="55" t="s">
        <v>256</v>
      </c>
      <c r="AC10">
        <v>215.49</v>
      </c>
      <c r="AD10" s="57">
        <f t="shared" si="4"/>
        <v>5.6012937371361371E-2</v>
      </c>
    </row>
    <row r="11" spans="2:30" ht="15" customHeight="1" x14ac:dyDescent="0.3">
      <c r="B11" s="55" t="s">
        <v>258</v>
      </c>
      <c r="C11">
        <v>2423.4699999999998</v>
      </c>
      <c r="D11" s="57">
        <f t="shared" si="0"/>
        <v>-8.500653170330208E-2</v>
      </c>
      <c r="F11" s="55" t="s">
        <v>258</v>
      </c>
      <c r="G11">
        <v>23997.55</v>
      </c>
      <c r="H11" s="57">
        <f t="shared" si="1"/>
        <v>1.9101612680616942E-2</v>
      </c>
      <c r="J11" s="55" t="s">
        <v>259</v>
      </c>
      <c r="L11" s="58">
        <v>1</v>
      </c>
      <c r="T11" s="55" t="s">
        <v>258</v>
      </c>
      <c r="U11">
        <v>473.1</v>
      </c>
      <c r="V11" s="57">
        <f t="shared" si="2"/>
        <v>-5.4934079105073863E-2</v>
      </c>
      <c r="X11" s="55" t="s">
        <v>258</v>
      </c>
      <c r="Y11">
        <v>860.2</v>
      </c>
      <c r="Z11" s="57">
        <f t="shared" si="3"/>
        <v>-0.13190029266323533</v>
      </c>
      <c r="AB11" s="55" t="s">
        <v>258</v>
      </c>
      <c r="AC11">
        <v>194.87</v>
      </c>
      <c r="AD11" s="57">
        <f t="shared" si="4"/>
        <v>-9.568889507633771E-2</v>
      </c>
    </row>
    <row r="12" spans="2:30" ht="14.25" customHeight="1" x14ac:dyDescent="0.3">
      <c r="B12" s="55" t="s">
        <v>261</v>
      </c>
      <c r="C12">
        <v>2146.58</v>
      </c>
      <c r="D12" s="57">
        <f t="shared" si="0"/>
        <v>-0.11425352903068731</v>
      </c>
      <c r="F12" s="55" t="s">
        <v>261</v>
      </c>
      <c r="G12">
        <v>22331.4</v>
      </c>
      <c r="H12" s="57">
        <f t="shared" si="1"/>
        <v>-6.9430004312940219E-2</v>
      </c>
      <c r="J12" s="55" t="s">
        <v>262</v>
      </c>
      <c r="L12" s="57">
        <v>0.25</v>
      </c>
      <c r="T12" s="55" t="s">
        <v>261</v>
      </c>
      <c r="U12">
        <v>410</v>
      </c>
      <c r="V12" s="57">
        <f t="shared" si="2"/>
        <v>-0.13337560769393364</v>
      </c>
      <c r="X12" s="55" t="s">
        <v>261</v>
      </c>
      <c r="Y12">
        <v>710.8</v>
      </c>
      <c r="Z12" s="57">
        <f t="shared" si="3"/>
        <v>-0.17368053940943973</v>
      </c>
      <c r="AB12" s="55" t="s">
        <v>261</v>
      </c>
      <c r="AC12">
        <v>165.25</v>
      </c>
      <c r="AD12" s="57">
        <f t="shared" si="4"/>
        <v>-0.15199876840970905</v>
      </c>
    </row>
    <row r="13" spans="2:30" ht="15" customHeight="1" x14ac:dyDescent="0.3">
      <c r="B13" s="55" t="s">
        <v>263</v>
      </c>
      <c r="C13">
        <v>2355.7600000000002</v>
      </c>
      <c r="D13" s="57">
        <f t="shared" si="0"/>
        <v>9.7448033616264196E-2</v>
      </c>
      <c r="F13" s="55" t="s">
        <v>263</v>
      </c>
      <c r="G13">
        <v>25178.65</v>
      </c>
      <c r="H13" s="57">
        <f t="shared" si="1"/>
        <v>0.12749984327001451</v>
      </c>
      <c r="J13" s="55"/>
      <c r="L13" s="56"/>
      <c r="T13" s="55" t="s">
        <v>263</v>
      </c>
      <c r="U13">
        <v>456.1</v>
      </c>
      <c r="V13" s="57">
        <f t="shared" si="2"/>
        <v>0.112439024390244</v>
      </c>
      <c r="X13" s="55" t="s">
        <v>263</v>
      </c>
      <c r="Y13">
        <v>936.8</v>
      </c>
      <c r="Z13" s="57">
        <f t="shared" si="3"/>
        <v>0.31795160382667409</v>
      </c>
      <c r="AB13" s="55" t="s">
        <v>263</v>
      </c>
      <c r="AC13">
        <v>201.11</v>
      </c>
      <c r="AD13" s="57">
        <f t="shared" si="4"/>
        <v>0.21700453857791224</v>
      </c>
    </row>
    <row r="14" spans="2:30" ht="14.25" customHeight="1" x14ac:dyDescent="0.3">
      <c r="B14" s="55" t="s">
        <v>265</v>
      </c>
      <c r="C14">
        <v>2407.41</v>
      </c>
      <c r="D14" s="57">
        <f t="shared" si="0"/>
        <v>2.1924983869324288E-2</v>
      </c>
      <c r="F14" s="55" t="s">
        <v>265</v>
      </c>
      <c r="G14">
        <v>25320.65</v>
      </c>
      <c r="H14" s="57">
        <f t="shared" si="1"/>
        <v>5.6396987129969656E-3</v>
      </c>
      <c r="J14" s="60" t="s">
        <v>266</v>
      </c>
      <c r="K14" s="61"/>
      <c r="L14" s="62">
        <f>(L8*L9)+(L11*L12)</f>
        <v>1.0660930188543025</v>
      </c>
      <c r="T14" s="55" t="s">
        <v>265</v>
      </c>
      <c r="U14">
        <v>462.9</v>
      </c>
      <c r="V14" s="57">
        <f t="shared" si="2"/>
        <v>1.4909011181758247E-2</v>
      </c>
      <c r="X14" s="55" t="s">
        <v>265</v>
      </c>
      <c r="Y14">
        <v>1044.4000000000001</v>
      </c>
      <c r="Z14" s="57">
        <f t="shared" si="3"/>
        <v>0.11485909479077727</v>
      </c>
      <c r="AB14" s="55" t="s">
        <v>265</v>
      </c>
      <c r="AC14">
        <v>227.48</v>
      </c>
      <c r="AD14" s="57">
        <f t="shared" si="4"/>
        <v>0.13112227139376453</v>
      </c>
    </row>
    <row r="15" spans="2:30" ht="15" customHeight="1" x14ac:dyDescent="0.3">
      <c r="B15" s="55" t="s">
        <v>272</v>
      </c>
      <c r="C15">
        <v>2745.68</v>
      </c>
      <c r="D15" s="57">
        <f t="shared" si="0"/>
        <v>0.14051200252553575</v>
      </c>
      <c r="F15" s="55" t="s">
        <v>272</v>
      </c>
      <c r="G15">
        <v>26129.599999999999</v>
      </c>
      <c r="H15" s="57">
        <f t="shared" si="1"/>
        <v>3.1948231976667074E-2</v>
      </c>
      <c r="T15" s="55" t="s">
        <v>272</v>
      </c>
      <c r="U15">
        <v>536.54999999999995</v>
      </c>
      <c r="V15" s="57">
        <f t="shared" si="2"/>
        <v>0.1591056383668179</v>
      </c>
      <c r="X15" s="55" t="s">
        <v>272</v>
      </c>
      <c r="Y15">
        <v>1143.8</v>
      </c>
      <c r="Z15" s="57">
        <f t="shared" si="3"/>
        <v>9.5174262734584403E-2</v>
      </c>
      <c r="AB15" s="55" t="s">
        <v>272</v>
      </c>
      <c r="AC15">
        <v>232.68</v>
      </c>
      <c r="AD15" s="57">
        <f t="shared" si="4"/>
        <v>2.2859152452962883E-2</v>
      </c>
    </row>
    <row r="16" spans="2:30" ht="14.25" customHeight="1" x14ac:dyDescent="0.3">
      <c r="B16" s="55" t="s">
        <v>274</v>
      </c>
      <c r="C16">
        <v>2849.68</v>
      </c>
      <c r="D16" s="57">
        <f t="shared" si="0"/>
        <v>3.7877684216660379E-2</v>
      </c>
      <c r="F16" s="55" t="s">
        <v>274</v>
      </c>
      <c r="G16">
        <v>26202.95</v>
      </c>
      <c r="H16" s="57">
        <f t="shared" si="1"/>
        <v>2.8071612271141078E-3</v>
      </c>
      <c r="J16" t="s">
        <v>242</v>
      </c>
      <c r="T16" s="55" t="s">
        <v>274</v>
      </c>
      <c r="U16">
        <v>564.6</v>
      </c>
      <c r="V16" s="57">
        <f t="shared" si="2"/>
        <v>5.2278445624825309E-2</v>
      </c>
      <c r="X16" s="55" t="s">
        <v>274</v>
      </c>
      <c r="Y16">
        <v>1283.6500000000001</v>
      </c>
      <c r="Z16" s="57">
        <f t="shared" si="3"/>
        <v>0.12226787899982527</v>
      </c>
      <c r="AB16" s="55" t="s">
        <v>274</v>
      </c>
      <c r="AC16">
        <v>233.71</v>
      </c>
      <c r="AD16" s="57">
        <f t="shared" si="4"/>
        <v>4.4266804194601495E-3</v>
      </c>
    </row>
    <row r="17" spans="2:30" ht="15" customHeight="1" thickBot="1" x14ac:dyDescent="0.35">
      <c r="B17" s="55" t="s">
        <v>276</v>
      </c>
      <c r="C17">
        <v>2485.3200000000002</v>
      </c>
      <c r="D17" s="57">
        <f t="shared" si="0"/>
        <v>-0.12785997024227269</v>
      </c>
      <c r="F17" s="55" t="s">
        <v>276</v>
      </c>
      <c r="G17">
        <v>25722.1</v>
      </c>
      <c r="H17" s="57">
        <f t="shared" si="1"/>
        <v>-1.835098719800643E-2</v>
      </c>
      <c r="T17" s="55" t="s">
        <v>276</v>
      </c>
      <c r="U17">
        <v>542.1</v>
      </c>
      <c r="V17" s="57">
        <f t="shared" si="2"/>
        <v>-3.985122210414449E-2</v>
      </c>
      <c r="X17" s="55" t="s">
        <v>276</v>
      </c>
      <c r="Y17">
        <v>999.9</v>
      </c>
      <c r="Z17" s="57">
        <f t="shared" si="3"/>
        <v>-0.22104935145873106</v>
      </c>
      <c r="AB17" s="55" t="s">
        <v>276</v>
      </c>
      <c r="AC17">
        <v>245.04</v>
      </c>
      <c r="AD17" s="57">
        <f t="shared" si="4"/>
        <v>4.8478884087116425E-2</v>
      </c>
    </row>
    <row r="18" spans="2:30" ht="15" customHeight="1" x14ac:dyDescent="0.3">
      <c r="B18" s="55" t="s">
        <v>277</v>
      </c>
      <c r="C18">
        <v>2326.16</v>
      </c>
      <c r="D18" s="57">
        <f t="shared" si="0"/>
        <v>-6.4040043133278712E-2</v>
      </c>
      <c r="F18" s="55" t="s">
        <v>277</v>
      </c>
      <c r="G18">
        <v>24611.1</v>
      </c>
      <c r="H18" s="57">
        <f t="shared" si="1"/>
        <v>-4.3192429856038217E-2</v>
      </c>
      <c r="J18" s="340" t="s">
        <v>247</v>
      </c>
      <c r="K18" s="340"/>
      <c r="T18" s="55" t="s">
        <v>277</v>
      </c>
      <c r="U18">
        <v>515.20000000000005</v>
      </c>
      <c r="V18" s="57">
        <f t="shared" si="2"/>
        <v>-4.9621840988747445E-2</v>
      </c>
      <c r="X18" s="55" t="s">
        <v>277</v>
      </c>
      <c r="Y18">
        <v>1052.2</v>
      </c>
      <c r="Z18" s="57">
        <f t="shared" si="3"/>
        <v>5.2305230523052471E-2</v>
      </c>
      <c r="AB18" s="55" t="s">
        <v>277</v>
      </c>
      <c r="AC18">
        <v>244.47</v>
      </c>
      <c r="AD18" s="57">
        <f t="shared" si="4"/>
        <v>-2.3261508325170821E-3</v>
      </c>
    </row>
    <row r="19" spans="2:30" ht="14.25" customHeight="1" x14ac:dyDescent="0.3">
      <c r="B19" s="55" t="s">
        <v>278</v>
      </c>
      <c r="C19">
        <v>2493.0500000000002</v>
      </c>
      <c r="D19" s="57">
        <f t="shared" si="0"/>
        <v>7.174484988134977E-2</v>
      </c>
      <c r="F19" s="55" t="s">
        <v>278</v>
      </c>
      <c r="G19">
        <v>24426.85</v>
      </c>
      <c r="H19" s="57">
        <f t="shared" si="1"/>
        <v>-7.4864593618326758E-3</v>
      </c>
      <c r="J19" t="s">
        <v>249</v>
      </c>
      <c r="K19">
        <v>0.56444296080359901</v>
      </c>
      <c r="T19" s="55" t="s">
        <v>278</v>
      </c>
      <c r="U19">
        <v>533</v>
      </c>
      <c r="V19" s="57">
        <f t="shared" si="2"/>
        <v>3.4549689440993792E-2</v>
      </c>
      <c r="X19" s="55" t="s">
        <v>278</v>
      </c>
      <c r="Y19">
        <v>1099.7</v>
      </c>
      <c r="Z19" s="57">
        <f t="shared" si="3"/>
        <v>4.5143508838623836E-2</v>
      </c>
      <c r="AB19" s="55" t="s">
        <v>278</v>
      </c>
      <c r="AC19">
        <v>237.17</v>
      </c>
      <c r="AD19" s="57">
        <f t="shared" si="4"/>
        <v>-2.9860514582566444E-2</v>
      </c>
    </row>
    <row r="20" spans="2:30" ht="14.25" customHeight="1" x14ac:dyDescent="0.3">
      <c r="B20" s="55" t="s">
        <v>286</v>
      </c>
      <c r="C20">
        <v>2371.79</v>
      </c>
      <c r="D20" s="57">
        <f t="shared" si="0"/>
        <v>-4.8639217023324965E-2</v>
      </c>
      <c r="F20" s="55" t="s">
        <v>286</v>
      </c>
      <c r="G20">
        <v>24768.35</v>
      </c>
      <c r="H20" s="57">
        <f t="shared" si="1"/>
        <v>1.3980517340549392E-2</v>
      </c>
      <c r="J20" t="s">
        <v>252</v>
      </c>
      <c r="K20">
        <v>0.31859585600073298</v>
      </c>
      <c r="T20" s="55" t="s">
        <v>286</v>
      </c>
      <c r="U20">
        <v>561.13</v>
      </c>
      <c r="V20" s="57">
        <f t="shared" si="2"/>
        <v>5.2776735459662216E-2</v>
      </c>
      <c r="X20" s="55" t="s">
        <v>286</v>
      </c>
      <c r="Y20">
        <v>1196.31</v>
      </c>
      <c r="Z20" s="57">
        <f t="shared" si="3"/>
        <v>8.7851232154223746E-2</v>
      </c>
      <c r="AB20" s="55" t="s">
        <v>286</v>
      </c>
      <c r="AC20">
        <v>242.02</v>
      </c>
      <c r="AD20" s="57">
        <f t="shared" si="4"/>
        <v>2.0449466627313839E-2</v>
      </c>
    </row>
    <row r="21" spans="2:30" ht="15" customHeight="1" x14ac:dyDescent="0.3">
      <c r="B21" s="55" t="s">
        <v>288</v>
      </c>
      <c r="C21">
        <v>2317.35</v>
      </c>
      <c r="D21" s="57">
        <f t="shared" si="0"/>
        <v>-2.2953128228047182E-2</v>
      </c>
      <c r="F21" s="55" t="s">
        <v>288</v>
      </c>
      <c r="G21">
        <v>25517.05</v>
      </c>
      <c r="H21" s="57">
        <f t="shared" si="1"/>
        <v>3.0228093514505394E-2</v>
      </c>
      <c r="J21" t="s">
        <v>255</v>
      </c>
      <c r="K21">
        <v>0.30684750869040001</v>
      </c>
      <c r="T21" s="55" t="s">
        <v>288</v>
      </c>
      <c r="U21">
        <v>588.70000000000005</v>
      </c>
      <c r="V21" s="57">
        <f t="shared" si="2"/>
        <v>4.9132999483185724E-2</v>
      </c>
      <c r="X21" s="55" t="s">
        <v>288</v>
      </c>
      <c r="Y21">
        <v>1158.6300000000001</v>
      </c>
      <c r="Z21" s="57">
        <f t="shared" si="3"/>
        <v>-3.1496852822428867E-2</v>
      </c>
      <c r="AB21" s="55" t="s">
        <v>288</v>
      </c>
      <c r="AC21">
        <v>249.18</v>
      </c>
      <c r="AD21" s="57">
        <f t="shared" si="4"/>
        <v>2.9584331873398817E-2</v>
      </c>
    </row>
    <row r="22" spans="2:30" ht="15" customHeight="1" x14ac:dyDescent="0.3">
      <c r="B22" s="55" t="s">
        <v>290</v>
      </c>
      <c r="C22">
        <v>2215.7399999999998</v>
      </c>
      <c r="D22" s="57">
        <f t="shared" si="0"/>
        <v>-4.3847498219949599E-2</v>
      </c>
      <c r="F22" s="55" t="s">
        <v>290</v>
      </c>
      <c r="G22">
        <v>24750.7</v>
      </c>
      <c r="H22" s="57">
        <f t="shared" si="1"/>
        <v>-3.0032860381587922E-2</v>
      </c>
      <c r="J22" t="s">
        <v>257</v>
      </c>
      <c r="K22">
        <v>6.0899734842399203E-2</v>
      </c>
      <c r="T22" s="55" t="s">
        <v>290</v>
      </c>
      <c r="U22">
        <v>564.51</v>
      </c>
      <c r="V22" s="57">
        <f t="shared" si="2"/>
        <v>-4.1090538474605198E-2</v>
      </c>
      <c r="X22" s="55" t="s">
        <v>290</v>
      </c>
      <c r="Y22">
        <v>1076.1300000000001</v>
      </c>
      <c r="Z22" s="57">
        <f t="shared" si="3"/>
        <v>-7.1204784961549361E-2</v>
      </c>
      <c r="AB22" s="55" t="s">
        <v>290</v>
      </c>
      <c r="AC22">
        <v>246.79</v>
      </c>
      <c r="AD22" s="57">
        <f t="shared" si="4"/>
        <v>-9.5914599887632068E-3</v>
      </c>
    </row>
    <row r="23" spans="2:30" ht="14.25" customHeight="1" thickBot="1" x14ac:dyDescent="0.35">
      <c r="B23" s="55" t="s">
        <v>291</v>
      </c>
      <c r="C23">
        <v>2379.14</v>
      </c>
      <c r="D23" s="57">
        <f t="shared" si="0"/>
        <v>7.3745114498993569E-2</v>
      </c>
      <c r="F23" s="55" t="s">
        <v>291</v>
      </c>
      <c r="G23">
        <v>24334.2</v>
      </c>
      <c r="H23" s="57">
        <f t="shared" si="1"/>
        <v>-1.682780689031016E-2</v>
      </c>
      <c r="J23" s="59" t="s">
        <v>260</v>
      </c>
      <c r="K23" s="59">
        <v>60</v>
      </c>
      <c r="T23" s="55" t="s">
        <v>291</v>
      </c>
      <c r="U23">
        <v>540.57000000000005</v>
      </c>
      <c r="V23" s="57">
        <f t="shared" si="2"/>
        <v>-4.2408460434713136E-2</v>
      </c>
      <c r="X23" s="55" t="s">
        <v>291</v>
      </c>
      <c r="Y23">
        <v>971.75</v>
      </c>
      <c r="Z23" s="57">
        <f t="shared" si="3"/>
        <v>-9.6995716130950815E-2</v>
      </c>
      <c r="AB23" s="55" t="s">
        <v>291</v>
      </c>
      <c r="AC23">
        <v>250.17</v>
      </c>
      <c r="AD23" s="57">
        <f t="shared" si="4"/>
        <v>1.3695854775314986E-2</v>
      </c>
    </row>
    <row r="24" spans="2:30" ht="14.25" customHeight="1" x14ac:dyDescent="0.3">
      <c r="B24" s="55" t="s">
        <v>292</v>
      </c>
      <c r="C24">
        <v>2295.7199999999998</v>
      </c>
      <c r="D24" s="57">
        <f t="shared" si="0"/>
        <v>-3.5063090024126442E-2</v>
      </c>
      <c r="F24" s="55" t="s">
        <v>292</v>
      </c>
      <c r="G24">
        <v>23519.35</v>
      </c>
      <c r="H24" s="57">
        <f t="shared" si="1"/>
        <v>-3.3485793656664375E-2</v>
      </c>
      <c r="T24" s="55" t="s">
        <v>292</v>
      </c>
      <c r="U24">
        <v>496.87</v>
      </c>
      <c r="V24" s="57">
        <f t="shared" si="2"/>
        <v>-8.0840594187616799E-2</v>
      </c>
      <c r="X24" s="55" t="s">
        <v>292</v>
      </c>
      <c r="Y24">
        <v>939.8</v>
      </c>
      <c r="Z24" s="57">
        <f t="shared" si="3"/>
        <v>-3.287882685875998E-2</v>
      </c>
      <c r="AB24" s="55" t="s">
        <v>292</v>
      </c>
      <c r="AC24">
        <v>226.56</v>
      </c>
      <c r="AD24" s="57">
        <f t="shared" si="4"/>
        <v>-9.4375824439381195E-2</v>
      </c>
    </row>
    <row r="25" spans="2:30" ht="15" customHeight="1" thickBot="1" x14ac:dyDescent="0.35">
      <c r="B25" s="55" t="s">
        <v>293</v>
      </c>
      <c r="C25">
        <v>2137.91</v>
      </c>
      <c r="D25" s="57">
        <f t="shared" si="0"/>
        <v>-6.8740961441290716E-2</v>
      </c>
      <c r="F25" s="55" t="s">
        <v>293</v>
      </c>
      <c r="G25">
        <v>22124.7</v>
      </c>
      <c r="H25" s="57">
        <f t="shared" si="1"/>
        <v>-5.9297982299680863E-2</v>
      </c>
      <c r="J25" t="s">
        <v>264</v>
      </c>
      <c r="T25" s="55" t="s">
        <v>293</v>
      </c>
      <c r="U25">
        <v>485.29</v>
      </c>
      <c r="V25" s="57">
        <f t="shared" si="2"/>
        <v>-2.330589490208701E-2</v>
      </c>
      <c r="X25" s="55" t="s">
        <v>293</v>
      </c>
      <c r="Y25">
        <v>1016.72</v>
      </c>
      <c r="Z25" s="57">
        <f t="shared" si="3"/>
        <v>8.1847201532240899E-2</v>
      </c>
      <c r="AB25" s="55" t="s">
        <v>293</v>
      </c>
      <c r="AC25">
        <v>220.49</v>
      </c>
      <c r="AD25" s="57">
        <f t="shared" si="4"/>
        <v>-2.6792019774011244E-2</v>
      </c>
    </row>
    <row r="26" spans="2:30" ht="14.25" customHeight="1" x14ac:dyDescent="0.3">
      <c r="B26" s="55" t="s">
        <v>294</v>
      </c>
      <c r="C26">
        <v>2256.64</v>
      </c>
      <c r="D26" s="57">
        <f t="shared" si="0"/>
        <v>5.5535546398117752E-2</v>
      </c>
      <c r="F26" s="55" t="s">
        <v>294</v>
      </c>
      <c r="G26">
        <v>23508.400000000001</v>
      </c>
      <c r="H26" s="57">
        <f t="shared" si="1"/>
        <v>6.2540961007380824E-2</v>
      </c>
      <c r="J26" s="1"/>
      <c r="K26" s="1" t="s">
        <v>267</v>
      </c>
      <c r="L26" s="1" t="s">
        <v>268</v>
      </c>
      <c r="M26" s="1" t="s">
        <v>269</v>
      </c>
      <c r="N26" s="1" t="s">
        <v>270</v>
      </c>
      <c r="O26" s="1" t="s">
        <v>271</v>
      </c>
      <c r="T26" s="55" t="s">
        <v>294</v>
      </c>
      <c r="U26">
        <v>469.6</v>
      </c>
      <c r="V26" s="57">
        <f t="shared" si="2"/>
        <v>-3.233118341610175E-2</v>
      </c>
      <c r="X26" s="55" t="s">
        <v>294</v>
      </c>
      <c r="Y26">
        <v>1263.31</v>
      </c>
      <c r="Z26" s="57">
        <f t="shared" si="3"/>
        <v>0.24253481784562103</v>
      </c>
      <c r="AB26" s="55" t="s">
        <v>294</v>
      </c>
      <c r="AC26">
        <v>226.75</v>
      </c>
      <c r="AD26" s="57">
        <f t="shared" si="4"/>
        <v>2.8391310263504055E-2</v>
      </c>
    </row>
    <row r="27" spans="2:30" ht="14.25" customHeight="1" x14ac:dyDescent="0.3">
      <c r="B27" s="55" t="s">
        <v>295</v>
      </c>
      <c r="C27">
        <v>2237.56</v>
      </c>
      <c r="D27" s="57">
        <f t="shared" si="0"/>
        <v>-8.4550482132728089E-3</v>
      </c>
      <c r="F27" s="55" t="s">
        <v>295</v>
      </c>
      <c r="G27">
        <v>23644.799999999999</v>
      </c>
      <c r="H27" s="57">
        <f t="shared" si="1"/>
        <v>5.8021813479436357E-3</v>
      </c>
      <c r="J27" t="s">
        <v>273</v>
      </c>
      <c r="K27">
        <v>1</v>
      </c>
      <c r="L27">
        <v>0.100575951329185</v>
      </c>
      <c r="M27">
        <v>0.100575951329185</v>
      </c>
      <c r="N27">
        <v>27.118355253299399</v>
      </c>
      <c r="O27">
        <v>2.6371798633706199E-6</v>
      </c>
      <c r="T27" s="55" t="s">
        <v>295</v>
      </c>
      <c r="U27">
        <v>445.56</v>
      </c>
      <c r="V27" s="57">
        <f t="shared" si="2"/>
        <v>-5.1192504258943838E-2</v>
      </c>
      <c r="X27" s="55" t="s">
        <v>295</v>
      </c>
      <c r="Y27">
        <v>1397.74</v>
      </c>
      <c r="Z27" s="57">
        <f t="shared" si="3"/>
        <v>0.10641093634974785</v>
      </c>
      <c r="AB27" s="55" t="s">
        <v>295</v>
      </c>
      <c r="AC27">
        <v>257.79000000000002</v>
      </c>
      <c r="AD27" s="57">
        <f t="shared" si="4"/>
        <v>0.13689084895259107</v>
      </c>
    </row>
    <row r="28" spans="2:30" ht="14.25" customHeight="1" x14ac:dyDescent="0.3">
      <c r="B28" s="55" t="s">
        <v>296</v>
      </c>
      <c r="C28">
        <v>2432</v>
      </c>
      <c r="D28" s="57">
        <f t="shared" si="0"/>
        <v>8.6898228427394253E-2</v>
      </c>
      <c r="F28" s="55" t="s">
        <v>296</v>
      </c>
      <c r="G28">
        <v>24131.1</v>
      </c>
      <c r="H28" s="57">
        <f t="shared" si="1"/>
        <v>2.0566889971579405E-2</v>
      </c>
      <c r="J28" t="s">
        <v>275</v>
      </c>
      <c r="K28">
        <v>58</v>
      </c>
      <c r="L28">
        <v>0.21510910682472301</v>
      </c>
      <c r="M28">
        <v>3.7087777038745302E-3</v>
      </c>
      <c r="T28" s="55" t="s">
        <v>296</v>
      </c>
      <c r="U28">
        <v>490.41</v>
      </c>
      <c r="V28" s="57">
        <f t="shared" si="2"/>
        <v>0.10065984379208182</v>
      </c>
      <c r="X28" s="55" t="s">
        <v>296</v>
      </c>
      <c r="Y28">
        <v>1429.15</v>
      </c>
      <c r="Z28" s="57">
        <f t="shared" si="3"/>
        <v>2.2471990498948324E-2</v>
      </c>
      <c r="AB28" s="55" t="s">
        <v>296</v>
      </c>
      <c r="AC28">
        <v>273.3</v>
      </c>
      <c r="AD28" s="57">
        <f t="shared" si="4"/>
        <v>6.0165250785523039E-2</v>
      </c>
    </row>
    <row r="29" spans="2:30" ht="14.25" customHeight="1" thickBot="1" x14ac:dyDescent="0.35">
      <c r="B29" s="55" t="s">
        <v>297</v>
      </c>
      <c r="C29">
        <v>2874.37</v>
      </c>
      <c r="D29" s="57">
        <f t="shared" si="0"/>
        <v>0.18189555921052625</v>
      </c>
      <c r="F29" s="55" t="s">
        <v>297</v>
      </c>
      <c r="G29">
        <v>24205.35</v>
      </c>
      <c r="H29" s="57">
        <f t="shared" si="1"/>
        <v>3.0769422032148608E-3</v>
      </c>
      <c r="J29" s="59" t="s">
        <v>184</v>
      </c>
      <c r="K29" s="59">
        <v>59</v>
      </c>
      <c r="L29" s="59">
        <v>0.31568505815390802</v>
      </c>
      <c r="M29" s="59"/>
      <c r="N29" s="59"/>
      <c r="O29" s="59"/>
      <c r="T29" s="55" t="s">
        <v>297</v>
      </c>
      <c r="U29">
        <v>533.22</v>
      </c>
      <c r="V29" s="57">
        <f t="shared" si="2"/>
        <v>8.7294304765400454E-2</v>
      </c>
      <c r="X29" s="55" t="s">
        <v>297</v>
      </c>
      <c r="Y29">
        <v>1640.34</v>
      </c>
      <c r="Z29" s="57">
        <f t="shared" si="3"/>
        <v>0.14777315187349105</v>
      </c>
      <c r="AB29" s="55" t="s">
        <v>297</v>
      </c>
      <c r="AC29">
        <v>277.33999999999997</v>
      </c>
      <c r="AD29" s="57">
        <f t="shared" si="4"/>
        <v>1.4782290523234431E-2</v>
      </c>
    </row>
    <row r="30" spans="2:30" ht="14.25" customHeight="1" thickBot="1" x14ac:dyDescent="0.35">
      <c r="B30" s="55" t="s">
        <v>298</v>
      </c>
      <c r="C30">
        <v>3259.61</v>
      </c>
      <c r="D30" s="57">
        <f t="shared" si="0"/>
        <v>0.13402589089087358</v>
      </c>
      <c r="F30" s="55" t="s">
        <v>298</v>
      </c>
      <c r="G30">
        <v>25810.85</v>
      </c>
      <c r="H30" s="57">
        <f t="shared" si="1"/>
        <v>6.6328311716211452E-2</v>
      </c>
      <c r="T30" s="55" t="s">
        <v>298</v>
      </c>
      <c r="U30">
        <v>618.15</v>
      </c>
      <c r="V30" s="57">
        <f t="shared" si="2"/>
        <v>0.15927759648925388</v>
      </c>
      <c r="X30" s="55" t="s">
        <v>298</v>
      </c>
      <c r="Y30">
        <v>1454.72</v>
      </c>
      <c r="Z30" s="57">
        <f t="shared" si="3"/>
        <v>-0.11315946693978074</v>
      </c>
      <c r="AB30" s="55" t="s">
        <v>298</v>
      </c>
      <c r="AC30">
        <v>301.07</v>
      </c>
      <c r="AD30" s="57">
        <f t="shared" si="4"/>
        <v>8.5562847046946056E-2</v>
      </c>
    </row>
    <row r="31" spans="2:30" ht="14.25" customHeight="1" x14ac:dyDescent="0.3">
      <c r="B31" s="55" t="s">
        <v>299</v>
      </c>
      <c r="C31">
        <v>3061.53</v>
      </c>
      <c r="D31" s="57">
        <f t="shared" si="0"/>
        <v>-6.076800598844645E-2</v>
      </c>
      <c r="F31" s="55" t="s">
        <v>299</v>
      </c>
      <c r="G31">
        <v>25235.9</v>
      </c>
      <c r="H31" s="57">
        <f t="shared" si="1"/>
        <v>-2.2275515916755806E-2</v>
      </c>
      <c r="J31" s="1"/>
      <c r="K31" s="1" t="s">
        <v>279</v>
      </c>
      <c r="L31" s="1" t="s">
        <v>257</v>
      </c>
      <c r="M31" s="1" t="s">
        <v>280</v>
      </c>
      <c r="N31" s="1" t="s">
        <v>281</v>
      </c>
      <c r="O31" s="1" t="s">
        <v>282</v>
      </c>
      <c r="P31" s="1" t="s">
        <v>283</v>
      </c>
      <c r="Q31" s="1" t="s">
        <v>284</v>
      </c>
      <c r="R31" s="1" t="s">
        <v>285</v>
      </c>
      <c r="T31" s="55" t="s">
        <v>299</v>
      </c>
      <c r="U31">
        <v>567.24</v>
      </c>
      <c r="V31" s="57">
        <f t="shared" si="2"/>
        <v>-8.2358650812909384E-2</v>
      </c>
      <c r="X31" s="55" t="s">
        <v>299</v>
      </c>
      <c r="Y31">
        <v>1446.04</v>
      </c>
      <c r="Z31" s="57">
        <f t="shared" si="3"/>
        <v>-5.9667839859217642E-3</v>
      </c>
      <c r="AB31" s="55" t="s">
        <v>299</v>
      </c>
      <c r="AC31">
        <v>288.43</v>
      </c>
      <c r="AD31" s="57">
        <f t="shared" si="4"/>
        <v>-4.1983591855714542E-2</v>
      </c>
    </row>
    <row r="32" spans="2:30" ht="14.25" customHeight="1" x14ac:dyDescent="0.3">
      <c r="B32" s="55" t="s">
        <v>300</v>
      </c>
      <c r="C32">
        <v>3020.07</v>
      </c>
      <c r="D32" s="57">
        <f t="shared" si="0"/>
        <v>-1.3542248483601305E-2</v>
      </c>
      <c r="F32" s="55" t="s">
        <v>300</v>
      </c>
      <c r="G32">
        <v>24951.15</v>
      </c>
      <c r="H32" s="57">
        <f t="shared" si="1"/>
        <v>-1.1283528623904804E-2</v>
      </c>
      <c r="J32" t="s">
        <v>287</v>
      </c>
      <c r="K32">
        <v>9.9648328361226397E-3</v>
      </c>
      <c r="L32">
        <v>7.9336185424350707E-3</v>
      </c>
      <c r="M32">
        <v>1.25602621084226</v>
      </c>
      <c r="N32">
        <v>0.214142458629826</v>
      </c>
      <c r="O32">
        <v>-5.9160301128084701E-3</v>
      </c>
      <c r="P32">
        <v>2.5845695785053802E-2</v>
      </c>
      <c r="Q32">
        <v>-5.9160301128084701E-3</v>
      </c>
      <c r="R32">
        <v>2.5845695785053802E-2</v>
      </c>
      <c r="T32" s="55" t="s">
        <v>300</v>
      </c>
      <c r="U32">
        <v>547.69000000000005</v>
      </c>
      <c r="V32" s="57">
        <f t="shared" si="2"/>
        <v>-3.446512939849089E-2</v>
      </c>
      <c r="X32" s="55" t="s">
        <v>300</v>
      </c>
      <c r="Y32">
        <v>1490.86</v>
      </c>
      <c r="Z32" s="57">
        <f t="shared" si="3"/>
        <v>3.0994993222870804E-2</v>
      </c>
      <c r="AB32" s="55" t="s">
        <v>300</v>
      </c>
      <c r="AC32">
        <v>298.83999999999997</v>
      </c>
      <c r="AD32" s="57">
        <f t="shared" si="4"/>
        <v>3.609194605276822E-2</v>
      </c>
    </row>
    <row r="33" spans="2:30" ht="14.25" customHeight="1" thickBot="1" x14ac:dyDescent="0.35">
      <c r="B33" s="55" t="s">
        <v>301</v>
      </c>
      <c r="C33">
        <v>2856.16</v>
      </c>
      <c r="D33" s="57">
        <f t="shared" si="0"/>
        <v>-5.4273576440281301E-2</v>
      </c>
      <c r="F33" s="55" t="s">
        <v>301</v>
      </c>
      <c r="G33">
        <v>24010.6</v>
      </c>
      <c r="H33" s="57">
        <f t="shared" si="1"/>
        <v>-3.7695657314392395E-2</v>
      </c>
      <c r="J33" s="59" t="s">
        <v>289</v>
      </c>
      <c r="K33" s="59">
        <v>1.08812402513907</v>
      </c>
      <c r="L33" s="59">
        <v>0.20895209339774001</v>
      </c>
      <c r="M33" s="59">
        <v>5.2075287088310303</v>
      </c>
      <c r="N33" s="59">
        <v>2.63717986337065E-6</v>
      </c>
      <c r="O33" s="59">
        <v>0.66986096643606796</v>
      </c>
      <c r="P33" s="59">
        <v>1.5063870838420801</v>
      </c>
      <c r="Q33" s="59">
        <v>0.66986096643606796</v>
      </c>
      <c r="R33" s="59">
        <v>1.5063870838420801</v>
      </c>
      <c r="T33" s="55" t="s">
        <v>301</v>
      </c>
      <c r="U33">
        <v>497.65</v>
      </c>
      <c r="V33" s="57">
        <f t="shared" si="2"/>
        <v>-9.1365553506545849E-2</v>
      </c>
      <c r="X33" s="55" t="s">
        <v>301</v>
      </c>
      <c r="Y33">
        <v>1365.59</v>
      </c>
      <c r="Z33" s="57">
        <f t="shared" si="3"/>
        <v>-8.40253276632279E-2</v>
      </c>
      <c r="AB33" s="55" t="s">
        <v>301</v>
      </c>
      <c r="AC33">
        <v>262.75</v>
      </c>
      <c r="AD33" s="57">
        <f t="shared" si="4"/>
        <v>-0.12076696560032119</v>
      </c>
    </row>
    <row r="34" spans="2:30" ht="14.25" customHeight="1" x14ac:dyDescent="0.3">
      <c r="B34" s="55" t="s">
        <v>302</v>
      </c>
      <c r="C34">
        <v>2794.03</v>
      </c>
      <c r="D34" s="57">
        <f t="shared" si="0"/>
        <v>-2.175298302616091E-2</v>
      </c>
      <c r="F34" s="55" t="s">
        <v>302</v>
      </c>
      <c r="G34">
        <v>22530.7</v>
      </c>
      <c r="H34" s="57">
        <f t="shared" si="1"/>
        <v>-6.1635277752326023E-2</v>
      </c>
      <c r="T34" s="55" t="s">
        <v>302</v>
      </c>
      <c r="U34">
        <v>454.03</v>
      </c>
      <c r="V34" s="57">
        <f t="shared" si="2"/>
        <v>-8.7651964231889923E-2</v>
      </c>
      <c r="X34" s="55" t="s">
        <v>302</v>
      </c>
      <c r="Y34">
        <v>1333.07</v>
      </c>
      <c r="Z34" s="57">
        <f t="shared" si="3"/>
        <v>-2.3813882644131867E-2</v>
      </c>
      <c r="AB34" s="55" t="s">
        <v>302</v>
      </c>
      <c r="AC34">
        <v>258.79000000000002</v>
      </c>
      <c r="AD34" s="57">
        <f t="shared" si="4"/>
        <v>-1.5071360608943762E-2</v>
      </c>
    </row>
    <row r="35" spans="2:30" ht="14.25" customHeight="1" x14ac:dyDescent="0.3">
      <c r="B35" s="55" t="s">
        <v>303</v>
      </c>
      <c r="C35">
        <v>2788.89</v>
      </c>
      <c r="D35" s="57">
        <f t="shared" si="0"/>
        <v>-1.8396366538656617E-3</v>
      </c>
      <c r="F35" s="55" t="s">
        <v>303</v>
      </c>
      <c r="G35">
        <v>22604.85</v>
      </c>
      <c r="H35" s="57">
        <f t="shared" si="1"/>
        <v>3.2910650800905827E-3</v>
      </c>
      <c r="T35" s="55" t="s">
        <v>303</v>
      </c>
      <c r="U35">
        <v>501.95</v>
      </c>
      <c r="V35" s="57">
        <f t="shared" si="2"/>
        <v>0.10554368654053703</v>
      </c>
      <c r="X35" s="55" t="s">
        <v>303</v>
      </c>
      <c r="Y35">
        <v>1366.54</v>
      </c>
      <c r="Z35" s="57">
        <f t="shared" si="3"/>
        <v>2.5107458723097942E-2</v>
      </c>
      <c r="AB35" s="55" t="s">
        <v>303</v>
      </c>
      <c r="AC35">
        <v>268.52999999999997</v>
      </c>
      <c r="AD35" s="57">
        <f t="shared" si="4"/>
        <v>3.7636693844429692E-2</v>
      </c>
    </row>
    <row r="36" spans="2:30" ht="14.25" customHeight="1" x14ac:dyDescent="0.3">
      <c r="B36" s="55" t="s">
        <v>304</v>
      </c>
      <c r="C36">
        <v>2760.62</v>
      </c>
      <c r="D36" s="57">
        <f t="shared" si="0"/>
        <v>-1.0136649347948445E-2</v>
      </c>
      <c r="F36" s="55" t="s">
        <v>304</v>
      </c>
      <c r="G36">
        <v>22326.9</v>
      </c>
      <c r="H36" s="57">
        <f t="shared" si="1"/>
        <v>-1.2296033815751839E-2</v>
      </c>
      <c r="T36" s="55" t="s">
        <v>304</v>
      </c>
      <c r="U36">
        <v>565.61</v>
      </c>
      <c r="V36" s="57">
        <f t="shared" si="2"/>
        <v>0.12682538101404517</v>
      </c>
      <c r="X36" s="55" t="s">
        <v>304</v>
      </c>
      <c r="Y36">
        <v>1249.82</v>
      </c>
      <c r="Z36" s="57">
        <f t="shared" si="3"/>
        <v>-8.5412794356550137E-2</v>
      </c>
      <c r="AB36" s="55" t="s">
        <v>304</v>
      </c>
      <c r="AC36">
        <v>251.73</v>
      </c>
      <c r="AD36" s="57">
        <f t="shared" si="4"/>
        <v>-6.2562842140542863E-2</v>
      </c>
    </row>
    <row r="37" spans="2:30" ht="14.25" customHeight="1" x14ac:dyDescent="0.3">
      <c r="B37" s="55" t="s">
        <v>305</v>
      </c>
      <c r="C37">
        <v>2736.52</v>
      </c>
      <c r="D37" s="57">
        <f t="shared" si="0"/>
        <v>-8.7299229883142093E-3</v>
      </c>
      <c r="F37" s="55" t="s">
        <v>305</v>
      </c>
      <c r="G37">
        <v>21982.799999999999</v>
      </c>
      <c r="H37" s="57">
        <f t="shared" si="1"/>
        <v>-1.5411902234524377E-2</v>
      </c>
      <c r="T37" s="55" t="s">
        <v>305</v>
      </c>
      <c r="U37">
        <v>598.82000000000005</v>
      </c>
      <c r="V37" s="57">
        <f t="shared" si="2"/>
        <v>5.8715369247361426E-2</v>
      </c>
      <c r="X37" s="55" t="s">
        <v>305</v>
      </c>
      <c r="Y37">
        <v>1391.3</v>
      </c>
      <c r="Z37" s="57">
        <f t="shared" si="3"/>
        <v>0.11320030084332156</v>
      </c>
      <c r="AB37" s="55" t="s">
        <v>305</v>
      </c>
      <c r="AC37">
        <v>277.98</v>
      </c>
      <c r="AD37" s="57">
        <f t="shared" si="4"/>
        <v>0.10427839351686341</v>
      </c>
    </row>
    <row r="38" spans="2:30" ht="14.25" customHeight="1" x14ac:dyDescent="0.3">
      <c r="B38" s="55" t="s">
        <v>306</v>
      </c>
      <c r="C38">
        <v>2868.36</v>
      </c>
      <c r="D38" s="57">
        <f t="shared" si="0"/>
        <v>4.8177977869703126E-2</v>
      </c>
      <c r="F38" s="55" t="s">
        <v>306</v>
      </c>
      <c r="G38">
        <v>21725.7</v>
      </c>
      <c r="H38" s="57">
        <f t="shared" si="1"/>
        <v>-1.1695507396691895E-2</v>
      </c>
      <c r="T38" s="55" t="s">
        <v>306</v>
      </c>
      <c r="U38">
        <v>557.80999999999995</v>
      </c>
      <c r="V38" s="57">
        <f t="shared" si="2"/>
        <v>-6.8484686550215557E-2</v>
      </c>
      <c r="X38" s="55" t="s">
        <v>306</v>
      </c>
      <c r="Y38">
        <v>1435.66</v>
      </c>
      <c r="Z38" s="57">
        <f t="shared" si="3"/>
        <v>3.188384963703017E-2</v>
      </c>
      <c r="AB38" s="55" t="s">
        <v>306</v>
      </c>
      <c r="AC38">
        <v>328.04</v>
      </c>
      <c r="AD38" s="57">
        <f t="shared" si="4"/>
        <v>0.18008489819411477</v>
      </c>
    </row>
    <row r="39" spans="2:30" ht="14.25" customHeight="1" x14ac:dyDescent="0.3">
      <c r="B39" s="55" t="s">
        <v>307</v>
      </c>
      <c r="C39">
        <v>3299.46</v>
      </c>
      <c r="D39" s="57">
        <f t="shared" si="0"/>
        <v>0.15029494205748239</v>
      </c>
      <c r="F39" s="55" t="s">
        <v>307</v>
      </c>
      <c r="G39">
        <v>21731.4</v>
      </c>
      <c r="H39" s="57">
        <f t="shared" si="1"/>
        <v>2.6236208729746302E-4</v>
      </c>
      <c r="T39" s="55" t="s">
        <v>307</v>
      </c>
      <c r="U39">
        <v>596.79999999999995</v>
      </c>
      <c r="V39" s="57">
        <f t="shared" si="2"/>
        <v>6.989835248561338E-2</v>
      </c>
      <c r="X39" s="55" t="s">
        <v>307</v>
      </c>
      <c r="Y39">
        <v>1482.46</v>
      </c>
      <c r="Z39" s="57">
        <f t="shared" si="3"/>
        <v>3.2598247495925214E-2</v>
      </c>
      <c r="AB39" s="55" t="s">
        <v>307</v>
      </c>
      <c r="AC39">
        <v>319.88</v>
      </c>
      <c r="AD39" s="57">
        <f t="shared" si="4"/>
        <v>-2.4875015242043719E-2</v>
      </c>
    </row>
    <row r="40" spans="2:30" ht="14.25" customHeight="1" x14ac:dyDescent="0.3">
      <c r="B40" s="55" t="s">
        <v>308</v>
      </c>
      <c r="C40">
        <v>3025.5</v>
      </c>
      <c r="D40" s="57">
        <f t="shared" ref="D40:D67" si="5">C40/C39-1</f>
        <v>-8.3031768834900266E-2</v>
      </c>
      <c r="F40" s="55" t="s">
        <v>308</v>
      </c>
      <c r="G40">
        <v>20133.150000000001</v>
      </c>
      <c r="H40" s="57">
        <f t="shared" ref="H40:H67" si="6">G40/G39-1</f>
        <v>-7.3545652834147823E-2</v>
      </c>
      <c r="T40" s="55" t="s">
        <v>308</v>
      </c>
      <c r="U40">
        <v>566.94000000000005</v>
      </c>
      <c r="V40" s="57">
        <f t="shared" ref="V40:V67" si="7">U40/U39-1</f>
        <v>-5.0033512064343033E-2</v>
      </c>
      <c r="X40" s="55" t="s">
        <v>308</v>
      </c>
      <c r="Y40">
        <v>1480.62</v>
      </c>
      <c r="Z40" s="57">
        <f t="shared" ref="Z40:Z67" si="8">Y40/Y39-1</f>
        <v>-1.2411802004776984E-3</v>
      </c>
      <c r="AB40" s="55" t="s">
        <v>308</v>
      </c>
      <c r="AC40">
        <v>307.39999999999998</v>
      </c>
      <c r="AD40" s="57">
        <f t="shared" ref="AD40:AD67" si="9">AC40/AC39-1</f>
        <v>-3.90146304864325E-2</v>
      </c>
    </row>
    <row r="41" spans="2:30" ht="14.25" customHeight="1" x14ac:dyDescent="0.3">
      <c r="B41" s="55" t="s">
        <v>309</v>
      </c>
      <c r="C41">
        <v>2900</v>
      </c>
      <c r="D41" s="57">
        <f t="shared" si="5"/>
        <v>-4.1480746983969641E-2</v>
      </c>
      <c r="F41" s="55" t="s">
        <v>309</v>
      </c>
      <c r="G41">
        <v>19079.599999999999</v>
      </c>
      <c r="H41" s="57">
        <f t="shared" si="6"/>
        <v>-5.2329118890983461E-2</v>
      </c>
      <c r="T41" s="55" t="s">
        <v>309</v>
      </c>
      <c r="U41">
        <v>551.35</v>
      </c>
      <c r="V41" s="57">
        <f t="shared" si="7"/>
        <v>-2.7498500723180608E-2</v>
      </c>
      <c r="X41" s="55" t="s">
        <v>309</v>
      </c>
      <c r="Y41">
        <v>1392.45</v>
      </c>
      <c r="Z41" s="57">
        <f t="shared" si="8"/>
        <v>-5.9549377963285521E-2</v>
      </c>
      <c r="AB41" s="55" t="s">
        <v>309</v>
      </c>
      <c r="AC41">
        <v>302.45999999999998</v>
      </c>
      <c r="AD41" s="57">
        <f t="shared" si="9"/>
        <v>-1.6070266753415718E-2</v>
      </c>
    </row>
    <row r="42" spans="2:30" ht="14.25" customHeight="1" x14ac:dyDescent="0.3">
      <c r="B42" s="55" t="s">
        <v>310</v>
      </c>
      <c r="C42">
        <v>3060.07</v>
      </c>
      <c r="D42" s="57">
        <f t="shared" si="5"/>
        <v>5.5196551724137954E-2</v>
      </c>
      <c r="F42" s="55" t="s">
        <v>310</v>
      </c>
      <c r="G42">
        <v>19638.3</v>
      </c>
      <c r="H42" s="57">
        <f t="shared" si="6"/>
        <v>2.9282584540556433E-2</v>
      </c>
      <c r="T42" s="55" t="s">
        <v>310</v>
      </c>
      <c r="U42">
        <v>561.46</v>
      </c>
      <c r="V42" s="57">
        <f t="shared" si="7"/>
        <v>1.8336809649043273E-2</v>
      </c>
      <c r="X42" s="55" t="s">
        <v>310</v>
      </c>
      <c r="Y42">
        <v>1477.78</v>
      </c>
      <c r="Z42" s="57">
        <f t="shared" si="8"/>
        <v>6.128047685733784E-2</v>
      </c>
      <c r="AB42" s="55" t="s">
        <v>310</v>
      </c>
      <c r="AC42">
        <v>304.72000000000003</v>
      </c>
      <c r="AD42" s="57">
        <f t="shared" si="9"/>
        <v>7.4720624214774656E-3</v>
      </c>
    </row>
    <row r="43" spans="2:30" ht="14.25" customHeight="1" x14ac:dyDescent="0.3">
      <c r="B43" s="55" t="s">
        <v>311</v>
      </c>
      <c r="C43">
        <v>3152.08</v>
      </c>
      <c r="D43" s="57">
        <f t="shared" si="5"/>
        <v>3.0067939622296036E-2</v>
      </c>
      <c r="F43" s="55" t="s">
        <v>311</v>
      </c>
      <c r="G43">
        <v>19253.8</v>
      </c>
      <c r="H43" s="57">
        <f t="shared" si="6"/>
        <v>-1.9579087802915729E-2</v>
      </c>
      <c r="T43" s="55" t="s">
        <v>311</v>
      </c>
      <c r="U43">
        <v>591.05999999999995</v>
      </c>
      <c r="V43" s="57">
        <f t="shared" si="7"/>
        <v>5.2719695080682305E-2</v>
      </c>
      <c r="X43" s="55" t="s">
        <v>311</v>
      </c>
      <c r="Y43">
        <v>1561.83</v>
      </c>
      <c r="Z43" s="57">
        <f t="shared" si="8"/>
        <v>5.6875854322023578E-2</v>
      </c>
      <c r="AB43" s="55" t="s">
        <v>311</v>
      </c>
      <c r="AC43">
        <v>319.31</v>
      </c>
      <c r="AD43" s="57">
        <f t="shared" si="9"/>
        <v>4.7880021002887796E-2</v>
      </c>
    </row>
    <row r="44" spans="2:30" ht="14.25" customHeight="1" x14ac:dyDescent="0.3">
      <c r="B44" s="55" t="s">
        <v>312</v>
      </c>
      <c r="C44">
        <v>3269.46</v>
      </c>
      <c r="D44" s="57">
        <f t="shared" si="5"/>
        <v>3.723890256592477E-2</v>
      </c>
      <c r="F44" s="55" t="s">
        <v>312</v>
      </c>
      <c r="G44">
        <v>19753.8</v>
      </c>
      <c r="H44" s="57">
        <f t="shared" si="6"/>
        <v>2.5968899645784305E-2</v>
      </c>
      <c r="T44" s="55" t="s">
        <v>312</v>
      </c>
      <c r="U44">
        <v>558.71</v>
      </c>
      <c r="V44" s="57">
        <f t="shared" si="7"/>
        <v>-5.4732176090413698E-2</v>
      </c>
      <c r="X44" s="55" t="s">
        <v>312</v>
      </c>
      <c r="Y44">
        <v>1583.76</v>
      </c>
      <c r="Z44" s="57">
        <f t="shared" si="8"/>
        <v>1.4041220875511407E-2</v>
      </c>
      <c r="AB44" s="55" t="s">
        <v>312</v>
      </c>
      <c r="AC44">
        <v>321.95</v>
      </c>
      <c r="AD44" s="57">
        <f t="shared" si="9"/>
        <v>8.2678275030534376E-3</v>
      </c>
    </row>
    <row r="45" spans="2:30" ht="14.25" customHeight="1" x14ac:dyDescent="0.3">
      <c r="B45" s="55" t="s">
        <v>313</v>
      </c>
      <c r="C45">
        <v>3254.65</v>
      </c>
      <c r="D45" s="57">
        <f t="shared" si="5"/>
        <v>-4.5298000281391859E-3</v>
      </c>
      <c r="F45" s="55" t="s">
        <v>313</v>
      </c>
      <c r="G45">
        <v>19189.05</v>
      </c>
      <c r="H45" s="57">
        <f t="shared" si="6"/>
        <v>-2.8589435956626108E-2</v>
      </c>
      <c r="T45" s="55" t="s">
        <v>313</v>
      </c>
      <c r="U45">
        <v>555.19000000000005</v>
      </c>
      <c r="V45" s="57">
        <f t="shared" si="7"/>
        <v>-6.3002273093375472E-3</v>
      </c>
      <c r="X45" s="55" t="s">
        <v>313</v>
      </c>
      <c r="Y45">
        <v>1417.95</v>
      </c>
      <c r="Z45" s="57">
        <f t="shared" si="8"/>
        <v>-0.10469389301409304</v>
      </c>
      <c r="AB45" s="55" t="s">
        <v>313</v>
      </c>
      <c r="AC45">
        <v>288.25</v>
      </c>
      <c r="AD45" s="57">
        <f t="shared" si="9"/>
        <v>-0.10467463891908679</v>
      </c>
    </row>
    <row r="46" spans="2:30" ht="14.25" customHeight="1" x14ac:dyDescent="0.3">
      <c r="B46" s="55" t="s">
        <v>314</v>
      </c>
      <c r="C46">
        <v>3070.5</v>
      </c>
      <c r="D46" s="57">
        <f t="shared" si="5"/>
        <v>-5.6580584701888093E-2</v>
      </c>
      <c r="F46" s="55" t="s">
        <v>314</v>
      </c>
      <c r="G46">
        <v>18534.400000000001</v>
      </c>
      <c r="H46" s="57">
        <f t="shared" si="6"/>
        <v>-3.4115810840036231E-2</v>
      </c>
      <c r="T46" s="55" t="s">
        <v>314</v>
      </c>
      <c r="U46">
        <v>532.54999999999995</v>
      </c>
      <c r="V46" s="57">
        <f t="shared" si="7"/>
        <v>-4.0778832471766613E-2</v>
      </c>
      <c r="X46" s="55" t="s">
        <v>314</v>
      </c>
      <c r="Y46">
        <v>1445.09</v>
      </c>
      <c r="Z46" s="57">
        <f t="shared" si="8"/>
        <v>1.9140308191402999E-2</v>
      </c>
      <c r="AB46" s="55" t="s">
        <v>314</v>
      </c>
      <c r="AC46">
        <v>282.11</v>
      </c>
      <c r="AD46" s="57">
        <f t="shared" si="9"/>
        <v>-2.1300954032957509E-2</v>
      </c>
    </row>
    <row r="47" spans="2:30" ht="14.25" customHeight="1" x14ac:dyDescent="0.3">
      <c r="B47" s="55" t="s">
        <v>315</v>
      </c>
      <c r="C47">
        <v>2791.04</v>
      </c>
      <c r="D47" s="57">
        <f t="shared" si="5"/>
        <v>-9.1014492753623166E-2</v>
      </c>
      <c r="F47" s="55" t="s">
        <v>315</v>
      </c>
      <c r="G47">
        <v>18065</v>
      </c>
      <c r="H47" s="57">
        <f t="shared" si="6"/>
        <v>-2.5325880524861955E-2</v>
      </c>
      <c r="T47" s="55" t="s">
        <v>315</v>
      </c>
      <c r="U47">
        <v>499.72</v>
      </c>
      <c r="V47" s="57">
        <f t="shared" si="7"/>
        <v>-6.1646793728288296E-2</v>
      </c>
      <c r="X47" s="55" t="s">
        <v>315</v>
      </c>
      <c r="Y47">
        <v>1144.71</v>
      </c>
      <c r="Z47" s="57">
        <f t="shared" si="8"/>
        <v>-0.20786248607353164</v>
      </c>
      <c r="AB47" s="55" t="s">
        <v>315</v>
      </c>
      <c r="AC47">
        <v>241.67</v>
      </c>
      <c r="AD47" s="57">
        <f t="shared" si="9"/>
        <v>-0.14334833930027302</v>
      </c>
    </row>
    <row r="48" spans="2:30" ht="14.25" customHeight="1" x14ac:dyDescent="0.3">
      <c r="B48" s="55" t="s">
        <v>316</v>
      </c>
      <c r="C48">
        <v>2655.74</v>
      </c>
      <c r="D48" s="57">
        <f t="shared" si="5"/>
        <v>-4.8476553542765477E-2</v>
      </c>
      <c r="F48" s="55" t="s">
        <v>316</v>
      </c>
      <c r="G48">
        <v>17359.75</v>
      </c>
      <c r="H48" s="57">
        <f t="shared" si="6"/>
        <v>-3.9039579296983096E-2</v>
      </c>
      <c r="T48" s="55" t="s">
        <v>316</v>
      </c>
      <c r="U48">
        <v>476.26</v>
      </c>
      <c r="V48" s="57">
        <f t="shared" si="7"/>
        <v>-4.694628992235661E-2</v>
      </c>
      <c r="X48" s="55" t="s">
        <v>316</v>
      </c>
      <c r="Y48">
        <v>1000.62</v>
      </c>
      <c r="Z48" s="57">
        <f t="shared" si="8"/>
        <v>-0.12587467568205046</v>
      </c>
      <c r="AB48" s="55" t="s">
        <v>316</v>
      </c>
      <c r="AC48">
        <v>245.9</v>
      </c>
      <c r="AD48" s="57">
        <f t="shared" si="9"/>
        <v>1.750320685231932E-2</v>
      </c>
    </row>
    <row r="49" spans="2:30" ht="14.25" customHeight="1" x14ac:dyDescent="0.3">
      <c r="B49" s="55" t="s">
        <v>317</v>
      </c>
      <c r="C49">
        <v>2720.31</v>
      </c>
      <c r="D49" s="57">
        <f t="shared" si="5"/>
        <v>2.4313374050170644E-2</v>
      </c>
      <c r="F49" s="55" t="s">
        <v>317</v>
      </c>
      <c r="G49">
        <v>17303.95</v>
      </c>
      <c r="H49" s="57">
        <f t="shared" si="6"/>
        <v>-3.2143320036290834E-3</v>
      </c>
      <c r="T49" s="55" t="s">
        <v>317</v>
      </c>
      <c r="U49">
        <v>474.54</v>
      </c>
      <c r="V49" s="57">
        <f t="shared" si="7"/>
        <v>-3.6114727249820788E-3</v>
      </c>
      <c r="X49" s="55" t="s">
        <v>317</v>
      </c>
      <c r="Y49">
        <v>990.65</v>
      </c>
      <c r="Z49" s="57">
        <f t="shared" si="8"/>
        <v>-9.9638224300934164E-3</v>
      </c>
      <c r="AB49" s="55" t="s">
        <v>317</v>
      </c>
      <c r="AC49">
        <v>256.01</v>
      </c>
      <c r="AD49" s="57">
        <f t="shared" si="9"/>
        <v>4.1114274095160663E-2</v>
      </c>
    </row>
    <row r="50" spans="2:30" ht="14.25" customHeight="1" x14ac:dyDescent="0.3">
      <c r="B50" s="55" t="s">
        <v>318</v>
      </c>
      <c r="C50">
        <v>2621.31</v>
      </c>
      <c r="D50" s="57">
        <f t="shared" si="5"/>
        <v>-3.6392911102043568E-2</v>
      </c>
      <c r="F50" s="55" t="s">
        <v>318</v>
      </c>
      <c r="G50">
        <v>17662.150000000001</v>
      </c>
      <c r="H50" s="57">
        <f t="shared" si="6"/>
        <v>2.0700475902900806E-2</v>
      </c>
      <c r="T50" s="55" t="s">
        <v>318</v>
      </c>
      <c r="U50">
        <v>449.61</v>
      </c>
      <c r="V50" s="57">
        <f t="shared" si="7"/>
        <v>-5.2535086610190906E-2</v>
      </c>
      <c r="X50" s="55" t="s">
        <v>318</v>
      </c>
      <c r="Y50">
        <v>1168.1300000000001</v>
      </c>
      <c r="Z50" s="57">
        <f t="shared" si="8"/>
        <v>0.17915510018674619</v>
      </c>
      <c r="AB50" s="55" t="s">
        <v>318</v>
      </c>
      <c r="AC50">
        <v>269.01</v>
      </c>
      <c r="AD50" s="57">
        <f t="shared" si="9"/>
        <v>5.0779266434904935E-2</v>
      </c>
    </row>
    <row r="51" spans="2:30" ht="14.25" customHeight="1" x14ac:dyDescent="0.3">
      <c r="B51" s="55" t="s">
        <v>319</v>
      </c>
      <c r="C51">
        <v>2969.48</v>
      </c>
      <c r="D51" s="57">
        <f t="shared" si="5"/>
        <v>0.13282290152633602</v>
      </c>
      <c r="F51" s="55" t="s">
        <v>319</v>
      </c>
      <c r="G51">
        <v>18105.3</v>
      </c>
      <c r="H51" s="57">
        <f t="shared" si="6"/>
        <v>2.5090376879371767E-2</v>
      </c>
      <c r="T51" s="55" t="s">
        <v>319</v>
      </c>
      <c r="U51">
        <v>475.98</v>
      </c>
      <c r="V51" s="57">
        <f t="shared" si="7"/>
        <v>5.8650830719957359E-2</v>
      </c>
      <c r="X51" s="55" t="s">
        <v>319</v>
      </c>
      <c r="Y51">
        <v>1292.6199999999999</v>
      </c>
      <c r="Z51" s="57">
        <f t="shared" si="8"/>
        <v>0.10657204249527008</v>
      </c>
      <c r="AB51" s="55" t="s">
        <v>319</v>
      </c>
      <c r="AC51">
        <v>279.24</v>
      </c>
      <c r="AD51" s="57">
        <f t="shared" si="9"/>
        <v>3.8028326084532216E-2</v>
      </c>
    </row>
    <row r="52" spans="2:30" ht="14.25" customHeight="1" x14ac:dyDescent="0.3">
      <c r="B52" s="55" t="s">
        <v>320</v>
      </c>
      <c r="C52">
        <v>3053.38</v>
      </c>
      <c r="D52" s="57">
        <f t="shared" si="5"/>
        <v>2.8254105095841808E-2</v>
      </c>
      <c r="F52" s="55" t="s">
        <v>320</v>
      </c>
      <c r="G52">
        <v>18758.349999999999</v>
      </c>
      <c r="H52" s="57">
        <f t="shared" si="6"/>
        <v>3.6069548695685683E-2</v>
      </c>
      <c r="T52" s="55" t="s">
        <v>320</v>
      </c>
      <c r="U52">
        <v>509.59</v>
      </c>
      <c r="V52" s="57">
        <f t="shared" si="7"/>
        <v>7.0612210597083891E-2</v>
      </c>
      <c r="X52" s="55" t="s">
        <v>320</v>
      </c>
      <c r="Y52">
        <v>1331.96</v>
      </c>
      <c r="Z52" s="57">
        <f t="shared" si="8"/>
        <v>3.0434311708003925E-2</v>
      </c>
      <c r="AB52" s="55" t="s">
        <v>320</v>
      </c>
      <c r="AC52">
        <v>285.06</v>
      </c>
      <c r="AD52" s="57">
        <f t="shared" si="9"/>
        <v>2.0842286205414728E-2</v>
      </c>
    </row>
    <row r="53" spans="2:30" ht="14.25" customHeight="1" x14ac:dyDescent="0.3">
      <c r="B53" s="55" t="s">
        <v>321</v>
      </c>
      <c r="C53">
        <v>2988.52</v>
      </c>
      <c r="D53" s="57">
        <f t="shared" si="5"/>
        <v>-2.1242033418703232E-2</v>
      </c>
      <c r="F53" s="55" t="s">
        <v>321</v>
      </c>
      <c r="G53">
        <v>18012.2</v>
      </c>
      <c r="H53" s="57">
        <f t="shared" si="6"/>
        <v>-3.9776952663746923E-2</v>
      </c>
      <c r="T53" s="55" t="s">
        <v>321</v>
      </c>
      <c r="U53">
        <v>479.62</v>
      </c>
      <c r="V53" s="57">
        <f t="shared" si="7"/>
        <v>-5.8811986106477754E-2</v>
      </c>
      <c r="X53" s="55" t="s">
        <v>321</v>
      </c>
      <c r="Y53">
        <v>1432.74</v>
      </c>
      <c r="Z53" s="57">
        <f t="shared" si="8"/>
        <v>7.5662932820805384E-2</v>
      </c>
      <c r="AB53" s="55" t="s">
        <v>321</v>
      </c>
      <c r="AC53">
        <v>308.95999999999998</v>
      </c>
      <c r="AD53" s="57">
        <f t="shared" si="9"/>
        <v>8.3841998175822496E-2</v>
      </c>
    </row>
    <row r="54" spans="2:30" ht="14.25" customHeight="1" x14ac:dyDescent="0.3">
      <c r="B54" s="55" t="s">
        <v>322</v>
      </c>
      <c r="C54">
        <v>3209.63</v>
      </c>
      <c r="D54" s="57">
        <f t="shared" si="5"/>
        <v>7.3986454833830928E-2</v>
      </c>
      <c r="F54" s="55" t="s">
        <v>322</v>
      </c>
      <c r="G54">
        <v>17094.349999999999</v>
      </c>
      <c r="H54" s="57">
        <f t="shared" si="6"/>
        <v>-5.0957129056972583E-2</v>
      </c>
      <c r="T54" s="55" t="s">
        <v>322</v>
      </c>
      <c r="U54">
        <v>505.17</v>
      </c>
      <c r="V54" s="57">
        <f t="shared" si="7"/>
        <v>5.3271339810683438E-2</v>
      </c>
      <c r="X54" s="55" t="s">
        <v>322</v>
      </c>
      <c r="Y54">
        <v>1487.91</v>
      </c>
      <c r="Z54" s="57">
        <f t="shared" si="8"/>
        <v>3.8506637631391616E-2</v>
      </c>
      <c r="AB54" s="55" t="s">
        <v>322</v>
      </c>
      <c r="AC54">
        <v>311.27999999999997</v>
      </c>
      <c r="AD54" s="57">
        <f t="shared" si="9"/>
        <v>7.5090626618332657E-3</v>
      </c>
    </row>
    <row r="55" spans="2:30" ht="14.25" customHeight="1" x14ac:dyDescent="0.3">
      <c r="B55" s="55" t="s">
        <v>323</v>
      </c>
      <c r="C55">
        <v>3256.83</v>
      </c>
      <c r="D55" s="57">
        <f t="shared" si="5"/>
        <v>1.4705744898944717E-2</v>
      </c>
      <c r="F55" s="55" t="s">
        <v>323</v>
      </c>
      <c r="G55">
        <v>17759.3</v>
      </c>
      <c r="H55" s="57">
        <f t="shared" si="6"/>
        <v>3.8898817445530254E-2</v>
      </c>
      <c r="T55" s="55" t="s">
        <v>323</v>
      </c>
      <c r="U55">
        <v>551.59</v>
      </c>
      <c r="V55" s="57">
        <f t="shared" si="7"/>
        <v>9.1889858859393936E-2</v>
      </c>
      <c r="X55" s="55" t="s">
        <v>323</v>
      </c>
      <c r="Y55">
        <v>1666.38</v>
      </c>
      <c r="Z55" s="57">
        <f t="shared" si="8"/>
        <v>0.11994677097405093</v>
      </c>
      <c r="AB55" s="55" t="s">
        <v>323</v>
      </c>
      <c r="AC55">
        <v>321.23</v>
      </c>
      <c r="AD55" s="57">
        <f t="shared" si="9"/>
        <v>3.1964790542277299E-2</v>
      </c>
    </row>
    <row r="56" spans="2:30" ht="14.25" customHeight="1" x14ac:dyDescent="0.3">
      <c r="B56" s="55" t="s">
        <v>324</v>
      </c>
      <c r="C56">
        <v>3201.28</v>
      </c>
      <c r="D56" s="57">
        <f t="shared" si="5"/>
        <v>-1.7056462879548429E-2</v>
      </c>
      <c r="F56" s="55" t="s">
        <v>324</v>
      </c>
      <c r="G56">
        <v>17158.25</v>
      </c>
      <c r="H56" s="57">
        <f t="shared" si="6"/>
        <v>-3.3844239356280892E-2</v>
      </c>
      <c r="T56" s="55" t="s">
        <v>324</v>
      </c>
      <c r="U56">
        <v>509.22</v>
      </c>
      <c r="V56" s="57">
        <f t="shared" si="7"/>
        <v>-7.6814300476803377E-2</v>
      </c>
      <c r="X56" s="55" t="s">
        <v>324</v>
      </c>
      <c r="Y56">
        <v>1378.57</v>
      </c>
      <c r="Z56" s="57">
        <f t="shared" si="8"/>
        <v>-0.17271570710162154</v>
      </c>
      <c r="AB56" s="55" t="s">
        <v>324</v>
      </c>
      <c r="AC56">
        <v>254.29</v>
      </c>
      <c r="AD56" s="57">
        <f t="shared" si="9"/>
        <v>-0.20838651433552291</v>
      </c>
    </row>
    <row r="57" spans="2:30" ht="14.25" customHeight="1" x14ac:dyDescent="0.3">
      <c r="B57" s="55" t="s">
        <v>325</v>
      </c>
      <c r="C57">
        <v>2588.1</v>
      </c>
      <c r="D57" s="57">
        <f t="shared" si="5"/>
        <v>-0.1915421331467414</v>
      </c>
      <c r="F57" s="55" t="s">
        <v>325</v>
      </c>
      <c r="G57">
        <v>15780.25</v>
      </c>
      <c r="H57" s="57">
        <f t="shared" si="6"/>
        <v>-8.0311220549881268E-2</v>
      </c>
      <c r="T57" s="55" t="s">
        <v>325</v>
      </c>
      <c r="U57">
        <v>463.25</v>
      </c>
      <c r="V57" s="57">
        <f t="shared" si="7"/>
        <v>-9.0275323043085498E-2</v>
      </c>
      <c r="X57" s="55" t="s">
        <v>325</v>
      </c>
      <c r="Y57">
        <v>1382.48</v>
      </c>
      <c r="Z57" s="57">
        <f t="shared" si="8"/>
        <v>2.8362723691941483E-3</v>
      </c>
      <c r="AB57" s="55" t="s">
        <v>325</v>
      </c>
      <c r="AC57">
        <v>235.54</v>
      </c>
      <c r="AD57" s="57">
        <f t="shared" si="9"/>
        <v>-7.3734712336308905E-2</v>
      </c>
    </row>
    <row r="58" spans="2:30" ht="14.25" customHeight="1" x14ac:dyDescent="0.3">
      <c r="B58" s="55" t="s">
        <v>326</v>
      </c>
      <c r="C58">
        <v>2730.29</v>
      </c>
      <c r="D58" s="57">
        <f t="shared" si="5"/>
        <v>5.493991731385961E-2</v>
      </c>
      <c r="F58" s="55" t="s">
        <v>326</v>
      </c>
      <c r="G58">
        <v>16584.55</v>
      </c>
      <c r="H58" s="57">
        <f t="shared" si="6"/>
        <v>5.0968774258962846E-2</v>
      </c>
      <c r="T58" s="55" t="s">
        <v>326</v>
      </c>
      <c r="U58">
        <v>501.23</v>
      </c>
      <c r="V58" s="57">
        <f t="shared" si="7"/>
        <v>8.1985968699406442E-2</v>
      </c>
      <c r="X58" s="55" t="s">
        <v>326</v>
      </c>
      <c r="Y58">
        <v>1585.25</v>
      </c>
      <c r="Z58" s="57">
        <f t="shared" si="8"/>
        <v>0.14667119958335739</v>
      </c>
      <c r="AB58" s="55" t="s">
        <v>326</v>
      </c>
      <c r="AC58">
        <v>253.79</v>
      </c>
      <c r="AD58" s="57">
        <f t="shared" si="9"/>
        <v>7.7481531799269865E-2</v>
      </c>
    </row>
    <row r="59" spans="2:30" ht="14.25" customHeight="1" x14ac:dyDescent="0.3">
      <c r="B59" s="55" t="s">
        <v>327</v>
      </c>
      <c r="C59">
        <v>3090.76</v>
      </c>
      <c r="D59" s="57">
        <f t="shared" si="5"/>
        <v>0.1320262682718687</v>
      </c>
      <c r="F59" s="55" t="s">
        <v>327</v>
      </c>
      <c r="G59">
        <v>17102.55</v>
      </c>
      <c r="H59" s="57">
        <f t="shared" si="6"/>
        <v>3.1233889372940471E-2</v>
      </c>
      <c r="T59" s="55" t="s">
        <v>327</v>
      </c>
      <c r="U59">
        <v>585.23</v>
      </c>
      <c r="V59" s="57">
        <f t="shared" si="7"/>
        <v>0.16758773417393202</v>
      </c>
      <c r="X59" s="55" t="s">
        <v>327</v>
      </c>
      <c r="Y59">
        <v>1541.32</v>
      </c>
      <c r="Z59" s="57">
        <f t="shared" si="8"/>
        <v>-2.7711717394732771E-2</v>
      </c>
      <c r="AB59" s="55" t="s">
        <v>327</v>
      </c>
      <c r="AC59">
        <v>297.77</v>
      </c>
      <c r="AD59" s="57">
        <f t="shared" si="9"/>
        <v>0.17329287994010789</v>
      </c>
    </row>
    <row r="60" spans="2:30" ht="14.25" customHeight="1" x14ac:dyDescent="0.3">
      <c r="B60" s="55" t="s">
        <v>328</v>
      </c>
      <c r="C60">
        <v>2940.62</v>
      </c>
      <c r="D60" s="57">
        <f t="shared" si="5"/>
        <v>-4.8577049010599449E-2</v>
      </c>
      <c r="F60" s="55" t="s">
        <v>328</v>
      </c>
      <c r="G60">
        <v>17464.75</v>
      </c>
      <c r="H60" s="57">
        <f t="shared" si="6"/>
        <v>2.1178128407752128E-2</v>
      </c>
      <c r="T60" s="55" t="s">
        <v>328</v>
      </c>
      <c r="U60">
        <v>570.36</v>
      </c>
      <c r="V60" s="57">
        <f t="shared" si="7"/>
        <v>-2.5408813628829741E-2</v>
      </c>
      <c r="X60" s="55" t="s">
        <v>328</v>
      </c>
      <c r="Y60">
        <v>1590.7</v>
      </c>
      <c r="Z60" s="57">
        <f t="shared" si="8"/>
        <v>3.2037474372615726E-2</v>
      </c>
      <c r="AB60" s="55" t="s">
        <v>328</v>
      </c>
      <c r="AC60">
        <v>296.63</v>
      </c>
      <c r="AD60" s="57">
        <f t="shared" si="9"/>
        <v>-3.8284582059978645E-3</v>
      </c>
    </row>
    <row r="61" spans="2:30" ht="14.25" customHeight="1" x14ac:dyDescent="0.3">
      <c r="B61" s="55" t="s">
        <v>329</v>
      </c>
      <c r="C61">
        <v>3031.03</v>
      </c>
      <c r="D61" s="57">
        <f t="shared" si="5"/>
        <v>3.0745216995055502E-2</v>
      </c>
      <c r="F61" s="55" t="s">
        <v>329</v>
      </c>
      <c r="G61">
        <v>16793.900000000001</v>
      </c>
      <c r="H61" s="57">
        <f t="shared" si="6"/>
        <v>-3.841165776778932E-2</v>
      </c>
      <c r="T61" s="55" t="s">
        <v>329</v>
      </c>
      <c r="U61">
        <v>562.82000000000005</v>
      </c>
      <c r="V61" s="57">
        <f t="shared" si="7"/>
        <v>-1.3219720878041907E-2</v>
      </c>
      <c r="X61" s="55" t="s">
        <v>329</v>
      </c>
      <c r="Y61">
        <v>1773.76</v>
      </c>
      <c r="Z61" s="57">
        <f t="shared" si="8"/>
        <v>0.11508141069969202</v>
      </c>
      <c r="AB61" s="55" t="s">
        <v>329</v>
      </c>
      <c r="AC61">
        <v>288.32</v>
      </c>
      <c r="AD61" s="57">
        <f t="shared" si="9"/>
        <v>-2.8014698445875341E-2</v>
      </c>
    </row>
    <row r="62" spans="2:30" ht="14.25" customHeight="1" x14ac:dyDescent="0.3">
      <c r="B62" s="55" t="s">
        <v>330</v>
      </c>
      <c r="C62">
        <v>3009.65</v>
      </c>
      <c r="D62" s="57">
        <f t="shared" si="5"/>
        <v>-7.0537078154950805E-3</v>
      </c>
      <c r="F62" s="55" t="s">
        <v>330</v>
      </c>
      <c r="G62">
        <v>17339.849999999999</v>
      </c>
      <c r="H62" s="57">
        <f t="shared" si="6"/>
        <v>3.2508827610024937E-2</v>
      </c>
      <c r="T62" s="55" t="s">
        <v>330</v>
      </c>
      <c r="U62">
        <v>588.86</v>
      </c>
      <c r="V62" s="57">
        <f t="shared" si="7"/>
        <v>4.6267012543974806E-2</v>
      </c>
      <c r="X62" s="55" t="s">
        <v>330</v>
      </c>
      <c r="Y62">
        <v>2003.52</v>
      </c>
      <c r="Z62" s="57">
        <f t="shared" si="8"/>
        <v>0.12953274400144332</v>
      </c>
      <c r="AB62" s="55" t="s">
        <v>330</v>
      </c>
      <c r="AC62">
        <v>359.57</v>
      </c>
      <c r="AD62" s="57">
        <f t="shared" si="9"/>
        <v>0.24712125416204223</v>
      </c>
    </row>
    <row r="63" spans="2:30" ht="14.25" customHeight="1" x14ac:dyDescent="0.3">
      <c r="B63" s="55" t="s">
        <v>331</v>
      </c>
      <c r="C63">
        <v>3229.91</v>
      </c>
      <c r="D63" s="57">
        <f t="shared" si="5"/>
        <v>7.3184589570215675E-2</v>
      </c>
      <c r="F63" s="55" t="s">
        <v>331</v>
      </c>
      <c r="G63">
        <v>17354.05</v>
      </c>
      <c r="H63" s="57">
        <f t="shared" si="6"/>
        <v>8.189228857227171E-4</v>
      </c>
      <c r="T63" s="55" t="s">
        <v>331</v>
      </c>
      <c r="U63">
        <v>629.09</v>
      </c>
      <c r="V63" s="57">
        <f t="shared" si="7"/>
        <v>6.8318445810549244E-2</v>
      </c>
      <c r="X63" s="55" t="s">
        <v>331</v>
      </c>
      <c r="Y63">
        <v>2110.65</v>
      </c>
      <c r="Z63" s="57">
        <f t="shared" si="8"/>
        <v>5.3470891231432782E-2</v>
      </c>
      <c r="AB63" s="55" t="s">
        <v>331</v>
      </c>
      <c r="AC63">
        <v>374.92</v>
      </c>
      <c r="AD63" s="57">
        <f t="shared" si="9"/>
        <v>4.2689879578385437E-2</v>
      </c>
    </row>
    <row r="64" spans="2:30" ht="14.25" customHeight="1" x14ac:dyDescent="0.3">
      <c r="B64" s="55" t="s">
        <v>332</v>
      </c>
      <c r="C64">
        <v>3001.44</v>
      </c>
      <c r="D64" s="57">
        <f t="shared" si="5"/>
        <v>-7.0735717094284278E-2</v>
      </c>
      <c r="F64" s="55" t="s">
        <v>332</v>
      </c>
      <c r="G64">
        <v>16983.2</v>
      </c>
      <c r="H64" s="57">
        <f t="shared" si="6"/>
        <v>-2.1369651464643646E-2</v>
      </c>
      <c r="T64" s="55" t="s">
        <v>332</v>
      </c>
      <c r="U64">
        <v>612.78</v>
      </c>
      <c r="V64" s="57">
        <f t="shared" si="7"/>
        <v>-2.5926338043841146E-2</v>
      </c>
      <c r="X64" s="55" t="s">
        <v>332</v>
      </c>
      <c r="Y64">
        <v>2201.4299999999998</v>
      </c>
      <c r="Z64" s="57">
        <f t="shared" si="8"/>
        <v>4.3010447018690723E-2</v>
      </c>
      <c r="AB64" s="55" t="s">
        <v>332</v>
      </c>
      <c r="AC64">
        <v>378.12</v>
      </c>
      <c r="AD64" s="57">
        <f t="shared" si="9"/>
        <v>8.5351541662221919E-3</v>
      </c>
    </row>
    <row r="65" spans="2:30" ht="14.25" customHeight="1" x14ac:dyDescent="0.3">
      <c r="B65" s="55" t="s">
        <v>333</v>
      </c>
      <c r="C65">
        <v>2959.86</v>
      </c>
      <c r="D65" s="57">
        <f t="shared" si="5"/>
        <v>-1.3853350391811903E-2</v>
      </c>
      <c r="F65" s="55" t="s">
        <v>333</v>
      </c>
      <c r="G65">
        <v>17671.650000000001</v>
      </c>
      <c r="H65" s="57">
        <f t="shared" si="6"/>
        <v>4.0537119035281899E-2</v>
      </c>
      <c r="T65" s="55" t="s">
        <v>333</v>
      </c>
      <c r="U65">
        <v>604.42999999999995</v>
      </c>
      <c r="V65" s="57">
        <f t="shared" si="7"/>
        <v>-1.3626423838898227E-2</v>
      </c>
      <c r="X65" s="55" t="s">
        <v>333</v>
      </c>
      <c r="Y65">
        <v>2367.8000000000002</v>
      </c>
      <c r="Z65" s="57">
        <f t="shared" si="8"/>
        <v>7.5573604429848062E-2</v>
      </c>
      <c r="AB65" s="55" t="s">
        <v>333</v>
      </c>
      <c r="AC65">
        <v>344.9</v>
      </c>
      <c r="AD65" s="57">
        <f t="shared" si="9"/>
        <v>-8.7855707182904919E-2</v>
      </c>
    </row>
    <row r="66" spans="2:30" ht="14.25" customHeight="1" x14ac:dyDescent="0.3">
      <c r="B66" s="55" t="s">
        <v>334</v>
      </c>
      <c r="C66">
        <v>3094.21</v>
      </c>
      <c r="D66" s="57">
        <f t="shared" si="5"/>
        <v>4.5390660369071467E-2</v>
      </c>
      <c r="F66" s="55" t="s">
        <v>334</v>
      </c>
      <c r="G66">
        <v>17618.150000000001</v>
      </c>
      <c r="H66" s="57">
        <f t="shared" si="6"/>
        <v>-3.0274479179929203E-3</v>
      </c>
      <c r="T66" s="55" t="s">
        <v>334</v>
      </c>
      <c r="U66">
        <v>659.45</v>
      </c>
      <c r="V66" s="57">
        <f t="shared" si="7"/>
        <v>9.1027910593451944E-2</v>
      </c>
      <c r="X66" s="55" t="s">
        <v>334</v>
      </c>
      <c r="Y66">
        <v>2536.1</v>
      </c>
      <c r="Z66" s="57">
        <f t="shared" si="8"/>
        <v>7.1078638398513361E-2</v>
      </c>
      <c r="AB66" s="55" t="s">
        <v>334</v>
      </c>
      <c r="AC66">
        <v>400.71</v>
      </c>
      <c r="AD66" s="57">
        <f t="shared" si="9"/>
        <v>0.16181501884604232</v>
      </c>
    </row>
    <row r="67" spans="2:30" ht="14.25" customHeight="1" x14ac:dyDescent="0.3">
      <c r="B67" s="63" t="s">
        <v>335</v>
      </c>
      <c r="C67" s="34">
        <v>3052.92</v>
      </c>
      <c r="D67" s="64">
        <f t="shared" si="5"/>
        <v>-1.3344278507276486E-2</v>
      </c>
      <c r="F67" s="63" t="s">
        <v>335</v>
      </c>
      <c r="G67" s="34">
        <v>17132.2</v>
      </c>
      <c r="H67" s="64">
        <f t="shared" si="6"/>
        <v>-2.7582351154917029E-2</v>
      </c>
      <c r="T67" s="63" t="s">
        <v>335</v>
      </c>
      <c r="U67" s="34">
        <v>669.07</v>
      </c>
      <c r="V67" s="64">
        <f t="shared" si="7"/>
        <v>1.4587914170899996E-2</v>
      </c>
      <c r="X67" s="63" t="s">
        <v>335</v>
      </c>
      <c r="Y67" s="34">
        <v>2561.5500000000002</v>
      </c>
      <c r="Z67" s="64">
        <f t="shared" si="8"/>
        <v>1.0035093253420779E-2</v>
      </c>
      <c r="AB67" s="63" t="s">
        <v>335</v>
      </c>
      <c r="AC67" s="34">
        <v>392.04</v>
      </c>
      <c r="AD67" s="64">
        <f t="shared" si="9"/>
        <v>-2.1636595043797113E-2</v>
      </c>
    </row>
    <row r="68" spans="2:30" ht="14.25" customHeight="1" x14ac:dyDescent="0.3"/>
    <row r="69" spans="2:30" ht="14.25" customHeight="1" x14ac:dyDescent="0.3"/>
    <row r="70" spans="2:30" ht="15" customHeight="1" x14ac:dyDescent="0.3"/>
    <row r="71" spans="2:30" ht="15" customHeight="1" x14ac:dyDescent="0.3"/>
    <row r="72" spans="2:30" ht="14.25" customHeight="1" x14ac:dyDescent="0.3"/>
    <row r="73" spans="2:30" ht="14.25" customHeight="1" x14ac:dyDescent="0.3"/>
    <row r="74" spans="2:30" ht="14.25" customHeight="1" x14ac:dyDescent="0.3"/>
    <row r="75" spans="2:30" ht="14.25" customHeight="1" x14ac:dyDescent="0.3"/>
    <row r="76" spans="2:30" ht="15" customHeight="1" x14ac:dyDescent="0.3"/>
    <row r="77" spans="2:30" ht="15" customHeight="1" x14ac:dyDescent="0.3"/>
    <row r="78" spans="2:30" ht="15" customHeight="1" x14ac:dyDescent="0.3"/>
    <row r="79" spans="2:30" ht="15" customHeight="1" x14ac:dyDescent="0.3"/>
    <row r="80" spans="2:30" ht="14.25" customHeight="1" x14ac:dyDescent="0.3"/>
    <row r="81" ht="14.25" customHeight="1" x14ac:dyDescent="0.3"/>
    <row r="82" ht="15" customHeight="1" x14ac:dyDescent="0.3"/>
    <row r="83" ht="15" customHeight="1" x14ac:dyDescent="0.3"/>
    <row r="84" ht="15" customHeight="1" x14ac:dyDescent="0.3"/>
    <row r="85" ht="14.25" customHeight="1" x14ac:dyDescent="0.3"/>
    <row r="86" ht="15" customHeight="1" x14ac:dyDescent="0.3"/>
    <row r="87" ht="1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sheetData>
  <mergeCells count="6">
    <mergeCell ref="J18:K18"/>
    <mergeCell ref="AB4:AD4"/>
    <mergeCell ref="B2:H2"/>
    <mergeCell ref="B4:D4"/>
    <mergeCell ref="F4:H4"/>
    <mergeCell ref="J6:L6"/>
  </mergeCells>
  <pageMargins left="1.0899999999999999" right="0.7" top="0.75" bottom="0.75" header="0.511811023622047" footer="0.511811023622047"/>
  <pageSetup scale="41" orientation="portrait" horizontalDpi="300" verticalDpi="300" r:id="rId1"/>
  <colBreaks count="1" manualBreakCount="1">
    <brk id="1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30"/>
  <sheetViews>
    <sheetView showGridLines="0" zoomScaleNormal="100" workbookViewId="0">
      <selection activeCell="G6" sqref="G6"/>
    </sheetView>
  </sheetViews>
  <sheetFormatPr defaultColWidth="8.6640625" defaultRowHeight="14.4" x14ac:dyDescent="0.3"/>
  <cols>
    <col min="1" max="1" width="1.88671875" customWidth="1"/>
    <col min="9" max="9" width="9.6640625" bestFit="1" customWidth="1"/>
  </cols>
  <sheetData>
    <row r="2" spans="2:8" ht="18" customHeight="1" x14ac:dyDescent="0.35">
      <c r="B2" s="260" t="s">
        <v>336</v>
      </c>
      <c r="C2" s="261"/>
      <c r="D2" s="261"/>
      <c r="E2" s="261"/>
      <c r="F2" s="261"/>
      <c r="G2" s="261"/>
    </row>
    <row r="4" spans="2:8" ht="14.25" customHeight="1" x14ac:dyDescent="0.3">
      <c r="B4" s="273" t="s">
        <v>337</v>
      </c>
      <c r="C4" s="274" t="s">
        <v>338</v>
      </c>
      <c r="E4" s="66" t="s">
        <v>339</v>
      </c>
      <c r="F4" s="32"/>
      <c r="G4" s="67">
        <f>AVERAGE(C5:C30)</f>
        <v>0.1514923076923077</v>
      </c>
    </row>
    <row r="5" spans="2:8" ht="14.25" customHeight="1" x14ac:dyDescent="0.3">
      <c r="B5" s="65">
        <v>2000</v>
      </c>
      <c r="C5" s="73">
        <v>-0.14649999999999999</v>
      </c>
      <c r="E5" s="55" t="s">
        <v>340</v>
      </c>
      <c r="G5" s="68" t="s">
        <v>354</v>
      </c>
    </row>
    <row r="6" spans="2:8" ht="14.25" customHeight="1" x14ac:dyDescent="0.3">
      <c r="B6" s="65">
        <v>2001</v>
      </c>
      <c r="C6" s="73">
        <v>-0.1618</v>
      </c>
      <c r="E6" s="75" t="s">
        <v>353</v>
      </c>
      <c r="F6" s="76"/>
      <c r="G6" s="77">
        <f>SUM(G4:G5)</f>
        <v>0.1514923076923077</v>
      </c>
      <c r="H6" s="72"/>
    </row>
    <row r="7" spans="2:8" ht="14.25" customHeight="1" x14ac:dyDescent="0.3">
      <c r="B7" s="65">
        <v>2002</v>
      </c>
      <c r="C7" s="73">
        <v>3.2500000000000001E-2</v>
      </c>
      <c r="H7" s="72"/>
    </row>
    <row r="8" spans="2:8" ht="14.25" customHeight="1" x14ac:dyDescent="0.3">
      <c r="B8" s="65">
        <v>2003</v>
      </c>
      <c r="C8" s="73">
        <v>0.71900000000000008</v>
      </c>
      <c r="E8" s="66" t="s">
        <v>355</v>
      </c>
      <c r="F8" s="32"/>
      <c r="G8" s="67">
        <f>EXP(SUMPRODUCT(LN(1+C5:C30))/COUNT(C5:C30))-1</f>
        <v>0.11650334143488061</v>
      </c>
    </row>
    <row r="9" spans="2:8" ht="14.25" customHeight="1" x14ac:dyDescent="0.3">
      <c r="B9" s="65">
        <v>2004</v>
      </c>
      <c r="C9" s="73">
        <v>0.10679999999999999</v>
      </c>
      <c r="E9" s="55" t="s">
        <v>340</v>
      </c>
      <c r="G9" s="68" t="s">
        <v>354</v>
      </c>
    </row>
    <row r="10" spans="2:8" ht="14.25" customHeight="1" x14ac:dyDescent="0.3">
      <c r="B10" s="65">
        <v>2005</v>
      </c>
      <c r="C10" s="73">
        <v>0.36340000000000006</v>
      </c>
      <c r="E10" s="75" t="s">
        <v>353</v>
      </c>
      <c r="F10" s="76"/>
      <c r="G10" s="77">
        <f>SUM(G8:G9)</f>
        <v>0.11650334143488061</v>
      </c>
    </row>
    <row r="11" spans="2:8" ht="14.25" customHeight="1" x14ac:dyDescent="0.3">
      <c r="B11" s="65">
        <v>2006</v>
      </c>
      <c r="C11" s="73">
        <v>0.39829999999999999</v>
      </c>
    </row>
    <row r="12" spans="2:8" ht="14.25" customHeight="1" x14ac:dyDescent="0.3">
      <c r="B12" s="65">
        <v>2007</v>
      </c>
      <c r="C12" s="73">
        <v>0.54770000000000008</v>
      </c>
    </row>
    <row r="13" spans="2:8" ht="14.25" customHeight="1" x14ac:dyDescent="0.3">
      <c r="B13" s="65">
        <v>2008</v>
      </c>
      <c r="C13" s="73">
        <v>-0.51790000000000003</v>
      </c>
    </row>
    <row r="14" spans="2:8" ht="14.25" customHeight="1" x14ac:dyDescent="0.3">
      <c r="B14" s="65">
        <v>2009</v>
      </c>
      <c r="C14" s="73">
        <v>0.75760000000000005</v>
      </c>
    </row>
    <row r="15" spans="2:8" ht="14.25" customHeight="1" x14ac:dyDescent="0.3">
      <c r="B15" s="65">
        <v>2010</v>
      </c>
      <c r="C15" s="73">
        <v>0.17949999999999999</v>
      </c>
    </row>
    <row r="16" spans="2:8" ht="14.25" customHeight="1" x14ac:dyDescent="0.3">
      <c r="B16" s="65">
        <v>2011</v>
      </c>
      <c r="C16" s="73">
        <v>-0.2462</v>
      </c>
    </row>
    <row r="17" spans="2:3" ht="14.25" customHeight="1" x14ac:dyDescent="0.3">
      <c r="B17" s="65">
        <v>2012</v>
      </c>
      <c r="C17" s="73">
        <v>0.27699999999999997</v>
      </c>
    </row>
    <row r="18" spans="2:3" ht="14.25" customHeight="1" x14ac:dyDescent="0.3">
      <c r="B18" s="65">
        <v>2013</v>
      </c>
      <c r="C18" s="73">
        <v>6.7599999999999993E-2</v>
      </c>
    </row>
    <row r="19" spans="2:3" ht="14.25" customHeight="1" x14ac:dyDescent="0.3">
      <c r="B19" s="65">
        <v>2014</v>
      </c>
      <c r="C19" s="73">
        <v>0.31390000000000001</v>
      </c>
    </row>
    <row r="20" spans="2:3" ht="14.25" customHeight="1" x14ac:dyDescent="0.3">
      <c r="B20" s="65">
        <v>2015</v>
      </c>
      <c r="C20" s="73">
        <v>-4.0599999999999997E-2</v>
      </c>
    </row>
    <row r="21" spans="2:3" ht="14.25" customHeight="1" x14ac:dyDescent="0.3">
      <c r="B21" s="65">
        <v>2016</v>
      </c>
      <c r="C21" s="73">
        <v>3.0099999999999998E-2</v>
      </c>
    </row>
    <row r="22" spans="2:3" ht="14.25" customHeight="1" x14ac:dyDescent="0.3">
      <c r="B22" s="65">
        <v>2017</v>
      </c>
      <c r="C22" s="73">
        <v>0.28649999999999998</v>
      </c>
    </row>
    <row r="23" spans="2:3" ht="14.25" customHeight="1" x14ac:dyDescent="0.3">
      <c r="B23" s="65">
        <v>2018</v>
      </c>
      <c r="C23" s="73">
        <v>3.15E-2</v>
      </c>
    </row>
    <row r="24" spans="2:3" ht="14.25" customHeight="1" x14ac:dyDescent="0.3">
      <c r="B24" s="65">
        <v>2019</v>
      </c>
      <c r="C24" s="73">
        <v>0.1202</v>
      </c>
    </row>
    <row r="25" spans="2:3" ht="14.25" customHeight="1" x14ac:dyDescent="0.3">
      <c r="B25" s="65">
        <v>2020</v>
      </c>
      <c r="C25" s="73">
        <v>0.14899999999999999</v>
      </c>
    </row>
    <row r="26" spans="2:3" ht="14.25" customHeight="1" x14ac:dyDescent="0.3">
      <c r="B26" s="65">
        <v>2021</v>
      </c>
      <c r="C26" s="73">
        <v>0.2412</v>
      </c>
    </row>
    <row r="27" spans="2:3" ht="14.25" customHeight="1" x14ac:dyDescent="0.3">
      <c r="B27" s="65">
        <v>2022</v>
      </c>
      <c r="C27" s="73">
        <v>4.3200000000000002E-2</v>
      </c>
    </row>
    <row r="28" spans="2:3" ht="14.25" customHeight="1" x14ac:dyDescent="0.3">
      <c r="B28" s="65">
        <v>2023</v>
      </c>
      <c r="C28" s="73">
        <v>0.19420000000000001</v>
      </c>
    </row>
    <row r="29" spans="2:3" ht="14.25" customHeight="1" x14ac:dyDescent="0.3">
      <c r="B29" s="65">
        <v>2024</v>
      </c>
      <c r="C29" s="73">
        <v>8.7499999999999994E-2</v>
      </c>
    </row>
    <row r="30" spans="2:3" ht="14.25" customHeight="1" x14ac:dyDescent="0.3">
      <c r="B30" s="69">
        <v>2025</v>
      </c>
      <c r="C30" s="74">
        <v>0.1051</v>
      </c>
    </row>
  </sheetData>
  <pageMargins left="0.7" right="0.7" top="0.75" bottom="0.75"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46"/>
  <sheetViews>
    <sheetView showGridLines="0" topLeftCell="A21" zoomScale="80" zoomScaleNormal="80" workbookViewId="0">
      <selection activeCell="N41" sqref="N41"/>
    </sheetView>
  </sheetViews>
  <sheetFormatPr defaultColWidth="8.6640625" defaultRowHeight="14.4" x14ac:dyDescent="0.3"/>
  <cols>
    <col min="1" max="1" width="1.88671875" customWidth="1"/>
    <col min="2" max="2" width="28.21875" customWidth="1"/>
    <col min="4" max="4" width="11.33203125" customWidth="1"/>
    <col min="5" max="5" width="10.6640625" customWidth="1"/>
    <col min="6" max="6" width="11.44140625" customWidth="1"/>
    <col min="7" max="11" width="10.6640625" customWidth="1"/>
  </cols>
  <sheetData>
    <row r="1" spans="2:11" x14ac:dyDescent="0.3">
      <c r="B1" s="154"/>
      <c r="C1" s="154"/>
      <c r="D1" s="154"/>
      <c r="E1" s="154"/>
      <c r="F1" s="154"/>
      <c r="G1" s="154"/>
      <c r="H1" s="154"/>
      <c r="I1" s="154"/>
      <c r="J1" s="154"/>
      <c r="K1" s="154"/>
    </row>
    <row r="2" spans="2:11" ht="46.2" x14ac:dyDescent="0.85">
      <c r="B2" s="157" t="str">
        <f>'Data Sheet'!B1</f>
        <v>ASIAN PAINTS LTD</v>
      </c>
      <c r="J2" s="157"/>
    </row>
    <row r="3" spans="2:11" x14ac:dyDescent="0.3">
      <c r="B3" t="s">
        <v>629</v>
      </c>
    </row>
    <row r="4" spans="2:11" ht="21" x14ac:dyDescent="0.4">
      <c r="B4" s="156" t="str">
        <f>CONCATENATE("INR "&amp;'Data Sheet'!B8)</f>
        <v>INR 2645.2</v>
      </c>
      <c r="J4" s="156"/>
    </row>
    <row r="5" spans="2:11" x14ac:dyDescent="0.3">
      <c r="B5" t="s">
        <v>630</v>
      </c>
    </row>
    <row r="6" spans="2:11" ht="15" thickBot="1" x14ac:dyDescent="0.35">
      <c r="B6" s="148"/>
      <c r="C6" s="148"/>
      <c r="D6" s="148"/>
      <c r="E6" s="148"/>
      <c r="F6" s="148"/>
      <c r="G6" s="148"/>
      <c r="H6" s="148"/>
      <c r="I6" s="148"/>
      <c r="J6" s="148"/>
      <c r="K6" s="148"/>
    </row>
    <row r="7" spans="2:11" ht="4.8" customHeight="1" x14ac:dyDescent="0.3"/>
    <row r="8" spans="2:11" ht="18" customHeight="1" x14ac:dyDescent="0.35">
      <c r="B8" s="260" t="s">
        <v>200</v>
      </c>
      <c r="C8" s="261"/>
      <c r="D8" s="261"/>
      <c r="E8" s="261"/>
      <c r="F8" s="261"/>
      <c r="G8" s="261"/>
      <c r="H8" s="261"/>
      <c r="I8" s="261"/>
      <c r="J8" s="261"/>
      <c r="K8" s="261"/>
    </row>
    <row r="10" spans="2:11" ht="14.25" customHeight="1" x14ac:dyDescent="0.3">
      <c r="B10" t="s">
        <v>201</v>
      </c>
    </row>
    <row r="12" spans="2:11" ht="14.25" customHeight="1" x14ac:dyDescent="0.3">
      <c r="B12" t="s">
        <v>202</v>
      </c>
    </row>
    <row r="13" spans="2:11" ht="14.25" customHeight="1" x14ac:dyDescent="0.3">
      <c r="B13" s="32"/>
      <c r="C13" s="32"/>
      <c r="D13" s="33"/>
      <c r="E13" s="33"/>
      <c r="F13" s="33"/>
      <c r="G13" s="33"/>
      <c r="H13" s="33" t="s">
        <v>203</v>
      </c>
      <c r="I13" s="33" t="s">
        <v>203</v>
      </c>
      <c r="J13" s="33" t="s">
        <v>204</v>
      </c>
      <c r="K13" s="33" t="s">
        <v>205</v>
      </c>
    </row>
    <row r="14" spans="2:11" ht="15.75" customHeight="1" x14ac:dyDescent="0.3">
      <c r="B14" s="34" t="s">
        <v>206</v>
      </c>
      <c r="C14" s="34"/>
      <c r="D14" s="35" t="s">
        <v>207</v>
      </c>
      <c r="E14" s="35" t="s">
        <v>208</v>
      </c>
      <c r="F14" s="35" t="s">
        <v>209</v>
      </c>
      <c r="G14" s="35" t="s">
        <v>210</v>
      </c>
      <c r="H14" s="35" t="s">
        <v>106</v>
      </c>
      <c r="I14" s="35" t="s">
        <v>211</v>
      </c>
      <c r="J14" s="35" t="s">
        <v>212</v>
      </c>
      <c r="K14" s="35" t="s">
        <v>213</v>
      </c>
    </row>
    <row r="16" spans="2:11" ht="14.25" customHeight="1" x14ac:dyDescent="0.3">
      <c r="B16" s="36" t="s">
        <v>214</v>
      </c>
      <c r="D16" s="37" t="s">
        <v>215</v>
      </c>
      <c r="E16" s="38">
        <v>3928.93</v>
      </c>
      <c r="F16" s="38">
        <v>262791.09999999998</v>
      </c>
      <c r="G16" s="39">
        <v>0.26</v>
      </c>
      <c r="H16" s="262">
        <f>E16/F16</f>
        <v>1.4950772685985181E-2</v>
      </c>
      <c r="I16" s="262">
        <f>E16/(F16+E16)</f>
        <v>1.4730539734867307E-2</v>
      </c>
      <c r="J16" s="24">
        <f>'Beta-Regression'!O6</f>
        <v>1.08812402513907</v>
      </c>
      <c r="K16" s="263">
        <f>J16/(1+(1-G16)*H16)</f>
        <v>1.076217218681109</v>
      </c>
    </row>
    <row r="17" spans="2:22" ht="14.25" customHeight="1" x14ac:dyDescent="0.3">
      <c r="B17" s="36" t="s">
        <v>216</v>
      </c>
      <c r="D17" s="37" t="s">
        <v>215</v>
      </c>
      <c r="E17" s="38">
        <v>635.13</v>
      </c>
      <c r="F17" s="38">
        <v>60457.55</v>
      </c>
      <c r="G17" s="39">
        <v>0.26</v>
      </c>
      <c r="H17" s="262">
        <f>E17/F17</f>
        <v>1.0505387664567949E-2</v>
      </c>
      <c r="I17" s="262">
        <f>E17/(F17+E17)</f>
        <v>1.0396171849066042E-2</v>
      </c>
      <c r="J17" s="24">
        <f>'Beta-Regression'!U3</f>
        <v>1.1308176018773166</v>
      </c>
      <c r="K17" s="263">
        <f>J17/(1+(1-G17)*H17)</f>
        <v>1.1220944543205313</v>
      </c>
    </row>
    <row r="18" spans="2:22" ht="14.25" customHeight="1" x14ac:dyDescent="0.3">
      <c r="B18" s="36" t="s">
        <v>217</v>
      </c>
      <c r="D18" s="37" t="s">
        <v>215</v>
      </c>
      <c r="E18" s="38">
        <v>302.73</v>
      </c>
      <c r="F18" s="38">
        <v>17156.009999999998</v>
      </c>
      <c r="G18" s="39">
        <v>0.26</v>
      </c>
      <c r="H18" s="262">
        <f>E18/F18</f>
        <v>1.7645711327983607E-2</v>
      </c>
      <c r="I18" s="262">
        <f>E18/(F18+E18)</f>
        <v>1.7339739293900938E-2</v>
      </c>
      <c r="J18" s="24">
        <f>'Beta-Regression'!AC3</f>
        <v>1.1511567222377412</v>
      </c>
      <c r="K18" s="263">
        <f>J18/(1+(1-G18)*H18)</f>
        <v>1.1363188677473017</v>
      </c>
    </row>
    <row r="19" spans="2:22" ht="14.25" customHeight="1" x14ac:dyDescent="0.3">
      <c r="B19" s="36" t="s">
        <v>218</v>
      </c>
      <c r="D19" s="37" t="s">
        <v>215</v>
      </c>
      <c r="E19" s="38">
        <v>18.37</v>
      </c>
      <c r="F19" s="38">
        <v>5080.8100000000004</v>
      </c>
      <c r="G19" s="39">
        <v>0.26</v>
      </c>
      <c r="H19" s="262">
        <f>E19/F19</f>
        <v>3.6155652346771478E-3</v>
      </c>
      <c r="I19" s="262">
        <f>E19/(F19+E19)</f>
        <v>3.6025400162379051E-3</v>
      </c>
      <c r="J19" s="24">
        <f>'Beta-Regression'!Y3</f>
        <v>1.3418924138131609</v>
      </c>
      <c r="K19" s="263">
        <f>J19/(1+(1-G19)*H19)</f>
        <v>1.3383117363068169</v>
      </c>
    </row>
    <row r="21" spans="2:22" ht="14.25" customHeight="1" x14ac:dyDescent="0.3">
      <c r="D21" s="40" t="s">
        <v>219</v>
      </c>
      <c r="E21" s="41">
        <f t="shared" ref="E21:K21" si="0">AVERAGE(E16:E19)</f>
        <v>1221.2899999999997</v>
      </c>
      <c r="F21" s="41">
        <f t="shared" si="0"/>
        <v>86371.367499999993</v>
      </c>
      <c r="G21" s="42">
        <f t="shared" si="0"/>
        <v>0.26</v>
      </c>
      <c r="H21" s="42">
        <f t="shared" si="0"/>
        <v>1.1679359228303472E-2</v>
      </c>
      <c r="I21" s="42">
        <f t="shared" si="0"/>
        <v>1.1517247723518049E-2</v>
      </c>
      <c r="J21" s="43">
        <f t="shared" si="0"/>
        <v>1.1779976907668221</v>
      </c>
      <c r="K21" s="43">
        <f t="shared" si="0"/>
        <v>1.1682355692639397</v>
      </c>
    </row>
    <row r="22" spans="2:22" ht="14.25" customHeight="1" x14ac:dyDescent="0.3">
      <c r="D22" s="44" t="s">
        <v>220</v>
      </c>
      <c r="E22" s="45">
        <f t="shared" ref="E22:K22" si="1">MEDIAN(E16:E19)</f>
        <v>468.93</v>
      </c>
      <c r="F22" s="45">
        <f t="shared" si="1"/>
        <v>38806.78</v>
      </c>
      <c r="G22" s="46">
        <f t="shared" si="1"/>
        <v>0.26</v>
      </c>
      <c r="H22" s="46">
        <f t="shared" si="1"/>
        <v>1.2728080175276565E-2</v>
      </c>
      <c r="I22" s="46">
        <f t="shared" si="1"/>
        <v>1.2563355791966675E-2</v>
      </c>
      <c r="J22" s="47">
        <f t="shared" si="1"/>
        <v>1.1409871620575289</v>
      </c>
      <c r="K22" s="47">
        <f t="shared" si="1"/>
        <v>1.1292066610339164</v>
      </c>
      <c r="V22" s="48"/>
    </row>
    <row r="25" spans="2:22" ht="14.25" customHeight="1" x14ac:dyDescent="0.3">
      <c r="B25" s="44" t="s">
        <v>221</v>
      </c>
      <c r="C25" s="34"/>
      <c r="D25" s="34"/>
      <c r="E25" s="34"/>
      <c r="F25" s="34"/>
      <c r="H25" s="44" t="s">
        <v>101</v>
      </c>
      <c r="I25" s="34"/>
      <c r="J25" s="34"/>
      <c r="K25" s="34"/>
    </row>
    <row r="27" spans="2:22" ht="14.25" customHeight="1" x14ac:dyDescent="0.3">
      <c r="B27" t="s">
        <v>102</v>
      </c>
      <c r="F27" s="15">
        <v>4.9700000000000001E-2</v>
      </c>
      <c r="H27" t="s">
        <v>222</v>
      </c>
      <c r="K27" s="15">
        <v>6.7199999999999996E-2</v>
      </c>
    </row>
    <row r="28" spans="2:22" ht="14.25" customHeight="1" x14ac:dyDescent="0.3">
      <c r="B28" t="s">
        <v>103</v>
      </c>
      <c r="F28" s="4">
        <f>G21</f>
        <v>0.26</v>
      </c>
      <c r="H28" t="s">
        <v>100</v>
      </c>
      <c r="K28" s="49">
        <f>Rm!G10-WACC!K27</f>
        <v>4.9303341434880618E-2</v>
      </c>
    </row>
    <row r="29" spans="2:22" ht="14.25" customHeight="1" x14ac:dyDescent="0.3">
      <c r="B29" s="50" t="s">
        <v>223</v>
      </c>
      <c r="C29" s="50"/>
      <c r="D29" s="50"/>
      <c r="E29" s="50"/>
      <c r="F29" s="51">
        <f>F27*(1-F28)</f>
        <v>3.6777999999999998E-2</v>
      </c>
      <c r="H29" t="s">
        <v>224</v>
      </c>
      <c r="K29" s="24">
        <f>K37</f>
        <v>1.1389660846094505</v>
      </c>
    </row>
    <row r="30" spans="2:22" ht="14.25" customHeight="1" x14ac:dyDescent="0.3">
      <c r="H30" s="50" t="s">
        <v>101</v>
      </c>
      <c r="I30" s="50"/>
      <c r="J30" s="50"/>
      <c r="K30" s="51">
        <f>K27+(K28*K29)</f>
        <v>0.12335483375224886</v>
      </c>
    </row>
    <row r="32" spans="2:22" ht="14.25" customHeight="1" x14ac:dyDescent="0.3">
      <c r="B32" s="44" t="s">
        <v>225</v>
      </c>
      <c r="C32" s="34"/>
      <c r="D32" s="34"/>
      <c r="E32" s="34"/>
      <c r="F32" s="34"/>
      <c r="H32" s="44" t="s">
        <v>226</v>
      </c>
      <c r="I32" s="34"/>
      <c r="J32" s="34"/>
      <c r="K32" s="34"/>
    </row>
    <row r="33" spans="2:11" ht="14.25" customHeight="1" x14ac:dyDescent="0.3">
      <c r="B33" s="11"/>
    </row>
    <row r="34" spans="2:11" ht="14.25" customHeight="1" x14ac:dyDescent="0.3">
      <c r="E34" s="35" t="s">
        <v>227</v>
      </c>
      <c r="F34" s="35" t="s">
        <v>228</v>
      </c>
      <c r="H34" t="s">
        <v>229</v>
      </c>
      <c r="K34" s="24">
        <f>K22</f>
        <v>1.1292066610339164</v>
      </c>
    </row>
    <row r="35" spans="2:11" ht="14.25" customHeight="1" x14ac:dyDescent="0.3">
      <c r="B35" t="s">
        <v>208</v>
      </c>
      <c r="D35" s="38">
        <v>3928.93</v>
      </c>
      <c r="E35" s="4">
        <f>D35/D37</f>
        <v>1.4730539734867307E-2</v>
      </c>
      <c r="F35" s="4">
        <f>I21</f>
        <v>1.1517247723518049E-2</v>
      </c>
      <c r="H35" t="s">
        <v>230</v>
      </c>
      <c r="K35" s="4">
        <f>H21</f>
        <v>1.1679359228303472E-2</v>
      </c>
    </row>
    <row r="36" spans="2:11" ht="14.25" customHeight="1" x14ac:dyDescent="0.3">
      <c r="B36" t="s">
        <v>167</v>
      </c>
      <c r="D36" s="38">
        <v>262791.09999999998</v>
      </c>
      <c r="E36" s="4">
        <f>E37-E35</f>
        <v>0.98526946026513273</v>
      </c>
      <c r="F36" s="4">
        <f>F37-F35</f>
        <v>0.98848275227648197</v>
      </c>
      <c r="H36" t="s">
        <v>103</v>
      </c>
      <c r="K36" s="4">
        <f>G21</f>
        <v>0.26</v>
      </c>
    </row>
    <row r="37" spans="2:11" ht="14.25" customHeight="1" x14ac:dyDescent="0.3">
      <c r="B37" s="50" t="s">
        <v>231</v>
      </c>
      <c r="C37" s="50"/>
      <c r="D37" s="52">
        <f>SUM(D35:D36)</f>
        <v>266720.02999999997</v>
      </c>
      <c r="E37" s="51">
        <f>D37/D37</f>
        <v>1</v>
      </c>
      <c r="F37" s="51">
        <f>E37/E37</f>
        <v>1</v>
      </c>
      <c r="H37" s="50" t="s">
        <v>226</v>
      </c>
      <c r="I37" s="50"/>
      <c r="J37" s="50"/>
      <c r="K37" s="53">
        <f>K34*(1+(1-K36)*K35)</f>
        <v>1.1389660846094505</v>
      </c>
    </row>
    <row r="39" spans="2:11" ht="14.25" customHeight="1" x14ac:dyDescent="0.3">
      <c r="B39" t="s">
        <v>232</v>
      </c>
      <c r="E39" s="262">
        <f>E35</f>
        <v>1.4730539734867307E-2</v>
      </c>
      <c r="F39" s="262">
        <f>K35</f>
        <v>1.1679359228303472E-2</v>
      </c>
      <c r="H39" s="44" t="s">
        <v>233</v>
      </c>
      <c r="I39" s="34"/>
      <c r="J39" s="34"/>
      <c r="K39" s="34"/>
    </row>
    <row r="41" spans="2:11" ht="14.25" customHeight="1" x14ac:dyDescent="0.3">
      <c r="H41" t="s">
        <v>101</v>
      </c>
      <c r="K41" s="4">
        <f>K30</f>
        <v>0.12335483375224886</v>
      </c>
    </row>
    <row r="42" spans="2:11" ht="14.25" customHeight="1" x14ac:dyDescent="0.3">
      <c r="B42" s="54" t="s">
        <v>234</v>
      </c>
      <c r="H42" t="s">
        <v>235</v>
      </c>
      <c r="K42" s="4">
        <f>F36</f>
        <v>0.98848275227648197</v>
      </c>
    </row>
    <row r="43" spans="2:11" ht="14.25" customHeight="1" x14ac:dyDescent="0.3">
      <c r="B43" s="54" t="s">
        <v>236</v>
      </c>
    </row>
    <row r="44" spans="2:11" ht="14.25" customHeight="1" x14ac:dyDescent="0.3">
      <c r="B44" s="54" t="s">
        <v>237</v>
      </c>
      <c r="H44" t="s">
        <v>221</v>
      </c>
      <c r="K44" s="4">
        <f>F29</f>
        <v>3.6777999999999998E-2</v>
      </c>
    </row>
    <row r="45" spans="2:11" ht="14.25" customHeight="1" x14ac:dyDescent="0.3">
      <c r="B45" s="54" t="s">
        <v>238</v>
      </c>
      <c r="H45" t="s">
        <v>239</v>
      </c>
      <c r="K45" s="4">
        <f>F35</f>
        <v>1.1517247723518049E-2</v>
      </c>
    </row>
    <row r="46" spans="2:11" ht="14.25" customHeight="1" x14ac:dyDescent="0.3">
      <c r="H46" s="264" t="s">
        <v>107</v>
      </c>
      <c r="I46" s="265"/>
      <c r="J46" s="265"/>
      <c r="K46" s="266">
        <f>(K41*K42)+(K44*K45)</f>
        <v>0.12235770691080637</v>
      </c>
    </row>
  </sheetData>
  <phoneticPr fontId="47" type="noConversion"/>
  <pageMargins left="0.7" right="0.7" top="0.75" bottom="0.75" header="0.511811023622047" footer="0.511811023622047"/>
  <pageSetup paperSize="9" scale="6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0C81-A261-41C7-9D6A-1E55F3CB14DB}">
  <dimension ref="A2:I60"/>
  <sheetViews>
    <sheetView showGridLines="0" topLeftCell="A27" zoomScaleNormal="100" zoomScaleSheetLayoutView="90" workbookViewId="0">
      <selection activeCell="G48" sqref="G48"/>
    </sheetView>
  </sheetViews>
  <sheetFormatPr defaultRowHeight="14.4" x14ac:dyDescent="0.3"/>
  <cols>
    <col min="1" max="1" width="1.88671875" customWidth="1"/>
    <col min="2" max="2" width="21.5546875" bestFit="1" customWidth="1"/>
    <col min="3" max="9" width="14.44140625" customWidth="1"/>
  </cols>
  <sheetData>
    <row r="2" spans="1:9" ht="18" x14ac:dyDescent="0.35">
      <c r="B2" s="215" t="s">
        <v>386</v>
      </c>
      <c r="C2" s="216"/>
      <c r="D2" s="216"/>
      <c r="E2" s="217">
        <f>RawFS!J2</f>
        <v>44621</v>
      </c>
      <c r="F2" s="217">
        <f>RawFS!K2</f>
        <v>44986</v>
      </c>
      <c r="G2" s="217">
        <f>RawFS!L2</f>
        <v>45352</v>
      </c>
      <c r="H2" s="217">
        <f>RawFS!M2</f>
        <v>45717</v>
      </c>
      <c r="I2" s="217">
        <f>RawFS!N2</f>
        <v>46082</v>
      </c>
    </row>
    <row r="4" spans="1:9" x14ac:dyDescent="0.3">
      <c r="A4" t="s">
        <v>1</v>
      </c>
      <c r="B4" s="71" t="s">
        <v>388</v>
      </c>
    </row>
    <row r="5" spans="1:9" x14ac:dyDescent="0.3">
      <c r="B5" s="220" t="str">
        <f>RawFS!B35</f>
        <v>Inventories</v>
      </c>
      <c r="C5" s="220"/>
      <c r="D5" s="220"/>
      <c r="E5" s="221">
        <f>RawFS!J35</f>
        <v>6153</v>
      </c>
      <c r="F5" s="221">
        <f>RawFS!K35</f>
        <v>6211</v>
      </c>
      <c r="G5" s="221">
        <f>RawFS!L35</f>
        <v>5923</v>
      </c>
      <c r="H5" s="221">
        <f>RawFS!M35</f>
        <v>6719</v>
      </c>
      <c r="I5" s="221">
        <f>RawFS!N35</f>
        <v>5744</v>
      </c>
    </row>
    <row r="6" spans="1:9" x14ac:dyDescent="0.3">
      <c r="B6" s="220" t="str">
        <f>RawFS!B36</f>
        <v>Trade receivables</v>
      </c>
      <c r="C6" s="220"/>
      <c r="D6" s="220"/>
      <c r="E6" s="221">
        <f>RawFS!J36</f>
        <v>3871</v>
      </c>
      <c r="F6" s="221">
        <f>RawFS!K36</f>
        <v>4637</v>
      </c>
      <c r="G6" s="221">
        <f>RawFS!L36</f>
        <v>4889</v>
      </c>
      <c r="H6" s="221">
        <f>RawFS!M36</f>
        <v>4314</v>
      </c>
      <c r="I6" s="221">
        <f>RawFS!N36</f>
        <v>4462</v>
      </c>
    </row>
    <row r="7" spans="1:9" x14ac:dyDescent="0.3">
      <c r="B7" s="220" t="str">
        <f>RawFS!B38</f>
        <v>Loans n Advances</v>
      </c>
      <c r="C7" s="220"/>
      <c r="D7" s="220"/>
      <c r="E7" s="221">
        <f>RawFS!J38</f>
        <v>8</v>
      </c>
      <c r="F7" s="221">
        <f>RawFS!K38</f>
        <v>12</v>
      </c>
      <c r="G7" s="221">
        <f>RawFS!L38</f>
        <v>17</v>
      </c>
      <c r="H7" s="221">
        <f>RawFS!M38</f>
        <v>22</v>
      </c>
      <c r="I7" s="221">
        <f>RawFS!N38</f>
        <v>27</v>
      </c>
    </row>
    <row r="8" spans="1:9" ht="15" thickBot="1" x14ac:dyDescent="0.35">
      <c r="B8" t="str">
        <f>RawFS!B39</f>
        <v>Other asset items</v>
      </c>
      <c r="E8" s="3">
        <f>RawFS!J39</f>
        <v>2869</v>
      </c>
      <c r="F8" s="3">
        <f>RawFS!K39</f>
        <v>3024</v>
      </c>
      <c r="G8" s="3">
        <f>RawFS!L39</f>
        <v>3555</v>
      </c>
      <c r="H8" s="3">
        <f>RawFS!M39</f>
        <v>3319</v>
      </c>
      <c r="I8" s="3">
        <f>RawFS!N39</f>
        <v>4662</v>
      </c>
    </row>
    <row r="9" spans="1:9" ht="15" thickBot="1" x14ac:dyDescent="0.35">
      <c r="B9" s="224" t="s">
        <v>42</v>
      </c>
      <c r="C9" s="225"/>
      <c r="D9" s="225"/>
      <c r="E9" s="226">
        <f>SUM(E5:E8)</f>
        <v>12901</v>
      </c>
      <c r="F9" s="226">
        <f t="shared" ref="F9:I9" si="0">SUM(F5:F8)</f>
        <v>13884</v>
      </c>
      <c r="G9" s="226">
        <f t="shared" si="0"/>
        <v>14384</v>
      </c>
      <c r="H9" s="226">
        <f t="shared" si="0"/>
        <v>14374</v>
      </c>
      <c r="I9" s="226">
        <f t="shared" si="0"/>
        <v>14895</v>
      </c>
    </row>
    <row r="10" spans="1:9" ht="15" thickTop="1" x14ac:dyDescent="0.3">
      <c r="E10" s="3"/>
      <c r="F10" s="3"/>
      <c r="G10" s="3"/>
      <c r="H10" s="3"/>
      <c r="I10" s="3"/>
    </row>
    <row r="11" spans="1:9" x14ac:dyDescent="0.3">
      <c r="B11" s="71" t="s">
        <v>387</v>
      </c>
      <c r="E11" s="3"/>
      <c r="F11" s="3"/>
      <c r="G11" s="3"/>
      <c r="H11" s="3"/>
      <c r="I11" s="3"/>
    </row>
    <row r="12" spans="1:9" x14ac:dyDescent="0.3">
      <c r="B12" s="220" t="str">
        <f>RawFS!B13</f>
        <v>Trade Payables</v>
      </c>
      <c r="C12" s="220"/>
      <c r="D12" s="220"/>
      <c r="E12" s="221">
        <f>RawFS!J13</f>
        <v>4164</v>
      </c>
      <c r="F12" s="221">
        <f>RawFS!K13</f>
        <v>3635</v>
      </c>
      <c r="G12" s="221">
        <f>RawFS!L13</f>
        <v>3831</v>
      </c>
      <c r="H12" s="221">
        <f>RawFS!M13</f>
        <v>3848</v>
      </c>
      <c r="I12" s="221">
        <f>RawFS!N13</f>
        <v>3863</v>
      </c>
    </row>
    <row r="13" spans="1:9" x14ac:dyDescent="0.3">
      <c r="B13" s="220" t="str">
        <f>RawFS!B14</f>
        <v>Advance from Customers</v>
      </c>
      <c r="C13" s="220"/>
      <c r="D13" s="220"/>
      <c r="E13" s="221">
        <f>RawFS!J14</f>
        <v>76</v>
      </c>
      <c r="F13" s="221">
        <f>RawFS!K14</f>
        <v>108</v>
      </c>
      <c r="G13" s="221">
        <f>RawFS!L14</f>
        <v>154</v>
      </c>
      <c r="H13" s="221">
        <f>RawFS!M14</f>
        <v>174</v>
      </c>
      <c r="I13" s="221">
        <f>RawFS!N14</f>
        <v>107</v>
      </c>
    </row>
    <row r="14" spans="1:9" x14ac:dyDescent="0.3">
      <c r="B14" s="220" t="str">
        <f>RawFS!B15</f>
        <v>Other liability items</v>
      </c>
      <c r="C14" s="220"/>
      <c r="D14" s="220"/>
      <c r="E14" s="221">
        <f>RawFS!J15</f>
        <v>2932</v>
      </c>
      <c r="F14" s="221">
        <f>RawFS!K15</f>
        <v>3657</v>
      </c>
      <c r="G14" s="221">
        <f>RawFS!L15</f>
        <v>4017</v>
      </c>
      <c r="H14" s="221">
        <f>RawFS!M15</f>
        <v>3984</v>
      </c>
      <c r="I14" s="221">
        <f>RawFS!N15</f>
        <v>4604</v>
      </c>
    </row>
    <row r="15" spans="1:9" ht="15" thickBot="1" x14ac:dyDescent="0.35">
      <c r="B15" s="233" t="s">
        <v>390</v>
      </c>
      <c r="C15" s="234"/>
      <c r="D15" s="234"/>
      <c r="E15" s="235">
        <f>SUM(E12:E14)</f>
        <v>7172</v>
      </c>
      <c r="F15" s="235">
        <f t="shared" ref="F15:I15" si="1">SUM(F12:F14)</f>
        <v>7400</v>
      </c>
      <c r="G15" s="235">
        <f t="shared" si="1"/>
        <v>8002</v>
      </c>
      <c r="H15" s="235">
        <f t="shared" si="1"/>
        <v>8006</v>
      </c>
      <c r="I15" s="235">
        <f t="shared" si="1"/>
        <v>8574</v>
      </c>
    </row>
    <row r="16" spans="1:9" ht="15.6" thickTop="1" thickBot="1" x14ac:dyDescent="0.35">
      <c r="E16" s="3"/>
      <c r="F16" s="3"/>
      <c r="G16" s="3"/>
      <c r="H16" s="3"/>
      <c r="I16" s="3"/>
    </row>
    <row r="17" spans="1:9" ht="15" thickBot="1" x14ac:dyDescent="0.35">
      <c r="B17" s="224" t="s">
        <v>389</v>
      </c>
      <c r="C17" s="225"/>
      <c r="D17" s="225"/>
      <c r="E17" s="226">
        <f>E9-E15</f>
        <v>5729</v>
      </c>
      <c r="F17" s="226">
        <f t="shared" ref="F17:I17" si="2">F9-F15</f>
        <v>6484</v>
      </c>
      <c r="G17" s="226">
        <f t="shared" si="2"/>
        <v>6382</v>
      </c>
      <c r="H17" s="226">
        <f t="shared" si="2"/>
        <v>6368</v>
      </c>
      <c r="I17" s="226">
        <f t="shared" si="2"/>
        <v>6321</v>
      </c>
    </row>
    <row r="18" spans="1:9" ht="15" thickTop="1" x14ac:dyDescent="0.3">
      <c r="E18" s="3"/>
      <c r="F18" s="3"/>
      <c r="G18" s="3"/>
      <c r="H18" s="3"/>
      <c r="I18" s="3"/>
    </row>
    <row r="19" spans="1:9" x14ac:dyDescent="0.3">
      <c r="B19" s="71" t="s">
        <v>391</v>
      </c>
      <c r="E19" s="3"/>
      <c r="F19" s="3"/>
      <c r="G19" s="3"/>
      <c r="H19" s="3"/>
      <c r="I19" s="3"/>
    </row>
    <row r="20" spans="1:9" x14ac:dyDescent="0.3">
      <c r="B20" s="220" t="str">
        <f>RawFS!B19</f>
        <v>Land</v>
      </c>
      <c r="C20" s="220"/>
      <c r="D20" s="220"/>
      <c r="E20" s="221">
        <f>RawFS!J19</f>
        <v>644</v>
      </c>
      <c r="F20" s="221">
        <f>RawFS!K19</f>
        <v>804</v>
      </c>
      <c r="G20" s="221">
        <f>RawFS!L19</f>
        <v>1126</v>
      </c>
      <c r="H20" s="221">
        <f>RawFS!M19</f>
        <v>1035</v>
      </c>
      <c r="I20" s="221">
        <f>RawFS!N19</f>
        <v>1204</v>
      </c>
    </row>
    <row r="21" spans="1:9" x14ac:dyDescent="0.3">
      <c r="B21" s="220" t="str">
        <f>RawFS!B20</f>
        <v>Building</v>
      </c>
      <c r="C21" s="220"/>
      <c r="D21" s="220"/>
      <c r="E21" s="221">
        <f>RawFS!J20</f>
        <v>2325</v>
      </c>
      <c r="F21" s="221">
        <f>RawFS!K20</f>
        <v>2883</v>
      </c>
      <c r="G21" s="221">
        <f>RawFS!L20</f>
        <v>3390</v>
      </c>
      <c r="H21" s="221">
        <f>RawFS!M20</f>
        <v>3771</v>
      </c>
      <c r="I21" s="221">
        <f>RawFS!N20</f>
        <v>4124</v>
      </c>
    </row>
    <row r="22" spans="1:9" x14ac:dyDescent="0.3">
      <c r="B22" s="220" t="str">
        <f>RawFS!B21</f>
        <v>Plant Machinery</v>
      </c>
      <c r="C22" s="220"/>
      <c r="D22" s="220"/>
      <c r="E22" s="221">
        <f>RawFS!J21</f>
        <v>4531</v>
      </c>
      <c r="F22" s="221">
        <f>RawFS!K21</f>
        <v>4825</v>
      </c>
      <c r="G22" s="221">
        <f>RawFS!L21</f>
        <v>5422</v>
      </c>
      <c r="H22" s="221">
        <f>RawFS!M21</f>
        <v>7576</v>
      </c>
      <c r="I22" s="221">
        <f>RawFS!N21</f>
        <v>8210</v>
      </c>
    </row>
    <row r="23" spans="1:9" x14ac:dyDescent="0.3">
      <c r="B23" s="220" t="str">
        <f>RawFS!B22</f>
        <v>Equipments</v>
      </c>
      <c r="C23" s="220"/>
      <c r="D23" s="220"/>
      <c r="E23" s="221">
        <f>RawFS!J22</f>
        <v>253</v>
      </c>
      <c r="F23" s="221">
        <f>RawFS!K22</f>
        <v>270</v>
      </c>
      <c r="G23" s="221">
        <f>RawFS!L22</f>
        <v>298</v>
      </c>
      <c r="H23" s="221">
        <f>RawFS!M22</f>
        <v>325</v>
      </c>
      <c r="I23" s="221">
        <f>RawFS!N22</f>
        <v>351</v>
      </c>
    </row>
    <row r="24" spans="1:9" x14ac:dyDescent="0.3">
      <c r="B24" s="220" t="str">
        <f>RawFS!B23</f>
        <v>Furniture n fittings</v>
      </c>
      <c r="C24" s="220"/>
      <c r="D24" s="220"/>
      <c r="E24" s="221">
        <f>RawFS!J23</f>
        <v>113</v>
      </c>
      <c r="F24" s="221">
        <f>RawFS!K23</f>
        <v>146</v>
      </c>
      <c r="G24" s="221">
        <f>RawFS!L23</f>
        <v>175</v>
      </c>
      <c r="H24" s="221">
        <f>RawFS!M23</f>
        <v>203</v>
      </c>
      <c r="I24" s="221">
        <f>RawFS!N23</f>
        <v>216</v>
      </c>
    </row>
    <row r="25" spans="1:9" x14ac:dyDescent="0.3">
      <c r="B25" s="220" t="str">
        <f>RawFS!B24</f>
        <v>Vehicles</v>
      </c>
      <c r="C25" s="220"/>
      <c r="D25" s="220"/>
      <c r="E25" s="221">
        <f>RawFS!J24</f>
        <v>32</v>
      </c>
      <c r="F25" s="221">
        <f>RawFS!K24</f>
        <v>36</v>
      </c>
      <c r="G25" s="221">
        <f>RawFS!L24</f>
        <v>40</v>
      </c>
      <c r="H25" s="221">
        <f>RawFS!M24</f>
        <v>34</v>
      </c>
      <c r="I25" s="221">
        <f>RawFS!N24</f>
        <v>45</v>
      </c>
    </row>
    <row r="26" spans="1:9" x14ac:dyDescent="0.3">
      <c r="B26" s="220" t="str">
        <f>RawFS!B25</f>
        <v>Intangible Assets</v>
      </c>
      <c r="C26" s="220"/>
      <c r="D26" s="220"/>
      <c r="E26" s="221">
        <f>RawFS!J25</f>
        <v>345</v>
      </c>
      <c r="F26" s="221">
        <f>RawFS!K25</f>
        <v>422</v>
      </c>
      <c r="G26" s="221">
        <f>RawFS!L25</f>
        <v>850</v>
      </c>
      <c r="H26" s="221">
        <f>RawFS!M25</f>
        <v>827</v>
      </c>
      <c r="I26" s="221">
        <f>RawFS!N25</f>
        <v>833</v>
      </c>
    </row>
    <row r="27" spans="1:9" ht="15" thickBot="1" x14ac:dyDescent="0.35">
      <c r="B27" t="str">
        <f>RawFS!B26</f>
        <v>Other fixed assets</v>
      </c>
      <c r="E27" s="3">
        <f>RawFS!J26</f>
        <v>294</v>
      </c>
      <c r="F27" s="3">
        <f>RawFS!K26</f>
        <v>289</v>
      </c>
      <c r="G27" s="3">
        <f>RawFS!L26</f>
        <v>321</v>
      </c>
      <c r="H27" s="3">
        <f>RawFS!M26</f>
        <v>328</v>
      </c>
      <c r="I27" s="3">
        <f>RawFS!N26</f>
        <v>335</v>
      </c>
    </row>
    <row r="28" spans="1:9" x14ac:dyDescent="0.3">
      <c r="B28" s="222" t="str">
        <f>RawFS!B27</f>
        <v>Gross Block</v>
      </c>
      <c r="C28" s="222"/>
      <c r="D28" s="222"/>
      <c r="E28" s="223">
        <f>RawFS!J27</f>
        <v>8538</v>
      </c>
      <c r="F28" s="223">
        <f>RawFS!K27</f>
        <v>9676</v>
      </c>
      <c r="G28" s="206">
        <f>RawFS!L27</f>
        <v>11622</v>
      </c>
      <c r="H28" s="206">
        <f>RawFS!M27</f>
        <v>14099</v>
      </c>
      <c r="I28" s="206">
        <f>RawFS!N27</f>
        <v>15316</v>
      </c>
    </row>
    <row r="29" spans="1:9" ht="15" thickBot="1" x14ac:dyDescent="0.35">
      <c r="B29" t="str">
        <f>RawFS!B28</f>
        <v>Accumulated Depreciation</v>
      </c>
      <c r="E29" s="3">
        <f>RawFS!J28</f>
        <v>3019</v>
      </c>
      <c r="F29" s="3">
        <f>RawFS!K28</f>
        <v>3905</v>
      </c>
      <c r="G29" s="3">
        <f>RawFS!L28</f>
        <v>4475</v>
      </c>
      <c r="H29" s="3">
        <f>RawFS!M28</f>
        <v>4879</v>
      </c>
      <c r="I29" s="3">
        <f>RawFS!N28</f>
        <v>5676</v>
      </c>
    </row>
    <row r="30" spans="1:9" ht="15" thickBot="1" x14ac:dyDescent="0.35">
      <c r="B30" s="224" t="s">
        <v>46</v>
      </c>
      <c r="C30" s="225"/>
      <c r="D30" s="225"/>
      <c r="E30" s="226">
        <f>E28-E29</f>
        <v>5519</v>
      </c>
      <c r="F30" s="226">
        <f t="shared" ref="F30:I30" si="3">F28-F29</f>
        <v>5771</v>
      </c>
      <c r="G30" s="226">
        <f t="shared" si="3"/>
        <v>7147</v>
      </c>
      <c r="H30" s="226">
        <f t="shared" si="3"/>
        <v>9220</v>
      </c>
      <c r="I30" s="226">
        <f t="shared" si="3"/>
        <v>9640</v>
      </c>
    </row>
    <row r="31" spans="1:9" ht="15" thickTop="1" x14ac:dyDescent="0.3"/>
    <row r="32" spans="1:9" x14ac:dyDescent="0.3">
      <c r="A32" s="90" t="s">
        <v>1</v>
      </c>
      <c r="B32" s="228" t="s">
        <v>392</v>
      </c>
      <c r="C32" s="220"/>
      <c r="D32" s="220"/>
      <c r="E32" s="221">
        <f>E30+E17</f>
        <v>11248</v>
      </c>
      <c r="F32" s="221">
        <f t="shared" ref="F32:I32" si="4">F30+F17</f>
        <v>12255</v>
      </c>
      <c r="G32" s="221">
        <f t="shared" si="4"/>
        <v>13529</v>
      </c>
      <c r="H32" s="221">
        <f t="shared" si="4"/>
        <v>15588</v>
      </c>
      <c r="I32" s="221">
        <f t="shared" si="4"/>
        <v>15961</v>
      </c>
    </row>
    <row r="33" spans="2:9" x14ac:dyDescent="0.3">
      <c r="B33" s="228" t="s">
        <v>133</v>
      </c>
      <c r="C33" s="220"/>
      <c r="D33" s="220"/>
      <c r="E33" s="221">
        <f>HistoricalFS!H27</f>
        <v>4283.1299999999992</v>
      </c>
      <c r="F33" s="221">
        <f>HistoricalFS!I27</f>
        <v>5833.2799999999952</v>
      </c>
      <c r="G33" s="221">
        <f>HistoricalFS!J27</f>
        <v>7552.9400000000023</v>
      </c>
      <c r="H33" s="221">
        <f>HistoricalFS!K27</f>
        <v>5330.090000000002</v>
      </c>
      <c r="I33" s="221">
        <f>HistoricalFS!L27</f>
        <v>6198.850000000004</v>
      </c>
    </row>
    <row r="34" spans="2:9" x14ac:dyDescent="0.3">
      <c r="B34" s="228" t="s">
        <v>393</v>
      </c>
      <c r="C34" s="220"/>
      <c r="D34" s="220"/>
      <c r="E34" s="221">
        <f>E33*(1-'Assumption Sheet'!D19)</f>
        <v>3155.0920919497953</v>
      </c>
      <c r="F34" s="221">
        <f>F33*(1-'Assumption Sheet'!E19)</f>
        <v>4301.8572505066895</v>
      </c>
      <c r="G34" s="221">
        <f>G33*(1-'Assumption Sheet'!F19)</f>
        <v>5712.876030224138</v>
      </c>
      <c r="H34" s="221">
        <f>H33*(1-'Assumption Sheet'!G19)</f>
        <v>3874.7436687915338</v>
      </c>
      <c r="I34" s="221">
        <f>I33*(1-'Assumption Sheet'!H19)</f>
        <v>4537.7357159395324</v>
      </c>
    </row>
    <row r="35" spans="2:9" ht="15" thickBot="1" x14ac:dyDescent="0.35"/>
    <row r="36" spans="2:9" ht="15" thickBot="1" x14ac:dyDescent="0.35">
      <c r="B36" s="224" t="s">
        <v>394</v>
      </c>
      <c r="C36" s="224"/>
      <c r="D36" s="224"/>
      <c r="E36" s="227">
        <f>E34/E32</f>
        <v>0.28050249750620515</v>
      </c>
      <c r="F36" s="227">
        <f t="shared" ref="F36:I36" si="5">F34/F32</f>
        <v>0.35102874341139856</v>
      </c>
      <c r="G36" s="227">
        <f t="shared" si="5"/>
        <v>0.42226890607022971</v>
      </c>
      <c r="H36" s="227">
        <f t="shared" si="5"/>
        <v>0.24857221380494829</v>
      </c>
      <c r="I36" s="227">
        <f t="shared" si="5"/>
        <v>0.28430146707220927</v>
      </c>
    </row>
    <row r="37" spans="2:9" ht="15" thickTop="1" x14ac:dyDescent="0.3"/>
    <row r="38" spans="2:9" ht="18" x14ac:dyDescent="0.35">
      <c r="B38" s="215" t="s">
        <v>395</v>
      </c>
      <c r="C38" s="216"/>
      <c r="D38" s="216"/>
      <c r="E38" s="217">
        <f>E2</f>
        <v>44621</v>
      </c>
      <c r="F38" s="217">
        <f t="shared" ref="F38:I38" si="6">F2</f>
        <v>44986</v>
      </c>
      <c r="G38" s="217">
        <f t="shared" si="6"/>
        <v>45352</v>
      </c>
      <c r="H38" s="217">
        <f t="shared" si="6"/>
        <v>45717</v>
      </c>
      <c r="I38" s="217">
        <f t="shared" si="6"/>
        <v>46082</v>
      </c>
    </row>
    <row r="40" spans="2:9" x14ac:dyDescent="0.3">
      <c r="B40" s="220" t="s">
        <v>396</v>
      </c>
      <c r="C40" s="220"/>
      <c r="D40" s="220"/>
      <c r="E40" s="221">
        <f>-SUM(RawFS!J54:J55)</f>
        <v>511</v>
      </c>
      <c r="F40" s="221">
        <f>-SUM(RawFS!K54:K55)</f>
        <v>1420</v>
      </c>
      <c r="G40" s="221">
        <f>-SUM(RawFS!L54:L55)</f>
        <v>2491</v>
      </c>
      <c r="H40" s="221">
        <f>-SUM(RawFS!M54:M55)</f>
        <v>1820</v>
      </c>
      <c r="I40" s="221">
        <f>-SUM(RawFS!N54:N55)</f>
        <v>1484</v>
      </c>
    </row>
    <row r="41" spans="2:9" x14ac:dyDescent="0.3">
      <c r="B41" s="220" t="s">
        <v>397</v>
      </c>
      <c r="C41" s="220"/>
      <c r="D41" s="220"/>
      <c r="E41" s="221"/>
      <c r="F41" s="221">
        <f>F17-E17</f>
        <v>755</v>
      </c>
      <c r="G41" s="221">
        <f t="shared" ref="G41:I41" si="7">G17-F17</f>
        <v>-102</v>
      </c>
      <c r="H41" s="221">
        <f t="shared" si="7"/>
        <v>-14</v>
      </c>
      <c r="I41" s="221">
        <f t="shared" si="7"/>
        <v>-47</v>
      </c>
    </row>
    <row r="42" spans="2:9" x14ac:dyDescent="0.3">
      <c r="E42" s="3"/>
      <c r="F42" s="3"/>
      <c r="G42" s="3"/>
      <c r="H42" s="3"/>
      <c r="I42" s="3"/>
    </row>
    <row r="43" spans="2:9" x14ac:dyDescent="0.3">
      <c r="B43" s="220" t="s">
        <v>133</v>
      </c>
      <c r="C43" s="220"/>
      <c r="D43" s="220"/>
      <c r="E43" s="221">
        <f>E33</f>
        <v>4283.1299999999992</v>
      </c>
      <c r="F43" s="221">
        <f t="shared" ref="F43:I43" si="8">F33</f>
        <v>5833.2799999999952</v>
      </c>
      <c r="G43" s="221">
        <f t="shared" si="8"/>
        <v>7552.9400000000023</v>
      </c>
      <c r="H43" s="221">
        <f t="shared" si="8"/>
        <v>5330.090000000002</v>
      </c>
      <c r="I43" s="221">
        <f t="shared" si="8"/>
        <v>6198.850000000004</v>
      </c>
    </row>
    <row r="44" spans="2:9" x14ac:dyDescent="0.3">
      <c r="B44" s="220" t="s">
        <v>398</v>
      </c>
      <c r="C44" s="220"/>
      <c r="D44" s="220"/>
      <c r="E44" s="229">
        <f>'Assumption Sheet'!D19</f>
        <v>0.26336765590822697</v>
      </c>
      <c r="F44" s="229">
        <f>'Assumption Sheet'!E19</f>
        <v>0.2625320144915565</v>
      </c>
      <c r="G44" s="229">
        <f>'Assumption Sheet'!F19</f>
        <v>0.24362221463110567</v>
      </c>
      <c r="H44" s="229">
        <f>'Assumption Sheet'!G19</f>
        <v>0.27304348166887765</v>
      </c>
      <c r="I44" s="229">
        <f>'Assumption Sheet'!H19</f>
        <v>0.26797136308516434</v>
      </c>
    </row>
    <row r="45" spans="2:9" x14ac:dyDescent="0.3">
      <c r="B45" s="220" t="s">
        <v>399</v>
      </c>
      <c r="C45" s="220"/>
      <c r="D45" s="220"/>
      <c r="E45" s="221">
        <f>E43*(1-E44)</f>
        <v>3155.0920919497953</v>
      </c>
      <c r="F45" s="221">
        <f t="shared" ref="F45:I45" si="9">F43*(1-F44)</f>
        <v>4301.8572505066895</v>
      </c>
      <c r="G45" s="221">
        <f t="shared" si="9"/>
        <v>5712.876030224138</v>
      </c>
      <c r="H45" s="221">
        <f t="shared" si="9"/>
        <v>3874.7436687915338</v>
      </c>
      <c r="I45" s="221">
        <f t="shared" si="9"/>
        <v>4537.7357159395324</v>
      </c>
    </row>
    <row r="47" spans="2:9" ht="15" thickBot="1" x14ac:dyDescent="0.35">
      <c r="B47" s="230" t="s">
        <v>400</v>
      </c>
      <c r="C47" s="230"/>
      <c r="D47" s="230"/>
      <c r="E47" s="230"/>
      <c r="F47" s="231">
        <f>SUM(F40:F41)</f>
        <v>2175</v>
      </c>
      <c r="G47" s="231">
        <f t="shared" ref="G47:I47" si="10">SUM(G40:G41)</f>
        <v>2389</v>
      </c>
      <c r="H47" s="231">
        <f t="shared" si="10"/>
        <v>1806</v>
      </c>
      <c r="I47" s="231">
        <f t="shared" si="10"/>
        <v>1437</v>
      </c>
    </row>
    <row r="48" spans="2:9" ht="15" thickBot="1" x14ac:dyDescent="0.35">
      <c r="B48" s="225" t="s">
        <v>401</v>
      </c>
      <c r="C48" s="225"/>
      <c r="D48" s="225"/>
      <c r="E48" s="225"/>
      <c r="F48" s="232">
        <f>F47/F45</f>
        <v>0.50559557729253335</v>
      </c>
      <c r="G48" s="232">
        <f t="shared" ref="G48:I48" si="11">G47/G45</f>
        <v>0.41817816234081145</v>
      </c>
      <c r="H48" s="232">
        <f t="shared" si="11"/>
        <v>0.4660953483313286</v>
      </c>
      <c r="I48" s="232">
        <f t="shared" si="11"/>
        <v>0.31667776396767766</v>
      </c>
    </row>
    <row r="49" spans="2:9" ht="15" thickTop="1" x14ac:dyDescent="0.3"/>
    <row r="50" spans="2:9" x14ac:dyDescent="0.3">
      <c r="G50" s="218" t="s">
        <v>402</v>
      </c>
      <c r="H50" s="218"/>
      <c r="I50" s="219">
        <f>AVERAGE(F48:I48)</f>
        <v>0.42663671298308775</v>
      </c>
    </row>
    <row r="51" spans="2:9" x14ac:dyDescent="0.3">
      <c r="G51" s="218" t="s">
        <v>403</v>
      </c>
      <c r="H51" s="218"/>
      <c r="I51" s="219">
        <f>MEDIAN(F48:I48)</f>
        <v>0.44213675533607</v>
      </c>
    </row>
    <row r="53" spans="2:9" ht="18" x14ac:dyDescent="0.35">
      <c r="B53" s="215" t="s">
        <v>404</v>
      </c>
      <c r="C53" s="216"/>
      <c r="D53" s="216"/>
      <c r="E53" s="217">
        <f>E38</f>
        <v>44621</v>
      </c>
      <c r="F53" s="217">
        <f t="shared" ref="F53:I53" si="12">F38</f>
        <v>44986</v>
      </c>
      <c r="G53" s="217">
        <f t="shared" si="12"/>
        <v>45352</v>
      </c>
      <c r="H53" s="217">
        <f t="shared" si="12"/>
        <v>45717</v>
      </c>
      <c r="I53" s="217">
        <f t="shared" si="12"/>
        <v>46082</v>
      </c>
    </row>
    <row r="55" spans="2:9" x14ac:dyDescent="0.3">
      <c r="B55" s="220" t="s">
        <v>401</v>
      </c>
      <c r="C55" s="220"/>
      <c r="D55" s="220"/>
      <c r="E55" s="220"/>
      <c r="F55" s="229">
        <f>F48</f>
        <v>0.50559557729253335</v>
      </c>
      <c r="G55" s="229">
        <f t="shared" ref="G55:I55" si="13">G48</f>
        <v>0.41817816234081145</v>
      </c>
      <c r="H55" s="229">
        <f t="shared" si="13"/>
        <v>0.4660953483313286</v>
      </c>
      <c r="I55" s="229">
        <f t="shared" si="13"/>
        <v>0.31667776396767766</v>
      </c>
    </row>
    <row r="56" spans="2:9" x14ac:dyDescent="0.3">
      <c r="B56" s="220" t="s">
        <v>394</v>
      </c>
      <c r="C56" s="220"/>
      <c r="D56" s="220"/>
      <c r="E56" s="220"/>
      <c r="F56" s="229">
        <f>F36</f>
        <v>0.35102874341139856</v>
      </c>
      <c r="G56" s="229">
        <f t="shared" ref="G56:I56" si="14">G36</f>
        <v>0.42226890607022971</v>
      </c>
      <c r="H56" s="229">
        <f t="shared" si="14"/>
        <v>0.24857221380494829</v>
      </c>
      <c r="I56" s="229">
        <f t="shared" si="14"/>
        <v>0.28430146707220927</v>
      </c>
    </row>
    <row r="57" spans="2:9" ht="15" thickBot="1" x14ac:dyDescent="0.35"/>
    <row r="58" spans="2:9" ht="15" thickBot="1" x14ac:dyDescent="0.35">
      <c r="B58" s="225" t="s">
        <v>405</v>
      </c>
      <c r="C58" s="225"/>
      <c r="D58" s="225"/>
      <c r="E58" s="225"/>
      <c r="F58" s="232">
        <f>F56*F55</f>
        <v>0.17747858017135862</v>
      </c>
      <c r="G58" s="232">
        <f t="shared" ref="G58:I58" si="15">G56*G55</f>
        <v>0.17658363515411338</v>
      </c>
      <c r="H58" s="232">
        <f t="shared" si="15"/>
        <v>0.11585835257890686</v>
      </c>
      <c r="I58" s="232">
        <f t="shared" si="15"/>
        <v>9.0031952885157571E-2</v>
      </c>
    </row>
    <row r="59" spans="2:9" ht="15" thickTop="1" x14ac:dyDescent="0.3"/>
    <row r="60" spans="2:9" ht="12" customHeight="1" x14ac:dyDescent="0.3">
      <c r="B60" s="155"/>
      <c r="C60" s="155"/>
      <c r="D60" s="155"/>
      <c r="E60" s="155"/>
      <c r="F60" s="155"/>
      <c r="G60" s="155"/>
      <c r="H60" s="155"/>
      <c r="I60" s="155"/>
    </row>
  </sheetData>
  <pageMargins left="0.7" right="0.7" top="0.75" bottom="0.75" header="0.3" footer="0.3"/>
  <pageSetup scale="72" orientation="portrait" r:id="rId1"/>
  <ignoredErrors>
    <ignoredError sqref="E40:I40"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DB43-16C5-4BD8-9CAD-F534EBD60DBF}">
  <dimension ref="B1:Q50"/>
  <sheetViews>
    <sheetView showGridLines="0" zoomScale="70" zoomScaleNormal="70" workbookViewId="0">
      <selection activeCell="O20" sqref="O20"/>
    </sheetView>
  </sheetViews>
  <sheetFormatPr defaultRowHeight="14.4" x14ac:dyDescent="0.3"/>
  <cols>
    <col min="1" max="1" width="1.88671875" customWidth="1"/>
    <col min="2" max="2" width="28" bestFit="1" customWidth="1"/>
    <col min="4" max="4" width="12" bestFit="1" customWidth="1"/>
    <col min="6" max="6" width="11.44140625" bestFit="1" customWidth="1"/>
    <col min="7" max="13" width="12.6640625" customWidth="1"/>
  </cols>
  <sheetData>
    <row r="1" spans="2:13" x14ac:dyDescent="0.3">
      <c r="B1" s="154"/>
      <c r="C1" s="154"/>
      <c r="D1" s="154"/>
      <c r="E1" s="154"/>
      <c r="F1" s="154"/>
      <c r="G1" s="154"/>
      <c r="H1" s="154"/>
      <c r="I1" s="154"/>
      <c r="J1" s="154"/>
      <c r="K1" s="154"/>
      <c r="L1" s="154"/>
      <c r="M1" s="154"/>
    </row>
    <row r="2" spans="2:13" ht="46.2" x14ac:dyDescent="0.85">
      <c r="B2" s="157" t="str">
        <f>'Data Sheet'!B1</f>
        <v>ASIAN PAINTS LTD</v>
      </c>
      <c r="J2" s="157"/>
    </row>
    <row r="3" spans="2:13" x14ac:dyDescent="0.3">
      <c r="B3" t="s">
        <v>629</v>
      </c>
    </row>
    <row r="4" spans="2:13" ht="21" x14ac:dyDescent="0.4">
      <c r="B4" s="156" t="str">
        <f>CONCATENATE("INR "&amp;'Data Sheet'!B8)</f>
        <v>INR 2645.2</v>
      </c>
      <c r="J4" s="156"/>
    </row>
    <row r="5" spans="2:13" x14ac:dyDescent="0.3">
      <c r="B5" t="s">
        <v>630</v>
      </c>
    </row>
    <row r="6" spans="2:13" ht="15" thickBot="1" x14ac:dyDescent="0.35">
      <c r="B6" s="148"/>
      <c r="C6" s="148"/>
      <c r="D6" s="148"/>
      <c r="E6" s="148"/>
      <c r="F6" s="148"/>
      <c r="G6" s="148"/>
      <c r="H6" s="148"/>
      <c r="I6" s="148"/>
      <c r="J6" s="148"/>
      <c r="K6" s="148"/>
      <c r="L6" s="148"/>
      <c r="M6" s="148"/>
    </row>
    <row r="7" spans="2:13" ht="4.8" customHeight="1" x14ac:dyDescent="0.3"/>
    <row r="8" spans="2:13" ht="18" x14ac:dyDescent="0.35">
      <c r="B8" s="236" t="s">
        <v>406</v>
      </c>
      <c r="C8" s="237"/>
      <c r="D8" s="237"/>
      <c r="E8" s="237"/>
      <c r="F8" s="237"/>
      <c r="G8" s="238">
        <f>ForecastFS!F5</f>
        <v>45747</v>
      </c>
      <c r="H8" s="238">
        <f>ForecastFS!G5</f>
        <v>46112</v>
      </c>
      <c r="I8" s="238">
        <f>ForecastFS!H5</f>
        <v>46477</v>
      </c>
      <c r="J8" s="238">
        <f>ForecastFS!I5</f>
        <v>46842</v>
      </c>
      <c r="K8" s="238">
        <f>ForecastFS!J5</f>
        <v>47207</v>
      </c>
      <c r="L8" s="238">
        <f>ForecastFS!K5</f>
        <v>47572</v>
      </c>
      <c r="M8" s="238">
        <f>ForecastFS!L5</f>
        <v>47937</v>
      </c>
    </row>
    <row r="10" spans="2:13" x14ac:dyDescent="0.3">
      <c r="B10" s="220" t="s">
        <v>133</v>
      </c>
      <c r="C10" s="220"/>
      <c r="D10" s="220"/>
      <c r="E10" s="220"/>
      <c r="F10" s="220"/>
      <c r="G10" s="221">
        <f>ForecastFS!F24</f>
        <v>5330.090000000002</v>
      </c>
      <c r="H10" s="221">
        <f>ForecastFS!G24</f>
        <v>6198.850000000004</v>
      </c>
      <c r="I10" s="221">
        <f>ForecastFS!H24</f>
        <v>6384.1336819999979</v>
      </c>
      <c r="J10" s="221">
        <f>ForecastFS!I24</f>
        <v>6790.523039740001</v>
      </c>
      <c r="K10" s="221">
        <f>ForecastFS!J24</f>
        <v>7490.0375905552501</v>
      </c>
      <c r="L10" s="221">
        <f>ForecastFS!K24</f>
        <v>8030.5404098468935</v>
      </c>
      <c r="M10" s="221">
        <f>ForecastFS!L24</f>
        <v>8919.2139924457933</v>
      </c>
    </row>
    <row r="11" spans="2:13" x14ac:dyDescent="0.3">
      <c r="B11" s="220"/>
      <c r="C11" s="220"/>
      <c r="D11" s="220"/>
      <c r="E11" s="220"/>
      <c r="F11" s="220"/>
      <c r="G11" s="220"/>
      <c r="H11" s="220"/>
      <c r="I11" s="220"/>
      <c r="J11" s="220"/>
      <c r="K11" s="220"/>
      <c r="L11" s="220"/>
      <c r="M11" s="220"/>
    </row>
    <row r="12" spans="2:13" x14ac:dyDescent="0.3">
      <c r="B12" s="220" t="s">
        <v>103</v>
      </c>
      <c r="C12" s="220"/>
      <c r="D12" s="220"/>
      <c r="E12" s="220"/>
      <c r="F12" s="220"/>
      <c r="G12" s="245">
        <f>ForecastFS!F32</f>
        <v>0.27304348166887765</v>
      </c>
      <c r="H12" s="245">
        <f>ForecastFS!G32</f>
        <v>0.26797136308516434</v>
      </c>
      <c r="I12" s="245">
        <f>ForecastFS!H32</f>
        <v>0.26</v>
      </c>
      <c r="J12" s="245">
        <f>ForecastFS!I32</f>
        <v>0.26</v>
      </c>
      <c r="K12" s="245">
        <f>ForecastFS!J32</f>
        <v>0.26</v>
      </c>
      <c r="L12" s="245">
        <f>ForecastFS!K32</f>
        <v>0.26</v>
      </c>
      <c r="M12" s="245">
        <f>ForecastFS!L32</f>
        <v>0.26</v>
      </c>
    </row>
    <row r="13" spans="2:13" x14ac:dyDescent="0.3">
      <c r="B13" s="220"/>
      <c r="C13" s="220"/>
      <c r="D13" s="220"/>
      <c r="E13" s="220"/>
      <c r="F13" s="220"/>
      <c r="G13" s="220"/>
      <c r="H13" s="220"/>
      <c r="I13" s="220"/>
      <c r="J13" s="220"/>
      <c r="K13" s="220"/>
      <c r="L13" s="220"/>
      <c r="M13" s="220"/>
    </row>
    <row r="14" spans="2:13" x14ac:dyDescent="0.3">
      <c r="B14" s="220" t="s">
        <v>399</v>
      </c>
      <c r="C14" s="220"/>
      <c r="D14" s="220"/>
      <c r="E14" s="220"/>
      <c r="F14" s="220"/>
      <c r="G14" s="221">
        <f>G10*(1-G12)</f>
        <v>3874.7436687915338</v>
      </c>
      <c r="H14" s="221">
        <f t="shared" ref="H14:M14" si="0">H10*(1-H12)</f>
        <v>4537.7357159395324</v>
      </c>
      <c r="I14" s="221">
        <f t="shared" si="0"/>
        <v>4724.258924679998</v>
      </c>
      <c r="J14" s="221">
        <f t="shared" si="0"/>
        <v>5024.9870494076004</v>
      </c>
      <c r="K14" s="221">
        <f t="shared" si="0"/>
        <v>5542.6278170108853</v>
      </c>
      <c r="L14" s="221">
        <f t="shared" si="0"/>
        <v>5942.5999032867012</v>
      </c>
      <c r="M14" s="221">
        <f t="shared" si="0"/>
        <v>6600.2183544098871</v>
      </c>
    </row>
    <row r="15" spans="2:13" x14ac:dyDescent="0.3">
      <c r="B15" s="220"/>
      <c r="C15" s="220"/>
      <c r="D15" s="220"/>
      <c r="E15" s="220"/>
      <c r="F15" s="220"/>
      <c r="G15" s="220"/>
      <c r="H15" s="220"/>
      <c r="I15" s="220"/>
      <c r="J15" s="220"/>
      <c r="K15" s="220"/>
      <c r="L15" s="220"/>
      <c r="M15" s="220"/>
    </row>
    <row r="16" spans="2:13" x14ac:dyDescent="0.3">
      <c r="B16" s="220" t="s">
        <v>407</v>
      </c>
      <c r="C16" s="220"/>
      <c r="D16" s="220"/>
      <c r="E16" s="220"/>
      <c r="F16" s="220"/>
      <c r="G16" s="229">
        <f>IntrinsiGrowth!H48</f>
        <v>0.4660953483313286</v>
      </c>
      <c r="H16" s="229">
        <f>IntrinsiGrowth!I48</f>
        <v>0.31667776396767766</v>
      </c>
      <c r="I16" s="229">
        <f>H$16+(($M$16-$H$16)/4)</f>
        <v>0.33750832297575828</v>
      </c>
      <c r="J16" s="229">
        <f t="shared" ref="J16:L16" si="1">I$16+(($M$16-$H$16)/4)</f>
        <v>0.3583388819838389</v>
      </c>
      <c r="K16" s="229">
        <f t="shared" si="1"/>
        <v>0.37916944099191952</v>
      </c>
      <c r="L16" s="229">
        <f t="shared" si="1"/>
        <v>0.40000000000000013</v>
      </c>
      <c r="M16" s="246">
        <v>0.4</v>
      </c>
    </row>
    <row r="17" spans="2:17" x14ac:dyDescent="0.3">
      <c r="B17" s="220"/>
      <c r="C17" s="220"/>
      <c r="D17" s="220"/>
      <c r="E17" s="220"/>
      <c r="F17" s="220"/>
      <c r="G17" s="220"/>
      <c r="H17" s="220"/>
      <c r="I17" s="220"/>
      <c r="J17" s="220"/>
      <c r="K17" s="220"/>
      <c r="L17" s="220"/>
      <c r="M17" s="220"/>
    </row>
    <row r="18" spans="2:17" x14ac:dyDescent="0.3">
      <c r="B18" s="220" t="s">
        <v>408</v>
      </c>
      <c r="C18" s="220"/>
      <c r="D18" s="220"/>
      <c r="E18" s="220"/>
      <c r="F18" s="220"/>
      <c r="G18" s="221">
        <f>G14*(1-G16)</f>
        <v>2068.7436687915338</v>
      </c>
      <c r="H18" s="221">
        <f t="shared" ref="H18:M18" si="2">H14*(1-H16)</f>
        <v>3100.7357159395324</v>
      </c>
      <c r="I18" s="221">
        <f t="shared" si="2"/>
        <v>3129.7822177079929</v>
      </c>
      <c r="J18" s="221">
        <f t="shared" si="2"/>
        <v>3224.3388081396115</v>
      </c>
      <c r="K18" s="221">
        <f t="shared" si="2"/>
        <v>3441.0327260086046</v>
      </c>
      <c r="L18" s="221">
        <f t="shared" si="2"/>
        <v>3565.5599419720197</v>
      </c>
      <c r="M18" s="221">
        <f t="shared" si="2"/>
        <v>3960.1310126459321</v>
      </c>
    </row>
    <row r="19" spans="2:17" x14ac:dyDescent="0.3">
      <c r="B19" s="220"/>
      <c r="C19" s="220"/>
      <c r="D19" s="220"/>
      <c r="E19" s="220"/>
      <c r="F19" s="220"/>
      <c r="G19" s="220"/>
      <c r="H19" s="220"/>
      <c r="I19" s="220"/>
      <c r="J19" s="220"/>
      <c r="K19" s="220"/>
      <c r="L19" s="220"/>
      <c r="M19" s="220"/>
    </row>
    <row r="20" spans="2:17" x14ac:dyDescent="0.3">
      <c r="B20" s="220" t="s">
        <v>409</v>
      </c>
      <c r="C20" s="220"/>
      <c r="D20" s="220"/>
      <c r="E20" s="220"/>
      <c r="F20" s="220"/>
      <c r="G20" s="220"/>
      <c r="H20" s="247">
        <v>0.5</v>
      </c>
      <c r="I20" s="220">
        <f>H20+1</f>
        <v>1.5</v>
      </c>
      <c r="J20" s="220">
        <f t="shared" ref="J20:M20" si="3">I20+1</f>
        <v>2.5</v>
      </c>
      <c r="K20" s="220">
        <f t="shared" si="3"/>
        <v>3.5</v>
      </c>
      <c r="L20" s="220">
        <f t="shared" si="3"/>
        <v>4.5</v>
      </c>
      <c r="M20" s="220">
        <f t="shared" si="3"/>
        <v>5.5</v>
      </c>
      <c r="Q20" s="91"/>
    </row>
    <row r="21" spans="2:17" x14ac:dyDescent="0.3">
      <c r="B21" s="220" t="s">
        <v>410</v>
      </c>
      <c r="C21" s="220"/>
      <c r="D21" s="220"/>
      <c r="E21" s="220"/>
      <c r="F21" s="220"/>
      <c r="G21" s="220"/>
      <c r="H21" s="248">
        <f>1/(1+$D$27)^H20</f>
        <v>0.94391818589448773</v>
      </c>
      <c r="I21" s="248">
        <f t="shared" ref="I21:M21" si="4">1/(1+$D$27)^I20</f>
        <v>0.8410136804713908</v>
      </c>
      <c r="J21" s="248">
        <f t="shared" si="4"/>
        <v>0.74932766558551922</v>
      </c>
      <c r="K21" s="248">
        <f t="shared" si="4"/>
        <v>0.66763711869362885</v>
      </c>
      <c r="L21" s="248">
        <f t="shared" si="4"/>
        <v>0.59485234928465269</v>
      </c>
      <c r="M21" s="248">
        <f t="shared" si="4"/>
        <v>0.5300024632271052</v>
      </c>
    </row>
    <row r="22" spans="2:17" ht="15" thickBot="1" x14ac:dyDescent="0.35"/>
    <row r="23" spans="2:17" ht="15" thickBot="1" x14ac:dyDescent="0.35">
      <c r="B23" s="224" t="s">
        <v>198</v>
      </c>
      <c r="C23" s="224"/>
      <c r="D23" s="224"/>
      <c r="E23" s="224"/>
      <c r="F23" s="224"/>
      <c r="G23" s="225"/>
      <c r="H23" s="239">
        <f>H18*H21</f>
        <v>2926.8408319278892</v>
      </c>
      <c r="I23" s="239">
        <f t="shared" ref="I23:M23" si="5">I18*I21</f>
        <v>2632.189661988511</v>
      </c>
      <c r="J23" s="239">
        <f t="shared" si="5"/>
        <v>2416.0862721600506</v>
      </c>
      <c r="K23" s="239">
        <f t="shared" si="5"/>
        <v>2297.3611745228682</v>
      </c>
      <c r="L23" s="239">
        <f t="shared" si="5"/>
        <v>2120.9817079973059</v>
      </c>
      <c r="M23" s="239">
        <f t="shared" si="5"/>
        <v>2098.8791914043945</v>
      </c>
    </row>
    <row r="24" spans="2:17" ht="15" thickTop="1" x14ac:dyDescent="0.3"/>
    <row r="25" spans="2:17" x14ac:dyDescent="0.3">
      <c r="B25" s="241" t="s">
        <v>411</v>
      </c>
      <c r="C25" s="241"/>
      <c r="D25" s="242">
        <v>0.1</v>
      </c>
    </row>
    <row r="26" spans="2:17" x14ac:dyDescent="0.3">
      <c r="B26" s="241" t="s">
        <v>412</v>
      </c>
      <c r="C26" s="241"/>
      <c r="D26" s="242">
        <v>0.05</v>
      </c>
    </row>
    <row r="27" spans="2:17" x14ac:dyDescent="0.3">
      <c r="B27" s="241" t="s">
        <v>107</v>
      </c>
      <c r="C27" s="241"/>
      <c r="D27" s="243">
        <f>WACC!K46</f>
        <v>0.12235770691080637</v>
      </c>
    </row>
    <row r="29" spans="2:17" ht="18" x14ac:dyDescent="0.35">
      <c r="B29" s="237" t="s">
        <v>413</v>
      </c>
      <c r="C29" s="237"/>
      <c r="D29" s="237"/>
      <c r="F29" s="342" t="s">
        <v>425</v>
      </c>
      <c r="G29" s="343"/>
      <c r="H29" s="343"/>
      <c r="I29" s="343"/>
      <c r="J29" s="343"/>
      <c r="K29" s="343"/>
      <c r="L29" s="343"/>
      <c r="M29" s="344"/>
    </row>
    <row r="30" spans="2:17" x14ac:dyDescent="0.3">
      <c r="F30" s="55"/>
      <c r="M30" s="56"/>
    </row>
    <row r="31" spans="2:17" x14ac:dyDescent="0.3">
      <c r="B31" s="86" t="s">
        <v>414</v>
      </c>
      <c r="C31" s="86"/>
      <c r="D31" s="88">
        <f>M18*(1+D26)</f>
        <v>4158.1375632782292</v>
      </c>
      <c r="F31" s="55"/>
      <c r="K31" s="97" t="s">
        <v>107</v>
      </c>
      <c r="M31" s="56"/>
    </row>
    <row r="32" spans="2:17" x14ac:dyDescent="0.3">
      <c r="B32" s="86" t="s">
        <v>107</v>
      </c>
      <c r="C32" s="86"/>
      <c r="D32" s="92">
        <f>D27</f>
        <v>0.12235770691080637</v>
      </c>
      <c r="F32" s="55"/>
      <c r="G32" s="98">
        <f>D47</f>
        <v>438.85033289360757</v>
      </c>
      <c r="H32" s="249">
        <v>0.1</v>
      </c>
      <c r="I32" s="249">
        <v>0.11</v>
      </c>
      <c r="J32" s="250">
        <v>0.12235770691080637</v>
      </c>
      <c r="K32" s="249">
        <v>0.13235770691080637</v>
      </c>
      <c r="L32" s="249">
        <v>0.14235770691080638</v>
      </c>
      <c r="M32" s="96">
        <v>0.15235770691080638</v>
      </c>
    </row>
    <row r="33" spans="2:13" x14ac:dyDescent="0.3">
      <c r="B33" s="86" t="s">
        <v>108</v>
      </c>
      <c r="C33" s="86"/>
      <c r="D33" s="92">
        <f>D26</f>
        <v>0.05</v>
      </c>
      <c r="F33" s="55"/>
      <c r="G33" s="249">
        <v>0.03</v>
      </c>
      <c r="H33" s="251">
        <f t="dataTable" ref="H33:M37" dt2D="1" dtr="1" r1="D32" r2="D33"/>
        <v>449.54520392435279</v>
      </c>
      <c r="I33" s="252">
        <v>408.51718534703167</v>
      </c>
      <c r="J33" s="252">
        <v>370.08957903589766</v>
      </c>
      <c r="K33" s="252">
        <v>345.78573995645365</v>
      </c>
      <c r="L33" s="252">
        <v>325.80805521882735</v>
      </c>
      <c r="M33" s="254">
        <v>309.0958263714769</v>
      </c>
    </row>
    <row r="34" spans="2:13" ht="15" thickBot="1" x14ac:dyDescent="0.35">
      <c r="F34" s="55"/>
      <c r="G34" s="249">
        <v>0.04</v>
      </c>
      <c r="H34" s="253">
        <v>504.24922869411421</v>
      </c>
      <c r="I34" s="99">
        <v>449.54520392435279</v>
      </c>
      <c r="J34" s="99">
        <v>400.29543748695079</v>
      </c>
      <c r="K34" s="99">
        <v>370.08957903589771</v>
      </c>
      <c r="L34" s="99">
        <v>345.78573995645365</v>
      </c>
      <c r="M34" s="255">
        <v>325.80805521882735</v>
      </c>
    </row>
    <row r="35" spans="2:13" ht="15" thickBot="1" x14ac:dyDescent="0.35">
      <c r="B35" s="224" t="s">
        <v>415</v>
      </c>
      <c r="C35" s="224"/>
      <c r="D35" s="239">
        <f>D31/(D32-D33)</f>
        <v>57466.408773896983</v>
      </c>
      <c r="F35" s="100" t="s">
        <v>426</v>
      </c>
      <c r="G35" s="249">
        <v>0.05</v>
      </c>
      <c r="H35" s="253">
        <v>580.83486337178022</v>
      </c>
      <c r="I35" s="99">
        <v>504.24922869411421</v>
      </c>
      <c r="J35" s="244">
        <v>438.85033289360757</v>
      </c>
      <c r="K35" s="99">
        <v>400.29543748695079</v>
      </c>
      <c r="L35" s="99">
        <v>370.08957903589766</v>
      </c>
      <c r="M35" s="255">
        <v>345.7857399564536</v>
      </c>
    </row>
    <row r="36" spans="2:13" ht="15" thickTop="1" x14ac:dyDescent="0.3">
      <c r="F36" s="55"/>
      <c r="G36" s="249">
        <v>6.0000000000000005E-2</v>
      </c>
      <c r="H36" s="253">
        <v>695.71331538827928</v>
      </c>
      <c r="I36" s="99">
        <v>580.83486337178022</v>
      </c>
      <c r="J36" s="99">
        <v>489.77094773308562</v>
      </c>
      <c r="K36" s="99">
        <v>438.85033289360757</v>
      </c>
      <c r="L36" s="99">
        <v>400.29543748695079</v>
      </c>
      <c r="M36" s="255">
        <v>370.08957903589766</v>
      </c>
    </row>
    <row r="37" spans="2:13" x14ac:dyDescent="0.3">
      <c r="B37" s="237" t="s">
        <v>416</v>
      </c>
      <c r="C37" s="237"/>
      <c r="D37" s="237"/>
      <c r="F37" s="63"/>
      <c r="G37" s="95">
        <v>7.0000000000000007E-2</v>
      </c>
      <c r="H37" s="256">
        <v>887.17740208244436</v>
      </c>
      <c r="I37" s="257">
        <v>695.7133153882794</v>
      </c>
      <c r="J37" s="257">
        <v>560.14261107865048</v>
      </c>
      <c r="K37" s="257">
        <v>489.77094773308568</v>
      </c>
      <c r="L37" s="257">
        <v>438.85033289360757</v>
      </c>
      <c r="M37" s="258">
        <v>400.29543748695079</v>
      </c>
    </row>
    <row r="39" spans="2:13" x14ac:dyDescent="0.3">
      <c r="B39" s="220" t="s">
        <v>198</v>
      </c>
      <c r="C39" s="220"/>
      <c r="D39" s="221">
        <f>SUM(H23:M23)</f>
        <v>14492.338840001017</v>
      </c>
    </row>
    <row r="40" spans="2:13" x14ac:dyDescent="0.3">
      <c r="B40" s="220" t="s">
        <v>199</v>
      </c>
      <c r="C40" s="220"/>
      <c r="D40" s="221">
        <f>D35*M21</f>
        <v>30457.338202981133</v>
      </c>
    </row>
    <row r="41" spans="2:13" x14ac:dyDescent="0.3">
      <c r="B41" s="71" t="s">
        <v>417</v>
      </c>
      <c r="D41" s="3">
        <f>SUM(D39:D40)</f>
        <v>44949.677042982148</v>
      </c>
    </row>
    <row r="42" spans="2:13" x14ac:dyDescent="0.3">
      <c r="B42" s="220"/>
      <c r="C42" s="220"/>
      <c r="D42" s="220"/>
    </row>
    <row r="43" spans="2:13" x14ac:dyDescent="0.3">
      <c r="B43" s="220" t="s">
        <v>418</v>
      </c>
      <c r="C43" s="220"/>
      <c r="D43" s="221">
        <f>'Data Sheet'!K69</f>
        <v>1073.68</v>
      </c>
    </row>
    <row r="44" spans="2:13" x14ac:dyDescent="0.3">
      <c r="B44" s="220" t="s">
        <v>419</v>
      </c>
      <c r="C44" s="220"/>
      <c r="D44" s="221">
        <f>'Data Sheet'!K59</f>
        <v>3928.93</v>
      </c>
    </row>
    <row r="45" spans="2:13" x14ac:dyDescent="0.3">
      <c r="B45" s="228" t="s">
        <v>420</v>
      </c>
      <c r="C45" s="220"/>
      <c r="D45" s="221">
        <f>D41+D43-D44</f>
        <v>42094.427042982148</v>
      </c>
    </row>
    <row r="46" spans="2:13" ht="15" thickBot="1" x14ac:dyDescent="0.35">
      <c r="B46" t="s">
        <v>421</v>
      </c>
      <c r="D46" s="93">
        <f>'Data Sheet'!B6</f>
        <v>95.919779222743088</v>
      </c>
    </row>
    <row r="47" spans="2:13" ht="15" thickBot="1" x14ac:dyDescent="0.35">
      <c r="B47" s="224" t="s">
        <v>422</v>
      </c>
      <c r="C47" s="224"/>
      <c r="D47" s="240">
        <f>D45/D46</f>
        <v>438.85033289360757</v>
      </c>
    </row>
    <row r="48" spans="2:13" ht="15" thickTop="1" x14ac:dyDescent="0.3"/>
    <row r="49" spans="2:4" x14ac:dyDescent="0.3">
      <c r="B49" s="220" t="s">
        <v>423</v>
      </c>
      <c r="C49" s="220"/>
      <c r="D49" s="221">
        <f>'Data Sheet'!B8</f>
        <v>2645.2</v>
      </c>
    </row>
    <row r="50" spans="2:4" x14ac:dyDescent="0.3">
      <c r="B50" s="220" t="s">
        <v>424</v>
      </c>
      <c r="C50" s="220"/>
      <c r="D50" s="259">
        <f>D49/D47-1</f>
        <v>5.0275674910819479</v>
      </c>
    </row>
  </sheetData>
  <mergeCells count="1">
    <mergeCell ref="F29:M29"/>
  </mergeCells>
  <phoneticPr fontId="47" type="noConversion"/>
  <pageMargins left="0.7" right="0.7" top="0.75" bottom="0.75" header="0.3" footer="0.3"/>
  <pageSetup scale="5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1DE8-05A1-43CC-A800-9C392FD75E33}">
  <dimension ref="B1:Q39"/>
  <sheetViews>
    <sheetView showGridLines="0" topLeftCell="A3" zoomScale="70" zoomScaleNormal="58" zoomScaleSheetLayoutView="46" workbookViewId="0">
      <selection activeCell="O43" sqref="O43"/>
    </sheetView>
  </sheetViews>
  <sheetFormatPr defaultRowHeight="14.4" x14ac:dyDescent="0.3"/>
  <cols>
    <col min="1" max="1" width="1.88671875" customWidth="1"/>
    <col min="2" max="2" width="34.77734375" bestFit="1" customWidth="1"/>
    <col min="4" max="5" width="10.44140625" customWidth="1"/>
    <col min="6" max="6" width="11.88671875" bestFit="1" customWidth="1"/>
    <col min="7" max="7" width="9.109375" customWidth="1"/>
    <col min="8" max="8" width="11.88671875" bestFit="1" customWidth="1"/>
    <col min="10" max="10" width="2" customWidth="1"/>
    <col min="11" max="11" width="10.21875" bestFit="1" customWidth="1"/>
    <col min="13" max="13" width="10.5546875" bestFit="1" customWidth="1"/>
    <col min="14" max="14" width="2.109375" customWidth="1"/>
    <col min="15" max="15" width="15" customWidth="1"/>
    <col min="16" max="16" width="12.5546875" customWidth="1"/>
    <col min="17" max="17" width="11.77734375" customWidth="1"/>
  </cols>
  <sheetData>
    <row r="1" spans="2:17" x14ac:dyDescent="0.3">
      <c r="B1" s="154"/>
      <c r="C1" s="154"/>
      <c r="D1" s="154"/>
      <c r="E1" s="154"/>
      <c r="F1" s="154"/>
      <c r="G1" s="154"/>
      <c r="H1" s="154"/>
      <c r="I1" s="154"/>
      <c r="J1" s="154"/>
      <c r="K1" s="154"/>
      <c r="L1" s="154"/>
      <c r="M1" s="154"/>
      <c r="N1" s="154"/>
      <c r="O1" s="154"/>
      <c r="P1" s="154"/>
      <c r="Q1" s="154"/>
    </row>
    <row r="2" spans="2:17" ht="46.2" x14ac:dyDescent="0.85">
      <c r="B2" s="157" t="str">
        <f>'Data Sheet'!B1</f>
        <v>ASIAN PAINTS LTD</v>
      </c>
      <c r="J2" s="157"/>
      <c r="L2" s="157"/>
    </row>
    <row r="3" spans="2:17" x14ac:dyDescent="0.3">
      <c r="B3" t="s">
        <v>629</v>
      </c>
    </row>
    <row r="4" spans="2:17" ht="21" x14ac:dyDescent="0.4">
      <c r="B4" s="156" t="str">
        <f>CONCATENATE("INR "&amp;'Data Sheet'!B8)</f>
        <v>INR 2645.2</v>
      </c>
      <c r="J4" s="156"/>
      <c r="L4" s="156"/>
    </row>
    <row r="5" spans="2:17" x14ac:dyDescent="0.3">
      <c r="B5" t="s">
        <v>630</v>
      </c>
    </row>
    <row r="6" spans="2:17" ht="15" thickBot="1" x14ac:dyDescent="0.35">
      <c r="B6" s="148"/>
      <c r="C6" s="148"/>
      <c r="D6" s="148"/>
      <c r="E6" s="148"/>
      <c r="F6" s="148"/>
      <c r="G6" s="148"/>
      <c r="H6" s="148"/>
      <c r="I6" s="148"/>
      <c r="J6" s="148"/>
      <c r="K6" s="148"/>
      <c r="L6" s="148"/>
      <c r="M6" s="148"/>
      <c r="N6" s="148"/>
      <c r="O6" s="148"/>
      <c r="P6" s="148"/>
      <c r="Q6" s="148"/>
    </row>
    <row r="7" spans="2:17" ht="4.8" customHeight="1" thickBot="1" x14ac:dyDescent="0.35"/>
    <row r="8" spans="2:17" ht="18.600000000000001" thickBot="1" x14ac:dyDescent="0.4">
      <c r="B8" s="289" t="s">
        <v>452</v>
      </c>
      <c r="C8" s="290"/>
      <c r="D8" s="290"/>
      <c r="E8" s="290"/>
      <c r="F8" s="290"/>
      <c r="G8" s="290"/>
      <c r="H8" s="290"/>
      <c r="I8" s="290"/>
      <c r="J8" s="290"/>
      <c r="K8" s="290"/>
      <c r="L8" s="290"/>
      <c r="M8" s="290"/>
      <c r="N8" s="290"/>
      <c r="O8" s="290"/>
      <c r="P8" s="290"/>
      <c r="Q8" s="290"/>
    </row>
    <row r="9" spans="2:17" ht="5.4" customHeight="1" x14ac:dyDescent="0.3"/>
    <row r="10" spans="2:17" ht="15" thickBot="1" x14ac:dyDescent="0.35">
      <c r="B10" s="291"/>
      <c r="C10" s="291"/>
      <c r="D10" s="345" t="s">
        <v>461</v>
      </c>
      <c r="E10" s="345"/>
      <c r="F10" s="345"/>
      <c r="G10" s="345"/>
      <c r="H10" s="345"/>
      <c r="I10" s="345"/>
      <c r="J10" s="291"/>
      <c r="K10" s="345" t="s">
        <v>462</v>
      </c>
      <c r="L10" s="345"/>
      <c r="M10" s="345"/>
      <c r="N10" s="291"/>
      <c r="O10" s="345" t="s">
        <v>465</v>
      </c>
      <c r="P10" s="345"/>
      <c r="Q10" s="345"/>
    </row>
    <row r="11" spans="2:17" ht="4.2" customHeight="1" x14ac:dyDescent="0.3">
      <c r="B11" s="291"/>
      <c r="C11" s="291"/>
      <c r="D11" s="291"/>
      <c r="E11" s="291"/>
      <c r="F11" s="291"/>
      <c r="G11" s="291"/>
      <c r="H11" s="291"/>
      <c r="I11" s="291"/>
      <c r="J11" s="291"/>
      <c r="K11" s="291"/>
      <c r="L11" s="291"/>
      <c r="M11" s="291"/>
      <c r="N11" s="291"/>
      <c r="O11" s="291"/>
      <c r="P11" s="291"/>
      <c r="Q11" s="291"/>
    </row>
    <row r="12" spans="2:17" x14ac:dyDescent="0.3">
      <c r="B12" s="291"/>
      <c r="C12" s="291"/>
      <c r="D12" s="178" t="s">
        <v>455</v>
      </c>
      <c r="E12" s="178" t="s">
        <v>457</v>
      </c>
      <c r="F12" s="178" t="s">
        <v>106</v>
      </c>
      <c r="G12" s="178"/>
      <c r="H12" s="178" t="s">
        <v>460</v>
      </c>
      <c r="I12" s="291"/>
      <c r="J12" s="291"/>
      <c r="K12" s="291"/>
      <c r="L12" s="291"/>
      <c r="M12" s="291"/>
      <c r="N12" s="291"/>
      <c r="O12" s="291"/>
      <c r="P12" s="291"/>
      <c r="Q12" s="291"/>
    </row>
    <row r="13" spans="2:17" x14ac:dyDescent="0.3">
      <c r="B13" s="292" t="s">
        <v>453</v>
      </c>
      <c r="C13" s="292" t="s">
        <v>454</v>
      </c>
      <c r="D13" s="178" t="s">
        <v>456</v>
      </c>
      <c r="E13" s="178" t="s">
        <v>458</v>
      </c>
      <c r="F13" s="178" t="s">
        <v>97</v>
      </c>
      <c r="G13" s="178" t="s">
        <v>459</v>
      </c>
      <c r="H13" s="178" t="s">
        <v>97</v>
      </c>
      <c r="I13" s="291"/>
      <c r="J13" s="291"/>
      <c r="K13" s="178" t="s">
        <v>463</v>
      </c>
      <c r="L13" s="178" t="s">
        <v>10</v>
      </c>
      <c r="M13" s="178" t="s">
        <v>464</v>
      </c>
      <c r="N13" s="291"/>
      <c r="O13" s="178" t="s">
        <v>466</v>
      </c>
      <c r="P13" s="178" t="s">
        <v>467</v>
      </c>
      <c r="Q13" s="293" t="s">
        <v>468</v>
      </c>
    </row>
    <row r="14" spans="2:17" x14ac:dyDescent="0.3">
      <c r="B14" s="241" t="s">
        <v>214</v>
      </c>
      <c r="C14" s="241"/>
      <c r="D14" s="297">
        <f>Data!D4</f>
        <v>2737.8</v>
      </c>
      <c r="E14" s="297">
        <f>Data!E4</f>
        <v>95.92</v>
      </c>
      <c r="F14" s="297">
        <f>D14*E14</f>
        <v>262609.77600000001</v>
      </c>
      <c r="G14" s="297">
        <f>Data!F4-Data!G4</f>
        <v>2855.25</v>
      </c>
      <c r="H14" s="297">
        <f>G14+F14</f>
        <v>265465.02600000001</v>
      </c>
      <c r="I14" s="297"/>
      <c r="J14" s="297"/>
      <c r="K14" s="297">
        <f>Data!I4</f>
        <v>35583.54</v>
      </c>
      <c r="L14" s="297">
        <f>Data!L4</f>
        <v>7589.12</v>
      </c>
      <c r="M14" s="297">
        <f>Data!K4</f>
        <v>4394.6899999999996</v>
      </c>
      <c r="N14" s="297"/>
      <c r="O14" s="298">
        <f>H14/K14</f>
        <v>7.4603321086097676</v>
      </c>
      <c r="P14" s="298">
        <f>H14/L14</f>
        <v>34.979684864648341</v>
      </c>
      <c r="Q14" s="298">
        <f>F14/M14</f>
        <v>59.756154814105216</v>
      </c>
    </row>
    <row r="15" spans="2:17" x14ac:dyDescent="0.3">
      <c r="B15" s="220" t="s">
        <v>216</v>
      </c>
      <c r="C15" s="220"/>
      <c r="D15" s="221">
        <f>Data!D5</f>
        <v>519.45000000000005</v>
      </c>
      <c r="E15" s="221">
        <f>Data!E5</f>
        <v>116.6</v>
      </c>
      <c r="F15" s="221">
        <f t="shared" ref="F15:F20" si="0">D15*E15</f>
        <v>60567.87</v>
      </c>
      <c r="G15" s="221">
        <f>Data!F5-Data!G5</f>
        <v>329.82</v>
      </c>
      <c r="H15" s="221">
        <f t="shared" ref="H15:H20" si="1">G15+F15</f>
        <v>60897.69</v>
      </c>
      <c r="I15" s="221"/>
      <c r="J15" s="221"/>
      <c r="K15" s="221">
        <f>Data!I5</f>
        <v>11880.25</v>
      </c>
      <c r="L15" s="221">
        <f>Data!L5</f>
        <v>1991.05</v>
      </c>
      <c r="M15" s="221">
        <f>Data!K5</f>
        <v>1128.02</v>
      </c>
      <c r="N15" s="221"/>
      <c r="O15" s="306">
        <f t="shared" ref="O15:O20" si="2">H15/K15</f>
        <v>5.1259603122829906</v>
      </c>
      <c r="P15" s="306">
        <f t="shared" ref="P15:P20" si="3">H15/L15</f>
        <v>30.585716079455565</v>
      </c>
      <c r="Q15" s="306">
        <f t="shared" ref="Q15:Q20" si="4">F15/M15</f>
        <v>53.693968192053333</v>
      </c>
    </row>
    <row r="16" spans="2:17" x14ac:dyDescent="0.3">
      <c r="B16" s="220" t="s">
        <v>217</v>
      </c>
      <c r="C16" s="220"/>
      <c r="D16" s="221">
        <f>Data!D6</f>
        <v>211.83</v>
      </c>
      <c r="E16" s="221">
        <f>Data!E6</f>
        <v>80.87</v>
      </c>
      <c r="F16" s="221">
        <f t="shared" si="0"/>
        <v>17130.6921</v>
      </c>
      <c r="G16" s="221">
        <f>Data!F6-Data!G6</f>
        <v>76.950000000000017</v>
      </c>
      <c r="H16" s="221">
        <f t="shared" si="1"/>
        <v>17207.642100000001</v>
      </c>
      <c r="I16" s="221"/>
      <c r="J16" s="221"/>
      <c r="K16" s="221">
        <f>Data!I6</f>
        <v>8051.91</v>
      </c>
      <c r="L16" s="221">
        <f>Data!L6</f>
        <v>1049.22</v>
      </c>
      <c r="M16" s="221">
        <f>Data!K6</f>
        <v>575.84</v>
      </c>
      <c r="N16" s="221"/>
      <c r="O16" s="306">
        <f t="shared" si="2"/>
        <v>2.1370882312395447</v>
      </c>
      <c r="P16" s="306">
        <f t="shared" si="3"/>
        <v>16.400413735918111</v>
      </c>
      <c r="Q16" s="306">
        <f t="shared" si="4"/>
        <v>29.749048520422338</v>
      </c>
    </row>
    <row r="17" spans="2:17" x14ac:dyDescent="0.3">
      <c r="B17" s="220" t="s">
        <v>351</v>
      </c>
      <c r="C17" s="220"/>
      <c r="D17" s="221">
        <f>Data!D7</f>
        <v>3276.6</v>
      </c>
      <c r="E17" s="221">
        <f>Data!E7</f>
        <v>4.55</v>
      </c>
      <c r="F17" s="221">
        <f t="shared" si="0"/>
        <v>14908.529999999999</v>
      </c>
      <c r="G17" s="221">
        <f>Data!F7-Data!G7</f>
        <v>-244.6</v>
      </c>
      <c r="H17" s="221">
        <f t="shared" si="1"/>
        <v>14663.929999999998</v>
      </c>
      <c r="I17" s="221"/>
      <c r="J17" s="221"/>
      <c r="K17" s="221">
        <f>Data!I7</f>
        <v>3599.2</v>
      </c>
      <c r="L17" s="221">
        <f>Data!L7</f>
        <v>521.20000000000005</v>
      </c>
      <c r="M17" s="221">
        <f>Data!K7</f>
        <v>1973.8</v>
      </c>
      <c r="N17" s="221"/>
      <c r="O17" s="306">
        <f t="shared" si="2"/>
        <v>4.0742192709490999</v>
      </c>
      <c r="P17" s="306">
        <f t="shared" si="3"/>
        <v>28.134938603223326</v>
      </c>
      <c r="Q17" s="306">
        <f t="shared" si="4"/>
        <v>7.5532120782247434</v>
      </c>
    </row>
    <row r="18" spans="2:17" x14ac:dyDescent="0.3">
      <c r="B18" s="220" t="s">
        <v>218</v>
      </c>
      <c r="C18" s="220"/>
      <c r="D18" s="221">
        <f>Data!D8</f>
        <v>1065.9000000000001</v>
      </c>
      <c r="E18" s="221">
        <f>Data!E8</f>
        <v>4.7699999999999996</v>
      </c>
      <c r="F18" s="221">
        <f t="shared" si="0"/>
        <v>5084.3429999999998</v>
      </c>
      <c r="G18" s="221">
        <f>Data!F8-Data!G8</f>
        <v>-10.18</v>
      </c>
      <c r="H18" s="221">
        <f t="shared" si="1"/>
        <v>5074.1629999999996</v>
      </c>
      <c r="I18" s="221"/>
      <c r="J18" s="221"/>
      <c r="K18" s="221">
        <f>Data!I8</f>
        <v>1330.12</v>
      </c>
      <c r="L18" s="221">
        <f>Data!L8</f>
        <v>258.94</v>
      </c>
      <c r="M18" s="221">
        <f>Data!K8</f>
        <v>145.38999999999999</v>
      </c>
      <c r="N18" s="221"/>
      <c r="O18" s="306">
        <f t="shared" si="2"/>
        <v>3.8148159564550568</v>
      </c>
      <c r="P18" s="306">
        <f t="shared" si="3"/>
        <v>19.595902525681623</v>
      </c>
      <c r="Q18" s="306">
        <f t="shared" si="4"/>
        <v>34.970376229451823</v>
      </c>
    </row>
    <row r="19" spans="2:17" x14ac:dyDescent="0.3">
      <c r="B19" s="220" t="s">
        <v>474</v>
      </c>
      <c r="C19" s="220"/>
      <c r="D19" s="221">
        <f>Data!D9</f>
        <v>402.45</v>
      </c>
      <c r="E19" s="221">
        <f>Data!E9</f>
        <v>5.68</v>
      </c>
      <c r="F19" s="221">
        <f t="shared" si="0"/>
        <v>2285.9159999999997</v>
      </c>
      <c r="G19" s="221">
        <f>Data!F9-Data!G9</f>
        <v>-25.659999999999997</v>
      </c>
      <c r="H19" s="221">
        <f t="shared" si="1"/>
        <v>2260.2559999999999</v>
      </c>
      <c r="I19" s="221"/>
      <c r="J19" s="221"/>
      <c r="K19" s="221">
        <f>Data!I9</f>
        <v>492.48</v>
      </c>
      <c r="L19" s="221">
        <f>Data!L9</f>
        <v>102.75</v>
      </c>
      <c r="M19" s="221">
        <f>Data!K9</f>
        <v>65.05</v>
      </c>
      <c r="N19" s="221"/>
      <c r="O19" s="306">
        <f t="shared" si="2"/>
        <v>4.5895386614684854</v>
      </c>
      <c r="P19" s="306">
        <f t="shared" si="3"/>
        <v>21.997625304136253</v>
      </c>
      <c r="Q19" s="306">
        <f t="shared" si="4"/>
        <v>35.14090699461952</v>
      </c>
    </row>
    <row r="20" spans="2:17" x14ac:dyDescent="0.3">
      <c r="B20" s="220" t="s">
        <v>475</v>
      </c>
      <c r="C20" s="220"/>
      <c r="D20" s="221">
        <f>Data!D10</f>
        <v>51.82</v>
      </c>
      <c r="E20" s="221">
        <f>Data!E10</f>
        <v>8.3699999999999992</v>
      </c>
      <c r="F20" s="221">
        <f t="shared" si="0"/>
        <v>433.73339999999996</v>
      </c>
      <c r="G20" s="221">
        <f>Data!F10-Data!G10</f>
        <v>117.66999999999999</v>
      </c>
      <c r="H20" s="221">
        <f t="shared" si="1"/>
        <v>551.40339999999992</v>
      </c>
      <c r="I20" s="221"/>
      <c r="J20" s="221"/>
      <c r="K20" s="221">
        <f>Data!I10</f>
        <v>575.63</v>
      </c>
      <c r="L20" s="221">
        <f>Data!L10</f>
        <v>-15.88</v>
      </c>
      <c r="M20" s="221">
        <f>Data!K10</f>
        <v>-64.95</v>
      </c>
      <c r="N20" s="221"/>
      <c r="O20" s="306">
        <f t="shared" si="2"/>
        <v>0.95791289543630442</v>
      </c>
      <c r="P20" s="306">
        <f t="shared" si="3"/>
        <v>-34.723136020151124</v>
      </c>
      <c r="Q20" s="306">
        <f t="shared" si="4"/>
        <v>-6.6779584295612002</v>
      </c>
    </row>
    <row r="22" spans="2:17" x14ac:dyDescent="0.3">
      <c r="B22" s="302" t="s">
        <v>479</v>
      </c>
      <c r="C22" s="302"/>
      <c r="D22" s="302"/>
      <c r="E22" s="302"/>
      <c r="F22" s="302"/>
      <c r="G22" s="302"/>
      <c r="H22" s="302"/>
      <c r="I22" s="302"/>
      <c r="J22" s="302"/>
      <c r="K22" s="302"/>
      <c r="L22" s="302"/>
      <c r="M22" s="302"/>
      <c r="N22" s="302"/>
      <c r="O22" s="303">
        <f>MAX(O14:O20)</f>
        <v>7.4603321086097676</v>
      </c>
      <c r="P22" s="303">
        <f t="shared" ref="P22:Q22" si="5">MAX(P14:P20)</f>
        <v>34.979684864648341</v>
      </c>
      <c r="Q22" s="303">
        <f t="shared" si="5"/>
        <v>59.756154814105216</v>
      </c>
    </row>
    <row r="23" spans="2:17" x14ac:dyDescent="0.3">
      <c r="B23" s="302" t="s">
        <v>480</v>
      </c>
      <c r="C23" s="302"/>
      <c r="D23" s="302"/>
      <c r="E23" s="302"/>
      <c r="F23" s="302"/>
      <c r="G23" s="302"/>
      <c r="H23" s="302"/>
      <c r="I23" s="302"/>
      <c r="J23" s="302"/>
      <c r="K23" s="302"/>
      <c r="L23" s="302"/>
      <c r="M23" s="302"/>
      <c r="N23" s="302"/>
      <c r="O23" s="303">
        <f>QUARTILE(O14:O20,3)</f>
        <v>4.857749486875738</v>
      </c>
      <c r="P23" s="303">
        <f>QUARTILE(P14:P20,3)</f>
        <v>29.360327341339445</v>
      </c>
      <c r="Q23" s="303">
        <f t="shared" ref="Q23" si="6">QUARTILE(Q14:Q20,3)</f>
        <v>44.41743759333643</v>
      </c>
    </row>
    <row r="24" spans="2:17" x14ac:dyDescent="0.3">
      <c r="B24" s="304" t="s">
        <v>219</v>
      </c>
      <c r="C24" s="304"/>
      <c r="D24" s="304"/>
      <c r="E24" s="304"/>
      <c r="F24" s="304"/>
      <c r="G24" s="304"/>
      <c r="H24" s="304"/>
      <c r="I24" s="304"/>
      <c r="J24" s="304"/>
      <c r="K24" s="304"/>
      <c r="L24" s="304"/>
      <c r="M24" s="304"/>
      <c r="N24" s="304"/>
      <c r="O24" s="305">
        <f>AVERAGE(O14:O20)</f>
        <v>4.0228382052058924</v>
      </c>
      <c r="P24" s="305">
        <f t="shared" ref="P24:Q24" si="7">AVERAGE(P14:P20)</f>
        <v>16.710163584701728</v>
      </c>
      <c r="Q24" s="305">
        <f t="shared" si="7"/>
        <v>30.597958342759398</v>
      </c>
    </row>
    <row r="25" spans="2:17" x14ac:dyDescent="0.3">
      <c r="B25" s="304" t="s">
        <v>220</v>
      </c>
      <c r="C25" s="304"/>
      <c r="D25" s="304"/>
      <c r="E25" s="304"/>
      <c r="F25" s="304"/>
      <c r="G25" s="304"/>
      <c r="H25" s="304"/>
      <c r="I25" s="304"/>
      <c r="J25" s="304"/>
      <c r="K25" s="304"/>
      <c r="L25" s="304"/>
      <c r="M25" s="304"/>
      <c r="N25" s="304"/>
      <c r="O25" s="305">
        <f>MEDIAN(O14:O20)</f>
        <v>4.0742192709490999</v>
      </c>
      <c r="P25" s="305">
        <f t="shared" ref="P25:Q25" si="8">MEDIAN(P14:P20)</f>
        <v>21.997625304136253</v>
      </c>
      <c r="Q25" s="305">
        <f t="shared" si="8"/>
        <v>34.970376229451823</v>
      </c>
    </row>
    <row r="26" spans="2:17" x14ac:dyDescent="0.3">
      <c r="B26" s="302" t="s">
        <v>481</v>
      </c>
      <c r="C26" s="302"/>
      <c r="D26" s="302"/>
      <c r="E26" s="302"/>
      <c r="F26" s="302"/>
      <c r="G26" s="302"/>
      <c r="H26" s="302"/>
      <c r="I26" s="302"/>
      <c r="J26" s="302"/>
      <c r="K26" s="302"/>
      <c r="L26" s="302"/>
      <c r="M26" s="302"/>
      <c r="N26" s="302"/>
      <c r="O26" s="303">
        <f>QUARTILE(O14:O20,1)</f>
        <v>2.975952093847301</v>
      </c>
      <c r="P26" s="303">
        <f t="shared" ref="P26:Q26" si="9">QUARTILE(P14:P20,1)</f>
        <v>17.998158130799865</v>
      </c>
      <c r="Q26" s="303">
        <f t="shared" si="9"/>
        <v>18.65113029932354</v>
      </c>
    </row>
    <row r="27" spans="2:17" x14ac:dyDescent="0.3">
      <c r="B27" s="302" t="s">
        <v>482</v>
      </c>
      <c r="C27" s="302"/>
      <c r="D27" s="302"/>
      <c r="E27" s="302"/>
      <c r="F27" s="302"/>
      <c r="G27" s="302"/>
      <c r="H27" s="302"/>
      <c r="I27" s="302"/>
      <c r="J27" s="302"/>
      <c r="K27" s="302"/>
      <c r="L27" s="302"/>
      <c r="M27" s="302"/>
      <c r="N27" s="302"/>
      <c r="O27" s="303">
        <f>MIN(O14:O20)</f>
        <v>0.95791289543630442</v>
      </c>
      <c r="P27" s="303">
        <f t="shared" ref="P27:Q27" si="10">MIN(P14:P20)</f>
        <v>-34.723136020151124</v>
      </c>
      <c r="Q27" s="303">
        <f t="shared" si="10"/>
        <v>-6.6779584295612002</v>
      </c>
    </row>
    <row r="29" spans="2:17" ht="18" x14ac:dyDescent="0.35">
      <c r="B29" s="294" t="s">
        <v>483</v>
      </c>
      <c r="C29" s="292"/>
      <c r="D29" s="292"/>
      <c r="E29" s="292"/>
      <c r="F29" s="292"/>
      <c r="G29" s="292"/>
      <c r="H29" s="292"/>
      <c r="I29" s="292"/>
      <c r="J29" s="292"/>
      <c r="K29" s="292"/>
      <c r="L29" s="292"/>
      <c r="M29" s="292"/>
      <c r="N29" s="292"/>
      <c r="O29" s="295" t="s">
        <v>466</v>
      </c>
      <c r="P29" s="295" t="s">
        <v>467</v>
      </c>
      <c r="Q29" s="296" t="s">
        <v>468</v>
      </c>
    </row>
    <row r="31" spans="2:17" x14ac:dyDescent="0.3">
      <c r="B31" s="86" t="s">
        <v>484</v>
      </c>
      <c r="C31" s="86"/>
      <c r="D31" s="86"/>
      <c r="E31" s="86"/>
      <c r="F31" s="86"/>
      <c r="G31" s="86"/>
      <c r="H31" s="86"/>
      <c r="I31" s="86"/>
      <c r="J31" s="86"/>
      <c r="K31" s="86"/>
      <c r="L31" s="86"/>
      <c r="M31" s="86"/>
      <c r="N31" s="86"/>
      <c r="O31" s="88">
        <f>O25*K14</f>
        <v>144975.14439658815</v>
      </c>
      <c r="P31" s="88">
        <f>P25*L14</f>
        <v>166942.61814812652</v>
      </c>
      <c r="Q31" s="88">
        <f>Q32+Q33</f>
        <v>156539.21271180961</v>
      </c>
    </row>
    <row r="32" spans="2:17" x14ac:dyDescent="0.3">
      <c r="B32" s="86" t="s">
        <v>485</v>
      </c>
      <c r="C32" s="86"/>
      <c r="D32" s="86"/>
      <c r="E32" s="86"/>
      <c r="F32" s="86"/>
      <c r="G32" s="86"/>
      <c r="H32" s="86"/>
      <c r="I32" s="86"/>
      <c r="J32" s="86"/>
      <c r="K32" s="86"/>
      <c r="L32" s="86"/>
      <c r="M32" s="86"/>
      <c r="N32" s="86"/>
      <c r="O32" s="88">
        <f>$G$14</f>
        <v>2855.25</v>
      </c>
      <c r="P32" s="88">
        <f t="shared" ref="P32:Q32" si="11">$G$14</f>
        <v>2855.25</v>
      </c>
      <c r="Q32" s="88">
        <f t="shared" si="11"/>
        <v>2855.25</v>
      </c>
    </row>
    <row r="33" spans="2:17" x14ac:dyDescent="0.3">
      <c r="B33" s="86" t="s">
        <v>486</v>
      </c>
      <c r="C33" s="86"/>
      <c r="D33" s="86"/>
      <c r="E33" s="86"/>
      <c r="F33" s="86"/>
      <c r="G33" s="86"/>
      <c r="H33" s="86"/>
      <c r="I33" s="86"/>
      <c r="J33" s="86"/>
      <c r="K33" s="86"/>
      <c r="L33" s="86"/>
      <c r="M33" s="86"/>
      <c r="N33" s="86"/>
      <c r="O33" s="88">
        <f>O31-O32</f>
        <v>142119.89439658815</v>
      </c>
      <c r="P33" s="88">
        <f t="shared" ref="P33" si="12">P31-P32</f>
        <v>164087.36814812652</v>
      </c>
      <c r="Q33" s="88">
        <f>Q25*M14</f>
        <v>153683.96271180961</v>
      </c>
    </row>
    <row r="34" spans="2:17" ht="15" thickBot="1" x14ac:dyDescent="0.35">
      <c r="B34" t="s">
        <v>487</v>
      </c>
      <c r="O34" s="3">
        <f>$E$14</f>
        <v>95.92</v>
      </c>
      <c r="P34" s="3">
        <f t="shared" ref="P34:Q34" si="13">$E$14</f>
        <v>95.92</v>
      </c>
      <c r="Q34" s="3">
        <f t="shared" si="13"/>
        <v>95.92</v>
      </c>
    </row>
    <row r="35" spans="2:17" ht="15" thickBot="1" x14ac:dyDescent="0.35">
      <c r="B35" s="299" t="s">
        <v>488</v>
      </c>
      <c r="C35" s="299"/>
      <c r="D35" s="299"/>
      <c r="E35" s="299"/>
      <c r="F35" s="299"/>
      <c r="G35" s="299"/>
      <c r="H35" s="299"/>
      <c r="I35" s="299"/>
      <c r="J35" s="299"/>
      <c r="K35" s="299"/>
      <c r="L35" s="299"/>
      <c r="M35" s="299"/>
      <c r="N35" s="299"/>
      <c r="O35" s="300">
        <f>O33/O34</f>
        <v>1481.650275193788</v>
      </c>
      <c r="P35" s="300">
        <f t="shared" ref="P35:Q35" si="14">P33/P34</f>
        <v>1710.6689756893925</v>
      </c>
      <c r="Q35" s="300">
        <f t="shared" si="14"/>
        <v>1602.2097864033528</v>
      </c>
    </row>
    <row r="36" spans="2:17" ht="15.6" thickTop="1" thickBot="1" x14ac:dyDescent="0.35"/>
    <row r="37" spans="2:17" ht="15.6" thickTop="1" thickBot="1" x14ac:dyDescent="0.35">
      <c r="O37" s="301" t="str">
        <f>IF(O35&gt;$D$14,"Undervalued","Overvalued")</f>
        <v>Overvalued</v>
      </c>
      <c r="P37" s="301" t="str">
        <f t="shared" ref="P37:Q37" si="15">IF(P35&gt;$D$14,"Undervalued","Overvalued")</f>
        <v>Overvalued</v>
      </c>
      <c r="Q37" s="301" t="str">
        <f t="shared" si="15"/>
        <v>Overvalued</v>
      </c>
    </row>
    <row r="38" spans="2:17" ht="15" thickTop="1" x14ac:dyDescent="0.3"/>
    <row r="39" spans="2:17" ht="9.6" customHeight="1" x14ac:dyDescent="0.3">
      <c r="B39" s="155"/>
      <c r="C39" s="155"/>
      <c r="D39" s="155"/>
      <c r="E39" s="155"/>
      <c r="F39" s="155"/>
      <c r="G39" s="155"/>
      <c r="H39" s="155"/>
      <c r="I39" s="155"/>
      <c r="J39" s="155"/>
      <c r="K39" s="155"/>
      <c r="L39" s="155"/>
      <c r="M39" s="155"/>
      <c r="N39" s="155"/>
      <c r="O39" s="155"/>
      <c r="P39" s="155"/>
      <c r="Q39" s="155"/>
    </row>
  </sheetData>
  <mergeCells count="3">
    <mergeCell ref="D10:I10"/>
    <mergeCell ref="K10:M10"/>
    <mergeCell ref="O10:Q10"/>
  </mergeCells>
  <phoneticPr fontId="47" type="noConversion"/>
  <pageMargins left="0.7" right="0.7" top="0.75" bottom="0.75" header="0.3" footer="0.3"/>
  <pageSetup paperSize="9" scale="48"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0FCB-8E64-4E00-B05B-B4169D65EB1B}">
  <dimension ref="B1:L41"/>
  <sheetViews>
    <sheetView showGridLines="0" zoomScaleNormal="100" workbookViewId="0">
      <selection activeCell="O43" sqref="O43"/>
    </sheetView>
  </sheetViews>
  <sheetFormatPr defaultRowHeight="14.4" x14ac:dyDescent="0.3"/>
  <cols>
    <col min="1" max="1" width="1.88671875" customWidth="1"/>
    <col min="2" max="2" width="8.5546875" bestFit="1" customWidth="1"/>
    <col min="4" max="4" width="10.77734375" customWidth="1"/>
    <col min="5" max="5" width="10.5546875" customWidth="1"/>
    <col min="6" max="6" width="12.21875" customWidth="1"/>
    <col min="7" max="7" width="11.5546875" customWidth="1"/>
  </cols>
  <sheetData>
    <row r="1" spans="2:12" x14ac:dyDescent="0.3">
      <c r="B1" s="154"/>
      <c r="C1" s="154"/>
      <c r="D1" s="154"/>
      <c r="E1" s="154"/>
      <c r="F1" s="154"/>
      <c r="G1" s="154"/>
      <c r="H1" s="154"/>
      <c r="I1" s="154"/>
      <c r="J1" s="154"/>
      <c r="K1" s="154"/>
      <c r="L1" s="154"/>
    </row>
    <row r="2" spans="2:12" ht="46.2" x14ac:dyDescent="0.85">
      <c r="B2" s="157" t="str">
        <f>'Data Sheet'!B1</f>
        <v>ASIAN PAINTS LTD</v>
      </c>
      <c r="J2" s="157"/>
    </row>
    <row r="3" spans="2:12" x14ac:dyDescent="0.3">
      <c r="B3" t="s">
        <v>629</v>
      </c>
    </row>
    <row r="4" spans="2:12" ht="21" x14ac:dyDescent="0.4">
      <c r="B4" s="156" t="str">
        <f>CONCATENATE("INR "&amp;'Data Sheet'!B8)</f>
        <v>INR 2645.2</v>
      </c>
      <c r="J4" s="156"/>
    </row>
    <row r="5" spans="2:12" x14ac:dyDescent="0.3">
      <c r="B5" t="s">
        <v>630</v>
      </c>
    </row>
    <row r="6" spans="2:12" ht="15" thickBot="1" x14ac:dyDescent="0.35">
      <c r="B6" s="148"/>
      <c r="C6" s="148"/>
      <c r="D6" s="148"/>
      <c r="E6" s="148"/>
      <c r="F6" s="148"/>
      <c r="G6" s="148"/>
      <c r="H6" s="148"/>
      <c r="I6" s="148"/>
      <c r="J6" s="148"/>
      <c r="K6" s="148"/>
      <c r="L6" s="148"/>
    </row>
    <row r="9" spans="2:12" ht="18" x14ac:dyDescent="0.35">
      <c r="B9" s="236" t="str">
        <f>"Footbal Field Valuation Summary"&amp;" - "&amp;'Data Sheet'!B1</f>
        <v>Footbal Field Valuation Summary - ASIAN PAINTS LTD</v>
      </c>
      <c r="C9" s="236"/>
      <c r="D9" s="236"/>
      <c r="E9" s="236"/>
      <c r="F9" s="236"/>
      <c r="G9" s="236"/>
      <c r="H9" s="236"/>
      <c r="I9" s="236"/>
    </row>
    <row r="10" spans="2:12" ht="15" thickBot="1" x14ac:dyDescent="0.35"/>
    <row r="11" spans="2:12" x14ac:dyDescent="0.3">
      <c r="B11" s="346" t="s">
        <v>494</v>
      </c>
      <c r="C11" s="347"/>
      <c r="D11" s="347"/>
      <c r="E11" s="347"/>
      <c r="F11" s="347"/>
      <c r="G11" s="348"/>
    </row>
    <row r="12" spans="2:12" x14ac:dyDescent="0.3">
      <c r="B12" s="113"/>
      <c r="D12" s="110" t="s">
        <v>545</v>
      </c>
      <c r="E12" s="110" t="s">
        <v>482</v>
      </c>
      <c r="F12" s="110" t="s">
        <v>546</v>
      </c>
      <c r="G12" s="114" t="s">
        <v>479</v>
      </c>
    </row>
    <row r="13" spans="2:12" x14ac:dyDescent="0.3">
      <c r="B13" s="113" t="s">
        <v>489</v>
      </c>
      <c r="D13" s="115">
        <f>E13</f>
        <v>1481.650275193788</v>
      </c>
      <c r="E13" s="115">
        <f>Comp_Valuation!O35</f>
        <v>1481.650275193788</v>
      </c>
      <c r="F13" s="115">
        <f>G13</f>
        <v>1602.2097864033528</v>
      </c>
      <c r="G13" s="116">
        <f>Comp_Valuation!Q35</f>
        <v>1602.2097864033528</v>
      </c>
    </row>
    <row r="14" spans="2:12" x14ac:dyDescent="0.3">
      <c r="B14" s="113" t="s">
        <v>490</v>
      </c>
      <c r="D14" s="115">
        <f>E14</f>
        <v>309.0958263714769</v>
      </c>
      <c r="E14" s="115">
        <f>DCF!M33</f>
        <v>309.0958263714769</v>
      </c>
      <c r="F14" s="115">
        <f>G14</f>
        <v>400.29543748695079</v>
      </c>
      <c r="G14" s="116">
        <f>DCF!M37</f>
        <v>400.29543748695079</v>
      </c>
    </row>
    <row r="15" spans="2:12" x14ac:dyDescent="0.3">
      <c r="B15" s="113" t="s">
        <v>491</v>
      </c>
      <c r="D15" s="115">
        <f>E15</f>
        <v>370.08957903589766</v>
      </c>
      <c r="E15" s="115">
        <f>DCF!J33</f>
        <v>370.08957903589766</v>
      </c>
      <c r="F15" s="115">
        <f>G15</f>
        <v>560.14261107865048</v>
      </c>
      <c r="G15" s="116">
        <f>DCF!J37</f>
        <v>560.14261107865048</v>
      </c>
    </row>
    <row r="16" spans="2:12" x14ac:dyDescent="0.3">
      <c r="B16" s="113" t="s">
        <v>492</v>
      </c>
      <c r="D16" s="115">
        <f>E16</f>
        <v>449.54520392435279</v>
      </c>
      <c r="E16" s="115">
        <f>DCF!H33</f>
        <v>449.54520392435279</v>
      </c>
      <c r="F16" s="115">
        <f>G16</f>
        <v>887.17740208244436</v>
      </c>
      <c r="G16" s="116">
        <f>DCF!H37</f>
        <v>887.17740208244436</v>
      </c>
    </row>
    <row r="17" spans="2:7" ht="15" thickBot="1" x14ac:dyDescent="0.35">
      <c r="B17" s="117" t="s">
        <v>493</v>
      </c>
      <c r="C17" s="59"/>
      <c r="D17" s="118">
        <f>E17</f>
        <v>2115</v>
      </c>
      <c r="E17" s="59">
        <v>2115</v>
      </c>
      <c r="F17" s="119">
        <f>G17</f>
        <v>2985.7</v>
      </c>
      <c r="G17" s="120">
        <v>2985.7</v>
      </c>
    </row>
    <row r="41" spans="2:12" ht="10.199999999999999" customHeight="1" x14ac:dyDescent="0.3">
      <c r="B41" s="155"/>
      <c r="C41" s="155"/>
      <c r="D41" s="155"/>
      <c r="E41" s="155"/>
      <c r="F41" s="155"/>
      <c r="G41" s="155"/>
      <c r="H41" s="155"/>
      <c r="I41" s="155"/>
      <c r="J41" s="155"/>
      <c r="K41" s="155"/>
      <c r="L41" s="155"/>
    </row>
  </sheetData>
  <mergeCells count="1">
    <mergeCell ref="B11:G11"/>
  </mergeCells>
  <pageMargins left="0.7" right="0.7" top="0.75" bottom="0.75" header="0.3" footer="0.3"/>
  <pageSetup scale="83"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EC6C-7CF3-40F6-8B8C-5898CD38E041}">
  <dimension ref="B2:K63"/>
  <sheetViews>
    <sheetView showGridLines="0" topLeftCell="A16" zoomScaleNormal="100" workbookViewId="0">
      <selection activeCell="O43" sqref="O43"/>
    </sheetView>
  </sheetViews>
  <sheetFormatPr defaultRowHeight="14.4" x14ac:dyDescent="0.3"/>
  <cols>
    <col min="1" max="1" width="1.88671875" customWidth="1"/>
    <col min="2" max="2" width="10.88671875" customWidth="1"/>
    <col min="3" max="3" width="11.5546875" customWidth="1"/>
    <col min="4" max="4" width="14.88671875" customWidth="1"/>
    <col min="5" max="5" width="15.44140625" customWidth="1"/>
    <col min="6" max="6" width="3.109375" customWidth="1"/>
    <col min="7" max="7" width="11.21875" customWidth="1"/>
    <col min="8" max="8" width="11.6640625" customWidth="1"/>
    <col min="9" max="9" width="9.6640625" customWidth="1"/>
    <col min="10" max="10" width="14.6640625" customWidth="1"/>
    <col min="11" max="11" width="12.44140625" customWidth="1"/>
  </cols>
  <sheetData>
    <row r="2" spans="2:11" x14ac:dyDescent="0.3">
      <c r="B2" s="179" t="s">
        <v>243</v>
      </c>
      <c r="C2" s="180" t="s">
        <v>350</v>
      </c>
      <c r="D2" s="180" t="s">
        <v>547</v>
      </c>
      <c r="E2" s="180" t="s">
        <v>548</v>
      </c>
      <c r="G2" s="349" t="str">
        <f>"Calculation of VAR (Historical Approch)"&amp;" - "&amp;'Data Sheet'!B1</f>
        <v>Calculation of VAR (Historical Approch) - ASIAN PAINTS LTD</v>
      </c>
      <c r="H2" s="349"/>
      <c r="I2" s="349"/>
      <c r="J2" s="349"/>
      <c r="K2" s="349"/>
    </row>
    <row r="3" spans="2:11" x14ac:dyDescent="0.3">
      <c r="B3" s="109" t="s">
        <v>324</v>
      </c>
      <c r="C3" s="110">
        <v>3201.28</v>
      </c>
      <c r="D3" s="121">
        <f t="shared" ref="D3:D34" si="0">(C3-C4)/C4</f>
        <v>0.12338227450099674</v>
      </c>
      <c r="E3" s="121">
        <v>0.23692283914841014</v>
      </c>
    </row>
    <row r="4" spans="2:11" x14ac:dyDescent="0.3">
      <c r="B4" s="109" t="s">
        <v>274</v>
      </c>
      <c r="C4" s="110">
        <v>2849.68</v>
      </c>
      <c r="D4" s="121">
        <f t="shared" si="0"/>
        <v>0.17586766083343308</v>
      </c>
      <c r="E4" s="121">
        <v>0.14660486375999857</v>
      </c>
      <c r="G4" s="220" t="s">
        <v>428</v>
      </c>
      <c r="H4" s="220"/>
      <c r="I4" s="220"/>
      <c r="J4" s="220"/>
      <c r="K4" s="307">
        <f>AVERAGE(E3:E62)</f>
        <v>7.961291880774731E-4</v>
      </c>
    </row>
    <row r="5" spans="2:11" x14ac:dyDescent="0.3">
      <c r="B5" s="109" t="s">
        <v>258</v>
      </c>
      <c r="C5" s="110">
        <v>2423.4699999999998</v>
      </c>
      <c r="D5" s="121">
        <f t="shared" si="0"/>
        <v>-0.21072463768115948</v>
      </c>
      <c r="E5" s="121">
        <v>0.12899123256528985</v>
      </c>
      <c r="G5" s="220" t="s">
        <v>549</v>
      </c>
      <c r="H5" s="220"/>
      <c r="I5" s="220"/>
      <c r="J5" s="220"/>
      <c r="K5" s="307">
        <f>STDEV(E3:E62)</f>
        <v>7.3156734832917597E-2</v>
      </c>
    </row>
    <row r="6" spans="2:11" x14ac:dyDescent="0.3">
      <c r="B6" s="109" t="s">
        <v>314</v>
      </c>
      <c r="C6" s="110">
        <v>3070.5</v>
      </c>
      <c r="D6" s="121">
        <f t="shared" si="0"/>
        <v>0.15928294734616522</v>
      </c>
      <c r="E6" s="121">
        <v>0.10012755102040818</v>
      </c>
      <c r="G6" s="220" t="s">
        <v>550</v>
      </c>
      <c r="H6" s="220"/>
      <c r="I6" s="220"/>
      <c r="J6" s="220"/>
      <c r="K6" s="307">
        <f>MAX(E3:E62)</f>
        <v>0.23692283914841014</v>
      </c>
    </row>
    <row r="7" spans="2:11" x14ac:dyDescent="0.3">
      <c r="B7" s="109" t="s">
        <v>256</v>
      </c>
      <c r="C7" s="110">
        <v>2648.62</v>
      </c>
      <c r="D7" s="121">
        <f t="shared" si="0"/>
        <v>-0.19725652076400385</v>
      </c>
      <c r="E7" s="121">
        <v>9.2903976529521759E-2</v>
      </c>
      <c r="G7" s="220" t="s">
        <v>551</v>
      </c>
      <c r="H7" s="220"/>
      <c r="I7" s="220"/>
      <c r="J7" s="220"/>
      <c r="K7" s="307">
        <f>MIN(E3:E62)</f>
        <v>-0.15390155060065333</v>
      </c>
    </row>
    <row r="8" spans="2:11" x14ac:dyDescent="0.3">
      <c r="B8" s="109" t="s">
        <v>307</v>
      </c>
      <c r="C8" s="110">
        <v>3299.46</v>
      </c>
      <c r="D8" s="121">
        <f t="shared" si="0"/>
        <v>2.1533107733652079E-2</v>
      </c>
      <c r="E8" s="121">
        <v>9.0550322260783356E-2</v>
      </c>
      <c r="G8" s="220" t="s">
        <v>552</v>
      </c>
      <c r="H8" s="220"/>
      <c r="I8" s="220"/>
      <c r="J8" s="220"/>
      <c r="K8" s="308">
        <v>2752</v>
      </c>
    </row>
    <row r="9" spans="2:11" x14ac:dyDescent="0.3">
      <c r="B9" s="109" t="s">
        <v>331</v>
      </c>
      <c r="C9" s="110">
        <v>3229.91</v>
      </c>
      <c r="D9" s="121">
        <f t="shared" si="0"/>
        <v>0.40692680292021682</v>
      </c>
      <c r="E9" s="121">
        <v>7.6120129004744325E-2</v>
      </c>
    </row>
    <row r="10" spans="2:11" x14ac:dyDescent="0.3">
      <c r="B10" s="109" t="s">
        <v>292</v>
      </c>
      <c r="C10" s="110">
        <v>2295.7199999999998</v>
      </c>
      <c r="D10" s="121">
        <f t="shared" si="0"/>
        <v>-7.6287962918256139E-2</v>
      </c>
      <c r="E10" s="121">
        <v>7.3815081083862255E-2</v>
      </c>
      <c r="G10" s="179" t="s">
        <v>553</v>
      </c>
      <c r="H10" s="180" t="s">
        <v>554</v>
      </c>
      <c r="I10" s="180" t="s">
        <v>555</v>
      </c>
      <c r="J10" s="180" t="s">
        <v>556</v>
      </c>
      <c r="K10" s="180" t="s">
        <v>557</v>
      </c>
    </row>
    <row r="11" spans="2:11" x14ac:dyDescent="0.3">
      <c r="B11" s="109" t="s">
        <v>276</v>
      </c>
      <c r="C11" s="110">
        <v>2485.3200000000002</v>
      </c>
      <c r="D11" s="121">
        <f t="shared" si="0"/>
        <v>-0.23754068738284639</v>
      </c>
      <c r="E11" s="121">
        <v>6.8421776661966638E-2</v>
      </c>
    </row>
    <row r="12" spans="2:11" x14ac:dyDescent="0.3">
      <c r="B12" s="109" t="s">
        <v>298</v>
      </c>
      <c r="C12" s="110">
        <v>3259.61</v>
      </c>
      <c r="D12" s="121">
        <f t="shared" si="0"/>
        <v>1.5239733919161925E-3</v>
      </c>
      <c r="E12" s="121">
        <v>6.4699676305637999E-2</v>
      </c>
      <c r="G12" s="309">
        <v>0.05</v>
      </c>
      <c r="H12" s="310">
        <f>100%-G12</f>
        <v>0.95</v>
      </c>
      <c r="I12" s="311">
        <f>_xlfn.PERCENTILE.INC(E3:E62,G12)</f>
        <v>-0.11843666254986263</v>
      </c>
      <c r="J12" s="312">
        <f>$K$8*(1-G12)</f>
        <v>2614.4</v>
      </c>
      <c r="K12" s="312">
        <f>$K$8-J12</f>
        <v>137.59999999999991</v>
      </c>
    </row>
    <row r="13" spans="2:11" x14ac:dyDescent="0.3">
      <c r="B13" s="109" t="s">
        <v>313</v>
      </c>
      <c r="C13" s="110">
        <v>3254.65</v>
      </c>
      <c r="D13" s="121">
        <f t="shared" si="0"/>
        <v>7.7673696305052498E-2</v>
      </c>
      <c r="E13" s="121">
        <v>5.9973945611463964E-2</v>
      </c>
      <c r="G13" s="309">
        <v>0.01</v>
      </c>
      <c r="H13" s="310">
        <f t="shared" ref="H13:H14" si="1">100%-G13</f>
        <v>0.99</v>
      </c>
      <c r="I13" s="311">
        <f>_xlfn.PERCENTILE.INC(E4:E63,G13)</f>
        <v>-0.14042014276906806</v>
      </c>
      <c r="J13" s="312">
        <f t="shared" ref="J13:J14" si="2">$K$8*(1-G13)</f>
        <v>2724.48</v>
      </c>
      <c r="K13" s="312">
        <f t="shared" ref="K13:K14" si="3">$K$8-J13</f>
        <v>27.519999999999982</v>
      </c>
    </row>
    <row r="14" spans="2:11" x14ac:dyDescent="0.3">
      <c r="B14" s="109" t="s">
        <v>300</v>
      </c>
      <c r="C14" s="110">
        <v>3020.07</v>
      </c>
      <c r="D14" s="121">
        <f t="shared" si="0"/>
        <v>0.2113956799903732</v>
      </c>
      <c r="E14" s="121">
        <v>5.7388241555095067E-2</v>
      </c>
      <c r="G14" s="309">
        <v>5.0000000000000001E-3</v>
      </c>
      <c r="H14" s="310">
        <f t="shared" si="1"/>
        <v>0.995</v>
      </c>
      <c r="I14" s="311">
        <f>_xlfn.PERCENTILE.INC(E5:E64,G14)</f>
        <v>-0.14727706571789159</v>
      </c>
      <c r="J14" s="312">
        <f t="shared" si="2"/>
        <v>2738.24</v>
      </c>
      <c r="K14" s="312">
        <f t="shared" si="3"/>
        <v>13.760000000000218</v>
      </c>
    </row>
    <row r="15" spans="2:11" x14ac:dyDescent="0.3">
      <c r="B15" s="109" t="s">
        <v>278</v>
      </c>
      <c r="C15" s="110">
        <v>2493.0500000000002</v>
      </c>
      <c r="D15" s="121">
        <f t="shared" si="0"/>
        <v>-0.19338609274094398</v>
      </c>
      <c r="E15" s="121">
        <v>5.1125942853288114E-2</v>
      </c>
    </row>
    <row r="16" spans="2:11" x14ac:dyDescent="0.3">
      <c r="B16" s="109" t="s">
        <v>327</v>
      </c>
      <c r="C16" s="110">
        <v>3090.76</v>
      </c>
      <c r="D16" s="121">
        <f t="shared" si="0"/>
        <v>0.10738649392341215</v>
      </c>
      <c r="E16" s="121">
        <v>5.1057260033598471E-2</v>
      </c>
    </row>
    <row r="17" spans="2:5" x14ac:dyDescent="0.3">
      <c r="B17" s="109" t="s">
        <v>315</v>
      </c>
      <c r="C17" s="110">
        <v>2791.04</v>
      </c>
      <c r="D17" s="121">
        <f t="shared" si="0"/>
        <v>0.20441020993807585</v>
      </c>
      <c r="E17" s="121">
        <v>5.0946252268670951E-2</v>
      </c>
    </row>
    <row r="18" spans="2:5" x14ac:dyDescent="0.3">
      <c r="B18" s="109" t="s">
        <v>288</v>
      </c>
      <c r="C18" s="110">
        <v>2317.35</v>
      </c>
      <c r="D18" s="121">
        <f t="shared" si="0"/>
        <v>-0.23406048587010414</v>
      </c>
      <c r="E18" s="121">
        <v>4.5858268569417049E-2</v>
      </c>
    </row>
    <row r="19" spans="2:5" x14ac:dyDescent="0.3">
      <c r="B19" s="109" t="s">
        <v>308</v>
      </c>
      <c r="C19" s="110">
        <v>3025.5</v>
      </c>
      <c r="D19" s="121">
        <f t="shared" si="0"/>
        <v>0.10238659136454728</v>
      </c>
      <c r="E19" s="121">
        <v>4.3275862068965519E-2</v>
      </c>
    </row>
    <row r="20" spans="2:5" x14ac:dyDescent="0.3">
      <c r="B20" s="109" t="s">
        <v>250</v>
      </c>
      <c r="C20" s="110">
        <v>2744.5</v>
      </c>
      <c r="D20" s="121">
        <f t="shared" si="0"/>
        <v>8.8923688844286339E-3</v>
      </c>
      <c r="E20" s="121">
        <v>4.1279356527677731E-2</v>
      </c>
    </row>
    <row r="21" spans="2:5" x14ac:dyDescent="0.3">
      <c r="B21" s="109" t="s">
        <v>317</v>
      </c>
      <c r="C21" s="110">
        <v>2720.31</v>
      </c>
      <c r="D21" s="121">
        <f t="shared" si="0"/>
        <v>0.14340055650361058</v>
      </c>
      <c r="E21" s="121">
        <v>3.7767375854057705E-2</v>
      </c>
    </row>
    <row r="22" spans="2:5" x14ac:dyDescent="0.3">
      <c r="B22" s="109" t="s">
        <v>291</v>
      </c>
      <c r="C22" s="110">
        <v>2379.14</v>
      </c>
      <c r="D22" s="121">
        <f t="shared" si="0"/>
        <v>3.098925284278924E-3</v>
      </c>
      <c r="E22" s="121">
        <v>3.6337183977140107E-2</v>
      </c>
    </row>
    <row r="23" spans="2:5" x14ac:dyDescent="0.3">
      <c r="B23" s="109" t="s">
        <v>286</v>
      </c>
      <c r="C23" s="110">
        <v>2371.79</v>
      </c>
      <c r="D23" s="121">
        <f t="shared" si="0"/>
        <v>-0.1695878382163464</v>
      </c>
      <c r="E23" s="121">
        <v>2.3492351176990982E-2</v>
      </c>
    </row>
    <row r="24" spans="2:5" x14ac:dyDescent="0.3">
      <c r="B24" s="109" t="s">
        <v>301</v>
      </c>
      <c r="C24" s="110">
        <v>2856.16</v>
      </c>
      <c r="D24" s="121">
        <f t="shared" si="0"/>
        <v>-6.4590715862421391E-2</v>
      </c>
      <c r="E24" s="121">
        <v>2.2236697530090818E-2</v>
      </c>
    </row>
    <row r="25" spans="2:5" x14ac:dyDescent="0.3">
      <c r="B25" s="109" t="s">
        <v>320</v>
      </c>
      <c r="C25" s="110">
        <v>3053.38</v>
      </c>
      <c r="D25" s="121">
        <f t="shared" si="0"/>
        <v>-6.2468719583152886E-2</v>
      </c>
      <c r="E25" s="121">
        <v>2.1703050339298424E-2</v>
      </c>
    </row>
    <row r="26" spans="2:5" x14ac:dyDescent="0.3">
      <c r="B26" s="109" t="s">
        <v>323</v>
      </c>
      <c r="C26" s="110">
        <v>3256.83</v>
      </c>
      <c r="D26" s="121">
        <f t="shared" si="0"/>
        <v>8.5089157204541771E-2</v>
      </c>
      <c r="E26" s="121">
        <v>1.7352434026389359E-2</v>
      </c>
    </row>
    <row r="27" spans="2:5" x14ac:dyDescent="0.3">
      <c r="B27" s="109" t="s">
        <v>332</v>
      </c>
      <c r="C27" s="110">
        <v>3001.44</v>
      </c>
      <c r="D27" s="121">
        <f t="shared" si="0"/>
        <v>-1.9627441181370147E-2</v>
      </c>
      <c r="E27" s="121">
        <v>1.4047961727919538E-2</v>
      </c>
    </row>
    <row r="28" spans="2:5" x14ac:dyDescent="0.3">
      <c r="B28" s="109" t="s">
        <v>299</v>
      </c>
      <c r="C28" s="110">
        <v>3061.53</v>
      </c>
      <c r="D28" s="121">
        <f t="shared" si="0"/>
        <v>-1.0561661942789867E-2</v>
      </c>
      <c r="E28" s="121">
        <v>1.3728158618839971E-2</v>
      </c>
    </row>
    <row r="29" spans="2:5" x14ac:dyDescent="0.3">
      <c r="B29" s="109" t="s">
        <v>334</v>
      </c>
      <c r="C29" s="110">
        <v>3094.21</v>
      </c>
      <c r="D29" s="121">
        <f t="shared" si="0"/>
        <v>0.1094772472202203</v>
      </c>
      <c r="E29" s="121">
        <v>1.3524756626442869E-2</v>
      </c>
    </row>
    <row r="30" spans="2:5" x14ac:dyDescent="0.3">
      <c r="B30" s="109" t="s">
        <v>303</v>
      </c>
      <c r="C30" s="110">
        <v>2788.89</v>
      </c>
      <c r="D30" s="121">
        <f t="shared" si="0"/>
        <v>1.0240453231520449E-2</v>
      </c>
      <c r="E30" s="121">
        <v>1.0240453231520449E-2</v>
      </c>
    </row>
    <row r="31" spans="2:5" x14ac:dyDescent="0.3">
      <c r="B31" s="109" t="s">
        <v>304</v>
      </c>
      <c r="C31" s="110">
        <v>2760.62</v>
      </c>
      <c r="D31" s="121">
        <f t="shared" si="0"/>
        <v>0.2233320334656835</v>
      </c>
      <c r="E31" s="121">
        <v>8.8068057240582604E-3</v>
      </c>
    </row>
    <row r="32" spans="2:5" x14ac:dyDescent="0.3">
      <c r="B32" s="109" t="s">
        <v>294</v>
      </c>
      <c r="C32" s="110">
        <v>2256.64</v>
      </c>
      <c r="D32" s="121">
        <f t="shared" si="0"/>
        <v>-0.25548740857068397</v>
      </c>
      <c r="E32" s="121">
        <v>8.527145640787253E-3</v>
      </c>
    </row>
    <row r="33" spans="2:5" x14ac:dyDescent="0.3">
      <c r="B33" s="109" t="s">
        <v>329</v>
      </c>
      <c r="C33" s="110">
        <v>3031.03</v>
      </c>
      <c r="D33" s="121">
        <f t="shared" si="0"/>
        <v>-7.2926415983067483E-2</v>
      </c>
      <c r="E33" s="121">
        <v>7.1038160583456909E-3</v>
      </c>
    </row>
    <row r="34" spans="2:5" x14ac:dyDescent="0.3">
      <c r="B34" s="109" t="s">
        <v>312</v>
      </c>
      <c r="C34" s="110">
        <v>3269.46</v>
      </c>
      <c r="D34" s="121">
        <f t="shared" si="0"/>
        <v>0.17015923236328881</v>
      </c>
      <c r="E34" s="121">
        <v>4.5504124867497102E-3</v>
      </c>
    </row>
    <row r="35" spans="2:5" x14ac:dyDescent="0.3">
      <c r="B35" s="109" t="s">
        <v>302</v>
      </c>
      <c r="C35" s="110">
        <v>2794.03</v>
      </c>
      <c r="D35" s="121">
        <f t="shared" ref="D35:D62" si="4">(C35-C36)/C36</f>
        <v>2.053838848710644E-2</v>
      </c>
      <c r="E35" s="121">
        <v>1.8430271541725661E-3</v>
      </c>
    </row>
    <row r="36" spans="2:5" x14ac:dyDescent="0.3">
      <c r="B36" s="109" t="s">
        <v>248</v>
      </c>
      <c r="C36" s="110">
        <v>2737.8</v>
      </c>
      <c r="D36" s="121">
        <f t="shared" si="4"/>
        <v>3.8737337329741765E-2</v>
      </c>
      <c r="E36" s="121">
        <v>-2.4412461286208117E-3</v>
      </c>
    </row>
    <row r="37" spans="2:5" x14ac:dyDescent="0.3">
      <c r="B37" s="109" t="s">
        <v>253</v>
      </c>
      <c r="C37" s="110">
        <v>2635.7</v>
      </c>
      <c r="D37" s="121">
        <f t="shared" si="4"/>
        <v>-0.17881500359854571</v>
      </c>
      <c r="E37" s="121">
        <v>-4.8780119458435231E-3</v>
      </c>
    </row>
    <row r="38" spans="2:5" x14ac:dyDescent="0.3">
      <c r="B38" s="109" t="s">
        <v>322</v>
      </c>
      <c r="C38" s="110">
        <v>3209.63</v>
      </c>
      <c r="D38" s="121">
        <f t="shared" si="4"/>
        <v>0.36246052229429138</v>
      </c>
      <c r="E38" s="121">
        <v>-1.4492620124476814E-2</v>
      </c>
    </row>
    <row r="39" spans="2:5" x14ac:dyDescent="0.3">
      <c r="B39" s="109" t="s">
        <v>263</v>
      </c>
      <c r="C39" s="110">
        <v>2355.7600000000002</v>
      </c>
      <c r="D39" s="121">
        <f t="shared" si="4"/>
        <v>-0.11295533448304412</v>
      </c>
      <c r="E39" s="121">
        <v>-2.1454592279669702E-2</v>
      </c>
    </row>
    <row r="40" spans="2:5" x14ac:dyDescent="0.3">
      <c r="B40" s="109" t="s">
        <v>316</v>
      </c>
      <c r="C40" s="110">
        <v>2655.74</v>
      </c>
      <c r="D40" s="121">
        <f t="shared" si="4"/>
        <v>-0.10565486213074352</v>
      </c>
      <c r="E40" s="121">
        <v>-2.3736265352110666E-2</v>
      </c>
    </row>
    <row r="41" spans="2:5" x14ac:dyDescent="0.3">
      <c r="B41" s="109" t="s">
        <v>319</v>
      </c>
      <c r="C41" s="110">
        <v>2969.48</v>
      </c>
      <c r="D41" s="121">
        <f t="shared" si="4"/>
        <v>-2.9603897950046941E-2</v>
      </c>
      <c r="E41" s="121">
        <v>-2.7477745973314847E-2</v>
      </c>
    </row>
    <row r="42" spans="2:5" x14ac:dyDescent="0.3">
      <c r="B42" s="109" t="s">
        <v>310</v>
      </c>
      <c r="C42" s="110">
        <v>3060.07</v>
      </c>
      <c r="D42" s="121">
        <f t="shared" si="4"/>
        <v>4.0620685433684148E-2</v>
      </c>
      <c r="E42" s="121">
        <v>-2.9190248978452248E-2</v>
      </c>
    </row>
    <row r="43" spans="2:5" x14ac:dyDescent="0.3">
      <c r="B43" s="109" t="s">
        <v>328</v>
      </c>
      <c r="C43" s="110">
        <v>2940.62</v>
      </c>
      <c r="D43" s="121">
        <f t="shared" si="4"/>
        <v>-6.7085860764955221E-2</v>
      </c>
      <c r="E43" s="121">
        <v>-2.9828144228199755E-2</v>
      </c>
    </row>
    <row r="44" spans="2:5" x14ac:dyDescent="0.3">
      <c r="B44" s="109" t="s">
        <v>311</v>
      </c>
      <c r="C44" s="110">
        <v>3152.08</v>
      </c>
      <c r="D44" s="121">
        <f t="shared" si="4"/>
        <v>0.14801433524664204</v>
      </c>
      <c r="E44" s="121">
        <v>-3.590195322775018E-2</v>
      </c>
    </row>
    <row r="45" spans="2:5" x14ac:dyDescent="0.3">
      <c r="B45" s="109" t="s">
        <v>272</v>
      </c>
      <c r="C45" s="110">
        <v>2745.68</v>
      </c>
      <c r="D45" s="121">
        <f t="shared" si="4"/>
        <v>-7.2361530612934488E-2</v>
      </c>
      <c r="E45" s="121">
        <v>-3.6495325790966003E-2</v>
      </c>
    </row>
    <row r="46" spans="2:5" x14ac:dyDescent="0.3">
      <c r="B46" s="109" t="s">
        <v>333</v>
      </c>
      <c r="C46" s="110">
        <v>2959.86</v>
      </c>
      <c r="D46" s="121">
        <f t="shared" si="4"/>
        <v>8.1614605411252303E-2</v>
      </c>
      <c r="E46" s="121">
        <v>-4.3419806671169674E-2</v>
      </c>
    </row>
    <row r="47" spans="2:5" x14ac:dyDescent="0.3">
      <c r="B47" s="109" t="s">
        <v>305</v>
      </c>
      <c r="C47" s="110">
        <v>2736.52</v>
      </c>
      <c r="D47" s="121">
        <f t="shared" si="4"/>
        <v>5.7347088597813095E-2</v>
      </c>
      <c r="E47" s="121">
        <v>-4.5963547114030369E-2</v>
      </c>
    </row>
    <row r="48" spans="2:5" x14ac:dyDescent="0.3">
      <c r="B48" s="109" t="s">
        <v>325</v>
      </c>
      <c r="C48" s="110">
        <v>2588.1</v>
      </c>
      <c r="D48" s="121">
        <f t="shared" si="4"/>
        <v>-0.10755172413793107</v>
      </c>
      <c r="E48" s="121">
        <v>-5.2078716912855434E-2</v>
      </c>
    </row>
    <row r="49" spans="2:5" x14ac:dyDescent="0.3">
      <c r="B49" s="109" t="s">
        <v>309</v>
      </c>
      <c r="C49" s="110">
        <v>2900</v>
      </c>
      <c r="D49" s="121">
        <f t="shared" si="4"/>
        <v>0.35646495876814283</v>
      </c>
      <c r="E49" s="121">
        <v>-5.2309260899260523E-2</v>
      </c>
    </row>
    <row r="50" spans="2:5" x14ac:dyDescent="0.3">
      <c r="B50" s="109" t="s">
        <v>293</v>
      </c>
      <c r="C50" s="110">
        <v>2137.91</v>
      </c>
      <c r="D50" s="121">
        <f t="shared" si="4"/>
        <v>-8.0927365271520446E-2</v>
      </c>
      <c r="E50" s="121">
        <v>-5.2613620249574597E-2</v>
      </c>
    </row>
    <row r="51" spans="2:5" x14ac:dyDescent="0.3">
      <c r="B51" s="109" t="s">
        <v>277</v>
      </c>
      <c r="C51" s="110">
        <v>2326.16</v>
      </c>
      <c r="D51" s="121">
        <f t="shared" si="4"/>
        <v>-0.22709949661920828</v>
      </c>
      <c r="E51" s="121">
        <v>-6.6942099035318309E-2</v>
      </c>
    </row>
    <row r="52" spans="2:5" x14ac:dyDescent="0.3">
      <c r="B52" s="109" t="s">
        <v>330</v>
      </c>
      <c r="C52" s="110">
        <v>3009.65</v>
      </c>
      <c r="D52" s="121">
        <f t="shared" si="4"/>
        <v>0.3583046747362057</v>
      </c>
      <c r="E52" s="121">
        <v>-6.8193850602648307E-2</v>
      </c>
    </row>
    <row r="53" spans="2:5" x14ac:dyDescent="0.3">
      <c r="B53" s="109" t="s">
        <v>290</v>
      </c>
      <c r="C53" s="110">
        <v>2215.7399999999998</v>
      </c>
      <c r="D53" s="121">
        <f t="shared" si="4"/>
        <v>-0.25858284368182249</v>
      </c>
      <c r="E53" s="121">
        <v>-6.8680279428701169E-2</v>
      </c>
    </row>
    <row r="54" spans="2:5" x14ac:dyDescent="0.3">
      <c r="B54" s="109" t="s">
        <v>321</v>
      </c>
      <c r="C54" s="110">
        <v>2988.52</v>
      </c>
      <c r="D54" s="121">
        <f t="shared" si="4"/>
        <v>0.33561558125815621</v>
      </c>
      <c r="E54" s="121">
        <v>-6.8889560478933742E-2</v>
      </c>
    </row>
    <row r="55" spans="2:5" x14ac:dyDescent="0.3">
      <c r="B55" s="109" t="s">
        <v>295</v>
      </c>
      <c r="C55" s="110">
        <v>2237.56</v>
      </c>
      <c r="D55" s="121">
        <f t="shared" si="4"/>
        <v>4.2383698720755814E-2</v>
      </c>
      <c r="E55" s="121">
        <v>-7.9950657894736862E-2</v>
      </c>
    </row>
    <row r="56" spans="2:5" x14ac:dyDescent="0.3">
      <c r="B56" s="109" t="s">
        <v>261</v>
      </c>
      <c r="C56" s="110">
        <v>2146.58</v>
      </c>
      <c r="D56" s="121">
        <f t="shared" si="4"/>
        <v>-0.21379047646953256</v>
      </c>
      <c r="E56" s="121">
        <v>-8.8795123442116458E-2</v>
      </c>
    </row>
    <row r="57" spans="2:5" x14ac:dyDescent="0.3">
      <c r="B57" s="109" t="s">
        <v>326</v>
      </c>
      <c r="C57" s="110">
        <v>2730.29</v>
      </c>
      <c r="D57" s="121">
        <f t="shared" si="4"/>
        <v>4.1574632531062722E-2</v>
      </c>
      <c r="E57" s="121">
        <v>-0.11662827265785769</v>
      </c>
    </row>
    <row r="58" spans="2:5" x14ac:dyDescent="0.3">
      <c r="B58" s="109" t="s">
        <v>318</v>
      </c>
      <c r="C58" s="110">
        <v>2621.31</v>
      </c>
      <c r="D58" s="121">
        <f t="shared" si="4"/>
        <v>-8.8040161844160622E-2</v>
      </c>
      <c r="E58" s="121">
        <v>-0.11724948475827419</v>
      </c>
    </row>
    <row r="59" spans="2:5" x14ac:dyDescent="0.3">
      <c r="B59" s="109" t="s">
        <v>297</v>
      </c>
      <c r="C59" s="110">
        <v>2874.37</v>
      </c>
      <c r="D59" s="121">
        <f t="shared" si="4"/>
        <v>0.19396779111160961</v>
      </c>
      <c r="E59" s="121">
        <v>-0.11818591794723915</v>
      </c>
    </row>
    <row r="60" spans="2:5" x14ac:dyDescent="0.3">
      <c r="B60" s="109" t="s">
        <v>265</v>
      </c>
      <c r="C60" s="110">
        <v>2407.41</v>
      </c>
      <c r="D60" s="121">
        <f t="shared" si="4"/>
        <v>-0.1607015855750325</v>
      </c>
      <c r="E60" s="121">
        <v>-0.12320080999970863</v>
      </c>
    </row>
    <row r="61" spans="2:5" x14ac:dyDescent="0.3">
      <c r="B61" s="109" t="s">
        <v>306</v>
      </c>
      <c r="C61" s="110">
        <v>2868.36</v>
      </c>
      <c r="D61" s="121">
        <f t="shared" si="4"/>
        <v>0.1794243421052632</v>
      </c>
      <c r="E61" s="121">
        <v>-0.1306577439944718</v>
      </c>
    </row>
    <row r="62" spans="2:5" x14ac:dyDescent="0.3">
      <c r="B62" s="109" t="s">
        <v>296</v>
      </c>
      <c r="C62" s="110">
        <v>2432</v>
      </c>
      <c r="D62" s="121" t="e">
        <f t="shared" si="4"/>
        <v>#DIV/0!</v>
      </c>
      <c r="E62" s="121">
        <v>-0.15390155060065333</v>
      </c>
    </row>
    <row r="63" spans="2:5" x14ac:dyDescent="0.3">
      <c r="B63" s="109"/>
      <c r="C63" s="110"/>
    </row>
  </sheetData>
  <mergeCells count="1">
    <mergeCell ref="G2:K2"/>
  </mergeCells>
  <pageMargins left="0.7" right="0.7" top="0.75" bottom="0.75" header="0.3" footer="0.3"/>
  <pageSetup scale="62" orientation="portrait" r:id="rId1"/>
  <ignoredErrors>
    <ignoredError sqref="I13:I14" formulaRange="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6E92-9FAC-49B1-97A7-B0772F343546}">
  <dimension ref="B2:M62"/>
  <sheetViews>
    <sheetView showGridLines="0" topLeftCell="A16" zoomScaleNormal="100" workbookViewId="0">
      <selection activeCell="O43" sqref="O43"/>
    </sheetView>
  </sheetViews>
  <sheetFormatPr defaultRowHeight="14.4" x14ac:dyDescent="0.3"/>
  <cols>
    <col min="1" max="1" width="1.88671875" customWidth="1"/>
    <col min="2" max="2" width="10.88671875" customWidth="1"/>
    <col min="3" max="3" width="11.5546875" customWidth="1"/>
    <col min="4" max="4" width="14.88671875" customWidth="1"/>
    <col min="5" max="7" width="15.44140625" customWidth="1"/>
    <col min="8" max="8" width="4.109375" customWidth="1"/>
    <col min="9" max="9" width="9.5546875" customWidth="1"/>
    <col min="10" max="10" width="12.77734375" customWidth="1"/>
    <col min="11" max="11" width="11.5546875" customWidth="1"/>
    <col min="12" max="12" width="12" customWidth="1"/>
    <col min="13" max="13" width="12.77734375" customWidth="1"/>
  </cols>
  <sheetData>
    <row r="2" spans="2:13" x14ac:dyDescent="0.3">
      <c r="B2" s="179" t="s">
        <v>243</v>
      </c>
      <c r="C2" s="180" t="s">
        <v>350</v>
      </c>
      <c r="D2" s="180" t="s">
        <v>547</v>
      </c>
      <c r="E2" s="180" t="s">
        <v>548</v>
      </c>
      <c r="F2" s="180" t="s">
        <v>558</v>
      </c>
      <c r="G2" s="180" t="s">
        <v>559</v>
      </c>
      <c r="I2" s="349" t="str">
        <f>"Calculation of VAR (Monte Carlo Simulation)"&amp;" - "&amp;'Data Sheet'!B1</f>
        <v>Calculation of VAR (Monte Carlo Simulation) - ASIAN PAINTS LTD</v>
      </c>
      <c r="J2" s="349"/>
      <c r="K2" s="349"/>
      <c r="L2" s="349"/>
      <c r="M2" s="349"/>
    </row>
    <row r="3" spans="2:13" x14ac:dyDescent="0.3">
      <c r="B3" s="109" t="s">
        <v>324</v>
      </c>
      <c r="C3" s="110">
        <v>3201.28</v>
      </c>
      <c r="D3" s="121">
        <f t="shared" ref="D3:D34" si="0">(C3-C4)/C4</f>
        <v>0.12338227450099674</v>
      </c>
      <c r="E3" s="121">
        <v>0.23692283914841014</v>
      </c>
      <c r="F3">
        <v>1</v>
      </c>
      <c r="G3" s="121">
        <f ca="1">_xlfn.NORM.INV(RAND(),'VAR Historical Approach'!K$4,'VAR Historical Approach'!K$5)</f>
        <v>-6.1158306976851796E-2</v>
      </c>
    </row>
    <row r="4" spans="2:13" x14ac:dyDescent="0.3">
      <c r="B4" s="109" t="s">
        <v>274</v>
      </c>
      <c r="C4" s="110">
        <v>2849.68</v>
      </c>
      <c r="D4" s="121">
        <f t="shared" si="0"/>
        <v>0.17586766083343308</v>
      </c>
      <c r="E4" s="121">
        <v>0.14660486375999857</v>
      </c>
      <c r="F4">
        <v>2</v>
      </c>
      <c r="G4" s="121">
        <f ca="1">_xlfn.NORM.INV(RAND(),'VAR Historical Approach'!K$4,'VAR Historical Approach'!K$5)</f>
        <v>-5.9200368252601908E-2</v>
      </c>
      <c r="I4" s="313" t="s">
        <v>428</v>
      </c>
      <c r="J4" s="220"/>
      <c r="K4" s="220"/>
      <c r="L4" s="220"/>
      <c r="M4" s="307">
        <f ca="1">AVERAGE(G3:G62)</f>
        <v>1.7369751205036543E-3</v>
      </c>
    </row>
    <row r="5" spans="2:13" x14ac:dyDescent="0.3">
      <c r="B5" s="109" t="s">
        <v>258</v>
      </c>
      <c r="C5" s="110">
        <v>2423.4699999999998</v>
      </c>
      <c r="D5" s="121">
        <f t="shared" si="0"/>
        <v>-0.21072463768115948</v>
      </c>
      <c r="E5" s="121">
        <v>0.12899123256528985</v>
      </c>
      <c r="F5">
        <v>3</v>
      </c>
      <c r="G5" s="121">
        <f ca="1">_xlfn.NORM.INV(RAND(),'VAR Historical Approach'!K$4,'VAR Historical Approach'!K$5)</f>
        <v>3.1735213125555807E-2</v>
      </c>
      <c r="I5" s="313" t="s">
        <v>549</v>
      </c>
      <c r="J5" s="220"/>
      <c r="K5" s="220"/>
      <c r="L5" s="220"/>
      <c r="M5" s="307">
        <f ca="1">STDEV(G3:G62)</f>
        <v>7.7907867320468727E-2</v>
      </c>
    </row>
    <row r="6" spans="2:13" x14ac:dyDescent="0.3">
      <c r="B6" s="109" t="s">
        <v>314</v>
      </c>
      <c r="C6" s="110">
        <v>3070.5</v>
      </c>
      <c r="D6" s="121">
        <f t="shared" si="0"/>
        <v>0.15928294734616522</v>
      </c>
      <c r="E6" s="121">
        <v>0.10012755102040818</v>
      </c>
      <c r="F6">
        <v>4</v>
      </c>
      <c r="G6" s="121">
        <f ca="1">_xlfn.NORM.INV(RAND(),'VAR Historical Approach'!K$4,'VAR Historical Approach'!K$5)</f>
        <v>7.6746249079238396E-2</v>
      </c>
      <c r="I6" s="313" t="s">
        <v>550</v>
      </c>
      <c r="J6" s="220"/>
      <c r="K6" s="220"/>
      <c r="L6" s="220"/>
      <c r="M6" s="307">
        <f ca="1">MAX(G3:G62)</f>
        <v>0.17581020063505118</v>
      </c>
    </row>
    <row r="7" spans="2:13" x14ac:dyDescent="0.3">
      <c r="B7" s="109" t="s">
        <v>256</v>
      </c>
      <c r="C7" s="110">
        <v>2648.62</v>
      </c>
      <c r="D7" s="121">
        <f t="shared" si="0"/>
        <v>-0.19725652076400385</v>
      </c>
      <c r="E7" s="121">
        <v>9.2903976529521759E-2</v>
      </c>
      <c r="F7">
        <v>5</v>
      </c>
      <c r="G7" s="121">
        <f ca="1">_xlfn.NORM.INV(RAND(),'VAR Historical Approach'!K$4,'VAR Historical Approach'!K$5)</f>
        <v>-1.484547484792878E-2</v>
      </c>
      <c r="I7" s="313" t="s">
        <v>551</v>
      </c>
      <c r="J7" s="220"/>
      <c r="K7" s="220"/>
      <c r="L7" s="220"/>
      <c r="M7" s="307">
        <f ca="1">MIN(G3:G62)</f>
        <v>-0.21162356764758961</v>
      </c>
    </row>
    <row r="8" spans="2:13" x14ac:dyDescent="0.3">
      <c r="B8" s="109" t="s">
        <v>307</v>
      </c>
      <c r="C8" s="110">
        <v>3299.46</v>
      </c>
      <c r="D8" s="121">
        <f t="shared" si="0"/>
        <v>2.1533107733652079E-2</v>
      </c>
      <c r="E8" s="121">
        <v>9.0550322260783356E-2</v>
      </c>
      <c r="F8">
        <v>6</v>
      </c>
      <c r="G8" s="121">
        <f ca="1">_xlfn.NORM.INV(RAND(),'VAR Historical Approach'!K$4,'VAR Historical Approach'!K$5)</f>
        <v>-4.6963691748424657E-2</v>
      </c>
      <c r="I8" s="313" t="s">
        <v>552</v>
      </c>
      <c r="J8" s="220"/>
      <c r="K8" s="220"/>
      <c r="L8" s="220"/>
      <c r="M8" s="314">
        <v>2752</v>
      </c>
    </row>
    <row r="9" spans="2:13" x14ac:dyDescent="0.3">
      <c r="B9" s="109" t="s">
        <v>331</v>
      </c>
      <c r="C9" s="110">
        <v>3229.91</v>
      </c>
      <c r="D9" s="121">
        <f t="shared" si="0"/>
        <v>0.40692680292021682</v>
      </c>
      <c r="E9" s="121">
        <v>7.6120129004744325E-2</v>
      </c>
      <c r="F9">
        <v>7</v>
      </c>
      <c r="G9" s="121">
        <f ca="1">_xlfn.NORM.INV(RAND(),'VAR Historical Approach'!K$4,'VAR Historical Approach'!K$5)</f>
        <v>-1.6945982445087336E-3</v>
      </c>
    </row>
    <row r="10" spans="2:13" x14ac:dyDescent="0.3">
      <c r="B10" s="109" t="s">
        <v>292</v>
      </c>
      <c r="C10" s="110">
        <v>2295.7199999999998</v>
      </c>
      <c r="D10" s="121">
        <f t="shared" si="0"/>
        <v>-7.6287962918256139E-2</v>
      </c>
      <c r="E10" s="121">
        <v>7.3815081083862255E-2</v>
      </c>
      <c r="F10">
        <v>8</v>
      </c>
      <c r="G10" s="121">
        <f ca="1">_xlfn.NORM.INV(RAND(),'VAR Historical Approach'!K$4,'VAR Historical Approach'!K$5)</f>
        <v>-1.7870643407384857E-2</v>
      </c>
      <c r="I10" s="179" t="s">
        <v>553</v>
      </c>
      <c r="J10" s="180" t="s">
        <v>554</v>
      </c>
      <c r="K10" s="180" t="s">
        <v>555</v>
      </c>
      <c r="L10" s="180" t="s">
        <v>556</v>
      </c>
      <c r="M10" s="180" t="s">
        <v>557</v>
      </c>
    </row>
    <row r="11" spans="2:13" x14ac:dyDescent="0.3">
      <c r="B11" s="109" t="s">
        <v>276</v>
      </c>
      <c r="C11" s="110">
        <v>2485.3200000000002</v>
      </c>
      <c r="D11" s="121">
        <f t="shared" si="0"/>
        <v>-0.23754068738284639</v>
      </c>
      <c r="E11" s="121">
        <v>6.8421776661966638E-2</v>
      </c>
      <c r="F11">
        <v>9</v>
      </c>
      <c r="G11" s="121">
        <f ca="1">_xlfn.NORM.INV(RAND(),'VAR Historical Approach'!K$4,'VAR Historical Approach'!K$5)</f>
        <v>0.12499296996676712</v>
      </c>
    </row>
    <row r="12" spans="2:13" x14ac:dyDescent="0.3">
      <c r="B12" s="109" t="s">
        <v>298</v>
      </c>
      <c r="C12" s="110">
        <v>3259.61</v>
      </c>
      <c r="D12" s="121">
        <f t="shared" si="0"/>
        <v>1.5239733919161925E-3</v>
      </c>
      <c r="E12" s="121">
        <v>6.4699676305637999E-2</v>
      </c>
      <c r="F12">
        <v>10</v>
      </c>
      <c r="G12" s="121">
        <f ca="1">_xlfn.NORM.INV(RAND(),'VAR Historical Approach'!K$4,'VAR Historical Approach'!K$5)</f>
        <v>-4.0082643266965305E-2</v>
      </c>
      <c r="I12" s="315">
        <v>0.05</v>
      </c>
      <c r="J12" s="310">
        <f>100%-I12</f>
        <v>0.95</v>
      </c>
      <c r="K12" s="311">
        <f ca="1">_xlfn.PERCENTILE.INC($G$3:$G$62,I12)</f>
        <v>-0.10042275260603437</v>
      </c>
      <c r="L12" s="312">
        <f>$M$8*(1-I12)</f>
        <v>2614.4</v>
      </c>
      <c r="M12" s="312">
        <f>$M$8-L12</f>
        <v>137.59999999999991</v>
      </c>
    </row>
    <row r="13" spans="2:13" x14ac:dyDescent="0.3">
      <c r="B13" s="109" t="s">
        <v>313</v>
      </c>
      <c r="C13" s="110">
        <v>3254.65</v>
      </c>
      <c r="D13" s="121">
        <f t="shared" si="0"/>
        <v>7.7673696305052498E-2</v>
      </c>
      <c r="E13" s="121">
        <v>5.9973945611463964E-2</v>
      </c>
      <c r="F13">
        <v>11</v>
      </c>
      <c r="G13" s="121">
        <f ca="1">_xlfn.NORM.INV(RAND(),'VAR Historical Approach'!K$4,'VAR Historical Approach'!K$5)</f>
        <v>5.9189808659968562E-2</v>
      </c>
      <c r="I13" s="315">
        <v>0.01</v>
      </c>
      <c r="J13" s="310">
        <f t="shared" ref="J13:J14" si="1">100%-I13</f>
        <v>0.99</v>
      </c>
      <c r="K13" s="311">
        <f t="shared" ref="K13" ca="1" si="2">_xlfn.PERCENTILE.INC($G$3:$G$62,I13)</f>
        <v>-0.15524987503069659</v>
      </c>
      <c r="L13" s="312">
        <f t="shared" ref="L13:L14" si="3">$M$8*(1-I13)</f>
        <v>2724.48</v>
      </c>
      <c r="M13" s="312">
        <f>$M$8-L13</f>
        <v>27.519999999999982</v>
      </c>
    </row>
    <row r="14" spans="2:13" x14ac:dyDescent="0.3">
      <c r="B14" s="109" t="s">
        <v>300</v>
      </c>
      <c r="C14" s="110">
        <v>3020.07</v>
      </c>
      <c r="D14" s="121">
        <f t="shared" si="0"/>
        <v>0.2113956799903732</v>
      </c>
      <c r="E14" s="121">
        <v>5.7388241555095067E-2</v>
      </c>
      <c r="F14">
        <v>12</v>
      </c>
      <c r="G14" s="121">
        <f ca="1">_xlfn.NORM.INV(RAND(),'VAR Historical Approach'!K$4,'VAR Historical Approach'!K$5)</f>
        <v>-2.6599525693945889E-2</v>
      </c>
      <c r="I14" s="315">
        <v>5.0000000000000001E-3</v>
      </c>
      <c r="J14" s="310">
        <f t="shared" si="1"/>
        <v>0.995</v>
      </c>
      <c r="K14" s="311">
        <f ca="1">_xlfn.PERCENTILE.INC($G$3:$G$62,I14)</f>
        <v>-0.1834367213391431</v>
      </c>
      <c r="L14" s="312">
        <f t="shared" si="3"/>
        <v>2738.24</v>
      </c>
      <c r="M14" s="312">
        <f>$M$8-L14</f>
        <v>13.760000000000218</v>
      </c>
    </row>
    <row r="15" spans="2:13" x14ac:dyDescent="0.3">
      <c r="B15" s="109" t="s">
        <v>278</v>
      </c>
      <c r="C15" s="110">
        <v>2493.0500000000002</v>
      </c>
      <c r="D15" s="121">
        <f t="shared" si="0"/>
        <v>-0.19338609274094398</v>
      </c>
      <c r="E15" s="121">
        <v>5.1125942853288114E-2</v>
      </c>
      <c r="F15">
        <v>13</v>
      </c>
      <c r="G15" s="121">
        <f ca="1">_xlfn.NORM.INV(RAND(),'VAR Historical Approach'!K$4,'VAR Historical Approach'!K$5)</f>
        <v>-5.5329475330318817E-2</v>
      </c>
    </row>
    <row r="16" spans="2:13" x14ac:dyDescent="0.3">
      <c r="B16" s="109" t="s">
        <v>327</v>
      </c>
      <c r="C16" s="110">
        <v>3090.76</v>
      </c>
      <c r="D16" s="121">
        <f t="shared" si="0"/>
        <v>0.10738649392341215</v>
      </c>
      <c r="E16" s="121">
        <v>5.1057260033598471E-2</v>
      </c>
      <c r="F16">
        <v>14</v>
      </c>
      <c r="G16" s="121">
        <f ca="1">_xlfn.NORM.INV(RAND(),'VAR Historical Approach'!K$4,'VAR Historical Approach'!K$5)</f>
        <v>7.5114335191022591E-2</v>
      </c>
    </row>
    <row r="17" spans="2:7" x14ac:dyDescent="0.3">
      <c r="B17" s="109" t="s">
        <v>315</v>
      </c>
      <c r="C17" s="110">
        <v>2791.04</v>
      </c>
      <c r="D17" s="121">
        <f t="shared" si="0"/>
        <v>0.20441020993807585</v>
      </c>
      <c r="E17" s="121">
        <v>5.0946252268670951E-2</v>
      </c>
      <c r="F17">
        <v>15</v>
      </c>
      <c r="G17" s="121">
        <f ca="1">_xlfn.NORM.INV(RAND(),'VAR Historical Approach'!K$4,'VAR Historical Approach'!K$5)</f>
        <v>5.8367399806736497E-2</v>
      </c>
    </row>
    <row r="18" spans="2:7" x14ac:dyDescent="0.3">
      <c r="B18" s="109" t="s">
        <v>288</v>
      </c>
      <c r="C18" s="110">
        <v>2317.35</v>
      </c>
      <c r="D18" s="121">
        <f t="shared" si="0"/>
        <v>-0.23406048587010414</v>
      </c>
      <c r="E18" s="121">
        <v>4.5858268569417049E-2</v>
      </c>
      <c r="F18">
        <v>16</v>
      </c>
      <c r="G18" s="121">
        <f ca="1">_xlfn.NORM.INV(RAND(),'VAR Historical Approach'!K$4,'VAR Historical Approach'!K$5)</f>
        <v>5.2857081231035684E-2</v>
      </c>
    </row>
    <row r="19" spans="2:7" x14ac:dyDescent="0.3">
      <c r="B19" s="109" t="s">
        <v>308</v>
      </c>
      <c r="C19" s="110">
        <v>3025.5</v>
      </c>
      <c r="D19" s="121">
        <f t="shared" si="0"/>
        <v>0.10238659136454728</v>
      </c>
      <c r="E19" s="121">
        <v>4.3275862068965519E-2</v>
      </c>
      <c r="F19">
        <v>17</v>
      </c>
      <c r="G19" s="121">
        <f ca="1">_xlfn.NORM.INV(RAND(),'VAR Historical Approach'!K$4,'VAR Historical Approach'!K$5)</f>
        <v>-7.55984045730934E-2</v>
      </c>
    </row>
    <row r="20" spans="2:7" x14ac:dyDescent="0.3">
      <c r="B20" s="109" t="s">
        <v>250</v>
      </c>
      <c r="C20" s="110">
        <v>2744.5</v>
      </c>
      <c r="D20" s="121">
        <f t="shared" si="0"/>
        <v>8.8923688844286339E-3</v>
      </c>
      <c r="E20" s="121">
        <v>4.1279356527677731E-2</v>
      </c>
      <c r="F20">
        <v>18</v>
      </c>
      <c r="G20" s="121">
        <f ca="1">_xlfn.NORM.INV(RAND(),'VAR Historical Approach'!K$4,'VAR Historical Approach'!K$5)</f>
        <v>0.15093471931075556</v>
      </c>
    </row>
    <row r="21" spans="2:7" x14ac:dyDescent="0.3">
      <c r="B21" s="109" t="s">
        <v>317</v>
      </c>
      <c r="C21" s="110">
        <v>2720.31</v>
      </c>
      <c r="D21" s="121">
        <f t="shared" si="0"/>
        <v>0.14340055650361058</v>
      </c>
      <c r="E21" s="121">
        <v>3.7767375854057705E-2</v>
      </c>
      <c r="F21">
        <v>19</v>
      </c>
      <c r="G21" s="121">
        <f ca="1">_xlfn.NORM.INV(RAND(),'VAR Historical Approach'!K$4,'VAR Historical Approach'!K$5)</f>
        <v>5.2384695158756198E-2</v>
      </c>
    </row>
    <row r="22" spans="2:7" x14ac:dyDescent="0.3">
      <c r="B22" s="109" t="s">
        <v>291</v>
      </c>
      <c r="C22" s="110">
        <v>2379.14</v>
      </c>
      <c r="D22" s="121">
        <f t="shared" si="0"/>
        <v>3.098925284278924E-3</v>
      </c>
      <c r="E22" s="121">
        <v>3.6337183977140107E-2</v>
      </c>
      <c r="F22">
        <v>20</v>
      </c>
      <c r="G22" s="121">
        <f ca="1">_xlfn.NORM.INV(RAND(),'VAR Historical Approach'!K$4,'VAR Historical Approach'!K$5)</f>
        <v>-0.10032163607688081</v>
      </c>
    </row>
    <row r="23" spans="2:7" x14ac:dyDescent="0.3">
      <c r="B23" s="109" t="s">
        <v>286</v>
      </c>
      <c r="C23" s="110">
        <v>2371.79</v>
      </c>
      <c r="D23" s="121">
        <f t="shared" si="0"/>
        <v>-0.1695878382163464</v>
      </c>
      <c r="E23" s="121">
        <v>2.3492351176990982E-2</v>
      </c>
      <c r="F23">
        <v>21</v>
      </c>
      <c r="G23" s="121">
        <f ca="1">_xlfn.NORM.INV(RAND(),'VAR Historical Approach'!K$4,'VAR Historical Approach'!K$5)</f>
        <v>-2.5192822849264773E-2</v>
      </c>
    </row>
    <row r="24" spans="2:7" x14ac:dyDescent="0.3">
      <c r="B24" s="109" t="s">
        <v>301</v>
      </c>
      <c r="C24" s="110">
        <v>2856.16</v>
      </c>
      <c r="D24" s="121">
        <f t="shared" si="0"/>
        <v>-6.4590715862421391E-2</v>
      </c>
      <c r="E24" s="121">
        <v>2.2236697530090818E-2</v>
      </c>
      <c r="F24">
        <v>22</v>
      </c>
      <c r="G24" s="121">
        <f ca="1">_xlfn.NORM.INV(RAND(),'VAR Historical Approach'!K$4,'VAR Historical Approach'!K$5)</f>
        <v>-5.7854661876432158E-2</v>
      </c>
    </row>
    <row r="25" spans="2:7" x14ac:dyDescent="0.3">
      <c r="B25" s="109" t="s">
        <v>320</v>
      </c>
      <c r="C25" s="110">
        <v>3053.38</v>
      </c>
      <c r="D25" s="121">
        <f t="shared" si="0"/>
        <v>-6.2468719583152886E-2</v>
      </c>
      <c r="E25" s="121">
        <v>2.1703050339298424E-2</v>
      </c>
      <c r="F25">
        <v>23</v>
      </c>
      <c r="G25" s="121">
        <f ca="1">_xlfn.NORM.INV(RAND(),'VAR Historical Approach'!K$4,'VAR Historical Approach'!K$5)</f>
        <v>-0.1160749360935336</v>
      </c>
    </row>
    <row r="26" spans="2:7" x14ac:dyDescent="0.3">
      <c r="B26" s="109" t="s">
        <v>323</v>
      </c>
      <c r="C26" s="110">
        <v>3256.83</v>
      </c>
      <c r="D26" s="121">
        <f t="shared" si="0"/>
        <v>8.5089157204541771E-2</v>
      </c>
      <c r="E26" s="121">
        <v>1.7352434026389359E-2</v>
      </c>
      <c r="F26">
        <v>24</v>
      </c>
      <c r="G26" s="121">
        <f ca="1">_xlfn.NORM.INV(RAND(),'VAR Historical Approach'!K$4,'VAR Historical Approach'!K$5)</f>
        <v>-6.0409752911162559E-2</v>
      </c>
    </row>
    <row r="27" spans="2:7" x14ac:dyDescent="0.3">
      <c r="B27" s="109" t="s">
        <v>332</v>
      </c>
      <c r="C27" s="110">
        <v>3001.44</v>
      </c>
      <c r="D27" s="121">
        <f t="shared" si="0"/>
        <v>-1.9627441181370147E-2</v>
      </c>
      <c r="E27" s="121">
        <v>1.4047961727919538E-2</v>
      </c>
      <c r="F27">
        <v>25</v>
      </c>
      <c r="G27" s="121">
        <f ca="1">_xlfn.NORM.INV(RAND(),'VAR Historical Approach'!K$4,'VAR Historical Approach'!K$5)</f>
        <v>-8.7766752386872385E-2</v>
      </c>
    </row>
    <row r="28" spans="2:7" x14ac:dyDescent="0.3">
      <c r="B28" s="109" t="s">
        <v>299</v>
      </c>
      <c r="C28" s="110">
        <v>3061.53</v>
      </c>
      <c r="D28" s="121">
        <f t="shared" si="0"/>
        <v>-1.0561661942789867E-2</v>
      </c>
      <c r="E28" s="121">
        <v>1.3728158618839971E-2</v>
      </c>
      <c r="F28">
        <v>26</v>
      </c>
      <c r="G28" s="121">
        <f ca="1">_xlfn.NORM.INV(RAND(),'VAR Historical Approach'!K$4,'VAR Historical Approach'!K$5)</f>
        <v>-4.6801768230016645E-2</v>
      </c>
    </row>
    <row r="29" spans="2:7" x14ac:dyDescent="0.3">
      <c r="B29" s="109" t="s">
        <v>334</v>
      </c>
      <c r="C29" s="110">
        <v>3094.21</v>
      </c>
      <c r="D29" s="121">
        <f t="shared" si="0"/>
        <v>0.1094772472202203</v>
      </c>
      <c r="E29" s="121">
        <v>1.3524756626442869E-2</v>
      </c>
      <c r="F29">
        <v>27</v>
      </c>
      <c r="G29" s="121">
        <f ca="1">_xlfn.NORM.INV(RAND(),'VAR Historical Approach'!K$4,'VAR Historical Approach'!K$5)</f>
        <v>0.1165933294840184</v>
      </c>
    </row>
    <row r="30" spans="2:7" x14ac:dyDescent="0.3">
      <c r="B30" s="109" t="s">
        <v>303</v>
      </c>
      <c r="C30" s="110">
        <v>2788.89</v>
      </c>
      <c r="D30" s="121">
        <f t="shared" si="0"/>
        <v>1.0240453231520449E-2</v>
      </c>
      <c r="E30" s="121">
        <v>1.0240453231520449E-2</v>
      </c>
      <c r="F30">
        <v>28</v>
      </c>
      <c r="G30" s="121">
        <f ca="1">_xlfn.NORM.INV(RAND(),'VAR Historical Approach'!K$4,'VAR Historical Approach'!K$5)</f>
        <v>-9.5767500653839901E-3</v>
      </c>
    </row>
    <row r="31" spans="2:7" x14ac:dyDescent="0.3">
      <c r="B31" s="109" t="s">
        <v>304</v>
      </c>
      <c r="C31" s="110">
        <v>2760.62</v>
      </c>
      <c r="D31" s="121">
        <f t="shared" si="0"/>
        <v>0.2233320334656835</v>
      </c>
      <c r="E31" s="121">
        <v>8.8068057240582604E-3</v>
      </c>
      <c r="F31">
        <v>29</v>
      </c>
      <c r="G31" s="121">
        <f ca="1">_xlfn.NORM.INV(RAND(),'VAR Historical Approach'!K$4,'VAR Historical Approach'!K$5)</f>
        <v>-0.21162356764758961</v>
      </c>
    </row>
    <row r="32" spans="2:7" x14ac:dyDescent="0.3">
      <c r="B32" s="109" t="s">
        <v>294</v>
      </c>
      <c r="C32" s="110">
        <v>2256.64</v>
      </c>
      <c r="D32" s="121">
        <f t="shared" si="0"/>
        <v>-0.25548740857068397</v>
      </c>
      <c r="E32" s="121">
        <v>8.527145640787253E-3</v>
      </c>
      <c r="F32">
        <v>30</v>
      </c>
      <c r="G32" s="121">
        <f ca="1">_xlfn.NORM.INV(RAND(),'VAR Historical Approach'!K$4,'VAR Historical Approach'!K$5)</f>
        <v>-1.0339600511563908E-2</v>
      </c>
    </row>
    <row r="33" spans="2:7" x14ac:dyDescent="0.3">
      <c r="B33" s="109" t="s">
        <v>329</v>
      </c>
      <c r="C33" s="110">
        <v>3031.03</v>
      </c>
      <c r="D33" s="121">
        <f t="shared" si="0"/>
        <v>-7.2926415983067483E-2</v>
      </c>
      <c r="E33" s="121">
        <v>7.1038160583456909E-3</v>
      </c>
      <c r="F33">
        <v>31</v>
      </c>
      <c r="G33" s="121">
        <f ca="1">_xlfn.NORM.INV(RAND(),'VAR Historical Approach'!K$4,'VAR Historical Approach'!K$5)</f>
        <v>6.7262996503949249E-2</v>
      </c>
    </row>
    <row r="34" spans="2:7" x14ac:dyDescent="0.3">
      <c r="B34" s="109" t="s">
        <v>312</v>
      </c>
      <c r="C34" s="110">
        <v>3269.46</v>
      </c>
      <c r="D34" s="121">
        <f t="shared" si="0"/>
        <v>0.17015923236328881</v>
      </c>
      <c r="E34" s="121">
        <v>4.5504124867497102E-3</v>
      </c>
      <c r="F34">
        <v>32</v>
      </c>
      <c r="G34" s="121">
        <f ca="1">_xlfn.NORM.INV(RAND(),'VAR Historical Approach'!K$4,'VAR Historical Approach'!K$5)</f>
        <v>1.4604354673017735E-2</v>
      </c>
    </row>
    <row r="35" spans="2:7" x14ac:dyDescent="0.3">
      <c r="B35" s="109" t="s">
        <v>302</v>
      </c>
      <c r="C35" s="110">
        <v>2794.03</v>
      </c>
      <c r="D35" s="121">
        <f t="shared" ref="D35:D62" si="4">(C35-C36)/C36</f>
        <v>2.053838848710644E-2</v>
      </c>
      <c r="E35" s="121">
        <v>1.8430271541725661E-3</v>
      </c>
      <c r="F35">
        <v>33</v>
      </c>
      <c r="G35" s="121">
        <f ca="1">_xlfn.NORM.INV(RAND(),'VAR Historical Approach'!K$4,'VAR Historical Approach'!K$5)</f>
        <v>0.11799409732746449</v>
      </c>
    </row>
    <row r="36" spans="2:7" x14ac:dyDescent="0.3">
      <c r="B36" s="109" t="s">
        <v>248</v>
      </c>
      <c r="C36" s="110">
        <v>2737.8</v>
      </c>
      <c r="D36" s="121">
        <f t="shared" si="4"/>
        <v>3.8737337329741765E-2</v>
      </c>
      <c r="E36" s="121">
        <v>-2.4412461286208117E-3</v>
      </c>
      <c r="F36">
        <v>34</v>
      </c>
      <c r="G36" s="121">
        <f ca="1">_xlfn.NORM.INV(RAND(),'VAR Historical Approach'!K$4,'VAR Historical Approach'!K$5)</f>
        <v>-0.10234396665995177</v>
      </c>
    </row>
    <row r="37" spans="2:7" x14ac:dyDescent="0.3">
      <c r="B37" s="109" t="s">
        <v>253</v>
      </c>
      <c r="C37" s="110">
        <v>2635.7</v>
      </c>
      <c r="D37" s="121">
        <f t="shared" si="4"/>
        <v>-0.17881500359854571</v>
      </c>
      <c r="E37" s="121">
        <v>-4.8780119458435231E-3</v>
      </c>
      <c r="F37">
        <v>35</v>
      </c>
      <c r="G37" s="121">
        <f ca="1">_xlfn.NORM.INV(RAND(),'VAR Historical Approach'!K$4,'VAR Historical Approach'!K$5)</f>
        <v>0.10771126991921849</v>
      </c>
    </row>
    <row r="38" spans="2:7" x14ac:dyDescent="0.3">
      <c r="B38" s="109" t="s">
        <v>322</v>
      </c>
      <c r="C38" s="110">
        <v>3209.63</v>
      </c>
      <c r="D38" s="121">
        <f t="shared" si="4"/>
        <v>0.36246052229429138</v>
      </c>
      <c r="E38" s="121">
        <v>-1.4492620124476814E-2</v>
      </c>
      <c r="F38">
        <v>36</v>
      </c>
      <c r="G38" s="121">
        <f ca="1">_xlfn.NORM.INV(RAND(),'VAR Historical Approach'!K$4,'VAR Historical Approach'!K$5)</f>
        <v>-9.4567978500620833E-2</v>
      </c>
    </row>
    <row r="39" spans="2:7" x14ac:dyDescent="0.3">
      <c r="B39" s="109" t="s">
        <v>263</v>
      </c>
      <c r="C39" s="110">
        <v>2355.7600000000002</v>
      </c>
      <c r="D39" s="121">
        <f t="shared" si="4"/>
        <v>-0.11295533448304412</v>
      </c>
      <c r="E39" s="121">
        <v>-2.1454592279669702E-2</v>
      </c>
      <c r="F39">
        <v>37</v>
      </c>
      <c r="G39" s="121">
        <f ca="1">_xlfn.NORM.INV(RAND(),'VAR Historical Approach'!K$4,'VAR Historical Approach'!K$5)</f>
        <v>3.5898539876241538E-2</v>
      </c>
    </row>
    <row r="40" spans="2:7" x14ac:dyDescent="0.3">
      <c r="B40" s="109" t="s">
        <v>316</v>
      </c>
      <c r="C40" s="110">
        <v>2655.74</v>
      </c>
      <c r="D40" s="121">
        <f t="shared" si="4"/>
        <v>-0.10565486213074352</v>
      </c>
      <c r="E40" s="121">
        <v>-2.3736265352110666E-2</v>
      </c>
      <c r="F40">
        <v>38</v>
      </c>
      <c r="G40" s="121">
        <f ca="1">_xlfn.NORM.INV(RAND(),'VAR Historical Approach'!K$4,'VAR Historical Approach'!K$5)</f>
        <v>-6.0282575312662255E-2</v>
      </c>
    </row>
    <row r="41" spans="2:7" x14ac:dyDescent="0.3">
      <c r="B41" s="109" t="s">
        <v>319</v>
      </c>
      <c r="C41" s="110">
        <v>2969.48</v>
      </c>
      <c r="D41" s="121">
        <f t="shared" si="4"/>
        <v>-2.9603897950046941E-2</v>
      </c>
      <c r="E41" s="121">
        <v>-2.7477745973314847E-2</v>
      </c>
      <c r="F41">
        <v>39</v>
      </c>
      <c r="G41" s="121">
        <f ca="1">_xlfn.NORM.INV(RAND(),'VAR Historical Approach'!K$4,'VAR Historical Approach'!K$5)</f>
        <v>0.13054851957990871</v>
      </c>
    </row>
    <row r="42" spans="2:7" x14ac:dyDescent="0.3">
      <c r="B42" s="109" t="s">
        <v>310</v>
      </c>
      <c r="C42" s="110">
        <v>3060.07</v>
      </c>
      <c r="D42" s="121">
        <f t="shared" si="4"/>
        <v>4.0620685433684148E-2</v>
      </c>
      <c r="E42" s="121">
        <v>-2.9190248978452248E-2</v>
      </c>
      <c r="F42">
        <v>40</v>
      </c>
      <c r="G42" s="121">
        <f ca="1">_xlfn.NORM.INV(RAND(),'VAR Historical Approach'!K$4,'VAR Historical Approach'!K$5)</f>
        <v>7.020848232340296E-2</v>
      </c>
    </row>
    <row r="43" spans="2:7" x14ac:dyDescent="0.3">
      <c r="B43" s="109" t="s">
        <v>328</v>
      </c>
      <c r="C43" s="110">
        <v>2940.62</v>
      </c>
      <c r="D43" s="121">
        <f t="shared" si="4"/>
        <v>-6.7085860764955221E-2</v>
      </c>
      <c r="E43" s="121">
        <v>-2.9828144228199755E-2</v>
      </c>
      <c r="F43">
        <v>41</v>
      </c>
      <c r="G43" s="121">
        <f ca="1">_xlfn.NORM.INV(RAND(),'VAR Historical Approach'!K$4,'VAR Historical Approach'!K$5)</f>
        <v>0.1141362404860683</v>
      </c>
    </row>
    <row r="44" spans="2:7" x14ac:dyDescent="0.3">
      <c r="B44" s="109" t="s">
        <v>311</v>
      </c>
      <c r="C44" s="110">
        <v>3152.08</v>
      </c>
      <c r="D44" s="121">
        <f t="shared" si="4"/>
        <v>0.14801433524664204</v>
      </c>
      <c r="E44" s="121">
        <v>-3.590195322775018E-2</v>
      </c>
      <c r="F44">
        <v>42</v>
      </c>
      <c r="G44" s="121">
        <f ca="1">_xlfn.NORM.INV(RAND(),'VAR Historical Approach'!K$4,'VAR Historical Approach'!K$5)</f>
        <v>0.17581020063505118</v>
      </c>
    </row>
    <row r="45" spans="2:7" x14ac:dyDescent="0.3">
      <c r="B45" s="109" t="s">
        <v>272</v>
      </c>
      <c r="C45" s="110">
        <v>2745.68</v>
      </c>
      <c r="D45" s="121">
        <f t="shared" si="4"/>
        <v>-7.2361530612934488E-2</v>
      </c>
      <c r="E45" s="121">
        <v>-3.6495325790966003E-2</v>
      </c>
      <c r="F45">
        <v>43</v>
      </c>
      <c r="G45" s="121">
        <f ca="1">_xlfn.NORM.INV(RAND(),'VAR Historical Approach'!K$4,'VAR Historical Approach'!K$5)</f>
        <v>2.6912343220434464E-2</v>
      </c>
    </row>
    <row r="46" spans="2:7" x14ac:dyDescent="0.3">
      <c r="B46" s="109" t="s">
        <v>333</v>
      </c>
      <c r="C46" s="110">
        <v>2959.86</v>
      </c>
      <c r="D46" s="121">
        <f t="shared" si="4"/>
        <v>8.1614605411252303E-2</v>
      </c>
      <c r="E46" s="121">
        <v>-4.3419806671169674E-2</v>
      </c>
      <c r="F46">
        <v>44</v>
      </c>
      <c r="G46" s="121">
        <f ca="1">_xlfn.NORM.INV(RAND(),'VAR Historical Approach'!K$4,'VAR Historical Approach'!K$5)</f>
        <v>9.5854979708827739E-2</v>
      </c>
    </row>
    <row r="47" spans="2:7" x14ac:dyDescent="0.3">
      <c r="B47" s="109" t="s">
        <v>305</v>
      </c>
      <c r="C47" s="110">
        <v>2736.52</v>
      </c>
      <c r="D47" s="121">
        <f t="shared" si="4"/>
        <v>5.7347088597813095E-2</v>
      </c>
      <c r="E47" s="121">
        <v>-4.5963547114030369E-2</v>
      </c>
      <c r="F47">
        <v>45</v>
      </c>
      <c r="G47" s="121">
        <f ca="1">_xlfn.NORM.INV(RAND(),'VAR Historical Approach'!K$4,'VAR Historical Approach'!K$5)</f>
        <v>1.8264659984252061E-2</v>
      </c>
    </row>
    <row r="48" spans="2:7" x14ac:dyDescent="0.3">
      <c r="B48" s="109" t="s">
        <v>325</v>
      </c>
      <c r="C48" s="110">
        <v>2588.1</v>
      </c>
      <c r="D48" s="121">
        <f t="shared" si="4"/>
        <v>-0.10755172413793107</v>
      </c>
      <c r="E48" s="121">
        <v>-5.2078716912855434E-2</v>
      </c>
      <c r="F48">
        <v>46</v>
      </c>
      <c r="G48" s="121">
        <f ca="1">_xlfn.NORM.INV(RAND(),'VAR Historical Approach'!K$4,'VAR Historical Approach'!K$5)</f>
        <v>-3.8217187497717568E-2</v>
      </c>
    </row>
    <row r="49" spans="2:7" x14ac:dyDescent="0.3">
      <c r="B49" s="109" t="s">
        <v>309</v>
      </c>
      <c r="C49" s="110">
        <v>2900</v>
      </c>
      <c r="D49" s="121">
        <f t="shared" si="4"/>
        <v>0.35646495876814283</v>
      </c>
      <c r="E49" s="121">
        <v>-5.2309260899260523E-2</v>
      </c>
      <c r="F49">
        <v>47</v>
      </c>
      <c r="G49" s="121">
        <f ca="1">_xlfn.NORM.INV(RAND(),'VAR Historical Approach'!K$4,'VAR Historical Approach'!K$5)</f>
        <v>-4.2379956532368555E-2</v>
      </c>
    </row>
    <row r="50" spans="2:7" x14ac:dyDescent="0.3">
      <c r="B50" s="109" t="s">
        <v>293</v>
      </c>
      <c r="C50" s="110">
        <v>2137.91</v>
      </c>
      <c r="D50" s="121">
        <f t="shared" si="4"/>
        <v>-8.0927365271520446E-2</v>
      </c>
      <c r="E50" s="121">
        <v>-5.2613620249574597E-2</v>
      </c>
      <c r="F50">
        <v>48</v>
      </c>
      <c r="G50" s="121">
        <f ca="1">_xlfn.NORM.INV(RAND(),'VAR Historical Approach'!K$4,'VAR Historical Approach'!K$5)</f>
        <v>-9.8239447177885061E-2</v>
      </c>
    </row>
    <row r="51" spans="2:7" x14ac:dyDescent="0.3">
      <c r="B51" s="109" t="s">
        <v>277</v>
      </c>
      <c r="C51" s="110">
        <v>2326.16</v>
      </c>
      <c r="D51" s="121">
        <f t="shared" si="4"/>
        <v>-0.22709949661920828</v>
      </c>
      <c r="E51" s="121">
        <v>-6.6942099035318309E-2</v>
      </c>
      <c r="F51">
        <v>49</v>
      </c>
      <c r="G51" s="121">
        <f ca="1">_xlfn.NORM.INV(RAND(),'VAR Historical Approach'!K$4,'VAR Historical Approach'!K$5)</f>
        <v>-9.7177378585307547E-2</v>
      </c>
    </row>
    <row r="52" spans="2:7" x14ac:dyDescent="0.3">
      <c r="B52" s="109" t="s">
        <v>330</v>
      </c>
      <c r="C52" s="110">
        <v>3009.65</v>
      </c>
      <c r="D52" s="121">
        <f t="shared" si="4"/>
        <v>0.3583046747362057</v>
      </c>
      <c r="E52" s="121">
        <v>-6.8193850602648307E-2</v>
      </c>
      <c r="F52">
        <v>50</v>
      </c>
      <c r="G52" s="121">
        <f ca="1">_xlfn.NORM.INV(RAND(),'VAR Historical Approach'!K$4,'VAR Historical Approach'!K$5)</f>
        <v>4.0458153457505218E-2</v>
      </c>
    </row>
    <row r="53" spans="2:7" x14ac:dyDescent="0.3">
      <c r="B53" s="109" t="s">
        <v>290</v>
      </c>
      <c r="C53" s="110">
        <v>2215.7399999999998</v>
      </c>
      <c r="D53" s="121">
        <f t="shared" si="4"/>
        <v>-0.25858284368182249</v>
      </c>
      <c r="E53" s="121">
        <v>-6.8680279428701169E-2</v>
      </c>
      <c r="F53">
        <v>51</v>
      </c>
      <c r="G53" s="121">
        <f ca="1">_xlfn.NORM.INV(RAND(),'VAR Historical Approach'!K$4,'VAR Historical Approach'!K$5)</f>
        <v>8.3981738219786398E-3</v>
      </c>
    </row>
    <row r="54" spans="2:7" x14ac:dyDescent="0.3">
      <c r="B54" s="109" t="s">
        <v>321</v>
      </c>
      <c r="C54" s="110">
        <v>2988.52</v>
      </c>
      <c r="D54" s="121">
        <f t="shared" si="4"/>
        <v>0.33561558125815621</v>
      </c>
      <c r="E54" s="121">
        <v>-6.8889560478933742E-2</v>
      </c>
      <c r="F54">
        <v>52</v>
      </c>
      <c r="G54" s="121">
        <f ca="1">_xlfn.NORM.INV(RAND(),'VAR Historical Approach'!K$4,'VAR Historical Approach'!K$5)</f>
        <v>-4.336599035720963E-2</v>
      </c>
    </row>
    <row r="55" spans="2:7" x14ac:dyDescent="0.3">
      <c r="B55" s="109" t="s">
        <v>295</v>
      </c>
      <c r="C55" s="110">
        <v>2237.56</v>
      </c>
      <c r="D55" s="121">
        <f t="shared" si="4"/>
        <v>4.2383698720755814E-2</v>
      </c>
      <c r="E55" s="121">
        <v>-7.9950657894736862E-2</v>
      </c>
      <c r="F55">
        <v>53</v>
      </c>
      <c r="G55" s="121">
        <f ca="1">_xlfn.NORM.INV(RAND(),'VAR Historical Approach'!K$4,'VAR Historical Approach'!K$5)</f>
        <v>-8.4195219496505753E-4</v>
      </c>
    </row>
    <row r="56" spans="2:7" x14ac:dyDescent="0.3">
      <c r="B56" s="109" t="s">
        <v>261</v>
      </c>
      <c r="C56" s="110">
        <v>2146.58</v>
      </c>
      <c r="D56" s="121">
        <f t="shared" si="4"/>
        <v>-0.21379047646953256</v>
      </c>
      <c r="E56" s="121">
        <v>-8.8795123442116458E-2</v>
      </c>
      <c r="F56">
        <v>54</v>
      </c>
      <c r="G56" s="121">
        <f ca="1">_xlfn.NORM.INV(RAND(),'VAR Historical Approach'!K$4,'VAR Historical Approach'!K$5)</f>
        <v>1.8285213241474557E-2</v>
      </c>
    </row>
    <row r="57" spans="2:7" x14ac:dyDescent="0.3">
      <c r="B57" s="109" t="s">
        <v>326</v>
      </c>
      <c r="C57" s="110">
        <v>2730.29</v>
      </c>
      <c r="D57" s="121">
        <f t="shared" si="4"/>
        <v>4.1574632531062722E-2</v>
      </c>
      <c r="E57" s="121">
        <v>-0.11662827265785769</v>
      </c>
      <c r="F57">
        <v>55</v>
      </c>
      <c r="G57" s="121">
        <f ca="1">_xlfn.NORM.INV(RAND(),'VAR Historical Approach'!K$4,'VAR Historical Approach'!K$5)</f>
        <v>-1.1355862383761036E-2</v>
      </c>
    </row>
    <row r="58" spans="2:7" x14ac:dyDescent="0.3">
      <c r="B58" s="109" t="s">
        <v>318</v>
      </c>
      <c r="C58" s="110">
        <v>2621.31</v>
      </c>
      <c r="D58" s="121">
        <f t="shared" si="4"/>
        <v>-8.8040161844160622E-2</v>
      </c>
      <c r="E58" s="121">
        <v>-0.11724948475827419</v>
      </c>
      <c r="F58">
        <v>56</v>
      </c>
      <c r="G58" s="121">
        <f ca="1">_xlfn.NORM.INV(RAND(),'VAR Historical Approach'!K$4,'VAR Historical Approach'!K$5)</f>
        <v>-2.7470904588025948E-2</v>
      </c>
    </row>
    <row r="59" spans="2:7" x14ac:dyDescent="0.3">
      <c r="B59" s="109" t="s">
        <v>297</v>
      </c>
      <c r="C59" s="110">
        <v>2874.37</v>
      </c>
      <c r="D59" s="121">
        <f t="shared" si="4"/>
        <v>0.19396779111160961</v>
      </c>
      <c r="E59" s="121">
        <v>-0.11818591794723915</v>
      </c>
      <c r="F59">
        <v>57</v>
      </c>
      <c r="G59" s="121">
        <f ca="1">_xlfn.NORM.INV(RAND(),'VAR Historical Approach'!K$4,'VAR Historical Approach'!K$5)</f>
        <v>7.3827803915726645E-2</v>
      </c>
    </row>
    <row r="60" spans="2:7" x14ac:dyDescent="0.3">
      <c r="B60" s="109" t="s">
        <v>265</v>
      </c>
      <c r="C60" s="110">
        <v>2407.41</v>
      </c>
      <c r="D60" s="121">
        <f t="shared" si="4"/>
        <v>-0.1607015855750325</v>
      </c>
      <c r="E60" s="121">
        <v>-0.12320080999970863</v>
      </c>
      <c r="F60">
        <v>58</v>
      </c>
      <c r="G60" s="121">
        <f ca="1">_xlfn.NORM.INV(RAND(),'VAR Historical Approach'!K$4,'VAR Historical Approach'!K$5)</f>
        <v>5.4793337944318787E-2</v>
      </c>
    </row>
    <row r="61" spans="2:7" x14ac:dyDescent="0.3">
      <c r="B61" s="109" t="s">
        <v>306</v>
      </c>
      <c r="C61" s="110">
        <v>2868.36</v>
      </c>
      <c r="D61" s="121">
        <f t="shared" si="4"/>
        <v>0.1794243421052632</v>
      </c>
      <c r="E61" s="121">
        <v>-0.1306577439944718</v>
      </c>
      <c r="F61">
        <v>59</v>
      </c>
      <c r="G61" s="121">
        <f ca="1">_xlfn.NORM.INV(RAND(),'VAR Historical Approach'!K$4,'VAR Historical Approach'!K$5)</f>
        <v>-5.4835113852013014E-2</v>
      </c>
    </row>
    <row r="62" spans="2:7" x14ac:dyDescent="0.3">
      <c r="B62" s="109" t="s">
        <v>296</v>
      </c>
      <c r="C62" s="110">
        <v>2432</v>
      </c>
      <c r="D62" s="121" t="e">
        <f t="shared" si="4"/>
        <v>#DIV/0!</v>
      </c>
      <c r="E62" s="121">
        <v>-0.15390155060065333</v>
      </c>
      <c r="F62">
        <v>60</v>
      </c>
      <c r="G62" s="121">
        <f ca="1">_xlfn.NORM.INV(RAND(),'VAR Historical Approach'!K$4,'VAR Historical Approach'!K$5)</f>
        <v>-6.9282965769263391E-2</v>
      </c>
    </row>
  </sheetData>
  <mergeCells count="1">
    <mergeCell ref="I2:M2"/>
  </mergeCells>
  <pageMargins left="0.7" right="0.7" top="0.75" bottom="0.75" header="0.3" footer="0.3"/>
  <pageSetup scale="57"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A23DD-E7D0-494B-8D0F-2FF1988D5CF8}">
  <sheetPr>
    <pageSetUpPr fitToPage="1"/>
  </sheetPr>
  <dimension ref="B1:I106"/>
  <sheetViews>
    <sheetView showGridLines="0" topLeftCell="A54" zoomScale="64" zoomScaleNormal="98" zoomScaleSheetLayoutView="103" workbookViewId="0">
      <selection activeCell="L16" sqref="L16"/>
    </sheetView>
  </sheetViews>
  <sheetFormatPr defaultRowHeight="14.4" x14ac:dyDescent="0.3"/>
  <cols>
    <col min="1" max="1" width="1.88671875" customWidth="1"/>
    <col min="2" max="2" width="28.77734375" customWidth="1"/>
    <col min="3" max="9" width="10.77734375" customWidth="1"/>
  </cols>
  <sheetData>
    <row r="1" spans="2:9" ht="10.199999999999999" customHeight="1" x14ac:dyDescent="0.3">
      <c r="B1" s="154"/>
      <c r="C1" s="154"/>
      <c r="D1" s="154"/>
      <c r="E1" s="154"/>
      <c r="F1" s="154"/>
      <c r="G1" s="154"/>
      <c r="H1" s="154"/>
      <c r="I1" s="154"/>
    </row>
    <row r="2" spans="2:9" ht="46.2" x14ac:dyDescent="0.85">
      <c r="B2" s="157" t="str">
        <f>'Data Sheet'!B1</f>
        <v>ASIAN PAINTS LTD</v>
      </c>
    </row>
    <row r="3" spans="2:9" x14ac:dyDescent="0.3">
      <c r="B3" t="s">
        <v>629</v>
      </c>
    </row>
    <row r="4" spans="2:9" ht="21.6" customHeight="1" x14ac:dyDescent="0.4">
      <c r="B4" s="156" t="str">
        <f>CONCATENATE("INR "&amp;'Data Sheet'!B8)</f>
        <v>INR 2645.2</v>
      </c>
    </row>
    <row r="5" spans="2:9" x14ac:dyDescent="0.3">
      <c r="B5" t="s">
        <v>630</v>
      </c>
    </row>
    <row r="6" spans="2:9" ht="13.8" customHeight="1" thickBot="1" x14ac:dyDescent="0.35">
      <c r="B6" s="148"/>
      <c r="C6" s="148"/>
      <c r="D6" s="148"/>
      <c r="E6" s="148"/>
      <c r="F6" s="148"/>
      <c r="G6" s="148"/>
      <c r="H6" s="148"/>
      <c r="I6" s="148"/>
    </row>
    <row r="7" spans="2:9" ht="17.399999999999999" x14ac:dyDescent="0.35">
      <c r="B7" s="153" t="s">
        <v>631</v>
      </c>
    </row>
    <row r="8" spans="2:9" x14ac:dyDescent="0.3">
      <c r="B8" s="350" t="s">
        <v>632</v>
      </c>
      <c r="C8" s="351"/>
      <c r="D8" s="351"/>
      <c r="E8" s="351"/>
      <c r="F8" s="351"/>
      <c r="G8" s="351"/>
      <c r="H8" s="351"/>
      <c r="I8" s="351"/>
    </row>
    <row r="9" spans="2:9" x14ac:dyDescent="0.3">
      <c r="B9" s="351"/>
      <c r="C9" s="351"/>
      <c r="D9" s="351"/>
      <c r="E9" s="351"/>
      <c r="F9" s="351"/>
      <c r="G9" s="351"/>
      <c r="H9" s="351"/>
      <c r="I9" s="351"/>
    </row>
    <row r="10" spans="2:9" ht="27.6" customHeight="1" x14ac:dyDescent="0.3">
      <c r="B10" s="351"/>
      <c r="C10" s="351"/>
      <c r="D10" s="351"/>
      <c r="E10" s="351"/>
      <c r="F10" s="351"/>
      <c r="G10" s="351"/>
      <c r="H10" s="351"/>
      <c r="I10" s="351"/>
    </row>
    <row r="11" spans="2:9" ht="4.8" customHeight="1" x14ac:dyDescent="0.3"/>
    <row r="12" spans="2:9" ht="17.399999999999999" x14ac:dyDescent="0.35">
      <c r="B12" s="153" t="s">
        <v>644</v>
      </c>
    </row>
    <row r="13" spans="2:9" ht="5.4" customHeight="1" x14ac:dyDescent="0.3"/>
    <row r="36" spans="2:9" ht="17.399999999999999" x14ac:dyDescent="0.35">
      <c r="B36" s="153"/>
    </row>
    <row r="47" spans="2:9" ht="10.199999999999999" customHeight="1" x14ac:dyDescent="0.3">
      <c r="B47" s="155"/>
      <c r="C47" s="155"/>
      <c r="D47" s="155"/>
      <c r="E47" s="155"/>
      <c r="F47" s="155"/>
      <c r="G47" s="155"/>
      <c r="H47" s="155"/>
      <c r="I47" s="155"/>
    </row>
    <row r="48" spans="2:9" ht="10.199999999999999" customHeight="1" x14ac:dyDescent="0.3">
      <c r="B48" s="155"/>
      <c r="C48" s="155"/>
      <c r="D48" s="155"/>
      <c r="E48" s="155"/>
      <c r="F48" s="155"/>
      <c r="G48" s="155"/>
      <c r="H48" s="155"/>
      <c r="I48" s="155"/>
    </row>
    <row r="49" spans="2:9" ht="10.199999999999999" customHeight="1" x14ac:dyDescent="0.3"/>
    <row r="50" spans="2:9" ht="21" customHeight="1" x14ac:dyDescent="0.3">
      <c r="B50" s="158" t="s">
        <v>645</v>
      </c>
    </row>
    <row r="51" spans="2:9" ht="9.6" customHeight="1" x14ac:dyDescent="0.3"/>
    <row r="52" spans="2:9" x14ac:dyDescent="0.3">
      <c r="B52" s="349" t="s">
        <v>634</v>
      </c>
      <c r="C52" s="349"/>
      <c r="D52" s="349"/>
      <c r="E52" s="349"/>
      <c r="F52" s="349"/>
      <c r="G52" s="349"/>
      <c r="H52" s="349"/>
      <c r="I52" s="349"/>
    </row>
    <row r="53" spans="2:9" x14ac:dyDescent="0.3">
      <c r="C53" s="149">
        <f>HistoricalFS!F3</f>
        <v>43921</v>
      </c>
      <c r="D53" s="149">
        <f>HistoricalFS!G3</f>
        <v>44286</v>
      </c>
      <c r="E53" s="149">
        <f>HistoricalFS!H3</f>
        <v>44651</v>
      </c>
      <c r="F53" s="149">
        <f>HistoricalFS!I3</f>
        <v>45016</v>
      </c>
      <c r="G53" s="149">
        <f>HistoricalFS!J3</f>
        <v>45382</v>
      </c>
      <c r="H53" s="149">
        <f>HistoricalFS!K3</f>
        <v>45747</v>
      </c>
      <c r="I53" s="149">
        <f>HistoricalFS!L3</f>
        <v>46112</v>
      </c>
    </row>
    <row r="54" spans="2:9" x14ac:dyDescent="0.3">
      <c r="B54" t="s">
        <v>24</v>
      </c>
      <c r="C54" s="122">
        <f>HistoricalFS!F39</f>
        <v>2774.1899999999982</v>
      </c>
      <c r="D54" s="122">
        <f>HistoricalFS!G39</f>
        <v>3206.7500000000032</v>
      </c>
      <c r="E54" s="122">
        <f>HistoricalFS!H39</f>
        <v>3084.8099999999995</v>
      </c>
      <c r="F54" s="122">
        <f>HistoricalFS!I39</f>
        <v>4195.3299999999954</v>
      </c>
      <c r="G54" s="122">
        <f>HistoricalFS!J39</f>
        <v>5557.6900000000023</v>
      </c>
      <c r="H54" s="122">
        <f>HistoricalFS!K39</f>
        <v>3709.7100000000019</v>
      </c>
      <c r="I54" s="122">
        <f>HistoricalFS!L39</f>
        <v>4394.6900000000041</v>
      </c>
    </row>
    <row r="55" spans="2:9" x14ac:dyDescent="0.3">
      <c r="B55" t="s">
        <v>633</v>
      </c>
      <c r="C55" s="122">
        <f>(('Data Sheet'!E57+'Data Sheet'!E58)+('Data Sheet'!D57+'Data Sheet'!D58))/2</f>
        <v>9800.3549999999996</v>
      </c>
      <c r="D55" s="122">
        <f>(('Data Sheet'!F57+'Data Sheet'!F58)+('Data Sheet'!E57+'Data Sheet'!E58))/2</f>
        <v>11468.225</v>
      </c>
      <c r="E55" s="122">
        <f>(('Data Sheet'!G57+'Data Sheet'!G58)+('Data Sheet'!F57+'Data Sheet'!F58))/2</f>
        <v>13308.924999999999</v>
      </c>
      <c r="F55" s="122">
        <f>(('Data Sheet'!H57+'Data Sheet'!H58)+('Data Sheet'!G57+'Data Sheet'!G58))/2</f>
        <v>14901.895</v>
      </c>
      <c r="G55" s="122">
        <f>(('Data Sheet'!I57+'Data Sheet'!I58)+('Data Sheet'!H57+'Data Sheet'!H58))/2</f>
        <v>17360.264999999999</v>
      </c>
      <c r="H55" s="122">
        <f>(('Data Sheet'!J57+'Data Sheet'!J58)+('Data Sheet'!I57+'Data Sheet'!I58))/2</f>
        <v>19064.055</v>
      </c>
      <c r="I55" s="122">
        <f>(('Data Sheet'!K57+'Data Sheet'!K58)+('Data Sheet'!J57+'Data Sheet'!J58))/2</f>
        <v>20385.699999999997</v>
      </c>
    </row>
    <row r="56" spans="2:9" x14ac:dyDescent="0.3">
      <c r="B56" s="150" t="s">
        <v>634</v>
      </c>
      <c r="C56" s="152">
        <f>C54/C55</f>
        <v>0.28307035816559689</v>
      </c>
      <c r="D56" s="152">
        <f t="shared" ref="D56:I56" si="0">D54/D55</f>
        <v>0.27962042949105054</v>
      </c>
      <c r="E56" s="152">
        <f t="shared" si="0"/>
        <v>0.23178506152826014</v>
      </c>
      <c r="F56" s="152">
        <f t="shared" si="0"/>
        <v>0.28152996649083861</v>
      </c>
      <c r="G56" s="152">
        <f t="shared" si="0"/>
        <v>0.32013854627219129</v>
      </c>
      <c r="H56" s="152">
        <f t="shared" si="0"/>
        <v>0.19459186411285542</v>
      </c>
      <c r="I56" s="152">
        <f t="shared" si="0"/>
        <v>0.21557709570924741</v>
      </c>
    </row>
    <row r="58" spans="2:9" x14ac:dyDescent="0.3">
      <c r="B58" s="349" t="s">
        <v>635</v>
      </c>
      <c r="C58" s="349"/>
      <c r="D58" s="349"/>
      <c r="E58" s="349"/>
      <c r="F58" s="349"/>
      <c r="G58" s="349"/>
      <c r="H58" s="349"/>
      <c r="I58" s="349"/>
    </row>
    <row r="59" spans="2:9" x14ac:dyDescent="0.3">
      <c r="C59" s="149">
        <f>C53</f>
        <v>43921</v>
      </c>
      <c r="D59" s="149">
        <f t="shared" ref="D59:I59" si="1">D53</f>
        <v>44286</v>
      </c>
      <c r="E59" s="149">
        <f t="shared" si="1"/>
        <v>44651</v>
      </c>
      <c r="F59" s="149">
        <f t="shared" si="1"/>
        <v>45016</v>
      </c>
      <c r="G59" s="149">
        <f t="shared" si="1"/>
        <v>45382</v>
      </c>
      <c r="H59" s="149">
        <f t="shared" si="1"/>
        <v>45747</v>
      </c>
      <c r="I59" s="149">
        <f t="shared" si="1"/>
        <v>46112</v>
      </c>
    </row>
    <row r="60" spans="2:9" x14ac:dyDescent="0.3">
      <c r="B60" t="s">
        <v>24</v>
      </c>
      <c r="C60" s="122">
        <f t="shared" ref="C60:H60" si="2">C54</f>
        <v>2774.1899999999982</v>
      </c>
      <c r="D60" s="122">
        <f t="shared" si="2"/>
        <v>3206.7500000000032</v>
      </c>
      <c r="E60" s="122">
        <f t="shared" si="2"/>
        <v>3084.8099999999995</v>
      </c>
      <c r="F60" s="122">
        <f t="shared" si="2"/>
        <v>4195.3299999999954</v>
      </c>
      <c r="G60" s="122">
        <f t="shared" si="2"/>
        <v>5557.6900000000023</v>
      </c>
      <c r="H60" s="122">
        <f t="shared" si="2"/>
        <v>3709.7100000000019</v>
      </c>
      <c r="I60" s="122">
        <f>I54</f>
        <v>4394.6900000000041</v>
      </c>
    </row>
    <row r="61" spans="2:9" x14ac:dyDescent="0.3">
      <c r="B61" t="s">
        <v>463</v>
      </c>
      <c r="C61" s="122">
        <f>'Data Sheet'!E17</f>
        <v>20211.25</v>
      </c>
      <c r="D61" s="122">
        <f>'Data Sheet'!F17</f>
        <v>21712.79</v>
      </c>
      <c r="E61" s="122">
        <f>'Data Sheet'!G17</f>
        <v>29101.279999999999</v>
      </c>
      <c r="F61" s="122">
        <f>'Data Sheet'!H17</f>
        <v>34488.589999999997</v>
      </c>
      <c r="G61" s="122">
        <f>'Data Sheet'!I17</f>
        <v>35494.730000000003</v>
      </c>
      <c r="H61" s="122">
        <f>'Data Sheet'!J17</f>
        <v>33905.620000000003</v>
      </c>
      <c r="I61" s="122">
        <f>'Data Sheet'!K17</f>
        <v>35583.54</v>
      </c>
    </row>
    <row r="62" spans="2:9" x14ac:dyDescent="0.3">
      <c r="B62" s="150" t="s">
        <v>636</v>
      </c>
      <c r="C62" s="152">
        <f t="shared" ref="C62:H62" si="3">C60/C61</f>
        <v>0.13725969447708569</v>
      </c>
      <c r="D62" s="152">
        <f t="shared" si="3"/>
        <v>0.14768944939825804</v>
      </c>
      <c r="E62" s="152">
        <f t="shared" si="3"/>
        <v>0.10600255383955619</v>
      </c>
      <c r="F62" s="152">
        <f t="shared" si="3"/>
        <v>0.12164399878336563</v>
      </c>
      <c r="G62" s="152">
        <f t="shared" si="3"/>
        <v>0.15657789198565539</v>
      </c>
      <c r="H62" s="152">
        <f t="shared" si="3"/>
        <v>0.10941283480437761</v>
      </c>
      <c r="I62" s="152">
        <f>I60/I61</f>
        <v>0.12350345131484962</v>
      </c>
    </row>
    <row r="64" spans="2:9" x14ac:dyDescent="0.3">
      <c r="B64" t="s">
        <v>463</v>
      </c>
      <c r="C64" s="122">
        <f>C61</f>
        <v>20211.25</v>
      </c>
      <c r="D64" s="122">
        <f t="shared" ref="D64:I64" si="4">D61</f>
        <v>21712.79</v>
      </c>
      <c r="E64" s="122">
        <f t="shared" si="4"/>
        <v>29101.279999999999</v>
      </c>
      <c r="F64" s="122">
        <f t="shared" si="4"/>
        <v>34488.589999999997</v>
      </c>
      <c r="G64" s="122">
        <f t="shared" si="4"/>
        <v>35494.730000000003</v>
      </c>
      <c r="H64" s="122">
        <f t="shared" si="4"/>
        <v>33905.620000000003</v>
      </c>
      <c r="I64" s="122">
        <f t="shared" si="4"/>
        <v>35583.54</v>
      </c>
    </row>
    <row r="65" spans="2:9" x14ac:dyDescent="0.3">
      <c r="B65" t="s">
        <v>637</v>
      </c>
      <c r="C65" s="122">
        <f>('Data Sheet'!E66+'Data Sheet'!D66)/2</f>
        <v>16193.404999999999</v>
      </c>
      <c r="D65" s="122">
        <f>('Data Sheet'!F66+'Data Sheet'!E66)/2</f>
        <v>18246.654999999999</v>
      </c>
      <c r="E65" s="122">
        <f>('Data Sheet'!G66+'Data Sheet'!F66)/2</f>
        <v>21656.885000000002</v>
      </c>
      <c r="F65" s="122">
        <f>('Data Sheet'!H66+'Data Sheet'!G66)/2</f>
        <v>24368.880000000001</v>
      </c>
      <c r="G65" s="122">
        <f>('Data Sheet'!I66+'Data Sheet'!H66)/2</f>
        <v>27840.050000000003</v>
      </c>
      <c r="H65" s="122">
        <f>('Data Sheet'!J66+'Data Sheet'!I66)/2</f>
        <v>30128.010000000002</v>
      </c>
      <c r="I65" s="122">
        <f>('Data Sheet'!K66+'Data Sheet'!J66)/2</f>
        <v>32437</v>
      </c>
    </row>
    <row r="66" spans="2:9" x14ac:dyDescent="0.3">
      <c r="B66" s="150" t="s">
        <v>640</v>
      </c>
      <c r="C66" s="151">
        <f t="shared" ref="C66:H66" si="5">C64/C65</f>
        <v>1.2481161312274967</v>
      </c>
      <c r="D66" s="151">
        <f t="shared" si="5"/>
        <v>1.1899600228096603</v>
      </c>
      <c r="E66" s="151">
        <f t="shared" si="5"/>
        <v>1.343742648123218</v>
      </c>
      <c r="F66" s="151">
        <f t="shared" si="5"/>
        <v>1.415271854923164</v>
      </c>
      <c r="G66" s="151">
        <f t="shared" si="5"/>
        <v>1.2749520923992592</v>
      </c>
      <c r="H66" s="151">
        <f t="shared" si="5"/>
        <v>1.125385314197652</v>
      </c>
      <c r="I66" s="151">
        <f>I64/I65</f>
        <v>1.0970046551777293</v>
      </c>
    </row>
    <row r="68" spans="2:9" x14ac:dyDescent="0.3">
      <c r="B68" t="s">
        <v>637</v>
      </c>
      <c r="C68" s="122">
        <f>C65</f>
        <v>16193.404999999999</v>
      </c>
      <c r="D68" s="122">
        <f t="shared" ref="D68:I68" si="6">D65</f>
        <v>18246.654999999999</v>
      </c>
      <c r="E68" s="122">
        <f t="shared" si="6"/>
        <v>21656.885000000002</v>
      </c>
      <c r="F68" s="122">
        <f t="shared" si="6"/>
        <v>24368.880000000001</v>
      </c>
      <c r="G68" s="122">
        <f t="shared" si="6"/>
        <v>27840.050000000003</v>
      </c>
      <c r="H68" s="122">
        <f t="shared" si="6"/>
        <v>30128.010000000002</v>
      </c>
      <c r="I68" s="122">
        <f t="shared" si="6"/>
        <v>32437</v>
      </c>
    </row>
    <row r="69" spans="2:9" x14ac:dyDescent="0.3">
      <c r="B69" t="s">
        <v>633</v>
      </c>
      <c r="C69" s="122">
        <f>C55</f>
        <v>9800.3549999999996</v>
      </c>
      <c r="D69" s="122">
        <f t="shared" ref="D69:I69" si="7">D55</f>
        <v>11468.225</v>
      </c>
      <c r="E69" s="122">
        <f t="shared" si="7"/>
        <v>13308.924999999999</v>
      </c>
      <c r="F69" s="122">
        <f t="shared" si="7"/>
        <v>14901.895</v>
      </c>
      <c r="G69" s="122">
        <f t="shared" si="7"/>
        <v>17360.264999999999</v>
      </c>
      <c r="H69" s="122">
        <f t="shared" si="7"/>
        <v>19064.055</v>
      </c>
      <c r="I69" s="122">
        <f t="shared" si="7"/>
        <v>20385.699999999997</v>
      </c>
    </row>
    <row r="70" spans="2:9" x14ac:dyDescent="0.3">
      <c r="B70" s="150" t="s">
        <v>638</v>
      </c>
      <c r="C70" s="151">
        <f t="shared" ref="C70" si="8">C68/C69</f>
        <v>1.6523284105524749</v>
      </c>
      <c r="D70" s="151">
        <f t="shared" ref="D70" si="9">D68/D69</f>
        <v>1.5910618251734683</v>
      </c>
      <c r="E70" s="151">
        <f t="shared" ref="E70" si="10">E68/E69</f>
        <v>1.6272452508373143</v>
      </c>
      <c r="F70" s="151">
        <f t="shared" ref="F70" si="11">F68/F69</f>
        <v>1.6352873241960166</v>
      </c>
      <c r="G70" s="151">
        <f t="shared" ref="G70" si="12">G68/G69</f>
        <v>1.6036650362192053</v>
      </c>
      <c r="H70" s="151">
        <f t="shared" ref="H70" si="13">H68/H69</f>
        <v>1.5803568548244327</v>
      </c>
      <c r="I70" s="151">
        <f>I68/I69</f>
        <v>1.5911643946491907</v>
      </c>
    </row>
    <row r="72" spans="2:9" x14ac:dyDescent="0.3">
      <c r="B72" s="150" t="s">
        <v>639</v>
      </c>
      <c r="C72" s="152">
        <f>C70*C66*C62</f>
        <v>0.28307035816559689</v>
      </c>
      <c r="D72" s="152">
        <f t="shared" ref="D72:I72" si="14">D70*D66*D62</f>
        <v>0.27962042949105054</v>
      </c>
      <c r="E72" s="152">
        <f t="shared" si="14"/>
        <v>0.23178506152826014</v>
      </c>
      <c r="F72" s="152">
        <f t="shared" si="14"/>
        <v>0.28152996649083861</v>
      </c>
      <c r="G72" s="152">
        <f t="shared" si="14"/>
        <v>0.32013854627219124</v>
      </c>
      <c r="H72" s="152">
        <f t="shared" si="14"/>
        <v>0.19459186411285539</v>
      </c>
      <c r="I72" s="152">
        <f t="shared" si="14"/>
        <v>0.21557709570924743</v>
      </c>
    </row>
    <row r="74" spans="2:9" x14ac:dyDescent="0.3">
      <c r="B74" s="349" t="s">
        <v>641</v>
      </c>
      <c r="C74" s="349"/>
      <c r="D74" s="349"/>
      <c r="E74" s="349"/>
      <c r="F74" s="349"/>
      <c r="G74" s="349"/>
      <c r="H74" s="349"/>
      <c r="I74" s="349"/>
    </row>
    <row r="75" spans="2:9" x14ac:dyDescent="0.3">
      <c r="C75" s="149">
        <f>C53</f>
        <v>43921</v>
      </c>
      <c r="D75" s="149">
        <f t="shared" ref="D75:I75" si="15">D53</f>
        <v>44286</v>
      </c>
      <c r="E75" s="149">
        <f t="shared" si="15"/>
        <v>44651</v>
      </c>
      <c r="F75" s="149">
        <f t="shared" si="15"/>
        <v>45016</v>
      </c>
      <c r="G75" s="149">
        <f t="shared" si="15"/>
        <v>45382</v>
      </c>
      <c r="H75" s="149">
        <f t="shared" si="15"/>
        <v>45747</v>
      </c>
      <c r="I75" s="149">
        <f t="shared" si="15"/>
        <v>46112</v>
      </c>
    </row>
    <row r="76" spans="2:9" x14ac:dyDescent="0.3">
      <c r="B76" t="s">
        <v>24</v>
      </c>
      <c r="C76" s="122">
        <f>C54</f>
        <v>2774.1899999999982</v>
      </c>
      <c r="D76" s="122">
        <f t="shared" ref="D76:I76" si="16">D54</f>
        <v>3206.7500000000032</v>
      </c>
      <c r="E76" s="122">
        <f t="shared" si="16"/>
        <v>3084.8099999999995</v>
      </c>
      <c r="F76" s="122">
        <f t="shared" si="16"/>
        <v>4195.3299999999954</v>
      </c>
      <c r="G76" s="122">
        <f t="shared" si="16"/>
        <v>5557.6900000000023</v>
      </c>
      <c r="H76" s="122">
        <f t="shared" si="16"/>
        <v>3709.7100000000019</v>
      </c>
      <c r="I76" s="122">
        <f t="shared" si="16"/>
        <v>4394.6900000000041</v>
      </c>
    </row>
    <row r="77" spans="2:9" x14ac:dyDescent="0.3">
      <c r="B77" t="s">
        <v>637</v>
      </c>
      <c r="C77" s="122">
        <f>C65</f>
        <v>16193.404999999999</v>
      </c>
      <c r="D77" s="122">
        <f t="shared" ref="D77:I77" si="17">D65</f>
        <v>18246.654999999999</v>
      </c>
      <c r="E77" s="122">
        <f t="shared" si="17"/>
        <v>21656.885000000002</v>
      </c>
      <c r="F77" s="122">
        <f t="shared" si="17"/>
        <v>24368.880000000001</v>
      </c>
      <c r="G77" s="122">
        <f t="shared" si="17"/>
        <v>27840.050000000003</v>
      </c>
      <c r="H77" s="122">
        <f t="shared" si="17"/>
        <v>30128.010000000002</v>
      </c>
      <c r="I77" s="122">
        <f t="shared" si="17"/>
        <v>32437</v>
      </c>
    </row>
    <row r="78" spans="2:9" x14ac:dyDescent="0.3">
      <c r="B78" s="150" t="s">
        <v>641</v>
      </c>
      <c r="C78" s="152">
        <f>C76/C77</f>
        <v>0.1713160388442084</v>
      </c>
      <c r="D78" s="152">
        <f t="shared" ref="D78" si="18">D76/D77</f>
        <v>0.17574454057469729</v>
      </c>
      <c r="E78" s="152">
        <f t="shared" ref="E78" si="19">E76/E77</f>
        <v>0.1424401524041892</v>
      </c>
      <c r="F78" s="152">
        <f t="shared" ref="F78" si="20">F76/F77</f>
        <v>0.17215932779840498</v>
      </c>
      <c r="G78" s="152">
        <f t="shared" ref="G78" si="21">G76/G77</f>
        <v>0.19962931101057654</v>
      </c>
      <c r="H78" s="152">
        <f t="shared" ref="H78" si="22">H76/H77</f>
        <v>0.12313159747358028</v>
      </c>
      <c r="I78" s="152">
        <f>I76/I77</f>
        <v>0.13548386102290608</v>
      </c>
    </row>
    <row r="80" spans="2:9" x14ac:dyDescent="0.3">
      <c r="B80" s="349" t="s">
        <v>642</v>
      </c>
      <c r="C80" s="349"/>
      <c r="D80" s="349"/>
      <c r="E80" s="349"/>
      <c r="F80" s="349"/>
      <c r="G80" s="349"/>
      <c r="H80" s="349"/>
      <c r="I80" s="349"/>
    </row>
    <row r="81" spans="2:9" x14ac:dyDescent="0.3">
      <c r="C81" s="149">
        <f>C75</f>
        <v>43921</v>
      </c>
      <c r="D81" s="149">
        <f t="shared" ref="D81:I81" si="23">D75</f>
        <v>44286</v>
      </c>
      <c r="E81" s="149">
        <f t="shared" si="23"/>
        <v>44651</v>
      </c>
      <c r="F81" s="149">
        <f t="shared" si="23"/>
        <v>45016</v>
      </c>
      <c r="G81" s="149">
        <f t="shared" si="23"/>
        <v>45382</v>
      </c>
      <c r="H81" s="149">
        <f t="shared" si="23"/>
        <v>45747</v>
      </c>
      <c r="I81" s="149">
        <f t="shared" si="23"/>
        <v>46112</v>
      </c>
    </row>
    <row r="82" spans="2:9" x14ac:dyDescent="0.3">
      <c r="B82" t="s">
        <v>24</v>
      </c>
      <c r="C82" s="122">
        <f t="shared" ref="C82:H82" si="24">C76</f>
        <v>2774.1899999999982</v>
      </c>
      <c r="D82" s="122">
        <f t="shared" si="24"/>
        <v>3206.7500000000032</v>
      </c>
      <c r="E82" s="122">
        <f t="shared" si="24"/>
        <v>3084.8099999999995</v>
      </c>
      <c r="F82" s="122">
        <f t="shared" si="24"/>
        <v>4195.3299999999954</v>
      </c>
      <c r="G82" s="122">
        <f t="shared" si="24"/>
        <v>5557.6900000000023</v>
      </c>
      <c r="H82" s="122">
        <f t="shared" si="24"/>
        <v>3709.7100000000019</v>
      </c>
      <c r="I82" s="122">
        <f>I76</f>
        <v>4394.6900000000041</v>
      </c>
    </row>
    <row r="83" spans="2:9" x14ac:dyDescent="0.3">
      <c r="B83" t="s">
        <v>463</v>
      </c>
      <c r="C83" s="122">
        <f t="shared" ref="C83:H83" si="25">C61</f>
        <v>20211.25</v>
      </c>
      <c r="D83" s="122">
        <f t="shared" si="25"/>
        <v>21712.79</v>
      </c>
      <c r="E83" s="122">
        <f t="shared" si="25"/>
        <v>29101.279999999999</v>
      </c>
      <c r="F83" s="122">
        <f t="shared" si="25"/>
        <v>34488.589999999997</v>
      </c>
      <c r="G83" s="122">
        <f t="shared" si="25"/>
        <v>35494.730000000003</v>
      </c>
      <c r="H83" s="122">
        <f t="shared" si="25"/>
        <v>33905.620000000003</v>
      </c>
      <c r="I83" s="122">
        <f>I61</f>
        <v>35583.54</v>
      </c>
    </row>
    <row r="84" spans="2:9" x14ac:dyDescent="0.3">
      <c r="B84" s="150" t="s">
        <v>636</v>
      </c>
      <c r="C84" s="152">
        <f t="shared" ref="C84" si="26">C82/C83</f>
        <v>0.13725969447708569</v>
      </c>
      <c r="D84" s="152">
        <f t="shared" ref="D84" si="27">D82/D83</f>
        <v>0.14768944939825804</v>
      </c>
      <c r="E84" s="152">
        <f t="shared" ref="E84" si="28">E82/E83</f>
        <v>0.10600255383955619</v>
      </c>
      <c r="F84" s="152">
        <f t="shared" ref="F84" si="29">F82/F83</f>
        <v>0.12164399878336563</v>
      </c>
      <c r="G84" s="152">
        <f t="shared" ref="G84" si="30">G82/G83</f>
        <v>0.15657789198565539</v>
      </c>
      <c r="H84" s="152">
        <f t="shared" ref="H84" si="31">H82/H83</f>
        <v>0.10941283480437761</v>
      </c>
      <c r="I84" s="152">
        <f>I82/I83</f>
        <v>0.12350345131484962</v>
      </c>
    </row>
    <row r="86" spans="2:9" x14ac:dyDescent="0.3">
      <c r="B86" t="s">
        <v>463</v>
      </c>
      <c r="C86" s="122">
        <f>C83</f>
        <v>20211.25</v>
      </c>
      <c r="D86" s="122">
        <f t="shared" ref="D86:H86" si="32">D83</f>
        <v>21712.79</v>
      </c>
      <c r="E86" s="122">
        <f t="shared" si="32"/>
        <v>29101.279999999999</v>
      </c>
      <c r="F86" s="122">
        <f t="shared" si="32"/>
        <v>34488.589999999997</v>
      </c>
      <c r="G86" s="122">
        <f t="shared" si="32"/>
        <v>35494.730000000003</v>
      </c>
      <c r="H86" s="122">
        <f t="shared" si="32"/>
        <v>33905.620000000003</v>
      </c>
      <c r="I86" s="122">
        <f>I83</f>
        <v>35583.54</v>
      </c>
    </row>
    <row r="87" spans="2:9" x14ac:dyDescent="0.3">
      <c r="B87" t="s">
        <v>637</v>
      </c>
      <c r="C87" s="122">
        <f t="shared" ref="C87:H87" si="33">C77</f>
        <v>16193.404999999999</v>
      </c>
      <c r="D87" s="122">
        <f t="shared" si="33"/>
        <v>18246.654999999999</v>
      </c>
      <c r="E87" s="122">
        <f t="shared" si="33"/>
        <v>21656.885000000002</v>
      </c>
      <c r="F87" s="122">
        <f t="shared" si="33"/>
        <v>24368.880000000001</v>
      </c>
      <c r="G87" s="122">
        <f t="shared" si="33"/>
        <v>27840.050000000003</v>
      </c>
      <c r="H87" s="122">
        <f t="shared" si="33"/>
        <v>30128.010000000002</v>
      </c>
      <c r="I87" s="122">
        <f>I77</f>
        <v>32437</v>
      </c>
    </row>
    <row r="88" spans="2:9" x14ac:dyDescent="0.3">
      <c r="B88" s="150" t="s">
        <v>640</v>
      </c>
      <c r="C88" s="151">
        <f t="shared" ref="C88" si="34">C86/C87</f>
        <v>1.2481161312274967</v>
      </c>
      <c r="D88" s="151">
        <f t="shared" ref="D88" si="35">D86/D87</f>
        <v>1.1899600228096603</v>
      </c>
      <c r="E88" s="151">
        <f t="shared" ref="E88" si="36">E86/E87</f>
        <v>1.343742648123218</v>
      </c>
      <c r="F88" s="151">
        <f t="shared" ref="F88" si="37">F86/F87</f>
        <v>1.415271854923164</v>
      </c>
      <c r="G88" s="151">
        <f t="shared" ref="G88" si="38">G86/G87</f>
        <v>1.2749520923992592</v>
      </c>
      <c r="H88" s="151">
        <f t="shared" ref="H88" si="39">H86/H87</f>
        <v>1.125385314197652</v>
      </c>
      <c r="I88" s="151">
        <f>I86/I87</f>
        <v>1.0970046551777293</v>
      </c>
    </row>
    <row r="90" spans="2:9" x14ac:dyDescent="0.3">
      <c r="B90" s="150" t="s">
        <v>643</v>
      </c>
      <c r="C90" s="152">
        <f>C88*C84</f>
        <v>0.17131603884420837</v>
      </c>
      <c r="D90" s="152">
        <f t="shared" ref="D90:I90" si="40">D88*D84</f>
        <v>0.17574454057469729</v>
      </c>
      <c r="E90" s="152">
        <f t="shared" si="40"/>
        <v>0.14244015240418922</v>
      </c>
      <c r="F90" s="152">
        <f t="shared" si="40"/>
        <v>0.17215932779840498</v>
      </c>
      <c r="G90" s="152">
        <f t="shared" si="40"/>
        <v>0.19962931101057654</v>
      </c>
      <c r="H90" s="152">
        <f t="shared" si="40"/>
        <v>0.12313159747358028</v>
      </c>
      <c r="I90" s="152">
        <f t="shared" si="40"/>
        <v>0.13548386102290608</v>
      </c>
    </row>
    <row r="91" spans="2:9" ht="0.6" customHeight="1" x14ac:dyDescent="0.3"/>
    <row r="103" spans="2:9" ht="10.8" customHeight="1" x14ac:dyDescent="0.3">
      <c r="B103" s="155"/>
      <c r="C103" s="155"/>
      <c r="D103" s="155"/>
      <c r="E103" s="155"/>
      <c r="F103" s="155"/>
      <c r="G103" s="155"/>
      <c r="H103" s="155"/>
      <c r="I103" s="155"/>
    </row>
    <row r="106" spans="2:9" ht="10.199999999999999" customHeight="1" x14ac:dyDescent="0.3"/>
  </sheetData>
  <mergeCells count="5">
    <mergeCell ref="B8:I10"/>
    <mergeCell ref="B52:I52"/>
    <mergeCell ref="B58:I58"/>
    <mergeCell ref="B74:I74"/>
    <mergeCell ref="B80:I80"/>
  </mergeCells>
  <pageMargins left="0.23622047244094491" right="0.23622047244094491" top="0.35433070866141736" bottom="0" header="0.31496062992125984" footer="0.31496062992125984"/>
  <pageSetup scale="96" fitToHeight="0" orientation="portrait" r:id="rId1"/>
  <rowBreaks count="1" manualBreakCount="1">
    <brk id="47" max="8"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7549-4B3E-4529-A5B0-52849F94C034}">
  <sheetPr>
    <pageSetUpPr fitToPage="1"/>
  </sheetPr>
  <dimension ref="B1:I108"/>
  <sheetViews>
    <sheetView showGridLines="0" topLeftCell="A80" zoomScale="90" zoomScaleNormal="99" zoomScaleSheetLayoutView="103" workbookViewId="0">
      <selection activeCell="B73" sqref="B73"/>
    </sheetView>
  </sheetViews>
  <sheetFormatPr defaultRowHeight="14.4" x14ac:dyDescent="0.3"/>
  <cols>
    <col min="1" max="1" width="1.88671875" customWidth="1"/>
    <col min="2" max="2" width="30.109375" customWidth="1"/>
    <col min="3" max="9" width="10.77734375" customWidth="1"/>
  </cols>
  <sheetData>
    <row r="1" spans="2:9" ht="10.199999999999999" customHeight="1" x14ac:dyDescent="0.3">
      <c r="B1" s="154"/>
      <c r="C1" s="154"/>
      <c r="D1" s="154"/>
      <c r="E1" s="154"/>
      <c r="F1" s="154"/>
      <c r="G1" s="154"/>
      <c r="H1" s="154"/>
      <c r="I1" s="154"/>
    </row>
    <row r="2" spans="2:9" ht="46.2" x14ac:dyDescent="0.85">
      <c r="B2" s="157" t="str">
        <f>'Data Sheet'!B1</f>
        <v>ASIAN PAINTS LTD</v>
      </c>
    </row>
    <row r="3" spans="2:9" x14ac:dyDescent="0.3">
      <c r="B3" t="s">
        <v>629</v>
      </c>
    </row>
    <row r="4" spans="2:9" ht="21.6" customHeight="1" x14ac:dyDescent="0.4">
      <c r="B4" s="156" t="str">
        <f>CONCATENATE("INR "&amp;'Data Sheet'!B8)</f>
        <v>INR 2645.2</v>
      </c>
    </row>
    <row r="5" spans="2:9" x14ac:dyDescent="0.3">
      <c r="B5" t="s">
        <v>630</v>
      </c>
    </row>
    <row r="6" spans="2:9" ht="13.8" customHeight="1" thickBot="1" x14ac:dyDescent="0.35">
      <c r="B6" s="148"/>
      <c r="C6" s="148"/>
      <c r="D6" s="148"/>
      <c r="E6" s="148"/>
      <c r="F6" s="148"/>
      <c r="G6" s="148"/>
      <c r="H6" s="148"/>
      <c r="I6" s="148"/>
    </row>
    <row r="7" spans="2:9" ht="25.8" x14ac:dyDescent="0.5">
      <c r="B7" s="352" t="s">
        <v>646</v>
      </c>
      <c r="C7" s="352"/>
      <c r="D7" s="352"/>
      <c r="E7" s="352"/>
      <c r="F7" s="352"/>
      <c r="G7" s="352"/>
      <c r="H7" s="352"/>
      <c r="I7" s="352"/>
    </row>
    <row r="8" spans="2:9" x14ac:dyDescent="0.3">
      <c r="B8" s="350" t="s">
        <v>632</v>
      </c>
      <c r="C8" s="351"/>
      <c r="D8" s="351"/>
      <c r="E8" s="351"/>
      <c r="F8" s="351"/>
      <c r="G8" s="351"/>
      <c r="H8" s="351"/>
      <c r="I8" s="351"/>
    </row>
    <row r="9" spans="2:9" x14ac:dyDescent="0.3">
      <c r="B9" s="351"/>
      <c r="C9" s="351"/>
      <c r="D9" s="351"/>
      <c r="E9" s="351"/>
      <c r="F9" s="351"/>
      <c r="G9" s="351"/>
      <c r="H9" s="351"/>
      <c r="I9" s="351"/>
    </row>
    <row r="10" spans="2:9" ht="27.6" customHeight="1" x14ac:dyDescent="0.3">
      <c r="B10" s="351"/>
      <c r="C10" s="351"/>
      <c r="D10" s="351"/>
      <c r="E10" s="351"/>
      <c r="F10" s="351"/>
      <c r="G10" s="351"/>
      <c r="H10" s="351"/>
      <c r="I10" s="351"/>
    </row>
    <row r="11" spans="2:9" ht="4.8" customHeight="1" x14ac:dyDescent="0.3"/>
    <row r="12" spans="2:9" ht="17.399999999999999" x14ac:dyDescent="0.35">
      <c r="B12" s="153" t="s">
        <v>644</v>
      </c>
    </row>
    <row r="13" spans="2:9" ht="5.4" customHeight="1" x14ac:dyDescent="0.3"/>
    <row r="36" spans="2:9" ht="17.399999999999999" x14ac:dyDescent="0.35">
      <c r="B36" s="153"/>
    </row>
    <row r="47" spans="2:9" ht="10.199999999999999" customHeight="1" x14ac:dyDescent="0.3">
      <c r="B47" s="155"/>
      <c r="C47" s="155"/>
      <c r="D47" s="155"/>
      <c r="E47" s="155"/>
      <c r="F47" s="155"/>
      <c r="G47" s="155"/>
      <c r="H47" s="155"/>
      <c r="I47" s="155"/>
    </row>
    <row r="48" spans="2:9" ht="10.199999999999999" customHeight="1" x14ac:dyDescent="0.3">
      <c r="B48" s="155"/>
      <c r="C48" s="155"/>
      <c r="D48" s="155"/>
      <c r="E48" s="155"/>
      <c r="F48" s="155"/>
      <c r="G48" s="155"/>
      <c r="H48" s="155"/>
      <c r="I48" s="155"/>
    </row>
    <row r="49" spans="2:9" ht="10.199999999999999" customHeight="1" x14ac:dyDescent="0.3"/>
    <row r="50" spans="2:9" ht="21" customHeight="1" x14ac:dyDescent="0.3">
      <c r="B50" s="158" t="s">
        <v>647</v>
      </c>
    </row>
    <row r="51" spans="2:9" ht="9.6" customHeight="1" x14ac:dyDescent="0.3"/>
    <row r="52" spans="2:9" x14ac:dyDescent="0.3">
      <c r="B52" s="349" t="s">
        <v>648</v>
      </c>
      <c r="C52" s="349"/>
      <c r="D52" s="349"/>
      <c r="E52" s="349"/>
      <c r="F52" s="349"/>
      <c r="G52" s="349"/>
      <c r="H52" s="349"/>
      <c r="I52" s="349"/>
    </row>
    <row r="53" spans="2:9" x14ac:dyDescent="0.3">
      <c r="C53" s="149">
        <f>HistoricalFS!F3</f>
        <v>43921</v>
      </c>
      <c r="D53" s="149">
        <f>HistoricalFS!G3</f>
        <v>44286</v>
      </c>
      <c r="E53" s="149">
        <f>HistoricalFS!H3</f>
        <v>44651</v>
      </c>
      <c r="F53" s="149">
        <f>HistoricalFS!I3</f>
        <v>45016</v>
      </c>
      <c r="G53" s="149">
        <f>HistoricalFS!J3</f>
        <v>45382</v>
      </c>
      <c r="H53" s="149">
        <f>HistoricalFS!K3</f>
        <v>45747</v>
      </c>
      <c r="I53" s="149">
        <f>HistoricalFS!L3</f>
        <v>46112</v>
      </c>
    </row>
    <row r="54" spans="2:9" x14ac:dyDescent="0.3">
      <c r="B54" t="s">
        <v>649</v>
      </c>
      <c r="C54" s="122">
        <f>'Data Sheet'!E65-'Data Sheet'!E60</f>
        <v>2817.2599999999993</v>
      </c>
      <c r="D54" s="122">
        <f>'Data Sheet'!F65-'Data Sheet'!F60</f>
        <v>3121.1100000000006</v>
      </c>
      <c r="E54" s="122">
        <f>'Data Sheet'!G65-'Data Sheet'!G60</f>
        <v>6205.42</v>
      </c>
      <c r="F54" s="122">
        <f>'Data Sheet'!H65-'Data Sheet'!H60</f>
        <v>6873.09</v>
      </c>
      <c r="G54" s="122">
        <f>'Data Sheet'!I65-'Data Sheet'!I60</f>
        <v>6769.77</v>
      </c>
      <c r="H54" s="122">
        <f>'Data Sheet'!J65-'Data Sheet'!J60</f>
        <v>6490.76</v>
      </c>
      <c r="I54" s="122">
        <f>'Data Sheet'!K65-'Data Sheet'!K60</f>
        <v>6749.83</v>
      </c>
    </row>
    <row r="55" spans="2:9" x14ac:dyDescent="0.3">
      <c r="B55" t="s">
        <v>47</v>
      </c>
      <c r="C55" s="122">
        <f>'Data Sheet'!E66</f>
        <v>16137.97</v>
      </c>
      <c r="D55" s="122">
        <f>'Data Sheet'!F66</f>
        <v>20355.34</v>
      </c>
      <c r="E55" s="122">
        <f>'Data Sheet'!G66</f>
        <v>22958.43</v>
      </c>
      <c r="F55" s="122">
        <f>'Data Sheet'!H66</f>
        <v>25779.33</v>
      </c>
      <c r="G55" s="122">
        <f>'Data Sheet'!I66</f>
        <v>29900.77</v>
      </c>
      <c r="H55" s="122">
        <f>'Data Sheet'!J66</f>
        <v>30355.25</v>
      </c>
      <c r="I55" s="122">
        <f>'Data Sheet'!K66</f>
        <v>34518.75</v>
      </c>
    </row>
    <row r="56" spans="2:9" x14ac:dyDescent="0.3">
      <c r="B56" s="150" t="s">
        <v>656</v>
      </c>
      <c r="C56" s="152">
        <f>C54/C55</f>
        <v>0.17457338190615049</v>
      </c>
      <c r="D56" s="152">
        <f t="shared" ref="D56:I56" si="0">D54/D55</f>
        <v>0.15333126344241857</v>
      </c>
      <c r="E56" s="152">
        <f t="shared" si="0"/>
        <v>0.27028938825520732</v>
      </c>
      <c r="F56" s="152">
        <f t="shared" si="0"/>
        <v>0.26661243717350297</v>
      </c>
      <c r="G56" s="152">
        <f t="shared" si="0"/>
        <v>0.22640788180371277</v>
      </c>
      <c r="H56" s="152">
        <f t="shared" si="0"/>
        <v>0.21382660330585321</v>
      </c>
      <c r="I56" s="152">
        <f t="shared" si="0"/>
        <v>0.19554097410827448</v>
      </c>
    </row>
    <row r="58" spans="2:9" x14ac:dyDescent="0.3">
      <c r="B58" s="349" t="s">
        <v>650</v>
      </c>
      <c r="C58" s="349"/>
      <c r="D58" s="349"/>
      <c r="E58" s="349"/>
      <c r="F58" s="349"/>
      <c r="G58" s="349"/>
      <c r="H58" s="349"/>
      <c r="I58" s="349"/>
    </row>
    <row r="59" spans="2:9" x14ac:dyDescent="0.3">
      <c r="C59" s="149">
        <f>C53</f>
        <v>43921</v>
      </c>
      <c r="D59" s="149">
        <f t="shared" ref="D59:I59" si="1">D53</f>
        <v>44286</v>
      </c>
      <c r="E59" s="149">
        <f t="shared" si="1"/>
        <v>44651</v>
      </c>
      <c r="F59" s="149">
        <f t="shared" si="1"/>
        <v>45016</v>
      </c>
      <c r="G59" s="149">
        <f t="shared" si="1"/>
        <v>45382</v>
      </c>
      <c r="H59" s="149">
        <f t="shared" si="1"/>
        <v>45747</v>
      </c>
      <c r="I59" s="149">
        <f t="shared" si="1"/>
        <v>46112</v>
      </c>
    </row>
    <row r="60" spans="2:9" x14ac:dyDescent="0.3">
      <c r="B60" t="s">
        <v>31</v>
      </c>
      <c r="C60" s="159">
        <f>HistoricalFS!F39*HistoricalFS!F50</f>
        <v>1623.1499999999983</v>
      </c>
      <c r="D60" s="159">
        <f>HistoricalFS!G39*HistoricalFS!G50</f>
        <v>1494.5800000000031</v>
      </c>
      <c r="E60" s="159">
        <f>HistoricalFS!H39*HistoricalFS!H50</f>
        <v>1247.9399999999998</v>
      </c>
      <c r="F60" s="159">
        <f>HistoricalFS!I39*HistoricalFS!I50</f>
        <v>1734.9799999999952</v>
      </c>
      <c r="G60" s="159">
        <f>HistoricalFS!J39*HistoricalFS!J50</f>
        <v>2363.5500000000025</v>
      </c>
      <c r="H60" s="159">
        <f>HistoricalFS!K39*HistoricalFS!K50</f>
        <v>1330.8900000000017</v>
      </c>
      <c r="I60" s="159">
        <f>HistoricalFS!L39*HistoricalFS!L50</f>
        <v>1756.8900000000042</v>
      </c>
    </row>
    <row r="61" spans="2:9" x14ac:dyDescent="0.3">
      <c r="B61" t="s">
        <v>47</v>
      </c>
      <c r="C61" s="122">
        <f>C55</f>
        <v>16137.97</v>
      </c>
      <c r="D61" s="122">
        <f t="shared" ref="D61:I61" si="2">D55</f>
        <v>20355.34</v>
      </c>
      <c r="E61" s="122">
        <f t="shared" si="2"/>
        <v>22958.43</v>
      </c>
      <c r="F61" s="122">
        <f t="shared" si="2"/>
        <v>25779.33</v>
      </c>
      <c r="G61" s="122">
        <f t="shared" si="2"/>
        <v>29900.77</v>
      </c>
      <c r="H61" s="122">
        <f t="shared" si="2"/>
        <v>30355.25</v>
      </c>
      <c r="I61" s="122">
        <f t="shared" si="2"/>
        <v>34518.75</v>
      </c>
    </row>
    <row r="62" spans="2:9" x14ac:dyDescent="0.3">
      <c r="B62" s="150" t="s">
        <v>657</v>
      </c>
      <c r="C62" s="152">
        <f>C60/C61</f>
        <v>0.10057956483993949</v>
      </c>
      <c r="D62" s="152">
        <f t="shared" ref="D62:H62" si="3">D60/D61</f>
        <v>7.3424467486173317E-2</v>
      </c>
      <c r="E62" s="152">
        <f t="shared" si="3"/>
        <v>5.4356504342849221E-2</v>
      </c>
      <c r="F62" s="152">
        <f t="shared" si="3"/>
        <v>6.730120604375657E-2</v>
      </c>
      <c r="G62" s="152">
        <f t="shared" si="3"/>
        <v>7.9046459338672631E-2</v>
      </c>
      <c r="H62" s="152">
        <f t="shared" si="3"/>
        <v>4.3843816143830198E-2</v>
      </c>
      <c r="I62" s="152">
        <f>I60/I61</f>
        <v>5.0896686583378717E-2</v>
      </c>
    </row>
    <row r="64" spans="2:9" x14ac:dyDescent="0.3">
      <c r="B64" s="349" t="s">
        <v>651</v>
      </c>
      <c r="C64" s="349"/>
      <c r="D64" s="349"/>
      <c r="E64" s="349"/>
      <c r="F64" s="349"/>
      <c r="G64" s="349"/>
      <c r="H64" s="349"/>
      <c r="I64" s="349"/>
    </row>
    <row r="65" spans="2:9" x14ac:dyDescent="0.3">
      <c r="C65" s="149">
        <f>C59</f>
        <v>43921</v>
      </c>
      <c r="D65" s="149">
        <f t="shared" ref="D65:I65" si="4">D59</f>
        <v>44286</v>
      </c>
      <c r="E65" s="149">
        <f t="shared" si="4"/>
        <v>44651</v>
      </c>
      <c r="F65" s="149">
        <f t="shared" si="4"/>
        <v>45016</v>
      </c>
      <c r="G65" s="149">
        <f t="shared" si="4"/>
        <v>45382</v>
      </c>
      <c r="H65" s="149">
        <f t="shared" si="4"/>
        <v>45747</v>
      </c>
      <c r="I65" s="149">
        <f t="shared" si="4"/>
        <v>46112</v>
      </c>
    </row>
    <row r="66" spans="2:9" x14ac:dyDescent="0.3">
      <c r="B66" t="s">
        <v>133</v>
      </c>
      <c r="C66" s="122">
        <f>HistoricalFS!F27</f>
        <v>3731.3699999999981</v>
      </c>
      <c r="D66" s="122">
        <f>HistoricalFS!G27</f>
        <v>4395.9800000000032</v>
      </c>
      <c r="E66" s="122">
        <f>HistoricalFS!H27</f>
        <v>4283.1299999999992</v>
      </c>
      <c r="F66" s="122">
        <f>HistoricalFS!I27</f>
        <v>5833.2799999999952</v>
      </c>
      <c r="G66" s="122">
        <f>HistoricalFS!J27</f>
        <v>7552.9400000000023</v>
      </c>
      <c r="H66" s="122">
        <f>HistoricalFS!K27</f>
        <v>5330.090000000002</v>
      </c>
      <c r="I66" s="122">
        <f>HistoricalFS!L27</f>
        <v>6198.850000000004</v>
      </c>
    </row>
    <row r="67" spans="2:9" x14ac:dyDescent="0.3">
      <c r="B67" t="s">
        <v>47</v>
      </c>
      <c r="C67" s="122">
        <f>C61</f>
        <v>16137.97</v>
      </c>
      <c r="D67" s="122">
        <f t="shared" ref="D67:I67" si="5">D61</f>
        <v>20355.34</v>
      </c>
      <c r="E67" s="122">
        <f t="shared" si="5"/>
        <v>22958.43</v>
      </c>
      <c r="F67" s="122">
        <f t="shared" si="5"/>
        <v>25779.33</v>
      </c>
      <c r="G67" s="122">
        <f t="shared" si="5"/>
        <v>29900.77</v>
      </c>
      <c r="H67" s="122">
        <f t="shared" si="5"/>
        <v>30355.25</v>
      </c>
      <c r="I67" s="122">
        <f t="shared" si="5"/>
        <v>34518.75</v>
      </c>
    </row>
    <row r="68" spans="2:9" x14ac:dyDescent="0.3">
      <c r="B68" s="150" t="s">
        <v>658</v>
      </c>
      <c r="C68" s="152">
        <f t="shared" ref="C68:H68" si="6">C66/C67</f>
        <v>0.23121681351495871</v>
      </c>
      <c r="D68" s="152">
        <f t="shared" si="6"/>
        <v>0.21596200309108093</v>
      </c>
      <c r="E68" s="152">
        <f t="shared" si="6"/>
        <v>0.18656023081717693</v>
      </c>
      <c r="F68" s="152">
        <f t="shared" si="6"/>
        <v>0.22627740907153113</v>
      </c>
      <c r="G68" s="152">
        <f t="shared" si="6"/>
        <v>0.25260018387486349</v>
      </c>
      <c r="H68" s="152">
        <f t="shared" si="6"/>
        <v>0.17559038387099438</v>
      </c>
      <c r="I68" s="152">
        <f>I66/I67</f>
        <v>0.17957921419518388</v>
      </c>
    </row>
    <row r="70" spans="2:9" x14ac:dyDescent="0.3">
      <c r="B70" s="349" t="s">
        <v>653</v>
      </c>
      <c r="C70" s="349"/>
      <c r="D70" s="349"/>
      <c r="E70" s="349"/>
      <c r="F70" s="349"/>
      <c r="G70" s="349"/>
      <c r="H70" s="349"/>
      <c r="I70" s="349"/>
    </row>
    <row r="71" spans="2:9" x14ac:dyDescent="0.3">
      <c r="C71" s="149">
        <f>C65</f>
        <v>43921</v>
      </c>
      <c r="D71" s="149">
        <f t="shared" ref="D71:I71" si="7">D65</f>
        <v>44286</v>
      </c>
      <c r="E71" s="149">
        <f t="shared" si="7"/>
        <v>44651</v>
      </c>
      <c r="F71" s="149">
        <f t="shared" si="7"/>
        <v>45016</v>
      </c>
      <c r="G71" s="149">
        <f t="shared" si="7"/>
        <v>45382</v>
      </c>
      <c r="H71" s="149">
        <f t="shared" si="7"/>
        <v>45747</v>
      </c>
      <c r="I71" s="149">
        <f t="shared" si="7"/>
        <v>46112</v>
      </c>
    </row>
    <row r="72" spans="2:9" x14ac:dyDescent="0.3">
      <c r="B72" t="s">
        <v>654</v>
      </c>
      <c r="C72" s="122">
        <f>'Data Sheet'!E90*'Data Sheet'!E93</f>
        <v>159850.68</v>
      </c>
      <c r="D72" s="122">
        <f>'Data Sheet'!F90*'Data Sheet'!F93</f>
        <v>243387.40800000002</v>
      </c>
      <c r="E72" s="122">
        <f>'Data Sheet'!G90*'Data Sheet'!G93</f>
        <v>295428.804</v>
      </c>
      <c r="F72" s="122">
        <f>'Data Sheet'!H90*'Data Sheet'!H93</f>
        <v>264897.46799999999</v>
      </c>
      <c r="G72" s="122">
        <f>'Data Sheet'!I90*'Data Sheet'!I93</f>
        <v>273060.26</v>
      </c>
      <c r="H72" s="122">
        <f>'Data Sheet'!J90*'Data Sheet'!J93</f>
        <v>224515.14800000002</v>
      </c>
      <c r="I72" s="122">
        <f>'Data Sheet'!K90*'Data Sheet'!K93</f>
        <v>207685.984</v>
      </c>
    </row>
    <row r="73" spans="2:9" x14ac:dyDescent="0.3">
      <c r="B73" t="s">
        <v>652</v>
      </c>
      <c r="C73" s="122">
        <f>'Data Sheet'!E59</f>
        <v>1118.5</v>
      </c>
      <c r="D73" s="122">
        <f>'Data Sheet'!F59</f>
        <v>1093.1199999999999</v>
      </c>
      <c r="E73" s="122">
        <f>'Data Sheet'!G59</f>
        <v>1586.88</v>
      </c>
      <c r="F73" s="122">
        <f>'Data Sheet'!H59</f>
        <v>1932.62</v>
      </c>
      <c r="G73" s="122">
        <f>'Data Sheet'!I59</f>
        <v>2474.38</v>
      </c>
      <c r="H73" s="122">
        <f>'Data Sheet'!J59</f>
        <v>2290.29</v>
      </c>
      <c r="I73" s="122">
        <f>'Data Sheet'!K59</f>
        <v>3928.93</v>
      </c>
    </row>
    <row r="74" spans="2:9" x14ac:dyDescent="0.3">
      <c r="B74" s="150" t="s">
        <v>659</v>
      </c>
      <c r="C74" s="152">
        <f>C72/C73</f>
        <v>142.91522574877067</v>
      </c>
      <c r="D74" s="152">
        <f t="shared" ref="D74:H74" si="8">D72/D73</f>
        <v>222.65387880562065</v>
      </c>
      <c r="E74" s="152">
        <f t="shared" si="8"/>
        <v>186.16959316394434</v>
      </c>
      <c r="F74" s="152">
        <f t="shared" si="8"/>
        <v>137.06650453788123</v>
      </c>
      <c r="G74" s="152">
        <f t="shared" si="8"/>
        <v>110.35502226820456</v>
      </c>
      <c r="H74" s="152">
        <f t="shared" si="8"/>
        <v>98.029135175021509</v>
      </c>
      <c r="I74" s="152">
        <f>I72/I73</f>
        <v>52.860698459886024</v>
      </c>
    </row>
    <row r="76" spans="2:9" x14ac:dyDescent="0.3">
      <c r="B76" s="349" t="s">
        <v>655</v>
      </c>
      <c r="C76" s="349"/>
      <c r="D76" s="349"/>
      <c r="E76" s="349"/>
      <c r="F76" s="349"/>
      <c r="G76" s="349"/>
      <c r="H76" s="349"/>
      <c r="I76" s="349"/>
    </row>
    <row r="77" spans="2:9" x14ac:dyDescent="0.3">
      <c r="C77" s="149">
        <f t="shared" ref="C77:I77" si="9">C53</f>
        <v>43921</v>
      </c>
      <c r="D77" s="149">
        <f t="shared" si="9"/>
        <v>44286</v>
      </c>
      <c r="E77" s="149">
        <f t="shared" si="9"/>
        <v>44651</v>
      </c>
      <c r="F77" s="149">
        <f t="shared" si="9"/>
        <v>45016</v>
      </c>
      <c r="G77" s="149">
        <f t="shared" si="9"/>
        <v>45382</v>
      </c>
      <c r="H77" s="149">
        <f t="shared" si="9"/>
        <v>45747</v>
      </c>
      <c r="I77" s="149">
        <f t="shared" si="9"/>
        <v>46112</v>
      </c>
    </row>
    <row r="78" spans="2:9" x14ac:dyDescent="0.3">
      <c r="B78" t="s">
        <v>2</v>
      </c>
      <c r="C78" s="122">
        <f>'Data Sheet'!E17</f>
        <v>20211.25</v>
      </c>
      <c r="D78" s="122">
        <f>'Data Sheet'!F17</f>
        <v>21712.79</v>
      </c>
      <c r="E78" s="122">
        <f>'Data Sheet'!G17</f>
        <v>29101.279999999999</v>
      </c>
      <c r="F78" s="122">
        <f>'Data Sheet'!H17</f>
        <v>34488.589999999997</v>
      </c>
      <c r="G78" s="122">
        <f>'Data Sheet'!I17</f>
        <v>35494.730000000003</v>
      </c>
      <c r="H78" s="122">
        <f>'Data Sheet'!J17</f>
        <v>33905.620000000003</v>
      </c>
      <c r="I78" s="122">
        <f>'Data Sheet'!K17</f>
        <v>35583.54</v>
      </c>
    </row>
    <row r="79" spans="2:9" x14ac:dyDescent="0.3">
      <c r="B79" t="s">
        <v>47</v>
      </c>
      <c r="C79" s="122">
        <f>'Data Sheet'!E66</f>
        <v>16137.97</v>
      </c>
      <c r="D79" s="122">
        <f>'Data Sheet'!F66</f>
        <v>20355.34</v>
      </c>
      <c r="E79" s="122">
        <f>'Data Sheet'!G66</f>
        <v>22958.43</v>
      </c>
      <c r="F79" s="122">
        <f>'Data Sheet'!H66</f>
        <v>25779.33</v>
      </c>
      <c r="G79" s="122">
        <f>'Data Sheet'!I66</f>
        <v>29900.77</v>
      </c>
      <c r="H79" s="122">
        <f>'Data Sheet'!J66</f>
        <v>30355.25</v>
      </c>
      <c r="I79" s="122">
        <f>'Data Sheet'!K66</f>
        <v>34518.75</v>
      </c>
    </row>
    <row r="80" spans="2:9" x14ac:dyDescent="0.3">
      <c r="B80" s="150" t="s">
        <v>660</v>
      </c>
      <c r="C80" s="152">
        <f>C78/C79</f>
        <v>1.2524034931283179</v>
      </c>
      <c r="D80" s="152">
        <f t="shared" ref="D80:H80" si="10">D78/D79</f>
        <v>1.0666876603387612</v>
      </c>
      <c r="E80" s="152">
        <f t="shared" si="10"/>
        <v>1.267564027679593</v>
      </c>
      <c r="F80" s="152">
        <f t="shared" si="10"/>
        <v>1.3378388809949675</v>
      </c>
      <c r="G80" s="152">
        <f t="shared" si="10"/>
        <v>1.1870841453246856</v>
      </c>
      <c r="H80" s="152">
        <f t="shared" si="10"/>
        <v>1.1169606575468825</v>
      </c>
      <c r="I80" s="152">
        <f>I78/I79</f>
        <v>1.0308467137425312</v>
      </c>
    </row>
    <row r="82" spans="2:9" x14ac:dyDescent="0.3">
      <c r="B82" s="349" t="s">
        <v>661</v>
      </c>
      <c r="C82" s="349"/>
      <c r="D82" s="349"/>
      <c r="E82" s="349"/>
      <c r="F82" s="349"/>
      <c r="G82" s="349"/>
      <c r="H82" s="349"/>
      <c r="I82" s="349"/>
    </row>
    <row r="83" spans="2:9" x14ac:dyDescent="0.3">
      <c r="C83" s="149">
        <f>C77</f>
        <v>43921</v>
      </c>
      <c r="D83" s="149">
        <f t="shared" ref="D83:I83" si="11">D77</f>
        <v>44286</v>
      </c>
      <c r="E83" s="149">
        <f t="shared" si="11"/>
        <v>44651</v>
      </c>
      <c r="F83" s="149">
        <f t="shared" si="11"/>
        <v>45016</v>
      </c>
      <c r="G83" s="149">
        <f t="shared" si="11"/>
        <v>45382</v>
      </c>
      <c r="H83" s="149">
        <f t="shared" si="11"/>
        <v>45747</v>
      </c>
      <c r="I83" s="149">
        <f t="shared" si="11"/>
        <v>46112</v>
      </c>
    </row>
    <row r="84" spans="2:9" x14ac:dyDescent="0.3">
      <c r="B84" s="71" t="s">
        <v>662</v>
      </c>
      <c r="C84" s="160">
        <f>(C56*1.2)+(C62*1.4)+(C68*3.3)+(C74*0.6)+(C80*1)</f>
        <v>88.114853876053374</v>
      </c>
      <c r="D84" s="160">
        <f t="shared" ref="D84:I84" si="12">(D56*1.2)+(D62*1.4)+(D68*3.3)+(D74*0.6)+(D80*1)</f>
        <v>135.65848132452328</v>
      </c>
      <c r="E84" s="160">
        <f t="shared" si="12"/>
        <v>113.98541505972912</v>
      </c>
      <c r="F84" s="160">
        <f t="shared" si="12"/>
        <v>84.738613666729208</v>
      </c>
      <c r="G84" s="160">
        <f t="shared" si="12"/>
        <v>68.616032614273067</v>
      </c>
      <c r="H84" s="160">
        <f t="shared" si="12"/>
        <v>60.831863295902451</v>
      </c>
      <c r="I84" s="160">
        <f t="shared" si="12"/>
        <v>33.645781726664914</v>
      </c>
    </row>
    <row r="85" spans="2:9" x14ac:dyDescent="0.3">
      <c r="B85" s="161" t="s">
        <v>663</v>
      </c>
      <c r="C85" s="162" t="str">
        <f>IF(C84&lt;1.81,"Distressed",IF(C84&gt;3,"Strong","Grey Zone"))</f>
        <v>Strong</v>
      </c>
      <c r="D85" s="162" t="str">
        <f t="shared" ref="D85:I85" si="13">IF(D84&lt;1.81,"Distressed",IF(D84&gt;3,"Strong","Grey Zone"))</f>
        <v>Strong</v>
      </c>
      <c r="E85" s="162" t="str">
        <f t="shared" si="13"/>
        <v>Strong</v>
      </c>
      <c r="F85" s="162" t="str">
        <f t="shared" si="13"/>
        <v>Strong</v>
      </c>
      <c r="G85" s="162" t="str">
        <f t="shared" si="13"/>
        <v>Strong</v>
      </c>
      <c r="H85" s="162" t="str">
        <f t="shared" si="13"/>
        <v>Strong</v>
      </c>
      <c r="I85" s="162" t="str">
        <f t="shared" si="13"/>
        <v>Strong</v>
      </c>
    </row>
    <row r="90" spans="2:9" ht="9" customHeight="1" x14ac:dyDescent="0.3">
      <c r="B90" s="155"/>
      <c r="C90" s="155"/>
      <c r="D90" s="155"/>
      <c r="E90" s="155"/>
      <c r="F90" s="155"/>
      <c r="G90" s="155"/>
      <c r="H90" s="155"/>
      <c r="I90" s="155"/>
    </row>
    <row r="93" spans="2:9" ht="0.6" customHeight="1" x14ac:dyDescent="0.3"/>
    <row r="105" ht="10.8" customHeight="1" x14ac:dyDescent="0.3"/>
    <row r="108" ht="10.199999999999999" customHeight="1" x14ac:dyDescent="0.3"/>
  </sheetData>
  <mergeCells count="8">
    <mergeCell ref="B8:I10"/>
    <mergeCell ref="B52:I52"/>
    <mergeCell ref="B58:I58"/>
    <mergeCell ref="B82:I82"/>
    <mergeCell ref="B7:I7"/>
    <mergeCell ref="B64:I64"/>
    <mergeCell ref="B70:I70"/>
    <mergeCell ref="B76:I76"/>
  </mergeCells>
  <pageMargins left="0.23622047244094491" right="0.23622047244094491" top="0.35433070866141736" bottom="0" header="0.31496062992125984" footer="0.31496062992125984"/>
  <pageSetup scale="95" fitToHeight="0" orientation="portrait" r:id="rId1"/>
  <rowBreaks count="2" manualBreakCount="2">
    <brk id="47" max="8" man="1"/>
    <brk id="90" max="8"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D7AF-ED33-45CB-A3C1-2B8DDDBA4203}">
  <dimension ref="A1"/>
  <sheetViews>
    <sheetView zoomScale="80" zoomScaleNormal="80" workbookViewId="0">
      <selection activeCell="Q11" sqref="Q11"/>
    </sheetView>
  </sheetViews>
  <sheetFormatPr defaultRowHeight="14.4" x14ac:dyDescent="0.3"/>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B9F2-02B5-49DD-BF63-7E730FC2F138}">
  <dimension ref="B2:M2"/>
  <sheetViews>
    <sheetView workbookViewId="0">
      <selection activeCell="Q11" sqref="Q11"/>
    </sheetView>
  </sheetViews>
  <sheetFormatPr defaultRowHeight="14.4" x14ac:dyDescent="0.3"/>
  <cols>
    <col min="2" max="2" width="21" customWidth="1"/>
    <col min="3" max="3" width="98.88671875" style="125" customWidth="1"/>
    <col min="13" max="13" width="8.88671875" style="125"/>
  </cols>
  <sheetData>
    <row r="2" spans="2:3" ht="60.6" customHeight="1" x14ac:dyDescent="0.3">
      <c r="B2" s="127" t="s">
        <v>560</v>
      </c>
      <c r="C2" s="126" t="s">
        <v>561</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Normal="100" workbookViewId="0">
      <selection activeCell="C13" sqref="C13"/>
    </sheetView>
  </sheetViews>
  <sheetFormatPr defaultColWidth="8.6640625" defaultRowHeight="14.4" x14ac:dyDescent="0.3"/>
  <cols>
    <col min="1" max="1" width="1.88671875" customWidth="1"/>
  </cols>
  <sheetData/>
  <pageMargins left="0.7" right="0.7" top="0.75" bottom="0.75" header="0.511811023622047" footer="0.511811023622047"/>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Normal="100" workbookViewId="0"/>
  </sheetViews>
  <sheetFormatPr defaultColWidth="8.6640625" defaultRowHeight="14.4" x14ac:dyDescent="0.3"/>
  <sheetData/>
  <pageMargins left="0.7" right="0.7" top="0.75" bottom="0.75" header="0.511811023622047" footer="0.511811023622047"/>
  <pageSetup paperSize="9"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102"/>
  <sheetViews>
    <sheetView zoomScale="80" zoomScaleNormal="80" workbookViewId="0">
      <selection activeCell="A17" sqref="A17:A31"/>
    </sheetView>
  </sheetViews>
  <sheetFormatPr defaultColWidth="8.77734375" defaultRowHeight="14.4" x14ac:dyDescent="0.3"/>
  <cols>
    <col min="1" max="1" width="27.6640625" style="9" customWidth="1"/>
    <col min="2" max="11" width="16.33203125" style="9" customWidth="1"/>
    <col min="12" max="13" width="9.77734375" style="9" customWidth="1"/>
    <col min="14" max="16384" width="8.77734375" style="9"/>
  </cols>
  <sheetData>
    <row r="1" spans="1:11" s="10" customFormat="1" ht="14.25" customHeight="1" x14ac:dyDescent="0.3">
      <c r="A1" s="10" t="s">
        <v>158</v>
      </c>
      <c r="B1" s="10" t="s">
        <v>159</v>
      </c>
      <c r="E1" s="353" t="str">
        <f>IF(B2&lt;&gt;B3, "A NEW VERSION OF THE WORKSHEET IS AVAILABLE", "")</f>
        <v/>
      </c>
      <c r="F1" s="353"/>
      <c r="G1" s="353"/>
      <c r="H1" s="353"/>
      <c r="I1" s="353"/>
      <c r="J1" s="353"/>
      <c r="K1" s="353"/>
    </row>
    <row r="2" spans="1:11" ht="14.25" customHeight="1" x14ac:dyDescent="0.3">
      <c r="A2" s="10" t="s">
        <v>160</v>
      </c>
      <c r="B2" s="9">
        <v>2.1</v>
      </c>
      <c r="E2" s="354" t="s">
        <v>161</v>
      </c>
      <c r="F2" s="354"/>
      <c r="G2" s="354"/>
      <c r="H2" s="354"/>
      <c r="I2" s="354"/>
      <c r="J2" s="354"/>
      <c r="K2" s="354"/>
    </row>
    <row r="3" spans="1:11" ht="14.25" customHeight="1" x14ac:dyDescent="0.3">
      <c r="A3" s="10" t="s">
        <v>162</v>
      </c>
      <c r="B3" s="9">
        <v>2.1</v>
      </c>
    </row>
    <row r="4" spans="1:11" ht="14.25" customHeight="1" x14ac:dyDescent="0.3">
      <c r="A4" s="10"/>
    </row>
    <row r="5" spans="1:11" ht="14.25" customHeight="1" x14ac:dyDescent="0.3">
      <c r="A5" s="10" t="s">
        <v>163</v>
      </c>
    </row>
    <row r="6" spans="1:11" ht="14.25" customHeight="1" x14ac:dyDescent="0.3">
      <c r="A6" s="9" t="s">
        <v>164</v>
      </c>
      <c r="B6" s="9">
        <f>IF(B9&gt;0, B9/B8, 0)</f>
        <v>95.919779222743088</v>
      </c>
    </row>
    <row r="7" spans="1:11" ht="14.25" customHeight="1" x14ac:dyDescent="0.3">
      <c r="A7" s="9" t="s">
        <v>165</v>
      </c>
      <c r="B7" s="9">
        <v>1</v>
      </c>
    </row>
    <row r="8" spans="1:11" ht="14.25" customHeight="1" x14ac:dyDescent="0.3">
      <c r="A8" s="9" t="s">
        <v>166</v>
      </c>
      <c r="B8" s="9">
        <v>2645.2</v>
      </c>
      <c r="F8" s="9" t="s">
        <v>89</v>
      </c>
    </row>
    <row r="9" spans="1:11" ht="14.25" customHeight="1" x14ac:dyDescent="0.3">
      <c r="A9" s="9" t="s">
        <v>167</v>
      </c>
      <c r="B9" s="9">
        <v>253727</v>
      </c>
    </row>
    <row r="15" spans="1:11" ht="14.25" customHeight="1" x14ac:dyDescent="0.3">
      <c r="A15" s="10" t="s">
        <v>168</v>
      </c>
    </row>
    <row r="16" spans="1:11" s="28" customFormat="1" ht="14.25" customHeight="1" x14ac:dyDescent="0.3">
      <c r="A16" s="26" t="s">
        <v>169</v>
      </c>
      <c r="B16" s="27">
        <v>42825</v>
      </c>
      <c r="C16" s="27">
        <v>43190</v>
      </c>
      <c r="D16" s="27">
        <v>43555</v>
      </c>
      <c r="E16" s="27">
        <v>43921</v>
      </c>
      <c r="F16" s="27">
        <v>44286</v>
      </c>
      <c r="G16" s="27">
        <v>44651</v>
      </c>
      <c r="H16" s="27">
        <v>45016</v>
      </c>
      <c r="I16" s="27">
        <v>45382</v>
      </c>
      <c r="J16" s="27">
        <v>45747</v>
      </c>
      <c r="K16" s="27">
        <v>46112</v>
      </c>
    </row>
    <row r="17" spans="1:11" ht="14.25" customHeight="1" x14ac:dyDescent="0.3">
      <c r="A17" s="9" t="s">
        <v>2</v>
      </c>
      <c r="B17" s="9">
        <v>15061.99</v>
      </c>
      <c r="C17" s="9">
        <v>16824.55</v>
      </c>
      <c r="D17" s="9">
        <v>19240.13</v>
      </c>
      <c r="E17" s="9">
        <v>20211.25</v>
      </c>
      <c r="F17" s="9">
        <v>21712.79</v>
      </c>
      <c r="G17" s="9">
        <v>29101.279999999999</v>
      </c>
      <c r="H17" s="9">
        <v>34488.589999999997</v>
      </c>
      <c r="I17" s="9">
        <v>35494.730000000003</v>
      </c>
      <c r="J17" s="9">
        <v>33905.620000000003</v>
      </c>
      <c r="K17" s="9">
        <v>35583.54</v>
      </c>
    </row>
    <row r="18" spans="1:11" ht="14.25" customHeight="1" x14ac:dyDescent="0.3">
      <c r="A18" s="9" t="s">
        <v>170</v>
      </c>
      <c r="B18" s="9">
        <v>7452.6</v>
      </c>
      <c r="C18" s="9">
        <v>8128.17</v>
      </c>
      <c r="D18" s="9">
        <v>9974.4</v>
      </c>
      <c r="E18" s="9">
        <v>9981.99</v>
      </c>
      <c r="F18" s="9">
        <v>10425.549999999999</v>
      </c>
      <c r="G18" s="9">
        <v>17123.25</v>
      </c>
      <c r="H18" s="9">
        <v>18985.53</v>
      </c>
      <c r="I18" s="9">
        <v>17410.84</v>
      </c>
      <c r="J18" s="9">
        <v>17504.509999999998</v>
      </c>
      <c r="K18" s="9">
        <v>17142.009999999998</v>
      </c>
    </row>
    <row r="19" spans="1:11" ht="14.25" customHeight="1" x14ac:dyDescent="0.3">
      <c r="A19" s="9" t="s">
        <v>171</v>
      </c>
      <c r="B19" s="9">
        <v>528.6</v>
      </c>
      <c r="C19" s="9">
        <v>-142.13</v>
      </c>
      <c r="D19" s="9">
        <v>293.26</v>
      </c>
      <c r="E19" s="9">
        <v>239.15</v>
      </c>
      <c r="F19" s="9">
        <v>92.45</v>
      </c>
      <c r="G19" s="9">
        <v>1324.97</v>
      </c>
      <c r="H19" s="9">
        <v>309.73</v>
      </c>
      <c r="I19" s="9">
        <v>-363.8</v>
      </c>
      <c r="J19" s="9">
        <v>205</v>
      </c>
      <c r="K19" s="9">
        <v>-603.67999999999995</v>
      </c>
    </row>
    <row r="20" spans="1:11" ht="14.25" customHeight="1" x14ac:dyDescent="0.3">
      <c r="A20" s="9" t="s">
        <v>172</v>
      </c>
      <c r="B20" s="9">
        <v>106.02</v>
      </c>
      <c r="C20" s="9">
        <v>110.3</v>
      </c>
      <c r="D20" s="9">
        <v>119.63</v>
      </c>
      <c r="E20" s="9">
        <v>97.79</v>
      </c>
      <c r="F20" s="9">
        <v>86.05</v>
      </c>
      <c r="G20" s="9">
        <v>117.23</v>
      </c>
      <c r="H20" s="9">
        <v>138.29</v>
      </c>
      <c r="I20" s="9">
        <v>133.25</v>
      </c>
      <c r="J20" s="9">
        <v>148.58000000000001</v>
      </c>
      <c r="K20" s="9">
        <v>167.1</v>
      </c>
    </row>
    <row r="21" spans="1:11" ht="14.25" customHeight="1" x14ac:dyDescent="0.3">
      <c r="A21" s="9" t="s">
        <v>173</v>
      </c>
      <c r="B21" s="9">
        <v>1662.75</v>
      </c>
      <c r="C21" s="9">
        <v>1691.68</v>
      </c>
      <c r="D21" s="9">
        <v>1862.35</v>
      </c>
      <c r="E21" s="9">
        <v>1946.12</v>
      </c>
      <c r="F21" s="9">
        <v>2068.31</v>
      </c>
      <c r="G21" s="9">
        <v>2880.45</v>
      </c>
      <c r="H21" s="9">
        <v>2916.2</v>
      </c>
      <c r="I21" s="9">
        <v>2767.18</v>
      </c>
      <c r="J21" s="9">
        <v>2687.4</v>
      </c>
      <c r="K21" s="9">
        <v>2767.11</v>
      </c>
    </row>
    <row r="22" spans="1:11" ht="14.25" customHeight="1" x14ac:dyDescent="0.3">
      <c r="A22" s="9" t="s">
        <v>174</v>
      </c>
      <c r="B22" s="9">
        <v>1039.8900000000001</v>
      </c>
      <c r="C22" s="9">
        <v>1121.8900000000001</v>
      </c>
      <c r="D22" s="9">
        <v>1242.69</v>
      </c>
      <c r="E22" s="9">
        <v>1371.27</v>
      </c>
      <c r="F22" s="9">
        <v>1547.61</v>
      </c>
      <c r="G22" s="9">
        <v>1794.61</v>
      </c>
      <c r="H22" s="9">
        <v>2036.41</v>
      </c>
      <c r="I22" s="9">
        <v>2334.92</v>
      </c>
      <c r="J22" s="9">
        <v>2605.7800000000002</v>
      </c>
      <c r="K22" s="9">
        <v>2809.73</v>
      </c>
    </row>
    <row r="23" spans="1:11" ht="14.25" customHeight="1" x14ac:dyDescent="0.3">
      <c r="A23" s="9" t="s">
        <v>175</v>
      </c>
      <c r="B23" s="9">
        <v>4364.04</v>
      </c>
      <c r="C23" s="9">
        <v>2254.92</v>
      </c>
      <c r="D23" s="9">
        <v>2366.87</v>
      </c>
      <c r="E23" s="9">
        <v>2311.5100000000002</v>
      </c>
      <c r="F23" s="9">
        <v>2245.69</v>
      </c>
      <c r="G23" s="9">
        <v>2941.98</v>
      </c>
      <c r="H23" s="9">
        <v>3500.84</v>
      </c>
      <c r="I23" s="9">
        <v>3811.86</v>
      </c>
      <c r="J23" s="9">
        <v>3874.94</v>
      </c>
      <c r="K23" s="9">
        <v>4112.07</v>
      </c>
    </row>
    <row r="24" spans="1:11" ht="14.25" customHeight="1" x14ac:dyDescent="0.3">
      <c r="A24" s="9" t="s">
        <v>176</v>
      </c>
      <c r="B24" s="9">
        <v>-2028.47</v>
      </c>
      <c r="C24" s="9">
        <v>171.45</v>
      </c>
      <c r="D24" s="9">
        <v>202.51</v>
      </c>
      <c r="E24" s="9">
        <v>579.95000000000005</v>
      </c>
      <c r="F24" s="9">
        <v>576.42999999999995</v>
      </c>
      <c r="G24" s="9">
        <v>765.12</v>
      </c>
      <c r="H24" s="9">
        <v>961.21</v>
      </c>
      <c r="I24" s="9">
        <v>1087.9000000000001</v>
      </c>
      <c r="J24" s="9">
        <v>1283.2</v>
      </c>
      <c r="K24" s="9">
        <v>1282.1099999999999</v>
      </c>
    </row>
    <row r="25" spans="1:11" ht="14.25" customHeight="1" x14ac:dyDescent="0.3">
      <c r="A25" s="9" t="s">
        <v>12</v>
      </c>
      <c r="B25" s="9">
        <v>337.9</v>
      </c>
      <c r="C25" s="9">
        <v>336.41</v>
      </c>
      <c r="D25" s="9">
        <v>273.77</v>
      </c>
      <c r="E25" s="9">
        <v>350.1</v>
      </c>
      <c r="F25" s="9">
        <v>331.65</v>
      </c>
      <c r="G25" s="9">
        <v>295.88</v>
      </c>
      <c r="H25" s="9">
        <v>431.46</v>
      </c>
      <c r="I25" s="9">
        <v>820.96</v>
      </c>
      <c r="J25" s="9">
        <v>350.22</v>
      </c>
      <c r="K25" s="9">
        <v>727.97</v>
      </c>
    </row>
    <row r="26" spans="1:11" ht="14.25" customHeight="1" x14ac:dyDescent="0.3">
      <c r="A26" s="9" t="s">
        <v>14</v>
      </c>
      <c r="B26" s="9">
        <v>334.79</v>
      </c>
      <c r="C26" s="9">
        <v>360.47</v>
      </c>
      <c r="D26" s="9">
        <v>622.14</v>
      </c>
      <c r="E26" s="9">
        <v>780.5</v>
      </c>
      <c r="F26" s="9">
        <v>791.27</v>
      </c>
      <c r="G26" s="9">
        <v>816.36</v>
      </c>
      <c r="H26" s="9">
        <v>858.02</v>
      </c>
      <c r="I26" s="9">
        <v>853</v>
      </c>
      <c r="J26" s="9">
        <v>1026.3399999999999</v>
      </c>
      <c r="K26" s="9">
        <v>1228.8499999999999</v>
      </c>
    </row>
    <row r="27" spans="1:11" ht="14.25" customHeight="1" x14ac:dyDescent="0.3">
      <c r="A27" s="9" t="s">
        <v>18</v>
      </c>
      <c r="B27" s="9">
        <v>37.33</v>
      </c>
      <c r="C27" s="9">
        <v>41.47</v>
      </c>
      <c r="D27" s="9">
        <v>110.47</v>
      </c>
      <c r="E27" s="9">
        <v>102.33</v>
      </c>
      <c r="F27" s="9">
        <v>91.63</v>
      </c>
      <c r="G27" s="9">
        <v>95.41</v>
      </c>
      <c r="H27" s="9">
        <v>144.44999999999999</v>
      </c>
      <c r="I27" s="9">
        <v>205.17</v>
      </c>
      <c r="J27" s="9">
        <v>227.02</v>
      </c>
      <c r="K27" s="9">
        <v>195.41</v>
      </c>
    </row>
    <row r="28" spans="1:11" ht="14.25" customHeight="1" x14ac:dyDescent="0.3">
      <c r="A28" s="9" t="s">
        <v>177</v>
      </c>
      <c r="B28" s="9">
        <v>2959.54</v>
      </c>
      <c r="C28" s="9">
        <v>3138.48</v>
      </c>
      <c r="D28" s="9">
        <v>3306.1</v>
      </c>
      <c r="E28" s="9">
        <v>3629.04</v>
      </c>
      <c r="F28" s="9">
        <v>4304.3500000000004</v>
      </c>
      <c r="G28" s="9">
        <v>4187.72</v>
      </c>
      <c r="H28" s="9">
        <v>5688.83</v>
      </c>
      <c r="I28" s="9">
        <v>7347.77</v>
      </c>
      <c r="J28" s="9">
        <v>5103.07</v>
      </c>
      <c r="K28" s="9">
        <v>6003.44</v>
      </c>
    </row>
    <row r="29" spans="1:11" ht="14.25" customHeight="1" x14ac:dyDescent="0.3">
      <c r="A29" s="9" t="s">
        <v>22</v>
      </c>
      <c r="B29" s="9">
        <v>943.29</v>
      </c>
      <c r="C29" s="9">
        <v>1040.96</v>
      </c>
      <c r="D29" s="9">
        <v>1098.06</v>
      </c>
      <c r="E29" s="9">
        <v>854.85</v>
      </c>
      <c r="F29" s="9">
        <v>1097.5999999999999</v>
      </c>
      <c r="G29" s="9">
        <v>1102.9100000000001</v>
      </c>
      <c r="H29" s="9">
        <v>1493.5</v>
      </c>
      <c r="I29" s="9">
        <v>1790.08</v>
      </c>
      <c r="J29" s="9">
        <v>1393.36</v>
      </c>
      <c r="K29" s="9">
        <v>1608.75</v>
      </c>
    </row>
    <row r="30" spans="1:11" ht="14.25" customHeight="1" x14ac:dyDescent="0.3">
      <c r="A30" s="9" t="s">
        <v>178</v>
      </c>
      <c r="B30" s="9">
        <v>1939.43</v>
      </c>
      <c r="C30" s="9">
        <v>2038.93</v>
      </c>
      <c r="D30" s="9">
        <v>2155.92</v>
      </c>
      <c r="E30" s="9">
        <v>2705.17</v>
      </c>
      <c r="F30" s="9">
        <v>3139.29</v>
      </c>
      <c r="G30" s="9">
        <v>3030.57</v>
      </c>
      <c r="H30" s="9">
        <v>4106.45</v>
      </c>
      <c r="I30" s="9">
        <v>5460.23</v>
      </c>
      <c r="J30" s="9">
        <v>3667.23</v>
      </c>
      <c r="K30" s="9">
        <v>4325.3500000000004</v>
      </c>
    </row>
    <row r="31" spans="1:11" ht="14.25" customHeight="1" x14ac:dyDescent="0.3">
      <c r="A31" s="9" t="s">
        <v>179</v>
      </c>
      <c r="B31" s="9">
        <v>987.98</v>
      </c>
      <c r="C31" s="9">
        <v>834.5</v>
      </c>
      <c r="D31" s="9">
        <v>1007.16</v>
      </c>
      <c r="E31" s="9">
        <v>1151.04</v>
      </c>
      <c r="F31" s="9">
        <v>1712.17</v>
      </c>
      <c r="G31" s="9">
        <v>1836.87</v>
      </c>
      <c r="H31" s="9">
        <v>2460.35</v>
      </c>
      <c r="I31" s="9">
        <v>3194.14</v>
      </c>
      <c r="J31" s="9">
        <v>2378.8200000000002</v>
      </c>
      <c r="K31" s="9">
        <v>2637.8</v>
      </c>
    </row>
    <row r="33" spans="1:11" x14ac:dyDescent="0.3">
      <c r="A33" s="9" t="s">
        <v>571</v>
      </c>
      <c r="B33" s="9">
        <f>'Data Sheet'!B31/HistoricalFS!C42</f>
        <v>10.300041701417848</v>
      </c>
      <c r="C33" s="9">
        <f>'Data Sheet'!C31/HistoricalFS!D42</f>
        <v>8.6999582985821515</v>
      </c>
      <c r="D33" s="9">
        <f>'Data Sheet'!D31/HistoricalFS!E42</f>
        <v>10.5</v>
      </c>
      <c r="E33" s="9">
        <f>'Data Sheet'!E31/HistoricalFS!F42</f>
        <v>12</v>
      </c>
      <c r="F33" s="9">
        <f>'Data Sheet'!F31/HistoricalFS!G42</f>
        <v>17.849979149291077</v>
      </c>
      <c r="G33" s="9">
        <f>'Data Sheet'!G31/HistoricalFS!H42</f>
        <v>19.150020850708923</v>
      </c>
      <c r="H33" s="9">
        <f>'Data Sheet'!H31/HistoricalFS!I42</f>
        <v>25.650020850708923</v>
      </c>
      <c r="I33" s="9">
        <f>'Data Sheet'!I31/HistoricalFS!J42</f>
        <v>33.300041701417847</v>
      </c>
      <c r="J33" s="9">
        <f>'Data Sheet'!J31/HistoricalFS!K42</f>
        <v>24.80004170141785</v>
      </c>
      <c r="K33" s="9">
        <f>'Data Sheet'!K31/HistoricalFS!L42</f>
        <v>27.5</v>
      </c>
    </row>
    <row r="34" spans="1:11" x14ac:dyDescent="0.3">
      <c r="A34" s="9" t="s">
        <v>432</v>
      </c>
      <c r="C34" s="72">
        <f>C33/B33-1</f>
        <v>-0.15534727423632066</v>
      </c>
      <c r="D34" s="72">
        <f t="shared" ref="D34:K34" si="0">D33/C33-1</f>
        <v>0.20690233672858005</v>
      </c>
      <c r="E34" s="72">
        <f t="shared" si="0"/>
        <v>0.14285714285714279</v>
      </c>
      <c r="F34" s="72">
        <f t="shared" si="0"/>
        <v>0.48749826244092298</v>
      </c>
      <c r="G34" s="72">
        <f t="shared" si="0"/>
        <v>7.2831552941588606E-2</v>
      </c>
      <c r="H34" s="72">
        <f t="shared" si="0"/>
        <v>0.33942521789783719</v>
      </c>
      <c r="I34" s="72">
        <f t="shared" si="0"/>
        <v>0.2982461844859472</v>
      </c>
      <c r="J34" s="72">
        <f t="shared" si="0"/>
        <v>-0.25525493560081891</v>
      </c>
      <c r="K34" s="72">
        <f t="shared" si="0"/>
        <v>0.10886910316879783</v>
      </c>
    </row>
    <row r="35" spans="1:11" ht="14.25" customHeight="1" x14ac:dyDescent="0.3">
      <c r="J35" s="4"/>
    </row>
    <row r="36" spans="1:11" x14ac:dyDescent="0.3">
      <c r="A36" s="106"/>
    </row>
    <row r="40" spans="1:11" ht="14.25" customHeight="1" x14ac:dyDescent="0.3">
      <c r="A40" s="10" t="s">
        <v>180</v>
      </c>
    </row>
    <row r="41" spans="1:11" s="28" customFormat="1" ht="14.25" customHeight="1" x14ac:dyDescent="0.3">
      <c r="A41" s="26" t="s">
        <v>169</v>
      </c>
      <c r="B41" s="27">
        <v>45291</v>
      </c>
      <c r="C41" s="27">
        <v>45382</v>
      </c>
      <c r="D41" s="27">
        <v>45473</v>
      </c>
      <c r="E41" s="27">
        <v>45565</v>
      </c>
      <c r="F41" s="27">
        <v>45657</v>
      </c>
      <c r="G41" s="27">
        <v>45747</v>
      </c>
      <c r="H41" s="27">
        <v>45838</v>
      </c>
      <c r="I41" s="27">
        <v>45930</v>
      </c>
      <c r="J41" s="27">
        <v>46022</v>
      </c>
      <c r="K41" s="27">
        <v>46112</v>
      </c>
    </row>
    <row r="42" spans="1:11" ht="14.25" customHeight="1" x14ac:dyDescent="0.3">
      <c r="A42" s="9" t="s">
        <v>2</v>
      </c>
      <c r="B42" s="9">
        <v>9103.09</v>
      </c>
      <c r="C42" s="9">
        <v>8730.76</v>
      </c>
      <c r="D42" s="9">
        <v>8969.73</v>
      </c>
      <c r="E42" s="9">
        <v>8027.54</v>
      </c>
      <c r="F42" s="9">
        <v>8549.44</v>
      </c>
      <c r="G42" s="9">
        <v>8358.91</v>
      </c>
      <c r="H42" s="9">
        <v>8938.5499999999993</v>
      </c>
      <c r="I42" s="9">
        <v>8531.27</v>
      </c>
      <c r="J42" s="9">
        <v>8867.02</v>
      </c>
      <c r="K42" s="9">
        <v>9246.7000000000007</v>
      </c>
    </row>
    <row r="43" spans="1:11" ht="14.25" customHeight="1" x14ac:dyDescent="0.3">
      <c r="A43" s="9" t="s">
        <v>181</v>
      </c>
      <c r="B43" s="9">
        <v>7047</v>
      </c>
      <c r="C43" s="9">
        <v>7039.39</v>
      </c>
      <c r="D43" s="9">
        <v>7275.96</v>
      </c>
      <c r="E43" s="9">
        <v>6788.03</v>
      </c>
      <c r="F43" s="9">
        <v>6912.71</v>
      </c>
      <c r="G43" s="9">
        <v>6922.71</v>
      </c>
      <c r="H43" s="9">
        <v>7313.58</v>
      </c>
      <c r="I43" s="9">
        <v>7027.89</v>
      </c>
      <c r="J43" s="9">
        <v>7086.06</v>
      </c>
      <c r="K43" s="9">
        <v>7460.09</v>
      </c>
    </row>
    <row r="44" spans="1:11" ht="14.25" customHeight="1" x14ac:dyDescent="0.3">
      <c r="A44" s="9" t="s">
        <v>12</v>
      </c>
      <c r="B44" s="9">
        <v>186.46</v>
      </c>
      <c r="C44" s="9">
        <v>212.43</v>
      </c>
      <c r="D44" s="9">
        <v>192.93</v>
      </c>
      <c r="E44" s="9">
        <v>24.53</v>
      </c>
      <c r="F44" s="9">
        <v>192.82</v>
      </c>
      <c r="G44" s="9">
        <v>-60.06</v>
      </c>
      <c r="H44" s="9">
        <v>229.11</v>
      </c>
      <c r="I44" s="9">
        <v>236.94</v>
      </c>
      <c r="J44" s="9">
        <v>69.14</v>
      </c>
      <c r="K44" s="9">
        <v>196.59</v>
      </c>
    </row>
    <row r="45" spans="1:11" ht="14.25" customHeight="1" x14ac:dyDescent="0.3">
      <c r="A45" s="9" t="s">
        <v>14</v>
      </c>
      <c r="B45" s="9">
        <v>220.35</v>
      </c>
      <c r="C45" s="9">
        <v>225.61</v>
      </c>
      <c r="D45" s="9">
        <v>227.7</v>
      </c>
      <c r="E45" s="9">
        <v>241.99</v>
      </c>
      <c r="F45" s="9">
        <v>255.55</v>
      </c>
      <c r="G45" s="9">
        <v>301.10000000000002</v>
      </c>
      <c r="H45" s="9">
        <v>300.87</v>
      </c>
      <c r="I45" s="9">
        <v>304.93</v>
      </c>
      <c r="J45" s="9">
        <v>313.07</v>
      </c>
      <c r="K45" s="9">
        <v>309.98</v>
      </c>
    </row>
    <row r="46" spans="1:11" ht="14.25" customHeight="1" x14ac:dyDescent="0.3">
      <c r="A46" s="9" t="s">
        <v>18</v>
      </c>
      <c r="B46" s="9">
        <v>54.42</v>
      </c>
      <c r="C46" s="9">
        <v>54.1</v>
      </c>
      <c r="D46" s="9">
        <v>55.38</v>
      </c>
      <c r="E46" s="9">
        <v>63.01</v>
      </c>
      <c r="F46" s="9">
        <v>55.84</v>
      </c>
      <c r="G46" s="9">
        <v>52.79</v>
      </c>
      <c r="H46" s="9">
        <v>44.5</v>
      </c>
      <c r="I46" s="9">
        <v>43.87</v>
      </c>
      <c r="J46" s="9">
        <v>47.94</v>
      </c>
      <c r="K46" s="9">
        <v>59.1</v>
      </c>
    </row>
    <row r="47" spans="1:11" ht="14.25" customHeight="1" x14ac:dyDescent="0.3">
      <c r="A47" s="9" t="s">
        <v>177</v>
      </c>
      <c r="B47" s="9">
        <v>1967.78</v>
      </c>
      <c r="C47" s="9">
        <v>1624.09</v>
      </c>
      <c r="D47" s="9">
        <v>1603.62</v>
      </c>
      <c r="E47" s="9">
        <v>959.04</v>
      </c>
      <c r="F47" s="9">
        <v>1518.16</v>
      </c>
      <c r="G47" s="9">
        <v>1022.25</v>
      </c>
      <c r="H47" s="9">
        <v>1508.71</v>
      </c>
      <c r="I47" s="9">
        <v>1391.52</v>
      </c>
      <c r="J47" s="9">
        <v>1489.09</v>
      </c>
      <c r="K47" s="9">
        <v>1614.12</v>
      </c>
    </row>
    <row r="48" spans="1:11" ht="14.25" customHeight="1" x14ac:dyDescent="0.3">
      <c r="A48" s="9" t="s">
        <v>22</v>
      </c>
      <c r="B48" s="9">
        <v>492.62</v>
      </c>
      <c r="C48" s="9">
        <v>348.79</v>
      </c>
      <c r="D48" s="9">
        <v>416.83</v>
      </c>
      <c r="E48" s="9">
        <v>265.38</v>
      </c>
      <c r="F48" s="9">
        <v>389.73</v>
      </c>
      <c r="G48" s="9">
        <v>321.42</v>
      </c>
      <c r="H48" s="9">
        <v>391.66</v>
      </c>
      <c r="I48" s="9">
        <v>373.29</v>
      </c>
      <c r="J48" s="9">
        <v>415.17</v>
      </c>
      <c r="K48" s="9">
        <v>428.63</v>
      </c>
    </row>
    <row r="49" spans="1:11" ht="14.25" customHeight="1" x14ac:dyDescent="0.3">
      <c r="A49" s="9" t="s">
        <v>178</v>
      </c>
      <c r="B49" s="9">
        <v>1447.72</v>
      </c>
      <c r="C49" s="9">
        <v>1256.72</v>
      </c>
      <c r="D49" s="9">
        <v>1169.98</v>
      </c>
      <c r="E49" s="9">
        <v>694.64</v>
      </c>
      <c r="F49" s="9">
        <v>1110.48</v>
      </c>
      <c r="G49" s="9">
        <v>692.13</v>
      </c>
      <c r="H49" s="9">
        <v>1099.77</v>
      </c>
      <c r="I49" s="9">
        <v>993.59</v>
      </c>
      <c r="J49" s="9">
        <v>1059.8699999999999</v>
      </c>
      <c r="K49" s="9">
        <v>1172.1199999999999</v>
      </c>
    </row>
    <row r="50" spans="1:11" ht="14.25" customHeight="1" x14ac:dyDescent="0.3">
      <c r="A50" s="9" t="s">
        <v>182</v>
      </c>
      <c r="B50" s="9">
        <v>2056.09</v>
      </c>
      <c r="C50" s="9">
        <v>1691.37</v>
      </c>
      <c r="D50" s="9">
        <v>1693.77</v>
      </c>
      <c r="E50" s="9">
        <v>1239.51</v>
      </c>
      <c r="F50" s="9">
        <v>1636.73</v>
      </c>
      <c r="G50" s="9">
        <v>1436.2</v>
      </c>
      <c r="H50" s="9">
        <v>1624.97</v>
      </c>
      <c r="I50" s="9">
        <v>1503.38</v>
      </c>
      <c r="J50" s="9">
        <v>1780.96</v>
      </c>
      <c r="K50" s="9">
        <v>1786.61</v>
      </c>
    </row>
    <row r="55" spans="1:11" ht="14.25" customHeight="1" x14ac:dyDescent="0.3">
      <c r="A55" s="10" t="s">
        <v>183</v>
      </c>
    </row>
    <row r="56" spans="1:11" s="28" customFormat="1" ht="14.25" customHeight="1" x14ac:dyDescent="0.3">
      <c r="A56" s="26" t="s">
        <v>169</v>
      </c>
      <c r="B56" s="27">
        <v>42825</v>
      </c>
      <c r="C56" s="27">
        <v>43190</v>
      </c>
      <c r="D56" s="27">
        <v>43555</v>
      </c>
      <c r="E56" s="27">
        <v>43921</v>
      </c>
      <c r="F56" s="27">
        <v>44286</v>
      </c>
      <c r="G56" s="27">
        <v>44651</v>
      </c>
      <c r="H56" s="27">
        <v>45016</v>
      </c>
      <c r="I56" s="27">
        <v>45382</v>
      </c>
      <c r="J56" s="27">
        <v>45747</v>
      </c>
      <c r="K56" s="27">
        <v>46112</v>
      </c>
    </row>
    <row r="57" spans="1:11" ht="14.25" customHeight="1" x14ac:dyDescent="0.3">
      <c r="A57" s="9" t="s">
        <v>32</v>
      </c>
      <c r="B57" s="9">
        <v>95.92</v>
      </c>
      <c r="C57" s="9">
        <v>95.92</v>
      </c>
      <c r="D57" s="9">
        <v>95.92</v>
      </c>
      <c r="E57" s="9">
        <v>95.92</v>
      </c>
      <c r="F57" s="9">
        <v>95.92</v>
      </c>
      <c r="G57" s="9">
        <v>95.92</v>
      </c>
      <c r="H57" s="9">
        <v>95.92</v>
      </c>
      <c r="I57" s="9">
        <v>95.92</v>
      </c>
      <c r="J57" s="9">
        <v>95.92</v>
      </c>
      <c r="K57" s="9">
        <v>95.92</v>
      </c>
    </row>
    <row r="58" spans="1:11" ht="14.25" customHeight="1" x14ac:dyDescent="0.3">
      <c r="A58" s="9" t="s">
        <v>33</v>
      </c>
      <c r="B58" s="9">
        <v>7507.97</v>
      </c>
      <c r="C58" s="9">
        <v>8314.31</v>
      </c>
      <c r="D58" s="9">
        <v>9374.6299999999992</v>
      </c>
      <c r="E58" s="9">
        <v>10034.24</v>
      </c>
      <c r="F58" s="9">
        <v>12710.37</v>
      </c>
      <c r="G58" s="9">
        <v>13715.64</v>
      </c>
      <c r="H58" s="9">
        <v>15896.31</v>
      </c>
      <c r="I58" s="9">
        <v>18632.38</v>
      </c>
      <c r="J58" s="9">
        <v>19303.89</v>
      </c>
      <c r="K58" s="9">
        <v>21275.67</v>
      </c>
    </row>
    <row r="59" spans="1:11" ht="14.25" customHeight="1" x14ac:dyDescent="0.3">
      <c r="A59" s="9" t="s">
        <v>34</v>
      </c>
      <c r="B59" s="9">
        <v>560.34</v>
      </c>
      <c r="C59" s="9">
        <v>533.42999999999995</v>
      </c>
      <c r="D59" s="9">
        <v>1319.6</v>
      </c>
      <c r="E59" s="9">
        <v>1118.5</v>
      </c>
      <c r="F59" s="9">
        <v>1093.1199999999999</v>
      </c>
      <c r="G59" s="9">
        <v>1586.88</v>
      </c>
      <c r="H59" s="9">
        <v>1932.62</v>
      </c>
      <c r="I59" s="9">
        <v>2474.38</v>
      </c>
      <c r="J59" s="9">
        <v>2290.29</v>
      </c>
      <c r="K59" s="9">
        <v>3928.93</v>
      </c>
    </row>
    <row r="60" spans="1:11" ht="14.25" customHeight="1" x14ac:dyDescent="0.3">
      <c r="A60" s="9" t="s">
        <v>36</v>
      </c>
      <c r="B60" s="9">
        <v>4240.96</v>
      </c>
      <c r="C60" s="9">
        <v>4819.82</v>
      </c>
      <c r="D60" s="9">
        <v>5458.69</v>
      </c>
      <c r="E60" s="9">
        <v>4889.3100000000004</v>
      </c>
      <c r="F60" s="9">
        <v>6455.93</v>
      </c>
      <c r="G60" s="9">
        <v>7559.99</v>
      </c>
      <c r="H60" s="9">
        <v>7854.48</v>
      </c>
      <c r="I60" s="9">
        <v>8698.09</v>
      </c>
      <c r="J60" s="9">
        <v>8665.15</v>
      </c>
      <c r="K60" s="9">
        <v>9218.23</v>
      </c>
    </row>
    <row r="61" spans="1:11" s="10" customFormat="1" ht="14.25" customHeight="1" x14ac:dyDescent="0.3">
      <c r="A61" s="10" t="s">
        <v>184</v>
      </c>
      <c r="B61" s="10">
        <v>12405.19</v>
      </c>
      <c r="C61" s="10">
        <v>13763.48</v>
      </c>
      <c r="D61" s="10">
        <v>16248.84</v>
      </c>
      <c r="E61" s="10">
        <v>16137.97</v>
      </c>
      <c r="F61" s="10">
        <v>20355.34</v>
      </c>
      <c r="G61" s="10">
        <v>22958.43</v>
      </c>
      <c r="H61" s="10">
        <v>25779.33</v>
      </c>
      <c r="I61" s="10">
        <v>29900.77</v>
      </c>
      <c r="J61" s="10">
        <v>30355.25</v>
      </c>
      <c r="K61" s="10">
        <v>34518.75</v>
      </c>
    </row>
    <row r="62" spans="1:11" ht="14.25" customHeight="1" x14ac:dyDescent="0.3">
      <c r="A62" s="9" t="s">
        <v>185</v>
      </c>
      <c r="B62" s="9">
        <v>3303.74</v>
      </c>
      <c r="C62" s="9">
        <v>3732.24</v>
      </c>
      <c r="D62" s="9">
        <v>6496.56</v>
      </c>
      <c r="E62" s="9">
        <v>6272.31</v>
      </c>
      <c r="F62" s="9">
        <v>5858.52</v>
      </c>
      <c r="G62" s="9">
        <v>5519.06</v>
      </c>
      <c r="H62" s="9">
        <v>5770.46</v>
      </c>
      <c r="I62" s="9">
        <v>7146.62</v>
      </c>
      <c r="J62" s="9">
        <v>9220.1</v>
      </c>
      <c r="K62" s="9">
        <v>9640.2800000000007</v>
      </c>
    </row>
    <row r="63" spans="1:11" ht="14.25" customHeight="1" x14ac:dyDescent="0.3">
      <c r="A63" s="9" t="s">
        <v>39</v>
      </c>
      <c r="B63" s="9">
        <v>257.54000000000002</v>
      </c>
      <c r="C63" s="9">
        <v>1405.11</v>
      </c>
      <c r="D63" s="9">
        <v>209.67</v>
      </c>
      <c r="E63" s="9">
        <v>140.24</v>
      </c>
      <c r="F63" s="9">
        <v>182.98</v>
      </c>
      <c r="G63" s="9">
        <v>426.43</v>
      </c>
      <c r="H63" s="9">
        <v>1019.59</v>
      </c>
      <c r="I63" s="9">
        <v>2698.37</v>
      </c>
      <c r="J63" s="9">
        <v>1254.49</v>
      </c>
      <c r="K63" s="9">
        <v>1848.67</v>
      </c>
    </row>
    <row r="64" spans="1:11" ht="14.25" customHeight="1" x14ac:dyDescent="0.3">
      <c r="A64" s="9" t="s">
        <v>40</v>
      </c>
      <c r="B64" s="9">
        <v>2651.99</v>
      </c>
      <c r="C64" s="9">
        <v>2140.6999999999998</v>
      </c>
      <c r="D64" s="9">
        <v>2568.58</v>
      </c>
      <c r="E64" s="9">
        <v>2018.85</v>
      </c>
      <c r="F64" s="9">
        <v>4736.8</v>
      </c>
      <c r="G64" s="9">
        <v>3247.53</v>
      </c>
      <c r="H64" s="9">
        <v>4261.71</v>
      </c>
      <c r="I64" s="9">
        <v>4587.92</v>
      </c>
      <c r="J64" s="9">
        <v>4724.75</v>
      </c>
      <c r="K64" s="9">
        <v>7061.74</v>
      </c>
    </row>
    <row r="65" spans="1:11" ht="14.25" customHeight="1" x14ac:dyDescent="0.3">
      <c r="A65" s="9" t="s">
        <v>41</v>
      </c>
      <c r="B65" s="9">
        <v>6191.92</v>
      </c>
      <c r="C65" s="9">
        <v>6485.43</v>
      </c>
      <c r="D65" s="9">
        <v>6974.03</v>
      </c>
      <c r="E65" s="9">
        <v>7706.57</v>
      </c>
      <c r="F65" s="9">
        <v>9577.0400000000009</v>
      </c>
      <c r="G65" s="9">
        <v>13765.41</v>
      </c>
      <c r="H65" s="9">
        <v>14727.57</v>
      </c>
      <c r="I65" s="9">
        <v>15467.86</v>
      </c>
      <c r="J65" s="9">
        <v>15155.91</v>
      </c>
      <c r="K65" s="9">
        <v>15968.06</v>
      </c>
    </row>
    <row r="66" spans="1:11" s="10" customFormat="1" ht="14.25" customHeight="1" x14ac:dyDescent="0.3">
      <c r="A66" s="10" t="s">
        <v>184</v>
      </c>
      <c r="B66" s="10">
        <v>12405.19</v>
      </c>
      <c r="C66" s="10">
        <v>13763.48</v>
      </c>
      <c r="D66" s="10">
        <v>16248.84</v>
      </c>
      <c r="E66" s="10">
        <v>16137.97</v>
      </c>
      <c r="F66" s="10">
        <v>20355.34</v>
      </c>
      <c r="G66" s="10">
        <v>22958.43</v>
      </c>
      <c r="H66" s="10">
        <v>25779.33</v>
      </c>
      <c r="I66" s="10">
        <v>29900.77</v>
      </c>
      <c r="J66" s="10">
        <v>30355.25</v>
      </c>
      <c r="K66" s="10">
        <v>34518.75</v>
      </c>
    </row>
    <row r="67" spans="1:11" ht="14.25" customHeight="1" x14ac:dyDescent="0.3">
      <c r="A67" s="9" t="s">
        <v>43</v>
      </c>
      <c r="B67" s="9">
        <v>1446.6</v>
      </c>
      <c r="C67" s="9">
        <v>1730.63</v>
      </c>
      <c r="D67" s="9">
        <v>1907.33</v>
      </c>
      <c r="E67" s="9">
        <v>1795.22</v>
      </c>
      <c r="F67" s="9">
        <v>2602.17</v>
      </c>
      <c r="G67" s="9">
        <v>3871.44</v>
      </c>
      <c r="H67" s="9">
        <v>4636.9399999999996</v>
      </c>
      <c r="I67" s="9">
        <v>4889.05</v>
      </c>
      <c r="J67" s="9">
        <v>4313.6499999999996</v>
      </c>
      <c r="K67" s="9">
        <v>4461.8</v>
      </c>
    </row>
    <row r="68" spans="1:11" ht="14.25" customHeight="1" x14ac:dyDescent="0.3">
      <c r="A68" s="9" t="s">
        <v>44</v>
      </c>
      <c r="B68" s="9">
        <v>2626.94</v>
      </c>
      <c r="C68" s="9">
        <v>2658.31</v>
      </c>
      <c r="D68" s="9">
        <v>3149.86</v>
      </c>
      <c r="E68" s="9">
        <v>3389.81</v>
      </c>
      <c r="F68" s="9">
        <v>3798.6</v>
      </c>
      <c r="G68" s="9">
        <v>6152.98</v>
      </c>
      <c r="H68" s="9">
        <v>6210.64</v>
      </c>
      <c r="I68" s="9">
        <v>5923.41</v>
      </c>
      <c r="J68" s="9">
        <v>6719.27</v>
      </c>
      <c r="K68" s="9">
        <v>5743.69</v>
      </c>
    </row>
    <row r="69" spans="1:11" ht="14.25" customHeight="1" x14ac:dyDescent="0.3">
      <c r="A69" s="9" t="s">
        <v>45</v>
      </c>
      <c r="B69" s="9">
        <v>801.21</v>
      </c>
      <c r="C69" s="9">
        <v>404.65</v>
      </c>
      <c r="D69" s="9">
        <v>444.88</v>
      </c>
      <c r="E69" s="9">
        <v>782.83</v>
      </c>
      <c r="F69" s="9">
        <v>610.75</v>
      </c>
      <c r="G69" s="9">
        <v>864.33</v>
      </c>
      <c r="H69" s="9">
        <v>843.82</v>
      </c>
      <c r="I69" s="9">
        <v>1084.01</v>
      </c>
      <c r="J69" s="9">
        <v>781.98</v>
      </c>
      <c r="K69" s="9">
        <v>1073.68</v>
      </c>
    </row>
    <row r="70" spans="1:11" ht="14.25" customHeight="1" x14ac:dyDescent="0.3">
      <c r="A70" s="9" t="s">
        <v>186</v>
      </c>
      <c r="B70" s="9">
        <v>959197790</v>
      </c>
      <c r="C70" s="9">
        <v>959197790</v>
      </c>
      <c r="D70" s="9">
        <v>959197790</v>
      </c>
      <c r="E70" s="9">
        <v>959197790</v>
      </c>
      <c r="F70" s="9">
        <v>959197790</v>
      </c>
      <c r="G70" s="9">
        <v>959197790</v>
      </c>
      <c r="H70" s="9">
        <v>959197790</v>
      </c>
      <c r="I70" s="9">
        <v>959197790</v>
      </c>
      <c r="J70" s="9">
        <v>959197790</v>
      </c>
      <c r="K70" s="9">
        <v>959197790</v>
      </c>
    </row>
    <row r="71" spans="1:11" ht="14.25" customHeight="1" x14ac:dyDescent="0.3">
      <c r="A71" s="9" t="s">
        <v>187</v>
      </c>
    </row>
    <row r="72" spans="1:11" ht="14.25" customHeight="1" x14ac:dyDescent="0.3">
      <c r="A72" s="9" t="s">
        <v>188</v>
      </c>
      <c r="B72" s="9">
        <v>1</v>
      </c>
      <c r="C72" s="9">
        <v>1</v>
      </c>
      <c r="D72" s="9">
        <v>1</v>
      </c>
      <c r="E72" s="9">
        <v>1</v>
      </c>
      <c r="F72" s="9">
        <v>1</v>
      </c>
      <c r="G72" s="9">
        <v>1</v>
      </c>
      <c r="H72" s="9">
        <v>1</v>
      </c>
      <c r="I72" s="9">
        <v>1</v>
      </c>
      <c r="J72" s="9">
        <v>1</v>
      </c>
      <c r="K72" s="9">
        <v>1</v>
      </c>
    </row>
    <row r="74" spans="1:11" ht="14.25" customHeight="1" x14ac:dyDescent="0.3">
      <c r="A74" s="10" t="s">
        <v>35</v>
      </c>
      <c r="B74" s="10">
        <v>1923</v>
      </c>
      <c r="C74" s="10">
        <v>2160</v>
      </c>
      <c r="D74" s="10">
        <v>2394</v>
      </c>
      <c r="E74" s="10">
        <v>2137</v>
      </c>
      <c r="F74" s="10">
        <v>3379</v>
      </c>
      <c r="G74" s="10">
        <v>4164</v>
      </c>
      <c r="H74" s="10">
        <v>3635</v>
      </c>
      <c r="I74" s="10">
        <v>3831</v>
      </c>
      <c r="J74" s="10">
        <v>3848</v>
      </c>
      <c r="K74" s="10">
        <v>3863</v>
      </c>
    </row>
    <row r="75" spans="1:11" x14ac:dyDescent="0.3">
      <c r="A75" s="106" t="s">
        <v>41</v>
      </c>
      <c r="B75" s="106">
        <f>B65-SUM(B67:B69)</f>
        <v>1317.17</v>
      </c>
      <c r="C75" s="106">
        <f t="shared" ref="C75:K75" si="1">C65-SUM(C67:C69)</f>
        <v>1691.8400000000001</v>
      </c>
      <c r="D75" s="106">
        <f t="shared" si="1"/>
        <v>1471.9599999999991</v>
      </c>
      <c r="E75" s="106">
        <f t="shared" si="1"/>
        <v>1738.71</v>
      </c>
      <c r="F75" s="106">
        <f t="shared" si="1"/>
        <v>2565.5200000000004</v>
      </c>
      <c r="G75" s="106">
        <f t="shared" si="1"/>
        <v>2876.66</v>
      </c>
      <c r="H75" s="106">
        <f t="shared" si="1"/>
        <v>3036.17</v>
      </c>
      <c r="I75" s="106">
        <f t="shared" si="1"/>
        <v>3571.3900000000012</v>
      </c>
      <c r="J75" s="106">
        <f t="shared" si="1"/>
        <v>3341.01</v>
      </c>
      <c r="K75" s="106">
        <f t="shared" si="1"/>
        <v>4688.8899999999994</v>
      </c>
    </row>
    <row r="80" spans="1:11" ht="14.25" customHeight="1" x14ac:dyDescent="0.3">
      <c r="A80" s="10" t="s">
        <v>189</v>
      </c>
    </row>
    <row r="81" spans="1:11" s="28" customFormat="1" ht="14.25" customHeight="1" x14ac:dyDescent="0.3">
      <c r="A81" s="26" t="s">
        <v>169</v>
      </c>
      <c r="B81" s="27">
        <v>42825</v>
      </c>
      <c r="C81" s="27">
        <v>43190</v>
      </c>
      <c r="D81" s="27">
        <v>43555</v>
      </c>
      <c r="E81" s="27">
        <v>43921</v>
      </c>
      <c r="F81" s="27">
        <v>44286</v>
      </c>
      <c r="G81" s="27">
        <v>44651</v>
      </c>
      <c r="H81" s="27">
        <v>45016</v>
      </c>
      <c r="I81" s="27">
        <v>45382</v>
      </c>
      <c r="J81" s="27">
        <v>45747</v>
      </c>
      <c r="K81" s="27">
        <v>46112</v>
      </c>
    </row>
    <row r="82" spans="1:11" s="10" customFormat="1" ht="14.25" customHeight="1" x14ac:dyDescent="0.3">
      <c r="A82" s="9" t="s">
        <v>55</v>
      </c>
      <c r="B82" s="10">
        <v>1527.33</v>
      </c>
      <c r="C82" s="10">
        <v>2113.44</v>
      </c>
      <c r="D82" s="10">
        <v>2469.54</v>
      </c>
      <c r="E82" s="10">
        <v>3038.15</v>
      </c>
      <c r="F82" s="10">
        <v>3683.35</v>
      </c>
      <c r="G82" s="10">
        <v>986.49</v>
      </c>
      <c r="H82" s="10">
        <v>4193.43</v>
      </c>
      <c r="I82" s="10">
        <v>6103.6</v>
      </c>
      <c r="J82" s="10">
        <v>4423.96</v>
      </c>
      <c r="K82" s="10">
        <v>7088.18</v>
      </c>
    </row>
    <row r="83" spans="1:11" ht="14.25" customHeight="1" x14ac:dyDescent="0.3">
      <c r="A83" s="9" t="s">
        <v>190</v>
      </c>
      <c r="B83" s="9">
        <v>-681.11</v>
      </c>
      <c r="C83" s="9">
        <v>-1556.14</v>
      </c>
      <c r="D83" s="9">
        <v>-917.79</v>
      </c>
      <c r="E83" s="9">
        <v>-517.91</v>
      </c>
      <c r="F83" s="9">
        <v>-540.54</v>
      </c>
      <c r="G83" s="9">
        <v>-316.75</v>
      </c>
      <c r="H83" s="9">
        <v>-1282.3399999999999</v>
      </c>
      <c r="I83" s="9">
        <v>-2548.48</v>
      </c>
      <c r="J83" s="9">
        <v>-940.91</v>
      </c>
      <c r="K83" s="9">
        <v>-1328.23</v>
      </c>
    </row>
    <row r="84" spans="1:11" ht="14.25" customHeight="1" x14ac:dyDescent="0.3">
      <c r="A84" s="9" t="s">
        <v>191</v>
      </c>
      <c r="B84" s="9">
        <v>-756.43</v>
      </c>
      <c r="C84" s="9">
        <v>-1379.14</v>
      </c>
      <c r="D84" s="9">
        <v>-1117.46</v>
      </c>
      <c r="E84" s="9">
        <v>-2871.46</v>
      </c>
      <c r="F84" s="9">
        <v>-650.4</v>
      </c>
      <c r="G84" s="9">
        <v>-1807.61</v>
      </c>
      <c r="H84" s="9">
        <v>-2140.0500000000002</v>
      </c>
      <c r="I84" s="9">
        <v>-2982.5</v>
      </c>
      <c r="J84" s="9">
        <v>-3752.58</v>
      </c>
      <c r="K84" s="9">
        <v>-2376.5100000000002</v>
      </c>
    </row>
    <row r="85" spans="1:11" s="10" customFormat="1" ht="14.25" customHeight="1" x14ac:dyDescent="0.3">
      <c r="A85" s="9" t="s">
        <v>77</v>
      </c>
      <c r="B85" s="10">
        <v>89.79</v>
      </c>
      <c r="C85" s="10">
        <v>-821.84</v>
      </c>
      <c r="D85" s="10">
        <v>434.29</v>
      </c>
      <c r="E85" s="10">
        <v>-351.22</v>
      </c>
      <c r="F85" s="10">
        <v>2492.41</v>
      </c>
      <c r="G85" s="10">
        <v>-1137.8699999999999</v>
      </c>
      <c r="H85" s="10">
        <v>771.04</v>
      </c>
      <c r="I85" s="10">
        <v>572.62</v>
      </c>
      <c r="J85" s="10">
        <v>-269.52999999999997</v>
      </c>
      <c r="K85" s="10">
        <v>3383.44</v>
      </c>
    </row>
    <row r="90" spans="1:11" s="10" customFormat="1" ht="14.25" customHeight="1" x14ac:dyDescent="0.3">
      <c r="A90" s="10" t="s">
        <v>192</v>
      </c>
      <c r="B90" s="10">
        <v>1073.5</v>
      </c>
      <c r="C90" s="10">
        <v>1120.4000000000001</v>
      </c>
      <c r="D90" s="10">
        <v>1492.7</v>
      </c>
      <c r="E90" s="10">
        <v>1666.5</v>
      </c>
      <c r="F90" s="10">
        <v>2537.4</v>
      </c>
      <c r="G90" s="10">
        <v>3079.95</v>
      </c>
      <c r="H90" s="10">
        <v>2761.65</v>
      </c>
      <c r="I90" s="10">
        <v>2846.75</v>
      </c>
      <c r="J90" s="10">
        <v>2340.65</v>
      </c>
      <c r="K90" s="10">
        <v>2165.1999999999998</v>
      </c>
    </row>
    <row r="92" spans="1:11" s="10" customFormat="1" ht="14.25" customHeight="1" x14ac:dyDescent="0.3">
      <c r="A92" s="10" t="s">
        <v>193</v>
      </c>
    </row>
    <row r="93" spans="1:11" ht="14.25" customHeight="1" x14ac:dyDescent="0.3">
      <c r="A93" s="9" t="s">
        <v>194</v>
      </c>
      <c r="B93" s="8">
        <v>95.92</v>
      </c>
      <c r="C93" s="8">
        <v>95.92</v>
      </c>
      <c r="D93" s="8">
        <v>95.92</v>
      </c>
      <c r="E93" s="8">
        <v>95.92</v>
      </c>
      <c r="F93" s="8">
        <v>95.92</v>
      </c>
      <c r="G93" s="8">
        <v>95.92</v>
      </c>
      <c r="H93" s="8">
        <v>95.92</v>
      </c>
      <c r="I93" s="8">
        <v>95.92</v>
      </c>
      <c r="J93" s="8">
        <v>95.92</v>
      </c>
      <c r="K93" s="8">
        <v>95.92</v>
      </c>
    </row>
    <row r="96" spans="1:11" x14ac:dyDescent="0.3">
      <c r="A96" s="106" t="s">
        <v>580</v>
      </c>
      <c r="B96" s="106">
        <f>$B$8/HistoricalFS!C44</f>
        <v>125.84133118412893</v>
      </c>
      <c r="C96" s="106">
        <f>$B$8/HistoricalFS!D44</f>
        <v>120.96551355886946</v>
      </c>
      <c r="D96" s="106">
        <f>$B$8/HistoricalFS!E44</f>
        <v>114.91077335555505</v>
      </c>
      <c r="E96" s="106">
        <f>$B$8/HistoricalFS!F44</f>
        <v>91.460060053565243</v>
      </c>
      <c r="F96" s="106">
        <f>$B$8/HistoricalFS!G44</f>
        <v>79.12296998518741</v>
      </c>
      <c r="G96" s="106">
        <f>$B$8/HistoricalFS!H44</f>
        <v>82.250635857637917</v>
      </c>
      <c r="H96" s="106">
        <f>$B$8/HistoricalFS!I44</f>
        <v>60.478575940390932</v>
      </c>
      <c r="I96" s="106">
        <f>$B$8/HistoricalFS!J44</f>
        <v>45.653425074086513</v>
      </c>
      <c r="J96" s="106">
        <f>$B$8/HistoricalFS!K44</f>
        <v>68.395530647948178</v>
      </c>
      <c r="K96" s="106">
        <f>$B$8/HistoricalFS!L44</f>
        <v>57.735035690799521</v>
      </c>
    </row>
    <row r="97" spans="1:11" x14ac:dyDescent="0.3">
      <c r="A97" s="106" t="s">
        <v>584</v>
      </c>
      <c r="B97" s="106">
        <f>B93*B96</f>
        <v>12070.700487181648</v>
      </c>
      <c r="C97" s="106">
        <f t="shared" ref="C97:K97" si="2">C93*C96</f>
        <v>11603.012060566758</v>
      </c>
      <c r="D97" s="106">
        <f t="shared" si="2"/>
        <v>11022.241380264841</v>
      </c>
      <c r="E97" s="106">
        <f>E93*E96</f>
        <v>8772.8489603379785</v>
      </c>
      <c r="F97" s="106">
        <f t="shared" si="2"/>
        <v>7589.4752809791762</v>
      </c>
      <c r="G97" s="106">
        <f t="shared" si="2"/>
        <v>7889.4809914646294</v>
      </c>
      <c r="H97" s="106">
        <f t="shared" si="2"/>
        <v>5801.105004202298</v>
      </c>
      <c r="I97" s="106">
        <f t="shared" si="2"/>
        <v>4379.0765331063785</v>
      </c>
      <c r="J97" s="106">
        <f t="shared" si="2"/>
        <v>6560.499299751189</v>
      </c>
      <c r="K97" s="106">
        <f t="shared" si="2"/>
        <v>5537.9446234614898</v>
      </c>
    </row>
    <row r="98" spans="1:11" x14ac:dyDescent="0.3">
      <c r="A98" s="106" t="s">
        <v>581</v>
      </c>
      <c r="B98" s="106">
        <f>B97+B59-B69</f>
        <v>11829.830487181647</v>
      </c>
      <c r="C98" s="106">
        <f t="shared" ref="C98:K98" si="3">C97+C59-C69</f>
        <v>11731.792060566759</v>
      </c>
      <c r="D98" s="106">
        <f t="shared" si="3"/>
        <v>11896.961380264842</v>
      </c>
      <c r="E98" s="106">
        <f t="shared" si="3"/>
        <v>9108.5189603379786</v>
      </c>
      <c r="F98" s="106">
        <f t="shared" si="3"/>
        <v>8071.8452809791761</v>
      </c>
      <c r="G98" s="106">
        <f t="shared" si="3"/>
        <v>8612.0309914646296</v>
      </c>
      <c r="H98" s="106">
        <f t="shared" si="3"/>
        <v>6889.9050042022982</v>
      </c>
      <c r="I98" s="106">
        <f t="shared" si="3"/>
        <v>5769.4465331063784</v>
      </c>
      <c r="J98" s="106">
        <f t="shared" si="3"/>
        <v>8068.8092997511885</v>
      </c>
      <c r="K98" s="106">
        <f t="shared" si="3"/>
        <v>8393.1946234614898</v>
      </c>
    </row>
    <row r="99" spans="1:11" x14ac:dyDescent="0.3">
      <c r="A99" s="106" t="s">
        <v>467</v>
      </c>
      <c r="B99" s="106">
        <f>B98/HistoricalFS!C18</f>
        <v>3.9514959406170322</v>
      </c>
      <c r="C99" s="106">
        <f>C98/HistoricalFS!D18</f>
        <v>3.661596580711906</v>
      </c>
      <c r="D99" s="106">
        <f>D98/HistoricalFS!E18</f>
        <v>3.1599338582460379</v>
      </c>
      <c r="E99" s="106">
        <f>E98/HistoricalFS!F18</f>
        <v>2.1886166127243896</v>
      </c>
      <c r="F99" s="106">
        <f>F98/HistoricalFS!G18</f>
        <v>1.6623785486817635</v>
      </c>
      <c r="G99" s="106">
        <f>G98/HistoricalFS!H18</f>
        <v>1.7928247695930002</v>
      </c>
      <c r="H99" s="106">
        <f>H98/HistoricalFS!I18</f>
        <v>1.1006519342670584</v>
      </c>
      <c r="I99" s="106">
        <f>I98/HistoricalFS!J18</f>
        <v>0.76064096848065221</v>
      </c>
      <c r="J99" s="106">
        <f>J98/HistoricalFS!K18</f>
        <v>1.3434111194499003</v>
      </c>
      <c r="K99" s="106">
        <f>K98/HistoricalFS!L18</f>
        <v>1.2527661000460444</v>
      </c>
    </row>
    <row r="100" spans="1:11" x14ac:dyDescent="0.3">
      <c r="A100" s="106" t="s">
        <v>576</v>
      </c>
      <c r="B100" s="106">
        <f>B98/B17</f>
        <v>0.7854095300276821</v>
      </c>
      <c r="C100" s="106">
        <f t="shared" ref="C100:K100" si="4">C98/C17</f>
        <v>0.6973019819589088</v>
      </c>
      <c r="D100" s="106">
        <f t="shared" si="4"/>
        <v>0.61834100810466675</v>
      </c>
      <c r="E100" s="106">
        <f t="shared" si="4"/>
        <v>0.45066579060364792</v>
      </c>
      <c r="F100" s="106">
        <f t="shared" si="4"/>
        <v>0.37175532398089678</v>
      </c>
      <c r="G100" s="106">
        <f t="shared" si="4"/>
        <v>0.29593306519385504</v>
      </c>
      <c r="H100" s="106">
        <f t="shared" si="4"/>
        <v>0.19977346143180394</v>
      </c>
      <c r="I100" s="106">
        <f t="shared" si="4"/>
        <v>0.16254375038509597</v>
      </c>
      <c r="J100" s="106">
        <f t="shared" si="4"/>
        <v>0.23797852095762259</v>
      </c>
      <c r="K100" s="106">
        <f t="shared" si="4"/>
        <v>0.23587295202954764</v>
      </c>
    </row>
    <row r="101" spans="1:11" x14ac:dyDescent="0.3">
      <c r="A101" s="106" t="s">
        <v>582</v>
      </c>
      <c r="B101" s="106">
        <f>SUM(B57:B58)</f>
        <v>7603.89</v>
      </c>
      <c r="C101" s="106">
        <f t="shared" ref="C101:K101" si="5">SUM(C57:C58)</f>
        <v>8410.23</v>
      </c>
      <c r="D101" s="106">
        <f>SUM(D57:D58)</f>
        <v>9470.5499999999993</v>
      </c>
      <c r="E101" s="106">
        <f t="shared" si="5"/>
        <v>10130.16</v>
      </c>
      <c r="F101" s="106">
        <f t="shared" si="5"/>
        <v>12806.29</v>
      </c>
      <c r="G101" s="106">
        <f t="shared" si="5"/>
        <v>13811.56</v>
      </c>
      <c r="H101" s="106">
        <f t="shared" si="5"/>
        <v>15992.23</v>
      </c>
      <c r="I101" s="106">
        <f t="shared" si="5"/>
        <v>18728.3</v>
      </c>
      <c r="J101" s="106">
        <f t="shared" si="5"/>
        <v>19399.809999999998</v>
      </c>
      <c r="K101" s="106">
        <f t="shared" si="5"/>
        <v>21371.589999999997</v>
      </c>
    </row>
    <row r="102" spans="1:11" x14ac:dyDescent="0.3">
      <c r="A102" s="106" t="s">
        <v>583</v>
      </c>
      <c r="B102" s="106">
        <f>B97/B101</f>
        <v>1.5874375467269579</v>
      </c>
      <c r="C102" s="106">
        <f t="shared" ref="C102:K102" si="6">C97/C101</f>
        <v>1.3796307664079055</v>
      </c>
      <c r="D102" s="106">
        <f t="shared" si="6"/>
        <v>1.163843850701896</v>
      </c>
      <c r="E102" s="106">
        <f t="shared" si="6"/>
        <v>0.86601287248552627</v>
      </c>
      <c r="F102" s="106">
        <f t="shared" si="6"/>
        <v>0.59263653103117109</v>
      </c>
      <c r="G102" s="106">
        <f t="shared" si="6"/>
        <v>0.57122301836031775</v>
      </c>
      <c r="H102" s="106">
        <f t="shared" si="6"/>
        <v>0.36274522091054834</v>
      </c>
      <c r="I102" s="106">
        <f t="shared" si="6"/>
        <v>0.23382135768363271</v>
      </c>
      <c r="J102" s="106">
        <f t="shared" si="6"/>
        <v>0.33817337900480415</v>
      </c>
      <c r="K102" s="106">
        <f t="shared" si="6"/>
        <v>0.25912646758905122</v>
      </c>
    </row>
  </sheetData>
  <mergeCells count="2">
    <mergeCell ref="E1:K1"/>
    <mergeCell ref="E2:K2"/>
  </mergeCells>
  <conditionalFormatting sqref="E1:K1">
    <cfRule type="cellIs" dxfId="0" priority="2" operator="notEqual">
      <formula>""</formula>
    </cfRule>
  </conditionalFormatting>
  <hyperlinks>
    <hyperlink ref="E1" r:id="rId1" display="https://www.screener.in/excel/" xr:uid="{00000000-0004-0000-0500-000000000000}"/>
  </hyperlinks>
  <pageMargins left="0.7" right="0.7" top="0.75" bottom="0.75" header="0.511811023622047" footer="0.511811023622047"/>
  <pageSetup paperSize="9" orientation="portrait" horizontalDpi="300" verticalDpi="300" r:id="rId2"/>
  <ignoredErrors>
    <ignoredError sqref="B101"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30"/>
  <sheetViews>
    <sheetView zoomScale="80" zoomScaleNormal="80" workbookViewId="0">
      <selection activeCell="C9" sqref="C9"/>
    </sheetView>
  </sheetViews>
  <sheetFormatPr defaultColWidth="8.6640625" defaultRowHeight="14.4" x14ac:dyDescent="0.3"/>
  <cols>
    <col min="1" max="1" width="1.88671875" customWidth="1"/>
    <col min="2" max="2" width="25.77734375" customWidth="1"/>
  </cols>
  <sheetData>
    <row r="2" spans="2:17" ht="14.25" customHeight="1" x14ac:dyDescent="0.3">
      <c r="C2" s="29">
        <v>42064</v>
      </c>
      <c r="D2" s="29">
        <v>42430</v>
      </c>
      <c r="E2" s="29">
        <v>42795</v>
      </c>
      <c r="F2" s="29">
        <v>43160</v>
      </c>
      <c r="G2" s="29">
        <v>43525</v>
      </c>
      <c r="H2" s="29">
        <v>43891</v>
      </c>
      <c r="I2" s="29">
        <v>44256</v>
      </c>
      <c r="J2" s="29">
        <v>44621</v>
      </c>
      <c r="K2" s="29">
        <v>44986</v>
      </c>
      <c r="L2" s="29">
        <v>45352</v>
      </c>
      <c r="M2" s="29">
        <v>45717</v>
      </c>
      <c r="N2" s="29">
        <v>46082</v>
      </c>
    </row>
    <row r="3" spans="2:17" ht="14.25" customHeight="1" x14ac:dyDescent="0.3">
      <c r="B3" s="11" t="s">
        <v>195</v>
      </c>
      <c r="C3" s="30">
        <v>1188</v>
      </c>
      <c r="D3" s="30">
        <v>2243</v>
      </c>
      <c r="E3" s="30">
        <v>1527</v>
      </c>
      <c r="F3" s="30">
        <v>2113</v>
      </c>
      <c r="G3" s="30">
        <v>2470</v>
      </c>
      <c r="H3" s="30">
        <v>3038</v>
      </c>
      <c r="I3" s="30">
        <v>3683</v>
      </c>
      <c r="J3" s="11">
        <v>986</v>
      </c>
      <c r="K3" s="30">
        <v>4193</v>
      </c>
      <c r="L3" s="30">
        <v>6104</v>
      </c>
      <c r="M3" s="30">
        <v>4424</v>
      </c>
      <c r="N3" s="30">
        <v>7088</v>
      </c>
    </row>
    <row r="4" spans="2:17" ht="14.25" customHeight="1" x14ac:dyDescent="0.3">
      <c r="B4" t="s">
        <v>50</v>
      </c>
      <c r="C4" s="31">
        <v>2271</v>
      </c>
      <c r="D4" s="31">
        <v>2848</v>
      </c>
      <c r="E4" s="31">
        <v>3056</v>
      </c>
      <c r="F4" s="31">
        <v>3274</v>
      </c>
      <c r="G4" s="31">
        <v>3861</v>
      </c>
      <c r="H4" s="31">
        <v>4380</v>
      </c>
      <c r="I4" s="31">
        <v>4970</v>
      </c>
      <c r="J4" s="31">
        <v>4957</v>
      </c>
      <c r="K4" s="31">
        <v>6460</v>
      </c>
      <c r="L4" s="31">
        <v>7929</v>
      </c>
      <c r="M4" s="31">
        <v>6390</v>
      </c>
      <c r="N4" s="31">
        <v>7186</v>
      </c>
    </row>
    <row r="5" spans="2:17" ht="14.25" customHeight="1" x14ac:dyDescent="0.3">
      <c r="B5" t="s">
        <v>43</v>
      </c>
      <c r="C5">
        <v>-155</v>
      </c>
      <c r="D5">
        <v>-146</v>
      </c>
      <c r="E5">
        <v>-475</v>
      </c>
      <c r="F5">
        <v>-483</v>
      </c>
      <c r="G5">
        <v>-205</v>
      </c>
      <c r="H5">
        <v>160</v>
      </c>
      <c r="I5">
        <v>-849</v>
      </c>
      <c r="J5" s="31">
        <v>-1326</v>
      </c>
      <c r="K5">
        <v>-834</v>
      </c>
      <c r="L5">
        <v>-362</v>
      </c>
      <c r="M5">
        <v>282</v>
      </c>
      <c r="N5">
        <v>-274</v>
      </c>
    </row>
    <row r="6" spans="2:17" ht="14.25" customHeight="1" x14ac:dyDescent="0.3">
      <c r="B6" t="s">
        <v>44</v>
      </c>
      <c r="C6">
        <v>-144</v>
      </c>
      <c r="D6">
        <v>202</v>
      </c>
      <c r="E6">
        <v>-629</v>
      </c>
      <c r="F6">
        <v>-39</v>
      </c>
      <c r="G6">
        <v>-492</v>
      </c>
      <c r="H6">
        <v>-251</v>
      </c>
      <c r="I6">
        <v>-409</v>
      </c>
      <c r="J6" s="31">
        <v>-2354</v>
      </c>
      <c r="K6">
        <v>-56</v>
      </c>
      <c r="L6">
        <v>315</v>
      </c>
      <c r="M6">
        <v>-805</v>
      </c>
      <c r="N6">
        <v>976</v>
      </c>
    </row>
    <row r="7" spans="2:17" ht="14.25" customHeight="1" x14ac:dyDescent="0.3">
      <c r="B7" t="s">
        <v>51</v>
      </c>
      <c r="C7">
        <v>-151</v>
      </c>
      <c r="D7">
        <v>142</v>
      </c>
      <c r="E7">
        <v>501</v>
      </c>
      <c r="F7">
        <v>442</v>
      </c>
      <c r="G7">
        <v>287</v>
      </c>
      <c r="H7">
        <v>-241</v>
      </c>
      <c r="I7" s="31">
        <v>1143</v>
      </c>
      <c r="J7">
        <v>644</v>
      </c>
      <c r="K7">
        <v>-539</v>
      </c>
      <c r="L7">
        <v>269</v>
      </c>
      <c r="M7">
        <v>-160</v>
      </c>
      <c r="N7">
        <v>396</v>
      </c>
    </row>
    <row r="8" spans="2:17" ht="14.25" customHeight="1" x14ac:dyDescent="0.3">
      <c r="B8" t="s">
        <v>52</v>
      </c>
      <c r="C8">
        <v>0</v>
      </c>
      <c r="D8">
        <v>0</v>
      </c>
      <c r="E8">
        <v>0</v>
      </c>
      <c r="F8">
        <v>0</v>
      </c>
      <c r="G8">
        <v>0</v>
      </c>
      <c r="H8">
        <v>0</v>
      </c>
      <c r="I8">
        <v>-92</v>
      </c>
      <c r="J8">
        <v>242</v>
      </c>
      <c r="K8">
        <v>657</v>
      </c>
      <c r="L8">
        <v>-212</v>
      </c>
      <c r="M8">
        <v>114</v>
      </c>
      <c r="N8">
        <v>378</v>
      </c>
    </row>
    <row r="9" spans="2:17" ht="14.25" customHeight="1" x14ac:dyDescent="0.3">
      <c r="B9" t="s">
        <v>53</v>
      </c>
      <c r="C9">
        <v>-450</v>
      </c>
      <c r="D9">
        <v>198</v>
      </c>
      <c r="E9">
        <v>-603</v>
      </c>
      <c r="F9">
        <v>-80</v>
      </c>
      <c r="G9">
        <v>-410</v>
      </c>
      <c r="H9">
        <v>-331</v>
      </c>
      <c r="I9">
        <v>-206</v>
      </c>
      <c r="J9" s="31">
        <v>-2795</v>
      </c>
      <c r="K9">
        <v>-772</v>
      </c>
      <c r="L9">
        <v>10</v>
      </c>
      <c r="M9">
        <v>-570</v>
      </c>
      <c r="N9" s="31">
        <v>1476</v>
      </c>
    </row>
    <row r="10" spans="2:17" ht="14.25" customHeight="1" x14ac:dyDescent="0.3">
      <c r="B10" t="s">
        <v>54</v>
      </c>
      <c r="C10">
        <v>-633</v>
      </c>
      <c r="D10">
        <v>-802</v>
      </c>
      <c r="E10">
        <v>-925</v>
      </c>
      <c r="F10" s="31">
        <v>-1081</v>
      </c>
      <c r="G10">
        <v>-982</v>
      </c>
      <c r="H10" s="31">
        <v>-1011</v>
      </c>
      <c r="I10" s="31">
        <v>-1080</v>
      </c>
      <c r="J10" s="31">
        <v>-1176</v>
      </c>
      <c r="K10" s="31">
        <v>-1494</v>
      </c>
      <c r="L10" s="31">
        <v>-1835</v>
      </c>
      <c r="M10" s="31">
        <v>-1396</v>
      </c>
      <c r="N10" s="31">
        <v>-1574</v>
      </c>
    </row>
    <row r="11" spans="2:17" ht="14.25" customHeight="1" x14ac:dyDescent="0.3">
      <c r="B11" s="11" t="s">
        <v>196</v>
      </c>
      <c r="C11" s="11">
        <v>-465</v>
      </c>
      <c r="D11" s="11">
        <v>-866</v>
      </c>
      <c r="E11" s="11">
        <v>-681</v>
      </c>
      <c r="F11" s="30">
        <v>-1556</v>
      </c>
      <c r="G11" s="11">
        <v>-918</v>
      </c>
      <c r="H11" s="11">
        <v>-518</v>
      </c>
      <c r="I11" s="11">
        <v>-541</v>
      </c>
      <c r="J11" s="11">
        <v>-317</v>
      </c>
      <c r="K11" s="30">
        <v>-1282</v>
      </c>
      <c r="L11" s="30">
        <v>-2548</v>
      </c>
      <c r="M11" s="11">
        <v>-941</v>
      </c>
      <c r="N11" s="30">
        <v>-1328</v>
      </c>
    </row>
    <row r="12" spans="2:17" ht="14.25" customHeight="1" x14ac:dyDescent="0.3">
      <c r="B12" t="s">
        <v>57</v>
      </c>
      <c r="C12">
        <v>-454</v>
      </c>
      <c r="D12">
        <v>-817</v>
      </c>
      <c r="E12">
        <v>-684</v>
      </c>
      <c r="F12" s="31">
        <v>-1426</v>
      </c>
      <c r="G12" s="31">
        <v>-1151</v>
      </c>
      <c r="H12">
        <v>-414</v>
      </c>
      <c r="I12">
        <v>-289</v>
      </c>
      <c r="J12">
        <v>-551</v>
      </c>
      <c r="K12" s="31">
        <v>-1446</v>
      </c>
      <c r="L12" s="31">
        <v>-2496</v>
      </c>
      <c r="M12" s="31">
        <v>-1830</v>
      </c>
      <c r="N12" s="31">
        <v>-1487</v>
      </c>
    </row>
    <row r="13" spans="2:17" ht="14.25" customHeight="1" x14ac:dyDescent="0.3">
      <c r="B13" t="s">
        <v>58</v>
      </c>
      <c r="C13">
        <v>16</v>
      </c>
      <c r="D13">
        <v>15</v>
      </c>
      <c r="E13">
        <v>17</v>
      </c>
      <c r="F13">
        <v>17</v>
      </c>
      <c r="G13">
        <v>17</v>
      </c>
      <c r="H13">
        <v>37</v>
      </c>
      <c r="I13">
        <v>28</v>
      </c>
      <c r="J13">
        <v>40</v>
      </c>
      <c r="K13">
        <v>26</v>
      </c>
      <c r="L13">
        <v>5</v>
      </c>
      <c r="M13">
        <v>10</v>
      </c>
      <c r="N13">
        <v>3</v>
      </c>
    </row>
    <row r="14" spans="2:17" ht="14.25" customHeight="1" x14ac:dyDescent="0.3">
      <c r="B14" t="s">
        <v>59</v>
      </c>
      <c r="C14">
        <v>-243</v>
      </c>
      <c r="D14">
        <v>-282</v>
      </c>
      <c r="E14">
        <v>-153</v>
      </c>
      <c r="F14">
        <v>-320</v>
      </c>
      <c r="G14">
        <v>-573</v>
      </c>
      <c r="H14">
        <v>-25</v>
      </c>
      <c r="I14">
        <v>-140</v>
      </c>
      <c r="J14">
        <v>0</v>
      </c>
      <c r="K14">
        <v>-146</v>
      </c>
      <c r="L14">
        <v>-212</v>
      </c>
      <c r="M14">
        <v>-1</v>
      </c>
      <c r="N14">
        <v>0</v>
      </c>
      <c r="Q14" s="31"/>
    </row>
    <row r="15" spans="2:17" ht="14.25" customHeight="1" x14ac:dyDescent="0.3">
      <c r="B15" t="s">
        <v>60</v>
      </c>
      <c r="C15">
        <v>278</v>
      </c>
      <c r="D15">
        <v>205</v>
      </c>
      <c r="E15">
        <v>357</v>
      </c>
      <c r="F15">
        <v>362</v>
      </c>
      <c r="G15">
        <v>733</v>
      </c>
      <c r="H15">
        <v>118</v>
      </c>
      <c r="I15">
        <v>272</v>
      </c>
      <c r="J15">
        <v>207</v>
      </c>
      <c r="K15">
        <v>446</v>
      </c>
      <c r="L15">
        <v>240</v>
      </c>
      <c r="M15">
        <v>421</v>
      </c>
      <c r="N15" s="31">
        <v>1197</v>
      </c>
    </row>
    <row r="16" spans="2:17" ht="14.25" customHeight="1" x14ac:dyDescent="0.3">
      <c r="B16" t="s">
        <v>61</v>
      </c>
      <c r="C16">
        <v>11</v>
      </c>
      <c r="D16">
        <v>15</v>
      </c>
      <c r="E16">
        <v>32</v>
      </c>
      <c r="F16">
        <v>39</v>
      </c>
      <c r="G16">
        <v>40</v>
      </c>
      <c r="H16">
        <v>65</v>
      </c>
      <c r="I16">
        <v>73</v>
      </c>
      <c r="J16">
        <v>77</v>
      </c>
      <c r="K16">
        <v>87</v>
      </c>
      <c r="L16">
        <v>135</v>
      </c>
      <c r="M16">
        <v>155</v>
      </c>
      <c r="N16">
        <v>153</v>
      </c>
    </row>
    <row r="17" spans="2:14" ht="14.25" customHeight="1" x14ac:dyDescent="0.3">
      <c r="B17" t="s">
        <v>62</v>
      </c>
      <c r="C17">
        <v>71</v>
      </c>
      <c r="D17">
        <v>69</v>
      </c>
      <c r="E17">
        <v>74</v>
      </c>
      <c r="F17">
        <v>38</v>
      </c>
      <c r="G17">
        <v>40</v>
      </c>
      <c r="H17">
        <v>27</v>
      </c>
      <c r="I17">
        <v>8</v>
      </c>
      <c r="J17">
        <v>15</v>
      </c>
      <c r="K17">
        <v>56</v>
      </c>
      <c r="L17">
        <v>129</v>
      </c>
      <c r="M17">
        <v>136</v>
      </c>
      <c r="N17">
        <v>118</v>
      </c>
    </row>
    <row r="18" spans="2:14" ht="14.25" customHeight="1" x14ac:dyDescent="0.3">
      <c r="B18" t="s">
        <v>63</v>
      </c>
      <c r="C18">
        <v>0</v>
      </c>
      <c r="D18">
        <v>0</v>
      </c>
      <c r="E18">
        <v>0</v>
      </c>
      <c r="F18">
        <v>0</v>
      </c>
      <c r="G18">
        <v>0</v>
      </c>
      <c r="H18">
        <v>0</v>
      </c>
      <c r="I18">
        <v>0</v>
      </c>
      <c r="J18">
        <v>0</v>
      </c>
      <c r="K18">
        <v>-180</v>
      </c>
      <c r="L18">
        <v>0</v>
      </c>
      <c r="M18">
        <v>0</v>
      </c>
      <c r="N18">
        <v>0</v>
      </c>
    </row>
    <row r="19" spans="2:14" ht="14.25" customHeight="1" x14ac:dyDescent="0.3">
      <c r="B19" t="s">
        <v>64</v>
      </c>
      <c r="C19">
        <v>0</v>
      </c>
      <c r="D19">
        <v>0</v>
      </c>
      <c r="E19">
        <v>0</v>
      </c>
      <c r="F19">
        <v>141</v>
      </c>
      <c r="G19">
        <v>0</v>
      </c>
      <c r="H19">
        <v>17</v>
      </c>
      <c r="I19">
        <v>0</v>
      </c>
      <c r="J19">
        <v>0</v>
      </c>
      <c r="K19">
        <v>0</v>
      </c>
      <c r="L19">
        <v>0</v>
      </c>
      <c r="M19">
        <v>38</v>
      </c>
      <c r="N19">
        <v>0</v>
      </c>
    </row>
    <row r="20" spans="2:14" ht="14.25" customHeight="1" x14ac:dyDescent="0.3">
      <c r="B20" t="s">
        <v>65</v>
      </c>
      <c r="C20">
        <v>0</v>
      </c>
      <c r="D20">
        <v>0</v>
      </c>
      <c r="E20">
        <v>0</v>
      </c>
      <c r="F20">
        <v>-525</v>
      </c>
      <c r="G20">
        <v>0</v>
      </c>
      <c r="H20">
        <v>0</v>
      </c>
      <c r="I20">
        <v>0</v>
      </c>
      <c r="J20">
        <v>0</v>
      </c>
      <c r="K20">
        <v>0</v>
      </c>
      <c r="L20">
        <v>0</v>
      </c>
      <c r="M20">
        <v>0</v>
      </c>
      <c r="N20">
        <v>0</v>
      </c>
    </row>
    <row r="21" spans="2:14" ht="14.25" customHeight="1" x14ac:dyDescent="0.3">
      <c r="B21" t="s">
        <v>66</v>
      </c>
      <c r="C21">
        <v>-144</v>
      </c>
      <c r="D21">
        <v>-70</v>
      </c>
      <c r="E21">
        <v>-324</v>
      </c>
      <c r="F21">
        <v>118</v>
      </c>
      <c r="G21">
        <v>-24</v>
      </c>
      <c r="H21">
        <v>-343</v>
      </c>
      <c r="I21">
        <v>-493</v>
      </c>
      <c r="J21">
        <v>-105</v>
      </c>
      <c r="K21">
        <v>-126</v>
      </c>
      <c r="L21">
        <v>-350</v>
      </c>
      <c r="M21">
        <v>130</v>
      </c>
      <c r="N21" s="31">
        <v>-1312</v>
      </c>
    </row>
    <row r="22" spans="2:14" ht="14.25" customHeight="1" x14ac:dyDescent="0.3">
      <c r="B22" s="11" t="s">
        <v>197</v>
      </c>
      <c r="C22" s="11">
        <v>-576</v>
      </c>
      <c r="D22" s="11">
        <v>-849</v>
      </c>
      <c r="E22" s="11">
        <v>-756</v>
      </c>
      <c r="F22" s="30">
        <v>-1379</v>
      </c>
      <c r="G22" s="30">
        <v>-1117</v>
      </c>
      <c r="H22" s="30">
        <v>-2871</v>
      </c>
      <c r="I22" s="11">
        <v>-650</v>
      </c>
      <c r="J22" s="30">
        <v>-1808</v>
      </c>
      <c r="K22" s="30">
        <v>-2140</v>
      </c>
      <c r="L22" s="30">
        <v>-2982</v>
      </c>
      <c r="M22" s="30">
        <v>-3753</v>
      </c>
      <c r="N22" s="30">
        <v>-2377</v>
      </c>
    </row>
    <row r="23" spans="2:14" ht="14.25" customHeight="1" x14ac:dyDescent="0.3">
      <c r="B23" t="s">
        <v>69</v>
      </c>
      <c r="C23">
        <v>0</v>
      </c>
      <c r="D23">
        <v>0</v>
      </c>
      <c r="E23">
        <v>0</v>
      </c>
      <c r="F23">
        <v>0</v>
      </c>
      <c r="G23">
        <v>0</v>
      </c>
      <c r="H23">
        <v>0</v>
      </c>
      <c r="I23">
        <v>0</v>
      </c>
      <c r="J23">
        <v>0</v>
      </c>
      <c r="K23">
        <v>0</v>
      </c>
      <c r="L23">
        <v>1</v>
      </c>
      <c r="M23">
        <v>0</v>
      </c>
      <c r="N23">
        <v>0</v>
      </c>
    </row>
    <row r="24" spans="2:14" ht="14.25" customHeight="1" x14ac:dyDescent="0.3">
      <c r="B24" t="s">
        <v>70</v>
      </c>
      <c r="C24">
        <v>239</v>
      </c>
      <c r="D24">
        <v>8</v>
      </c>
      <c r="E24">
        <v>271</v>
      </c>
      <c r="F24">
        <v>10</v>
      </c>
      <c r="G24">
        <v>243</v>
      </c>
      <c r="H24">
        <v>18</v>
      </c>
      <c r="I24">
        <v>155</v>
      </c>
      <c r="J24">
        <v>418</v>
      </c>
      <c r="K24">
        <v>254</v>
      </c>
      <c r="L24">
        <v>101</v>
      </c>
      <c r="M24">
        <v>415</v>
      </c>
      <c r="N24" s="31">
        <v>1279</v>
      </c>
    </row>
    <row r="25" spans="2:14" ht="14.25" customHeight="1" x14ac:dyDescent="0.3">
      <c r="B25" t="s">
        <v>71</v>
      </c>
      <c r="C25">
        <v>-86</v>
      </c>
      <c r="D25">
        <v>-119</v>
      </c>
      <c r="E25">
        <v>-58</v>
      </c>
      <c r="F25">
        <v>-54</v>
      </c>
      <c r="G25">
        <v>-26</v>
      </c>
      <c r="H25">
        <v>-482</v>
      </c>
      <c r="I25">
        <v>-14</v>
      </c>
      <c r="J25">
        <v>-8</v>
      </c>
      <c r="K25">
        <v>-25</v>
      </c>
      <c r="L25">
        <v>-98</v>
      </c>
      <c r="M25">
        <v>-428</v>
      </c>
      <c r="N25">
        <v>-452</v>
      </c>
    </row>
    <row r="26" spans="2:14" ht="14.25" customHeight="1" x14ac:dyDescent="0.3">
      <c r="B26" t="s">
        <v>72</v>
      </c>
      <c r="C26">
        <v>-35</v>
      </c>
      <c r="D26">
        <v>-40</v>
      </c>
      <c r="E26">
        <v>-36</v>
      </c>
      <c r="F26">
        <v>-35</v>
      </c>
      <c r="G26">
        <v>-106</v>
      </c>
      <c r="H26">
        <v>-101</v>
      </c>
      <c r="I26">
        <v>-89</v>
      </c>
      <c r="J26">
        <v>-94</v>
      </c>
      <c r="K26">
        <v>-142</v>
      </c>
      <c r="L26">
        <v>-191</v>
      </c>
      <c r="M26">
        <v>-203</v>
      </c>
      <c r="N26">
        <v>-228</v>
      </c>
    </row>
    <row r="27" spans="2:14" ht="14.25" customHeight="1" x14ac:dyDescent="0.3">
      <c r="B27" t="s">
        <v>73</v>
      </c>
      <c r="C27">
        <v>-695</v>
      </c>
      <c r="D27">
        <v>-764</v>
      </c>
      <c r="E27">
        <v>-947</v>
      </c>
      <c r="F27" s="31">
        <v>-1218</v>
      </c>
      <c r="G27" s="31">
        <v>-1049</v>
      </c>
      <c r="H27" s="31">
        <v>-2121</v>
      </c>
      <c r="I27">
        <v>-499</v>
      </c>
      <c r="J27" s="31">
        <v>-1763</v>
      </c>
      <c r="K27" s="31">
        <v>-1936</v>
      </c>
      <c r="L27" s="31">
        <v>-2551</v>
      </c>
      <c r="M27" s="31">
        <v>-3140</v>
      </c>
      <c r="N27" s="31">
        <v>-2425</v>
      </c>
    </row>
    <row r="28" spans="2:14" ht="14.25" customHeight="1" x14ac:dyDescent="0.3">
      <c r="B28" t="s">
        <v>74</v>
      </c>
      <c r="C28">
        <v>0</v>
      </c>
      <c r="D28">
        <v>0</v>
      </c>
      <c r="E28">
        <v>0</v>
      </c>
      <c r="F28">
        <v>0</v>
      </c>
      <c r="G28">
        <v>-180</v>
      </c>
      <c r="H28">
        <v>-179</v>
      </c>
      <c r="I28">
        <v>-203</v>
      </c>
      <c r="J28">
        <v>-221</v>
      </c>
      <c r="K28">
        <v>-256</v>
      </c>
      <c r="L28">
        <v>-286</v>
      </c>
      <c r="M28">
        <v>-325</v>
      </c>
      <c r="N28">
        <v>-340</v>
      </c>
    </row>
    <row r="29" spans="2:14" ht="14.25" customHeight="1" x14ac:dyDescent="0.3">
      <c r="B29" t="s">
        <v>75</v>
      </c>
      <c r="C29">
        <v>0</v>
      </c>
      <c r="D29">
        <v>66</v>
      </c>
      <c r="E29">
        <v>13</v>
      </c>
      <c r="F29">
        <v>-82</v>
      </c>
      <c r="G29">
        <v>0</v>
      </c>
      <c r="H29">
        <v>-6</v>
      </c>
      <c r="I29">
        <v>0</v>
      </c>
      <c r="J29">
        <v>-140</v>
      </c>
      <c r="K29">
        <v>-36</v>
      </c>
      <c r="L29">
        <v>41</v>
      </c>
      <c r="M29">
        <v>-72</v>
      </c>
      <c r="N29">
        <v>-210</v>
      </c>
    </row>
    <row r="30" spans="2:14" ht="14.25" customHeight="1" x14ac:dyDescent="0.3">
      <c r="B30" s="11" t="s">
        <v>77</v>
      </c>
      <c r="C30" s="11">
        <v>147</v>
      </c>
      <c r="D30" s="11">
        <v>528</v>
      </c>
      <c r="E30" s="11">
        <v>90</v>
      </c>
      <c r="F30" s="11">
        <v>-822</v>
      </c>
      <c r="G30" s="11">
        <v>434</v>
      </c>
      <c r="H30" s="11">
        <v>-351</v>
      </c>
      <c r="I30" s="30">
        <v>2492</v>
      </c>
      <c r="J30" s="30">
        <v>-1138</v>
      </c>
      <c r="K30" s="11">
        <v>771</v>
      </c>
      <c r="L30" s="11">
        <v>573</v>
      </c>
      <c r="M30" s="11">
        <v>-270</v>
      </c>
      <c r="N30" s="30">
        <v>3383</v>
      </c>
    </row>
  </sheetData>
  <pageMargins left="0.7" right="0.7" top="0.75" bottom="0.75" header="0.511811023622047" footer="0.511811023622047"/>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Normal="100" workbookViewId="0"/>
  </sheetViews>
  <sheetFormatPr defaultColWidth="8.6640625" defaultRowHeight="14.4" x14ac:dyDescent="0.3"/>
  <sheetData/>
  <pageMargins left="0.7" right="0.7" top="0.75" bottom="0.75" header="0.511811023622047" footer="0.511811023622047"/>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DFC4-433A-4FC8-A35F-19BBCC6A8403}">
  <dimension ref="B2:N77"/>
  <sheetViews>
    <sheetView showGridLines="0" zoomScale="80" zoomScaleNormal="80" workbookViewId="0">
      <selection activeCell="P31" sqref="P31"/>
    </sheetView>
  </sheetViews>
  <sheetFormatPr defaultRowHeight="14.4" x14ac:dyDescent="0.3"/>
  <cols>
    <col min="1" max="1" width="1.88671875" customWidth="1"/>
    <col min="2" max="2" width="25.77734375" bestFit="1" customWidth="1"/>
    <col min="3" max="3" width="9" bestFit="1" customWidth="1"/>
    <col min="4" max="14" width="9.44140625" bestFit="1" customWidth="1"/>
  </cols>
  <sheetData>
    <row r="2" spans="2:14" x14ac:dyDescent="0.3">
      <c r="B2" s="237" t="s">
        <v>128</v>
      </c>
      <c r="C2" s="164">
        <v>42064</v>
      </c>
      <c r="D2" s="164">
        <v>42430</v>
      </c>
      <c r="E2" s="164">
        <v>42795</v>
      </c>
      <c r="F2" s="164">
        <v>43160</v>
      </c>
      <c r="G2" s="164">
        <v>43525</v>
      </c>
      <c r="H2" s="164">
        <v>43891</v>
      </c>
      <c r="I2" s="164">
        <v>44256</v>
      </c>
      <c r="J2" s="164">
        <v>44621</v>
      </c>
      <c r="K2" s="164">
        <v>44986</v>
      </c>
      <c r="L2" s="164">
        <v>45352</v>
      </c>
      <c r="M2" s="164">
        <v>45717</v>
      </c>
      <c r="N2" s="164">
        <v>46082</v>
      </c>
    </row>
    <row r="4" spans="2:14" x14ac:dyDescent="0.3">
      <c r="B4" s="228" t="s">
        <v>356</v>
      </c>
      <c r="C4" s="221">
        <v>96</v>
      </c>
      <c r="D4" s="221">
        <v>96</v>
      </c>
      <c r="E4" s="221">
        <v>96</v>
      </c>
      <c r="F4" s="221">
        <v>96</v>
      </c>
      <c r="G4" s="221">
        <v>96</v>
      </c>
      <c r="H4" s="221">
        <v>96</v>
      </c>
      <c r="I4" s="221">
        <v>96</v>
      </c>
      <c r="J4" s="221">
        <v>96</v>
      </c>
      <c r="K4" s="221">
        <v>96</v>
      </c>
      <c r="L4" s="221">
        <v>96</v>
      </c>
      <c r="M4" s="221">
        <v>96</v>
      </c>
      <c r="N4" s="221">
        <v>96</v>
      </c>
    </row>
    <row r="5" spans="2:14" x14ac:dyDescent="0.3">
      <c r="B5" s="228" t="s">
        <v>33</v>
      </c>
      <c r="C5" s="221">
        <v>4646</v>
      </c>
      <c r="D5" s="221">
        <v>6429</v>
      </c>
      <c r="E5" s="221">
        <v>7508</v>
      </c>
      <c r="F5" s="221">
        <v>8314</v>
      </c>
      <c r="G5" s="221">
        <v>9375</v>
      </c>
      <c r="H5" s="221">
        <v>10034</v>
      </c>
      <c r="I5" s="221">
        <v>12710</v>
      </c>
      <c r="J5" s="221">
        <v>13716</v>
      </c>
      <c r="K5" s="221">
        <v>15896</v>
      </c>
      <c r="L5" s="221">
        <v>18632</v>
      </c>
      <c r="M5" s="221">
        <v>19304</v>
      </c>
      <c r="N5" s="221">
        <v>21276</v>
      </c>
    </row>
    <row r="6" spans="2:14" x14ac:dyDescent="0.3">
      <c r="B6" s="228" t="s">
        <v>357</v>
      </c>
      <c r="C6" s="221"/>
      <c r="D6" s="221"/>
      <c r="E6" s="221"/>
      <c r="F6" s="221"/>
      <c r="G6" s="221"/>
      <c r="H6" s="221"/>
      <c r="I6" s="221"/>
      <c r="J6" s="221"/>
      <c r="K6" s="221"/>
      <c r="L6" s="221"/>
      <c r="M6" s="221"/>
      <c r="N6" s="221"/>
    </row>
    <row r="7" spans="2:14" x14ac:dyDescent="0.3">
      <c r="B7" s="220" t="s">
        <v>358</v>
      </c>
      <c r="C7" s="221">
        <v>78</v>
      </c>
      <c r="D7" s="221">
        <v>73</v>
      </c>
      <c r="E7" s="221">
        <v>41</v>
      </c>
      <c r="F7" s="221">
        <v>28</v>
      </c>
      <c r="G7" s="221">
        <v>19</v>
      </c>
      <c r="H7" s="221">
        <v>19</v>
      </c>
      <c r="I7" s="221">
        <v>15</v>
      </c>
      <c r="J7" s="221">
        <v>45</v>
      </c>
      <c r="K7" s="221">
        <v>76</v>
      </c>
      <c r="L7" s="221">
        <v>54</v>
      </c>
      <c r="M7" s="221">
        <v>260</v>
      </c>
      <c r="N7" s="221">
        <v>1247</v>
      </c>
    </row>
    <row r="8" spans="2:14" x14ac:dyDescent="0.3">
      <c r="B8" s="220" t="s">
        <v>359</v>
      </c>
      <c r="C8" s="221">
        <v>332</v>
      </c>
      <c r="D8" s="221">
        <v>231</v>
      </c>
      <c r="E8" s="221">
        <v>504</v>
      </c>
      <c r="F8" s="221">
        <v>492</v>
      </c>
      <c r="G8" s="221">
        <v>597</v>
      </c>
      <c r="H8" s="221">
        <v>321</v>
      </c>
      <c r="I8" s="221">
        <v>334</v>
      </c>
      <c r="J8" s="221">
        <v>731</v>
      </c>
      <c r="K8" s="221">
        <v>896</v>
      </c>
      <c r="L8" s="221">
        <v>1053</v>
      </c>
      <c r="M8" s="221">
        <v>604</v>
      </c>
      <c r="N8" s="221">
        <v>1046</v>
      </c>
    </row>
    <row r="9" spans="2:14" x14ac:dyDescent="0.3">
      <c r="B9" s="220" t="s">
        <v>360</v>
      </c>
      <c r="C9" s="221">
        <v>0</v>
      </c>
      <c r="D9" s="221">
        <v>0</v>
      </c>
      <c r="E9" s="221">
        <v>0</v>
      </c>
      <c r="F9" s="221">
        <v>0</v>
      </c>
      <c r="G9" s="221">
        <v>693</v>
      </c>
      <c r="H9" s="221">
        <v>764</v>
      </c>
      <c r="I9" s="221">
        <v>745</v>
      </c>
      <c r="J9" s="221">
        <v>811</v>
      </c>
      <c r="K9" s="221">
        <v>960</v>
      </c>
      <c r="L9" s="221">
        <v>1367</v>
      </c>
      <c r="M9" s="221">
        <v>1427</v>
      </c>
      <c r="N9" s="221">
        <v>1636</v>
      </c>
    </row>
    <row r="10" spans="2:14" x14ac:dyDescent="0.3">
      <c r="B10" s="220" t="s">
        <v>361</v>
      </c>
      <c r="C10" s="221">
        <v>8</v>
      </c>
      <c r="D10" s="221">
        <v>20</v>
      </c>
      <c r="E10" s="221">
        <v>15</v>
      </c>
      <c r="F10" s="221">
        <v>13</v>
      </c>
      <c r="G10" s="221">
        <v>11</v>
      </c>
      <c r="H10" s="221">
        <v>15</v>
      </c>
      <c r="I10" s="221">
        <v>0</v>
      </c>
      <c r="J10" s="221">
        <v>0</v>
      </c>
      <c r="K10" s="221">
        <v>0</v>
      </c>
      <c r="L10" s="221">
        <v>0</v>
      </c>
      <c r="M10" s="221">
        <v>0</v>
      </c>
      <c r="N10" s="221">
        <v>0</v>
      </c>
    </row>
    <row r="11" spans="2:14" x14ac:dyDescent="0.3">
      <c r="B11" s="228" t="s">
        <v>362</v>
      </c>
      <c r="C11" s="221"/>
      <c r="D11" s="221"/>
      <c r="E11" s="221"/>
      <c r="F11" s="221"/>
      <c r="G11" s="221"/>
      <c r="H11" s="221"/>
      <c r="I11" s="221"/>
      <c r="J11" s="221"/>
      <c r="K11" s="221"/>
      <c r="L11" s="221"/>
      <c r="M11" s="221"/>
      <c r="N11" s="221"/>
    </row>
    <row r="12" spans="2:14" x14ac:dyDescent="0.3">
      <c r="B12" s="220" t="s">
        <v>363</v>
      </c>
      <c r="C12" s="221">
        <v>264</v>
      </c>
      <c r="D12" s="221">
        <v>384</v>
      </c>
      <c r="E12" s="221">
        <v>375</v>
      </c>
      <c r="F12" s="221">
        <v>328</v>
      </c>
      <c r="G12" s="221">
        <v>361</v>
      </c>
      <c r="H12" s="221">
        <v>404</v>
      </c>
      <c r="I12" s="221">
        <v>423</v>
      </c>
      <c r="J12" s="221">
        <v>388</v>
      </c>
      <c r="K12" s="221">
        <v>454</v>
      </c>
      <c r="L12" s="221">
        <v>695</v>
      </c>
      <c r="M12" s="221">
        <v>659</v>
      </c>
      <c r="N12" s="221">
        <v>643</v>
      </c>
    </row>
    <row r="13" spans="2:14" x14ac:dyDescent="0.3">
      <c r="B13" s="220" t="s">
        <v>35</v>
      </c>
      <c r="C13" s="221">
        <v>1549</v>
      </c>
      <c r="D13" s="221">
        <v>1565</v>
      </c>
      <c r="E13" s="221">
        <v>1923</v>
      </c>
      <c r="F13" s="221">
        <v>2160</v>
      </c>
      <c r="G13" s="221">
        <v>2394</v>
      </c>
      <c r="H13" s="221">
        <v>2137</v>
      </c>
      <c r="I13" s="221">
        <v>3379</v>
      </c>
      <c r="J13" s="221">
        <v>4164</v>
      </c>
      <c r="K13" s="221">
        <v>3635</v>
      </c>
      <c r="L13" s="221">
        <v>3831</v>
      </c>
      <c r="M13" s="221">
        <v>3848</v>
      </c>
      <c r="N13" s="221">
        <v>3863</v>
      </c>
    </row>
    <row r="14" spans="2:14" x14ac:dyDescent="0.3">
      <c r="B14" s="220" t="s">
        <v>364</v>
      </c>
      <c r="C14" s="221">
        <v>5</v>
      </c>
      <c r="D14" s="221">
        <v>12</v>
      </c>
      <c r="E14" s="221">
        <v>17</v>
      </c>
      <c r="F14" s="221">
        <v>16</v>
      </c>
      <c r="G14" s="221">
        <v>13</v>
      </c>
      <c r="H14" s="221">
        <v>29</v>
      </c>
      <c r="I14" s="221">
        <v>41</v>
      </c>
      <c r="J14" s="221">
        <v>76</v>
      </c>
      <c r="K14" s="221">
        <v>108</v>
      </c>
      <c r="L14" s="221">
        <v>154</v>
      </c>
      <c r="M14" s="221">
        <v>174</v>
      </c>
      <c r="N14" s="221">
        <v>107</v>
      </c>
    </row>
    <row r="15" spans="2:14" ht="15" thickBot="1" x14ac:dyDescent="0.35">
      <c r="B15" t="s">
        <v>365</v>
      </c>
      <c r="C15" s="3">
        <v>1937</v>
      </c>
      <c r="D15" s="3">
        <v>1750</v>
      </c>
      <c r="E15" s="3">
        <v>1925</v>
      </c>
      <c r="F15" s="3">
        <v>2316</v>
      </c>
      <c r="G15" s="3">
        <v>2690</v>
      </c>
      <c r="H15" s="3">
        <v>2320</v>
      </c>
      <c r="I15" s="3">
        <v>2613</v>
      </c>
      <c r="J15" s="3">
        <v>2932</v>
      </c>
      <c r="K15" s="3">
        <v>3657</v>
      </c>
      <c r="L15" s="3">
        <v>4017</v>
      </c>
      <c r="M15" s="3">
        <v>3984</v>
      </c>
      <c r="N15" s="3">
        <v>4604</v>
      </c>
    </row>
    <row r="16" spans="2:14" ht="15" thickBot="1" x14ac:dyDescent="0.35">
      <c r="B16" s="224" t="s">
        <v>37</v>
      </c>
      <c r="C16" s="226">
        <v>8914</v>
      </c>
      <c r="D16" s="226">
        <v>10559</v>
      </c>
      <c r="E16" s="226">
        <v>12405</v>
      </c>
      <c r="F16" s="226">
        <v>13763</v>
      </c>
      <c r="G16" s="226">
        <v>16249</v>
      </c>
      <c r="H16" s="226">
        <v>16138</v>
      </c>
      <c r="I16" s="226">
        <v>20355</v>
      </c>
      <c r="J16" s="226">
        <v>22958</v>
      </c>
      <c r="K16" s="226">
        <v>25779</v>
      </c>
      <c r="L16" s="226">
        <v>29901</v>
      </c>
      <c r="M16" s="226">
        <v>30355</v>
      </c>
      <c r="N16" s="226">
        <v>34519</v>
      </c>
    </row>
    <row r="17" spans="2:14" ht="15" thickTop="1" x14ac:dyDescent="0.3">
      <c r="B17" s="71"/>
      <c r="C17" s="3"/>
      <c r="D17" s="3"/>
      <c r="E17" s="3"/>
      <c r="F17" s="3"/>
      <c r="G17" s="3"/>
      <c r="H17" s="3"/>
      <c r="I17" s="3"/>
      <c r="J17" s="3"/>
      <c r="K17" s="3"/>
      <c r="L17" s="3"/>
      <c r="M17" s="3"/>
      <c r="N17" s="3"/>
    </row>
    <row r="18" spans="2:14" x14ac:dyDescent="0.3">
      <c r="B18" s="228" t="s">
        <v>366</v>
      </c>
      <c r="C18" s="221"/>
      <c r="D18" s="221"/>
      <c r="E18" s="221"/>
      <c r="F18" s="221"/>
      <c r="G18" s="221"/>
      <c r="H18" s="221"/>
      <c r="I18" s="221"/>
      <c r="J18" s="221"/>
      <c r="K18" s="221"/>
      <c r="L18" s="221"/>
      <c r="M18" s="221"/>
      <c r="N18" s="221"/>
    </row>
    <row r="19" spans="2:14" x14ac:dyDescent="0.3">
      <c r="B19" s="220" t="s">
        <v>367</v>
      </c>
      <c r="C19" s="221">
        <v>251</v>
      </c>
      <c r="D19" s="221">
        <v>429</v>
      </c>
      <c r="E19" s="221">
        <v>408</v>
      </c>
      <c r="F19" s="221">
        <v>586</v>
      </c>
      <c r="G19" s="221">
        <v>605</v>
      </c>
      <c r="H19" s="221">
        <v>640</v>
      </c>
      <c r="I19" s="221">
        <v>644</v>
      </c>
      <c r="J19" s="221">
        <v>644</v>
      </c>
      <c r="K19" s="221">
        <v>804</v>
      </c>
      <c r="L19" s="221">
        <v>1126</v>
      </c>
      <c r="M19" s="221">
        <v>1035</v>
      </c>
      <c r="N19" s="221">
        <v>1204</v>
      </c>
    </row>
    <row r="20" spans="2:14" x14ac:dyDescent="0.3">
      <c r="B20" s="220" t="s">
        <v>368</v>
      </c>
      <c r="C20" s="221">
        <v>962</v>
      </c>
      <c r="D20" s="221">
        <v>923</v>
      </c>
      <c r="E20" s="221">
        <v>931</v>
      </c>
      <c r="F20" s="221">
        <v>957</v>
      </c>
      <c r="G20" s="221">
        <v>2402</v>
      </c>
      <c r="H20" s="221">
        <v>2257</v>
      </c>
      <c r="I20" s="221">
        <v>2249</v>
      </c>
      <c r="J20" s="221">
        <v>2325</v>
      </c>
      <c r="K20" s="221">
        <v>2883</v>
      </c>
      <c r="L20" s="221">
        <v>3390</v>
      </c>
      <c r="M20" s="221">
        <v>3771</v>
      </c>
      <c r="N20" s="221">
        <v>4124</v>
      </c>
    </row>
    <row r="21" spans="2:14" x14ac:dyDescent="0.3">
      <c r="B21" s="220" t="s">
        <v>369</v>
      </c>
      <c r="C21" s="221">
        <v>2132</v>
      </c>
      <c r="D21" s="221">
        <v>1793</v>
      </c>
      <c r="E21" s="221">
        <v>1980</v>
      </c>
      <c r="F21" s="221">
        <v>2157</v>
      </c>
      <c r="G21" s="221">
        <v>4006</v>
      </c>
      <c r="H21" s="221">
        <v>4208</v>
      </c>
      <c r="I21" s="221">
        <v>4340</v>
      </c>
      <c r="J21" s="221">
        <v>4531</v>
      </c>
      <c r="K21" s="221">
        <v>4825</v>
      </c>
      <c r="L21" s="221">
        <v>5422</v>
      </c>
      <c r="M21" s="221">
        <v>7576</v>
      </c>
      <c r="N21" s="221">
        <v>8210</v>
      </c>
    </row>
    <row r="22" spans="2:14" x14ac:dyDescent="0.3">
      <c r="B22" s="220" t="s">
        <v>370</v>
      </c>
      <c r="C22" s="221">
        <v>171</v>
      </c>
      <c r="D22" s="221">
        <v>97</v>
      </c>
      <c r="E22" s="221">
        <v>119</v>
      </c>
      <c r="F22" s="221">
        <v>200</v>
      </c>
      <c r="G22" s="221">
        <v>221</v>
      </c>
      <c r="H22" s="221">
        <v>241</v>
      </c>
      <c r="I22" s="221">
        <v>243</v>
      </c>
      <c r="J22" s="221">
        <v>253</v>
      </c>
      <c r="K22" s="221">
        <v>270</v>
      </c>
      <c r="L22" s="221">
        <v>298</v>
      </c>
      <c r="M22" s="221">
        <v>325</v>
      </c>
      <c r="N22" s="221">
        <v>351</v>
      </c>
    </row>
    <row r="23" spans="2:14" x14ac:dyDescent="0.3">
      <c r="B23" s="220" t="s">
        <v>371</v>
      </c>
      <c r="C23" s="221">
        <v>83</v>
      </c>
      <c r="D23" s="221">
        <v>49</v>
      </c>
      <c r="E23" s="221">
        <v>59</v>
      </c>
      <c r="F23" s="221">
        <v>72</v>
      </c>
      <c r="G23" s="221">
        <v>88</v>
      </c>
      <c r="H23" s="221">
        <v>94</v>
      </c>
      <c r="I23" s="221">
        <v>99</v>
      </c>
      <c r="J23" s="221">
        <v>113</v>
      </c>
      <c r="K23" s="221">
        <v>146</v>
      </c>
      <c r="L23" s="221">
        <v>175</v>
      </c>
      <c r="M23" s="221">
        <v>203</v>
      </c>
      <c r="N23" s="221">
        <v>216</v>
      </c>
    </row>
    <row r="24" spans="2:14" x14ac:dyDescent="0.3">
      <c r="B24" s="220" t="s">
        <v>372</v>
      </c>
      <c r="C24" s="221">
        <v>18</v>
      </c>
      <c r="D24" s="221">
        <v>11</v>
      </c>
      <c r="E24" s="221">
        <v>14</v>
      </c>
      <c r="F24" s="221">
        <v>27</v>
      </c>
      <c r="G24" s="221">
        <v>47</v>
      </c>
      <c r="H24" s="221">
        <v>43</v>
      </c>
      <c r="I24" s="221">
        <v>38</v>
      </c>
      <c r="J24" s="221">
        <v>32</v>
      </c>
      <c r="K24" s="221">
        <v>36</v>
      </c>
      <c r="L24" s="221">
        <v>40</v>
      </c>
      <c r="M24" s="221">
        <v>34</v>
      </c>
      <c r="N24" s="221">
        <v>45</v>
      </c>
    </row>
    <row r="25" spans="2:14" x14ac:dyDescent="0.3">
      <c r="B25" s="220" t="s">
        <v>373</v>
      </c>
      <c r="C25" s="221">
        <v>351</v>
      </c>
      <c r="D25" s="221">
        <v>339</v>
      </c>
      <c r="E25" s="221">
        <v>276</v>
      </c>
      <c r="F25" s="221">
        <v>468</v>
      </c>
      <c r="G25" s="221">
        <v>512</v>
      </c>
      <c r="H25" s="221">
        <v>505</v>
      </c>
      <c r="I25" s="221">
        <v>476</v>
      </c>
      <c r="J25" s="221">
        <v>345</v>
      </c>
      <c r="K25" s="221">
        <v>422</v>
      </c>
      <c r="L25" s="221">
        <v>850</v>
      </c>
      <c r="M25" s="221">
        <v>827</v>
      </c>
      <c r="N25" s="221">
        <v>833</v>
      </c>
    </row>
    <row r="26" spans="2:14" ht="15" thickBot="1" x14ac:dyDescent="0.35">
      <c r="B26" t="s">
        <v>374</v>
      </c>
      <c r="C26" s="3">
        <v>145</v>
      </c>
      <c r="D26" s="3">
        <v>103</v>
      </c>
      <c r="E26" s="3">
        <v>128</v>
      </c>
      <c r="F26" s="3">
        <v>238</v>
      </c>
      <c r="G26" s="3">
        <v>261</v>
      </c>
      <c r="H26" s="3">
        <v>293</v>
      </c>
      <c r="I26" s="3">
        <v>302</v>
      </c>
      <c r="J26" s="3">
        <v>294</v>
      </c>
      <c r="K26" s="3">
        <v>289</v>
      </c>
      <c r="L26" s="3">
        <v>321</v>
      </c>
      <c r="M26" s="3">
        <v>328</v>
      </c>
      <c r="N26" s="3">
        <v>335</v>
      </c>
    </row>
    <row r="27" spans="2:14" ht="15" thickTop="1" x14ac:dyDescent="0.3">
      <c r="B27" s="285" t="s">
        <v>375</v>
      </c>
      <c r="C27" s="286">
        <v>4112</v>
      </c>
      <c r="D27" s="286">
        <v>3744</v>
      </c>
      <c r="E27" s="286">
        <v>3914</v>
      </c>
      <c r="F27" s="286">
        <v>4705</v>
      </c>
      <c r="G27" s="286">
        <v>8141</v>
      </c>
      <c r="H27" s="286">
        <v>8282</v>
      </c>
      <c r="I27" s="286">
        <v>8392</v>
      </c>
      <c r="J27" s="286">
        <v>8538</v>
      </c>
      <c r="K27" s="286">
        <v>9676</v>
      </c>
      <c r="L27" s="286">
        <v>11622</v>
      </c>
      <c r="M27" s="286">
        <v>14099</v>
      </c>
      <c r="N27" s="286">
        <v>15316</v>
      </c>
    </row>
    <row r="28" spans="2:14" ht="15" thickBot="1" x14ac:dyDescent="0.35">
      <c r="B28" s="287" t="s">
        <v>376</v>
      </c>
      <c r="C28" s="288">
        <v>1452</v>
      </c>
      <c r="D28" s="288">
        <v>327</v>
      </c>
      <c r="E28" s="288">
        <v>610</v>
      </c>
      <c r="F28" s="288">
        <v>973</v>
      </c>
      <c r="G28" s="288">
        <v>1644</v>
      </c>
      <c r="H28" s="288">
        <v>2010</v>
      </c>
      <c r="I28" s="288">
        <v>2533</v>
      </c>
      <c r="J28" s="288">
        <v>3019</v>
      </c>
      <c r="K28" s="288">
        <v>3905</v>
      </c>
      <c r="L28" s="288">
        <v>4475</v>
      </c>
      <c r="M28" s="288">
        <v>4879</v>
      </c>
      <c r="N28" s="288">
        <v>5676</v>
      </c>
    </row>
    <row r="29" spans="2:14" ht="15" thickTop="1" x14ac:dyDescent="0.3">
      <c r="B29" s="71" t="s">
        <v>185</v>
      </c>
      <c r="C29" s="3">
        <f>C27-C28</f>
        <v>2660</v>
      </c>
      <c r="D29" s="3">
        <f t="shared" ref="D29:N29" si="0">D27-D28</f>
        <v>3417</v>
      </c>
      <c r="E29" s="3">
        <f t="shared" si="0"/>
        <v>3304</v>
      </c>
      <c r="F29" s="3">
        <f t="shared" si="0"/>
        <v>3732</v>
      </c>
      <c r="G29" s="3">
        <f t="shared" si="0"/>
        <v>6497</v>
      </c>
      <c r="H29" s="3">
        <f t="shared" si="0"/>
        <v>6272</v>
      </c>
      <c r="I29" s="3">
        <f t="shared" si="0"/>
        <v>5859</v>
      </c>
      <c r="J29" s="3">
        <f t="shared" si="0"/>
        <v>5519</v>
      </c>
      <c r="K29" s="3">
        <f t="shared" si="0"/>
        <v>5771</v>
      </c>
      <c r="L29" s="3">
        <f t="shared" si="0"/>
        <v>7147</v>
      </c>
      <c r="M29" s="3">
        <f t="shared" si="0"/>
        <v>9220</v>
      </c>
      <c r="N29" s="3">
        <f t="shared" si="0"/>
        <v>9640</v>
      </c>
    </row>
    <row r="30" spans="2:14" x14ac:dyDescent="0.3">
      <c r="B30" s="71"/>
      <c r="C30" s="3"/>
      <c r="D30" s="3"/>
      <c r="E30" s="3"/>
      <c r="F30" s="3"/>
      <c r="G30" s="3"/>
      <c r="H30" s="3"/>
      <c r="I30" s="3"/>
      <c r="J30" s="3"/>
      <c r="K30" s="3"/>
      <c r="L30" s="3"/>
      <c r="M30" s="3"/>
      <c r="N30" s="3"/>
    </row>
    <row r="31" spans="2:14" x14ac:dyDescent="0.3">
      <c r="B31" s="275" t="s">
        <v>377</v>
      </c>
      <c r="C31" s="221">
        <v>196</v>
      </c>
      <c r="D31" s="221">
        <v>107</v>
      </c>
      <c r="E31" s="221">
        <v>258</v>
      </c>
      <c r="F31" s="221">
        <v>1405</v>
      </c>
      <c r="G31" s="221">
        <v>210</v>
      </c>
      <c r="H31" s="221">
        <v>140</v>
      </c>
      <c r="I31" s="221">
        <v>183</v>
      </c>
      <c r="J31" s="221">
        <v>426</v>
      </c>
      <c r="K31" s="221">
        <v>1020</v>
      </c>
      <c r="L31" s="221">
        <v>2698</v>
      </c>
      <c r="M31" s="221">
        <v>1254</v>
      </c>
      <c r="N31" s="221">
        <v>1849</v>
      </c>
    </row>
    <row r="32" spans="2:14" x14ac:dyDescent="0.3">
      <c r="B32" s="220" t="s">
        <v>40</v>
      </c>
      <c r="C32" s="221">
        <v>1588</v>
      </c>
      <c r="D32" s="221">
        <v>2712</v>
      </c>
      <c r="E32" s="221">
        <v>2652</v>
      </c>
      <c r="F32" s="221">
        <v>2141</v>
      </c>
      <c r="G32" s="221">
        <v>2569</v>
      </c>
      <c r="H32" s="221">
        <v>2019</v>
      </c>
      <c r="I32" s="221">
        <v>4737</v>
      </c>
      <c r="J32" s="221">
        <v>3248</v>
      </c>
      <c r="K32" s="221">
        <v>4262</v>
      </c>
      <c r="L32" s="221">
        <v>4588</v>
      </c>
      <c r="M32" s="221">
        <v>4725</v>
      </c>
      <c r="N32" s="221">
        <v>7062</v>
      </c>
    </row>
    <row r="33" spans="2:14" x14ac:dyDescent="0.3">
      <c r="C33" s="3"/>
      <c r="D33" s="3"/>
      <c r="E33" s="3"/>
      <c r="F33" s="3"/>
      <c r="G33" s="3"/>
      <c r="H33" s="3"/>
      <c r="I33" s="3"/>
      <c r="J33" s="3"/>
      <c r="K33" s="3"/>
      <c r="L33" s="3"/>
      <c r="M33" s="3"/>
      <c r="N33" s="3"/>
    </row>
    <row r="34" spans="2:14" x14ac:dyDescent="0.3">
      <c r="B34" s="228" t="s">
        <v>383</v>
      </c>
      <c r="C34" s="221"/>
      <c r="D34" s="221"/>
      <c r="E34" s="221"/>
      <c r="F34" s="221"/>
      <c r="G34" s="221"/>
      <c r="H34" s="221"/>
      <c r="I34" s="221"/>
      <c r="J34" s="221"/>
      <c r="K34" s="221"/>
      <c r="L34" s="221"/>
      <c r="M34" s="221"/>
      <c r="N34" s="221"/>
    </row>
    <row r="35" spans="2:14" x14ac:dyDescent="0.3">
      <c r="B35" s="220" t="s">
        <v>378</v>
      </c>
      <c r="C35" s="221">
        <v>2259</v>
      </c>
      <c r="D35" s="221">
        <v>1998</v>
      </c>
      <c r="E35" s="221">
        <v>2627</v>
      </c>
      <c r="F35" s="221">
        <v>2658</v>
      </c>
      <c r="G35" s="221">
        <v>3150</v>
      </c>
      <c r="H35" s="221">
        <v>3390</v>
      </c>
      <c r="I35" s="221">
        <v>3799</v>
      </c>
      <c r="J35" s="221">
        <v>6153</v>
      </c>
      <c r="K35" s="221">
        <v>6211</v>
      </c>
      <c r="L35" s="221">
        <v>5923</v>
      </c>
      <c r="M35" s="221">
        <v>6719</v>
      </c>
      <c r="N35" s="221">
        <v>5744</v>
      </c>
    </row>
    <row r="36" spans="2:14" x14ac:dyDescent="0.3">
      <c r="B36" s="275" t="s">
        <v>382</v>
      </c>
      <c r="C36" s="221">
        <v>1182</v>
      </c>
      <c r="D36" s="221">
        <v>1187</v>
      </c>
      <c r="E36" s="221">
        <v>1447</v>
      </c>
      <c r="F36" s="221">
        <v>1731</v>
      </c>
      <c r="G36" s="221">
        <v>1907</v>
      </c>
      <c r="H36" s="221">
        <v>1795</v>
      </c>
      <c r="I36" s="221">
        <v>2602</v>
      </c>
      <c r="J36" s="221">
        <v>3871</v>
      </c>
      <c r="K36" s="221">
        <v>4637</v>
      </c>
      <c r="L36" s="221">
        <v>4889</v>
      </c>
      <c r="M36" s="221">
        <v>4314</v>
      </c>
      <c r="N36" s="221">
        <v>4462</v>
      </c>
    </row>
    <row r="37" spans="2:14" x14ac:dyDescent="0.3">
      <c r="B37" s="220" t="s">
        <v>379</v>
      </c>
      <c r="C37" s="221">
        <v>204</v>
      </c>
      <c r="D37" s="221">
        <v>424</v>
      </c>
      <c r="E37" s="221">
        <v>801</v>
      </c>
      <c r="F37" s="221">
        <v>405</v>
      </c>
      <c r="G37" s="221">
        <v>445</v>
      </c>
      <c r="H37" s="221">
        <v>783</v>
      </c>
      <c r="I37" s="221">
        <v>611</v>
      </c>
      <c r="J37" s="221">
        <v>864</v>
      </c>
      <c r="K37" s="221">
        <v>844</v>
      </c>
      <c r="L37" s="221">
        <v>1084</v>
      </c>
      <c r="M37" s="221">
        <v>782</v>
      </c>
      <c r="N37" s="221">
        <v>1074</v>
      </c>
    </row>
    <row r="38" spans="2:14" x14ac:dyDescent="0.3">
      <c r="B38" s="220" t="s">
        <v>380</v>
      </c>
      <c r="C38" s="221">
        <v>8</v>
      </c>
      <c r="D38" s="221">
        <v>9</v>
      </c>
      <c r="E38" s="221">
        <v>14</v>
      </c>
      <c r="F38" s="221">
        <v>13</v>
      </c>
      <c r="G38" s="221">
        <v>16</v>
      </c>
      <c r="H38" s="221">
        <v>12</v>
      </c>
      <c r="I38" s="221">
        <v>11</v>
      </c>
      <c r="J38" s="221">
        <v>8</v>
      </c>
      <c r="K38" s="221">
        <v>12</v>
      </c>
      <c r="L38" s="221">
        <v>17</v>
      </c>
      <c r="M38" s="221">
        <v>22</v>
      </c>
      <c r="N38" s="221">
        <v>27</v>
      </c>
    </row>
    <row r="39" spans="2:14" ht="15" thickBot="1" x14ac:dyDescent="0.35">
      <c r="B39" t="s">
        <v>381</v>
      </c>
      <c r="C39" s="3">
        <v>817</v>
      </c>
      <c r="D39" s="3">
        <v>705</v>
      </c>
      <c r="E39" s="3">
        <v>1303</v>
      </c>
      <c r="F39" s="3">
        <v>1678</v>
      </c>
      <c r="G39" s="3">
        <v>1456</v>
      </c>
      <c r="H39" s="3">
        <v>1727</v>
      </c>
      <c r="I39" s="3">
        <v>2555</v>
      </c>
      <c r="J39" s="3">
        <v>2869</v>
      </c>
      <c r="K39" s="3">
        <v>3024</v>
      </c>
      <c r="L39" s="3">
        <v>3555</v>
      </c>
      <c r="M39" s="3">
        <v>3319</v>
      </c>
      <c r="N39" s="3">
        <v>4662</v>
      </c>
    </row>
    <row r="40" spans="2:14" ht="15" thickBot="1" x14ac:dyDescent="0.35">
      <c r="B40" s="224" t="s">
        <v>47</v>
      </c>
      <c r="C40" s="226">
        <f>SUM(C35:C39,C31:C32,C29)</f>
        <v>8914</v>
      </c>
      <c r="D40" s="226">
        <f t="shared" ref="D40:N40" si="1">SUM(D35:D39,D31:D32,D29)</f>
        <v>10559</v>
      </c>
      <c r="E40" s="226">
        <f t="shared" si="1"/>
        <v>12406</v>
      </c>
      <c r="F40" s="226">
        <f t="shared" si="1"/>
        <v>13763</v>
      </c>
      <c r="G40" s="226">
        <f t="shared" si="1"/>
        <v>16250</v>
      </c>
      <c r="H40" s="226">
        <f t="shared" si="1"/>
        <v>16138</v>
      </c>
      <c r="I40" s="226">
        <f t="shared" si="1"/>
        <v>20357</v>
      </c>
      <c r="J40" s="226">
        <f t="shared" si="1"/>
        <v>22958</v>
      </c>
      <c r="K40" s="226">
        <f t="shared" si="1"/>
        <v>25781</v>
      </c>
      <c r="L40" s="226">
        <f t="shared" si="1"/>
        <v>29901</v>
      </c>
      <c r="M40" s="226">
        <f t="shared" si="1"/>
        <v>30355</v>
      </c>
      <c r="N40" s="226">
        <f t="shared" si="1"/>
        <v>34520</v>
      </c>
    </row>
    <row r="41" spans="2:14" ht="15" thickTop="1" x14ac:dyDescent="0.3"/>
    <row r="42" spans="2:14" x14ac:dyDescent="0.3">
      <c r="B42" s="237" t="s">
        <v>128</v>
      </c>
      <c r="C42" s="164">
        <v>42064</v>
      </c>
      <c r="D42" s="164">
        <v>42430</v>
      </c>
      <c r="E42" s="164">
        <v>42795</v>
      </c>
      <c r="F42" s="164">
        <v>43160</v>
      </c>
      <c r="G42" s="164">
        <v>43525</v>
      </c>
      <c r="H42" s="164">
        <v>43891</v>
      </c>
      <c r="I42" s="164">
        <v>44256</v>
      </c>
      <c r="J42" s="164">
        <v>44621</v>
      </c>
      <c r="K42" s="164">
        <v>44986</v>
      </c>
      <c r="L42" s="164">
        <v>45352</v>
      </c>
      <c r="M42" s="164">
        <v>45717</v>
      </c>
      <c r="N42" s="164">
        <v>46082</v>
      </c>
    </row>
    <row r="43" spans="2:14" ht="15" thickBot="1" x14ac:dyDescent="0.35"/>
    <row r="44" spans="2:14" ht="15" thickTop="1" x14ac:dyDescent="0.3">
      <c r="B44" s="281" t="s">
        <v>195</v>
      </c>
      <c r="C44" s="282">
        <v>1188</v>
      </c>
      <c r="D44" s="282">
        <v>2243</v>
      </c>
      <c r="E44" s="282">
        <v>1527</v>
      </c>
      <c r="F44" s="282">
        <v>2113</v>
      </c>
      <c r="G44" s="282">
        <v>2470</v>
      </c>
      <c r="H44" s="282">
        <v>3038</v>
      </c>
      <c r="I44" s="282">
        <v>3683</v>
      </c>
      <c r="J44" s="281">
        <v>986</v>
      </c>
      <c r="K44" s="282">
        <v>4193</v>
      </c>
      <c r="L44" s="282">
        <v>6104</v>
      </c>
      <c r="M44" s="282">
        <v>4424</v>
      </c>
      <c r="N44" s="282">
        <v>7088</v>
      </c>
    </row>
    <row r="45" spans="2:14" x14ac:dyDescent="0.3">
      <c r="B45" s="220" t="s">
        <v>50</v>
      </c>
      <c r="C45" s="276">
        <v>2271</v>
      </c>
      <c r="D45" s="276">
        <v>2848</v>
      </c>
      <c r="E45" s="276">
        <v>3056</v>
      </c>
      <c r="F45" s="276">
        <v>3274</v>
      </c>
      <c r="G45" s="276">
        <v>3861</v>
      </c>
      <c r="H45" s="276">
        <v>4380</v>
      </c>
      <c r="I45" s="276">
        <v>4970</v>
      </c>
      <c r="J45" s="276">
        <v>4957</v>
      </c>
      <c r="K45" s="276">
        <v>6460</v>
      </c>
      <c r="L45" s="276">
        <v>7929</v>
      </c>
      <c r="M45" s="276">
        <v>6390</v>
      </c>
      <c r="N45" s="276">
        <v>7186</v>
      </c>
    </row>
    <row r="46" spans="2:14" x14ac:dyDescent="0.3">
      <c r="B46" s="220" t="s">
        <v>43</v>
      </c>
      <c r="C46" s="220">
        <v>-155</v>
      </c>
      <c r="D46" s="220">
        <v>-146</v>
      </c>
      <c r="E46" s="220">
        <v>-475</v>
      </c>
      <c r="F46" s="220">
        <v>-483</v>
      </c>
      <c r="G46" s="220">
        <v>-205</v>
      </c>
      <c r="H46" s="220">
        <v>160</v>
      </c>
      <c r="I46" s="220">
        <v>-849</v>
      </c>
      <c r="J46" s="276">
        <v>-1326</v>
      </c>
      <c r="K46" s="220">
        <v>-834</v>
      </c>
      <c r="L46" s="220">
        <v>-362</v>
      </c>
      <c r="M46" s="220">
        <v>282</v>
      </c>
      <c r="N46" s="220">
        <v>-274</v>
      </c>
    </row>
    <row r="47" spans="2:14" x14ac:dyDescent="0.3">
      <c r="B47" s="220" t="s">
        <v>44</v>
      </c>
      <c r="C47" s="220">
        <v>-144</v>
      </c>
      <c r="D47" s="220">
        <v>202</v>
      </c>
      <c r="E47" s="220">
        <v>-629</v>
      </c>
      <c r="F47" s="220">
        <v>-39</v>
      </c>
      <c r="G47" s="220">
        <v>-492</v>
      </c>
      <c r="H47" s="220">
        <v>-251</v>
      </c>
      <c r="I47" s="220">
        <v>-409</v>
      </c>
      <c r="J47" s="276">
        <v>-2354</v>
      </c>
      <c r="K47" s="220">
        <v>-56</v>
      </c>
      <c r="L47" s="220">
        <v>315</v>
      </c>
      <c r="M47" s="220">
        <v>-805</v>
      </c>
      <c r="N47" s="220">
        <v>976</v>
      </c>
    </row>
    <row r="48" spans="2:14" x14ac:dyDescent="0.3">
      <c r="B48" s="220" t="s">
        <v>51</v>
      </c>
      <c r="C48" s="220">
        <v>-151</v>
      </c>
      <c r="D48" s="220">
        <v>142</v>
      </c>
      <c r="E48" s="220">
        <v>501</v>
      </c>
      <c r="F48" s="220">
        <v>442</v>
      </c>
      <c r="G48" s="220">
        <v>287</v>
      </c>
      <c r="H48" s="220">
        <v>-241</v>
      </c>
      <c r="I48" s="276">
        <v>1143</v>
      </c>
      <c r="J48" s="220">
        <v>644</v>
      </c>
      <c r="K48" s="220">
        <v>-539</v>
      </c>
      <c r="L48" s="220">
        <v>269</v>
      </c>
      <c r="M48" s="220">
        <v>-160</v>
      </c>
      <c r="N48" s="220">
        <v>396</v>
      </c>
    </row>
    <row r="49" spans="2:14" x14ac:dyDescent="0.3">
      <c r="B49" s="220" t="s">
        <v>52</v>
      </c>
      <c r="C49" s="220">
        <v>0</v>
      </c>
      <c r="D49" s="220">
        <v>0</v>
      </c>
      <c r="E49" s="220">
        <v>0</v>
      </c>
      <c r="F49" s="220">
        <v>0</v>
      </c>
      <c r="G49" s="220">
        <v>0</v>
      </c>
      <c r="H49" s="220">
        <v>0</v>
      </c>
      <c r="I49" s="220">
        <v>-92</v>
      </c>
      <c r="J49" s="220">
        <v>242</v>
      </c>
      <c r="K49" s="220">
        <v>657</v>
      </c>
      <c r="L49" s="220">
        <v>-212</v>
      </c>
      <c r="M49" s="220">
        <v>114</v>
      </c>
      <c r="N49" s="220">
        <v>378</v>
      </c>
    </row>
    <row r="50" spans="2:14" x14ac:dyDescent="0.3">
      <c r="B50" s="228" t="s">
        <v>53</v>
      </c>
      <c r="C50" s="228">
        <v>-450</v>
      </c>
      <c r="D50" s="228">
        <v>198</v>
      </c>
      <c r="E50" s="228">
        <v>-603</v>
      </c>
      <c r="F50" s="228">
        <v>-80</v>
      </c>
      <c r="G50" s="228">
        <v>-410</v>
      </c>
      <c r="H50" s="228">
        <v>-331</v>
      </c>
      <c r="I50" s="228">
        <v>-206</v>
      </c>
      <c r="J50" s="277">
        <v>-2795</v>
      </c>
      <c r="K50" s="228">
        <v>-772</v>
      </c>
      <c r="L50" s="228">
        <v>10</v>
      </c>
      <c r="M50" s="228">
        <v>-570</v>
      </c>
      <c r="N50" s="277">
        <v>1476</v>
      </c>
    </row>
    <row r="51" spans="2:14" ht="15" thickBot="1" x14ac:dyDescent="0.35">
      <c r="B51" s="234" t="s">
        <v>54</v>
      </c>
      <c r="C51" s="234">
        <v>-633</v>
      </c>
      <c r="D51" s="234">
        <v>-802</v>
      </c>
      <c r="E51" s="234">
        <v>-925</v>
      </c>
      <c r="F51" s="284">
        <v>-1081</v>
      </c>
      <c r="G51" s="234">
        <v>-982</v>
      </c>
      <c r="H51" s="284">
        <v>-1011</v>
      </c>
      <c r="I51" s="284">
        <v>-1080</v>
      </c>
      <c r="J51" s="284">
        <v>-1176</v>
      </c>
      <c r="K51" s="284">
        <v>-1494</v>
      </c>
      <c r="L51" s="284">
        <v>-1835</v>
      </c>
      <c r="M51" s="284">
        <v>-1396</v>
      </c>
      <c r="N51" s="284">
        <v>-1574</v>
      </c>
    </row>
    <row r="52" spans="2:14" ht="15.6" thickTop="1" thickBot="1" x14ac:dyDescent="0.35">
      <c r="F52" s="31"/>
      <c r="H52" s="31"/>
      <c r="I52" s="31"/>
      <c r="J52" s="31"/>
      <c r="K52" s="31"/>
      <c r="L52" s="31"/>
      <c r="M52" s="31"/>
      <c r="N52" s="31"/>
    </row>
    <row r="53" spans="2:14" ht="15" thickTop="1" x14ac:dyDescent="0.3">
      <c r="B53" s="281" t="s">
        <v>196</v>
      </c>
      <c r="C53" s="281">
        <v>-465</v>
      </c>
      <c r="D53" s="281">
        <v>-866</v>
      </c>
      <c r="E53" s="281">
        <v>-681</v>
      </c>
      <c r="F53" s="282">
        <v>-1556</v>
      </c>
      <c r="G53" s="281">
        <v>-918</v>
      </c>
      <c r="H53" s="281">
        <v>-518</v>
      </c>
      <c r="I53" s="281">
        <v>-541</v>
      </c>
      <c r="J53" s="281">
        <v>-317</v>
      </c>
      <c r="K53" s="282">
        <v>-1282</v>
      </c>
      <c r="L53" s="282">
        <v>-2548</v>
      </c>
      <c r="M53" s="281">
        <v>-941</v>
      </c>
      <c r="N53" s="282">
        <v>-1328</v>
      </c>
    </row>
    <row r="54" spans="2:14" x14ac:dyDescent="0.3">
      <c r="B54" s="220" t="s">
        <v>57</v>
      </c>
      <c r="C54" s="220">
        <v>-454</v>
      </c>
      <c r="D54" s="220">
        <v>-817</v>
      </c>
      <c r="E54" s="220">
        <v>-684</v>
      </c>
      <c r="F54" s="276">
        <v>-1426</v>
      </c>
      <c r="G54" s="276">
        <v>-1151</v>
      </c>
      <c r="H54" s="220">
        <v>-414</v>
      </c>
      <c r="I54" s="220">
        <v>-289</v>
      </c>
      <c r="J54" s="220">
        <v>-551</v>
      </c>
      <c r="K54" s="276">
        <v>-1446</v>
      </c>
      <c r="L54" s="276">
        <v>-2496</v>
      </c>
      <c r="M54" s="276">
        <v>-1830</v>
      </c>
      <c r="N54" s="276">
        <v>-1487</v>
      </c>
    </row>
    <row r="55" spans="2:14" x14ac:dyDescent="0.3">
      <c r="B55" s="220" t="s">
        <v>58</v>
      </c>
      <c r="C55" s="220">
        <v>16</v>
      </c>
      <c r="D55" s="220">
        <v>15</v>
      </c>
      <c r="E55" s="220">
        <v>17</v>
      </c>
      <c r="F55" s="220">
        <v>17</v>
      </c>
      <c r="G55" s="220">
        <v>17</v>
      </c>
      <c r="H55" s="220">
        <v>37</v>
      </c>
      <c r="I55" s="220">
        <v>28</v>
      </c>
      <c r="J55" s="220">
        <v>40</v>
      </c>
      <c r="K55" s="220">
        <v>26</v>
      </c>
      <c r="L55" s="220">
        <v>5</v>
      </c>
      <c r="M55" s="220">
        <v>10</v>
      </c>
      <c r="N55" s="220">
        <v>3</v>
      </c>
    </row>
    <row r="56" spans="2:14" x14ac:dyDescent="0.3">
      <c r="B56" s="220" t="s">
        <v>59</v>
      </c>
      <c r="C56" s="220">
        <v>-243</v>
      </c>
      <c r="D56" s="220">
        <v>-282</v>
      </c>
      <c r="E56" s="220">
        <v>-153</v>
      </c>
      <c r="F56" s="220">
        <v>-320</v>
      </c>
      <c r="G56" s="220">
        <v>-573</v>
      </c>
      <c r="H56" s="220">
        <v>-25</v>
      </c>
      <c r="I56" s="220">
        <v>-140</v>
      </c>
      <c r="J56" s="220">
        <v>0</v>
      </c>
      <c r="K56" s="220">
        <v>-146</v>
      </c>
      <c r="L56" s="220">
        <v>-212</v>
      </c>
      <c r="M56" s="220">
        <v>-1</v>
      </c>
      <c r="N56" s="220">
        <v>0</v>
      </c>
    </row>
    <row r="57" spans="2:14" x14ac:dyDescent="0.3">
      <c r="B57" s="220" t="s">
        <v>60</v>
      </c>
      <c r="C57" s="220">
        <v>278</v>
      </c>
      <c r="D57" s="220">
        <v>205</v>
      </c>
      <c r="E57" s="220">
        <v>357</v>
      </c>
      <c r="F57" s="220">
        <v>362</v>
      </c>
      <c r="G57" s="220">
        <v>733</v>
      </c>
      <c r="H57" s="220">
        <v>118</v>
      </c>
      <c r="I57" s="220">
        <v>272</v>
      </c>
      <c r="J57" s="220">
        <v>207</v>
      </c>
      <c r="K57" s="220">
        <v>446</v>
      </c>
      <c r="L57" s="220">
        <v>240</v>
      </c>
      <c r="M57" s="220">
        <v>421</v>
      </c>
      <c r="N57" s="276">
        <v>1197</v>
      </c>
    </row>
    <row r="58" spans="2:14" x14ac:dyDescent="0.3">
      <c r="B58" s="220" t="s">
        <v>61</v>
      </c>
      <c r="C58" s="220">
        <v>11</v>
      </c>
      <c r="D58" s="220">
        <v>15</v>
      </c>
      <c r="E58" s="220">
        <v>32</v>
      </c>
      <c r="F58" s="220">
        <v>39</v>
      </c>
      <c r="G58" s="220">
        <v>40</v>
      </c>
      <c r="H58" s="220">
        <v>65</v>
      </c>
      <c r="I58" s="220">
        <v>73</v>
      </c>
      <c r="J58" s="220">
        <v>77</v>
      </c>
      <c r="K58" s="220">
        <v>87</v>
      </c>
      <c r="L58" s="220">
        <v>135</v>
      </c>
      <c r="M58" s="220">
        <v>155</v>
      </c>
      <c r="N58" s="220">
        <v>153</v>
      </c>
    </row>
    <row r="59" spans="2:14" x14ac:dyDescent="0.3">
      <c r="B59" s="220" t="s">
        <v>62</v>
      </c>
      <c r="C59" s="220">
        <v>71</v>
      </c>
      <c r="D59" s="220">
        <v>69</v>
      </c>
      <c r="E59" s="220">
        <v>74</v>
      </c>
      <c r="F59" s="220">
        <v>38</v>
      </c>
      <c r="G59" s="220">
        <v>40</v>
      </c>
      <c r="H59" s="220">
        <v>27</v>
      </c>
      <c r="I59" s="220">
        <v>8</v>
      </c>
      <c r="J59" s="220">
        <v>15</v>
      </c>
      <c r="K59" s="220">
        <v>56</v>
      </c>
      <c r="L59" s="220">
        <v>129</v>
      </c>
      <c r="M59" s="220">
        <v>136</v>
      </c>
      <c r="N59" s="220">
        <v>118</v>
      </c>
    </row>
    <row r="60" spans="2:14" x14ac:dyDescent="0.3">
      <c r="B60" s="220" t="s">
        <v>63</v>
      </c>
      <c r="C60" s="220">
        <v>0</v>
      </c>
      <c r="D60" s="220">
        <v>0</v>
      </c>
      <c r="E60" s="220">
        <v>0</v>
      </c>
      <c r="F60" s="220">
        <v>0</v>
      </c>
      <c r="G60" s="220">
        <v>0</v>
      </c>
      <c r="H60" s="220">
        <v>0</v>
      </c>
      <c r="I60" s="220">
        <v>0</v>
      </c>
      <c r="J60" s="220">
        <v>0</v>
      </c>
      <c r="K60" s="220">
        <v>-180</v>
      </c>
      <c r="L60" s="220">
        <v>0</v>
      </c>
      <c r="M60" s="220">
        <v>0</v>
      </c>
      <c r="N60" s="220">
        <v>0</v>
      </c>
    </row>
    <row r="61" spans="2:14" x14ac:dyDescent="0.3">
      <c r="B61" s="220" t="s">
        <v>64</v>
      </c>
      <c r="C61" s="220">
        <v>0</v>
      </c>
      <c r="D61" s="220">
        <v>0</v>
      </c>
      <c r="E61" s="220">
        <v>0</v>
      </c>
      <c r="F61" s="220">
        <v>141</v>
      </c>
      <c r="G61" s="220">
        <v>0</v>
      </c>
      <c r="H61" s="220">
        <v>17</v>
      </c>
      <c r="I61" s="220">
        <v>0</v>
      </c>
      <c r="J61" s="220">
        <v>0</v>
      </c>
      <c r="K61" s="220">
        <v>0</v>
      </c>
      <c r="L61" s="220">
        <v>0</v>
      </c>
      <c r="M61" s="220">
        <v>38</v>
      </c>
      <c r="N61" s="220">
        <v>0</v>
      </c>
    </row>
    <row r="62" spans="2:14" x14ac:dyDescent="0.3">
      <c r="B62" s="220" t="s">
        <v>65</v>
      </c>
      <c r="C62" s="220">
        <v>0</v>
      </c>
      <c r="D62" s="220">
        <v>0</v>
      </c>
      <c r="E62" s="220">
        <v>0</v>
      </c>
      <c r="F62" s="220">
        <v>-525</v>
      </c>
      <c r="G62" s="220">
        <v>0</v>
      </c>
      <c r="H62" s="220">
        <v>0</v>
      </c>
      <c r="I62" s="220">
        <v>0</v>
      </c>
      <c r="J62" s="220">
        <v>0</v>
      </c>
      <c r="K62" s="220">
        <v>0</v>
      </c>
      <c r="L62" s="220">
        <v>0</v>
      </c>
      <c r="M62" s="220">
        <v>0</v>
      </c>
      <c r="N62" s="220">
        <v>0</v>
      </c>
    </row>
    <row r="63" spans="2:14" ht="15" thickBot="1" x14ac:dyDescent="0.35">
      <c r="B63" s="234" t="s">
        <v>66</v>
      </c>
      <c r="C63" s="234">
        <v>-144</v>
      </c>
      <c r="D63" s="234">
        <v>-70</v>
      </c>
      <c r="E63" s="234">
        <v>-324</v>
      </c>
      <c r="F63" s="234">
        <v>118</v>
      </c>
      <c r="G63" s="234">
        <v>-24</v>
      </c>
      <c r="H63" s="234">
        <v>-343</v>
      </c>
      <c r="I63" s="234">
        <v>-493</v>
      </c>
      <c r="J63" s="234">
        <v>-105</v>
      </c>
      <c r="K63" s="234">
        <v>-126</v>
      </c>
      <c r="L63" s="234">
        <v>-350</v>
      </c>
      <c r="M63" s="234">
        <v>130</v>
      </c>
      <c r="N63" s="284">
        <v>-1312</v>
      </c>
    </row>
    <row r="64" spans="2:14" ht="15.6" thickTop="1" thickBot="1" x14ac:dyDescent="0.35">
      <c r="N64" s="31"/>
    </row>
    <row r="65" spans="2:14" ht="15" thickTop="1" x14ac:dyDescent="0.3">
      <c r="B65" s="281" t="s">
        <v>197</v>
      </c>
      <c r="C65" s="281">
        <v>-576</v>
      </c>
      <c r="D65" s="281">
        <v>-849</v>
      </c>
      <c r="E65" s="281">
        <v>-756</v>
      </c>
      <c r="F65" s="282">
        <v>-1379</v>
      </c>
      <c r="G65" s="282">
        <v>-1117</v>
      </c>
      <c r="H65" s="282">
        <v>-2871</v>
      </c>
      <c r="I65" s="281">
        <v>-650</v>
      </c>
      <c r="J65" s="282">
        <v>-1808</v>
      </c>
      <c r="K65" s="282">
        <v>-2140</v>
      </c>
      <c r="L65" s="282">
        <v>-2982</v>
      </c>
      <c r="M65" s="282">
        <v>-3753</v>
      </c>
      <c r="N65" s="282">
        <v>-2377</v>
      </c>
    </row>
    <row r="66" spans="2:14" x14ac:dyDescent="0.3">
      <c r="B66" s="220" t="s">
        <v>69</v>
      </c>
      <c r="C66" s="220">
        <v>0</v>
      </c>
      <c r="D66" s="220">
        <v>0</v>
      </c>
      <c r="E66" s="220">
        <v>0</v>
      </c>
      <c r="F66" s="220">
        <v>0</v>
      </c>
      <c r="G66" s="220">
        <v>0</v>
      </c>
      <c r="H66" s="220">
        <v>0</v>
      </c>
      <c r="I66" s="220">
        <v>0</v>
      </c>
      <c r="J66" s="220">
        <v>0</v>
      </c>
      <c r="K66" s="220">
        <v>0</v>
      </c>
      <c r="L66" s="220">
        <v>1</v>
      </c>
      <c r="M66" s="220">
        <v>0</v>
      </c>
      <c r="N66" s="220">
        <v>0</v>
      </c>
    </row>
    <row r="67" spans="2:14" x14ac:dyDescent="0.3">
      <c r="B67" s="220" t="s">
        <v>70</v>
      </c>
      <c r="C67" s="220">
        <v>239</v>
      </c>
      <c r="D67" s="220">
        <v>8</v>
      </c>
      <c r="E67" s="220">
        <v>271</v>
      </c>
      <c r="F67" s="220">
        <v>10</v>
      </c>
      <c r="G67" s="220">
        <v>243</v>
      </c>
      <c r="H67" s="220">
        <v>18</v>
      </c>
      <c r="I67" s="220">
        <v>155</v>
      </c>
      <c r="J67" s="220">
        <v>418</v>
      </c>
      <c r="K67" s="220">
        <v>254</v>
      </c>
      <c r="L67" s="220">
        <v>101</v>
      </c>
      <c r="M67" s="220">
        <v>415</v>
      </c>
      <c r="N67" s="276">
        <v>1279</v>
      </c>
    </row>
    <row r="68" spans="2:14" x14ac:dyDescent="0.3">
      <c r="B68" s="220" t="s">
        <v>71</v>
      </c>
      <c r="C68" s="220">
        <v>-86</v>
      </c>
      <c r="D68" s="220">
        <v>-119</v>
      </c>
      <c r="E68" s="220">
        <v>-58</v>
      </c>
      <c r="F68" s="220">
        <v>-54</v>
      </c>
      <c r="G68" s="220">
        <v>-26</v>
      </c>
      <c r="H68" s="220">
        <v>-482</v>
      </c>
      <c r="I68" s="220">
        <v>-14</v>
      </c>
      <c r="J68" s="220">
        <v>-8</v>
      </c>
      <c r="K68" s="220">
        <v>-25</v>
      </c>
      <c r="L68" s="220">
        <v>-98</v>
      </c>
      <c r="M68" s="220">
        <v>-428</v>
      </c>
      <c r="N68" s="220">
        <v>-452</v>
      </c>
    </row>
    <row r="69" spans="2:14" x14ac:dyDescent="0.3">
      <c r="B69" s="220" t="s">
        <v>72</v>
      </c>
      <c r="C69" s="220">
        <v>-35</v>
      </c>
      <c r="D69" s="220">
        <v>-40</v>
      </c>
      <c r="E69" s="220">
        <v>-36</v>
      </c>
      <c r="F69" s="220">
        <v>-35</v>
      </c>
      <c r="G69" s="220">
        <v>-106</v>
      </c>
      <c r="H69" s="220">
        <v>-101</v>
      </c>
      <c r="I69" s="220">
        <v>-89</v>
      </c>
      <c r="J69" s="220">
        <v>-94</v>
      </c>
      <c r="K69" s="220">
        <v>-142</v>
      </c>
      <c r="L69" s="220">
        <v>-191</v>
      </c>
      <c r="M69" s="220">
        <v>-203</v>
      </c>
      <c r="N69" s="220">
        <v>-228</v>
      </c>
    </row>
    <row r="70" spans="2:14" x14ac:dyDescent="0.3">
      <c r="B70" s="220" t="s">
        <v>73</v>
      </c>
      <c r="C70" s="220">
        <v>-695</v>
      </c>
      <c r="D70" s="220">
        <v>-764</v>
      </c>
      <c r="E70" s="220">
        <v>-947</v>
      </c>
      <c r="F70" s="276">
        <v>-1218</v>
      </c>
      <c r="G70" s="276">
        <v>-1049</v>
      </c>
      <c r="H70" s="276">
        <v>-2121</v>
      </c>
      <c r="I70" s="220">
        <v>-499</v>
      </c>
      <c r="J70" s="276">
        <v>-1763</v>
      </c>
      <c r="K70" s="276">
        <v>-1936</v>
      </c>
      <c r="L70" s="276">
        <v>-2551</v>
      </c>
      <c r="M70" s="276">
        <v>-3140</v>
      </c>
      <c r="N70" s="276">
        <v>-2425</v>
      </c>
    </row>
    <row r="71" spans="2:14" x14ac:dyDescent="0.3">
      <c r="B71" s="220" t="s">
        <v>74</v>
      </c>
      <c r="C71" s="220">
        <v>0</v>
      </c>
      <c r="D71" s="220">
        <v>0</v>
      </c>
      <c r="E71" s="220">
        <v>0</v>
      </c>
      <c r="F71" s="220">
        <v>0</v>
      </c>
      <c r="G71" s="220">
        <v>-180</v>
      </c>
      <c r="H71" s="220">
        <v>-179</v>
      </c>
      <c r="I71" s="220">
        <v>-203</v>
      </c>
      <c r="J71" s="220">
        <v>-221</v>
      </c>
      <c r="K71" s="220">
        <v>-256</v>
      </c>
      <c r="L71" s="220">
        <v>-286</v>
      </c>
      <c r="M71" s="220">
        <v>-325</v>
      </c>
      <c r="N71" s="220">
        <v>-340</v>
      </c>
    </row>
    <row r="72" spans="2:14" x14ac:dyDescent="0.3">
      <c r="B72" s="220" t="s">
        <v>75</v>
      </c>
      <c r="C72" s="220">
        <v>0</v>
      </c>
      <c r="D72" s="220">
        <v>66</v>
      </c>
      <c r="E72" s="220">
        <v>13</v>
      </c>
      <c r="F72" s="220">
        <v>-82</v>
      </c>
      <c r="G72" s="220">
        <v>0</v>
      </c>
      <c r="H72" s="220">
        <v>-6</v>
      </c>
      <c r="I72" s="220">
        <v>0</v>
      </c>
      <c r="J72" s="220">
        <v>-140</v>
      </c>
      <c r="K72" s="220">
        <v>-36</v>
      </c>
      <c r="L72" s="220">
        <v>41</v>
      </c>
      <c r="M72" s="220">
        <v>-72</v>
      </c>
      <c r="N72" s="220">
        <v>-210</v>
      </c>
    </row>
    <row r="73" spans="2:14" ht="15" thickBot="1" x14ac:dyDescent="0.35">
      <c r="B73" s="233" t="s">
        <v>77</v>
      </c>
      <c r="C73" s="233">
        <v>147</v>
      </c>
      <c r="D73" s="233">
        <v>528</v>
      </c>
      <c r="E73" s="233">
        <v>90</v>
      </c>
      <c r="F73" s="233">
        <v>-822</v>
      </c>
      <c r="G73" s="233">
        <v>434</v>
      </c>
      <c r="H73" s="233">
        <v>-351</v>
      </c>
      <c r="I73" s="283">
        <v>2492</v>
      </c>
      <c r="J73" s="283">
        <v>-1138</v>
      </c>
      <c r="K73" s="233">
        <v>771</v>
      </c>
      <c r="L73" s="233">
        <v>573</v>
      </c>
      <c r="M73" s="233">
        <v>-270</v>
      </c>
      <c r="N73" s="283">
        <v>3383</v>
      </c>
    </row>
    <row r="74" spans="2:14" ht="15.6" thickTop="1" thickBot="1" x14ac:dyDescent="0.35">
      <c r="B74" s="71"/>
      <c r="C74" s="71"/>
      <c r="D74" s="71"/>
      <c r="E74" s="71"/>
      <c r="F74" s="71"/>
      <c r="G74" s="71"/>
      <c r="H74" s="71"/>
      <c r="I74" s="89"/>
      <c r="J74" s="89"/>
      <c r="K74" s="71"/>
      <c r="L74" s="71"/>
      <c r="M74" s="71"/>
      <c r="N74" s="89"/>
    </row>
    <row r="75" spans="2:14" ht="15" thickTop="1" x14ac:dyDescent="0.3">
      <c r="B75" s="278" t="s">
        <v>384</v>
      </c>
      <c r="C75" s="278">
        <v>750</v>
      </c>
      <c r="D75" s="279">
        <v>1441</v>
      </c>
      <c r="E75" s="278">
        <v>860</v>
      </c>
      <c r="F75" s="278">
        <v>705</v>
      </c>
      <c r="G75" s="279">
        <v>1336</v>
      </c>
      <c r="H75" s="279">
        <v>2661</v>
      </c>
      <c r="I75" s="279">
        <v>3422</v>
      </c>
      <c r="J75" s="278">
        <v>475</v>
      </c>
      <c r="K75" s="279">
        <v>2774</v>
      </c>
      <c r="L75" s="279">
        <v>3613</v>
      </c>
      <c r="M75" s="279">
        <v>2604</v>
      </c>
      <c r="N75" s="279">
        <v>5604</v>
      </c>
    </row>
    <row r="76" spans="2:14" ht="15" thickBot="1" x14ac:dyDescent="0.35">
      <c r="B76" s="234" t="s">
        <v>385</v>
      </c>
      <c r="C76" s="280">
        <v>0.81</v>
      </c>
      <c r="D76" s="280">
        <v>1.1200000000000001</v>
      </c>
      <c r="E76" s="280">
        <v>0.82</v>
      </c>
      <c r="F76" s="280">
        <v>1</v>
      </c>
      <c r="G76" s="280">
        <v>0.92</v>
      </c>
      <c r="H76" s="280">
        <v>0.97</v>
      </c>
      <c r="I76" s="280">
        <v>0.98</v>
      </c>
      <c r="J76" s="280">
        <v>0.45</v>
      </c>
      <c r="K76" s="280">
        <v>0.91</v>
      </c>
      <c r="L76" s="280">
        <v>1.05</v>
      </c>
      <c r="M76" s="280">
        <v>0.97</v>
      </c>
      <c r="N76" s="280">
        <v>1.29</v>
      </c>
    </row>
    <row r="77" spans="2:14" ht="15" thickTop="1" x14ac:dyDescent="0.3"/>
  </sheetData>
  <pageMargins left="0.7" right="0.7" top="0.75" bottom="0.75" header="0.3" footer="0.3"/>
  <pageSetup scale="6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B1:AN94"/>
  <sheetViews>
    <sheetView showGridLines="0" topLeftCell="H1" zoomScale="65" zoomScaleNormal="90" workbookViewId="0">
      <selection activeCell="AI24" sqref="AI24"/>
    </sheetView>
  </sheetViews>
  <sheetFormatPr defaultColWidth="8.6640625" defaultRowHeight="14.4" x14ac:dyDescent="0.3"/>
  <cols>
    <col min="1" max="1" width="1.88671875" customWidth="1"/>
    <col min="2" max="2" width="5.44140625" customWidth="1"/>
    <col min="3" max="3" width="13.21875" customWidth="1"/>
    <col min="4" max="4" width="7.6640625" customWidth="1"/>
    <col min="5" max="5" width="13.21875" customWidth="1"/>
    <col min="6" max="6" width="10.44140625" customWidth="1"/>
    <col min="7" max="7" width="2.44140625" customWidth="1"/>
    <col min="8" max="8" width="12" bestFit="1" customWidth="1"/>
    <col min="9" max="9" width="9" bestFit="1" customWidth="1"/>
    <col min="10" max="10" width="10" bestFit="1" customWidth="1"/>
    <col min="11" max="11" width="2.77734375" customWidth="1"/>
    <col min="14" max="14" width="2.5546875" customWidth="1"/>
    <col min="16" max="16" width="10.88671875" bestFit="1" customWidth="1"/>
    <col min="17" max="17" width="2.6640625" customWidth="1"/>
    <col min="20" max="20" width="2.44140625" customWidth="1"/>
    <col min="23" max="23" width="2.5546875" customWidth="1"/>
    <col min="27" max="27" width="54.44140625" bestFit="1" customWidth="1"/>
    <col min="28" max="28" width="16.109375" bestFit="1" customWidth="1"/>
    <col min="29" max="29" width="15.6640625" bestFit="1" customWidth="1"/>
    <col min="30" max="30" width="14.109375" bestFit="1" customWidth="1"/>
  </cols>
  <sheetData>
    <row r="1" spans="2:30" ht="14.25" customHeight="1" x14ac:dyDescent="0.3"/>
    <row r="2" spans="2:30" ht="14.25" customHeight="1" x14ac:dyDescent="0.3">
      <c r="B2" s="82" t="s">
        <v>346</v>
      </c>
      <c r="C2" s="83" t="s">
        <v>347</v>
      </c>
      <c r="D2" s="83"/>
      <c r="E2" s="83" t="s">
        <v>348</v>
      </c>
      <c r="F2" s="84" t="s">
        <v>349</v>
      </c>
      <c r="G2" s="70"/>
      <c r="H2" s="66" t="s">
        <v>341</v>
      </c>
      <c r="I2" s="32"/>
      <c r="J2" s="78"/>
      <c r="L2" s="66" t="s">
        <v>342</v>
      </c>
      <c r="M2" s="78"/>
      <c r="O2" s="66" t="s">
        <v>343</v>
      </c>
      <c r="P2" s="78"/>
      <c r="R2" s="66" t="s">
        <v>344</v>
      </c>
      <c r="S2" s="78"/>
      <c r="U2" s="66" t="s">
        <v>345</v>
      </c>
      <c r="V2" s="78"/>
      <c r="X2" s="66" t="s">
        <v>352</v>
      </c>
      <c r="Y2" s="78"/>
      <c r="AA2" t="s">
        <v>598</v>
      </c>
      <c r="AB2" t="s">
        <v>601</v>
      </c>
      <c r="AC2" t="s">
        <v>600</v>
      </c>
      <c r="AD2" t="s">
        <v>587</v>
      </c>
    </row>
    <row r="3" spans="2:30" ht="14.25" customHeight="1" x14ac:dyDescent="0.3">
      <c r="B3" s="65">
        <v>1</v>
      </c>
      <c r="C3" t="s">
        <v>214</v>
      </c>
      <c r="E3">
        <v>262791.09999999998</v>
      </c>
      <c r="F3" s="56">
        <v>3928.93</v>
      </c>
      <c r="H3" s="131" t="s">
        <v>243</v>
      </c>
      <c r="I3" s="132" t="s">
        <v>350</v>
      </c>
      <c r="J3" s="133" t="s">
        <v>586</v>
      </c>
      <c r="L3" s="65" t="s">
        <v>243</v>
      </c>
      <c r="M3" s="79" t="s">
        <v>350</v>
      </c>
      <c r="O3" s="55" t="s">
        <v>243</v>
      </c>
      <c r="P3" s="56" t="s">
        <v>350</v>
      </c>
      <c r="R3" s="55" t="s">
        <v>243</v>
      </c>
      <c r="S3" s="56" t="s">
        <v>350</v>
      </c>
      <c r="U3" s="55" t="s">
        <v>243</v>
      </c>
      <c r="V3" s="56" t="s">
        <v>350</v>
      </c>
      <c r="X3" s="65" t="s">
        <v>337</v>
      </c>
      <c r="Y3" s="79" t="s">
        <v>338</v>
      </c>
      <c r="AA3" t="s">
        <v>588</v>
      </c>
      <c r="AB3" s="137">
        <v>7.7822006000000004</v>
      </c>
      <c r="AC3" s="72">
        <v>8.1099999999999992E-2</v>
      </c>
      <c r="AD3" s="136">
        <v>46082</v>
      </c>
    </row>
    <row r="4" spans="2:30" ht="14.25" customHeight="1" x14ac:dyDescent="0.3">
      <c r="B4" s="65">
        <v>2</v>
      </c>
      <c r="C4" t="s">
        <v>216</v>
      </c>
      <c r="E4">
        <v>60457.55</v>
      </c>
      <c r="F4" s="56">
        <v>635.13</v>
      </c>
      <c r="H4" s="134" t="s">
        <v>248</v>
      </c>
      <c r="I4" s="110">
        <v>2737.8</v>
      </c>
      <c r="J4" s="56">
        <v>0.47209500000000004</v>
      </c>
      <c r="L4" s="65" t="s">
        <v>248</v>
      </c>
      <c r="M4" s="79">
        <v>24270.85</v>
      </c>
      <c r="O4" s="55" t="s">
        <v>248</v>
      </c>
      <c r="P4" s="56">
        <v>519.45000000000005</v>
      </c>
      <c r="R4" s="55" t="s">
        <v>248</v>
      </c>
      <c r="S4" s="56">
        <v>211.83</v>
      </c>
      <c r="U4" s="55" t="s">
        <v>248</v>
      </c>
      <c r="V4" s="56">
        <v>1065.9000000000001</v>
      </c>
      <c r="X4" s="65">
        <v>2000</v>
      </c>
      <c r="Y4" s="79">
        <v>-14.65</v>
      </c>
      <c r="AA4" t="s">
        <v>589</v>
      </c>
      <c r="AB4" s="137">
        <v>5.4789183000000001</v>
      </c>
      <c r="AC4" s="72">
        <v>5.7099999999999998E-2</v>
      </c>
      <c r="AD4" s="136">
        <v>46082</v>
      </c>
    </row>
    <row r="5" spans="2:30" ht="14.25" customHeight="1" x14ac:dyDescent="0.3">
      <c r="B5" s="65">
        <v>3</v>
      </c>
      <c r="C5" t="s">
        <v>217</v>
      </c>
      <c r="E5">
        <v>17156.009999999998</v>
      </c>
      <c r="F5" s="56">
        <v>302.73</v>
      </c>
      <c r="H5" s="134" t="s">
        <v>250</v>
      </c>
      <c r="I5" s="110">
        <v>2744.5</v>
      </c>
      <c r="J5" s="56">
        <v>2.7270790000000003</v>
      </c>
      <c r="L5" s="65" t="s">
        <v>250</v>
      </c>
      <c r="M5" s="79">
        <v>24175.7</v>
      </c>
      <c r="O5" s="55" t="s">
        <v>250</v>
      </c>
      <c r="P5" s="56">
        <v>520.75</v>
      </c>
      <c r="R5" s="55" t="s">
        <v>250</v>
      </c>
      <c r="S5" s="56">
        <v>212.56</v>
      </c>
      <c r="U5" s="55" t="s">
        <v>250</v>
      </c>
      <c r="V5" s="56">
        <v>1077.0999999999999</v>
      </c>
      <c r="X5" s="65">
        <v>2001</v>
      </c>
      <c r="Y5" s="79">
        <v>-16.18</v>
      </c>
      <c r="AA5" t="s">
        <v>590</v>
      </c>
      <c r="AB5" s="137">
        <v>5.1442638000000001</v>
      </c>
      <c r="AC5" s="72">
        <v>5.3600000000000002E-2</v>
      </c>
      <c r="AD5" s="136">
        <v>46082</v>
      </c>
    </row>
    <row r="6" spans="2:30" ht="14.25" customHeight="1" x14ac:dyDescent="0.3">
      <c r="B6" s="65">
        <v>4</v>
      </c>
      <c r="C6" t="s">
        <v>351</v>
      </c>
      <c r="E6">
        <v>14868.24</v>
      </c>
      <c r="F6" s="56">
        <v>79.099999999999994</v>
      </c>
      <c r="H6" s="134" t="s">
        <v>253</v>
      </c>
      <c r="I6" s="110">
        <v>2635.7</v>
      </c>
      <c r="J6" s="56">
        <v>31.407028000000004</v>
      </c>
      <c r="L6" s="65" t="s">
        <v>253</v>
      </c>
      <c r="M6" s="79">
        <v>23865.75</v>
      </c>
      <c r="O6" s="55" t="s">
        <v>253</v>
      </c>
      <c r="P6" s="56">
        <v>510.1</v>
      </c>
      <c r="R6" s="55" t="s">
        <v>253</v>
      </c>
      <c r="S6" s="56">
        <v>204.06</v>
      </c>
      <c r="U6" s="55" t="s">
        <v>253</v>
      </c>
      <c r="V6" s="56">
        <v>1015.25</v>
      </c>
      <c r="X6" s="65">
        <v>2002</v>
      </c>
      <c r="Y6" s="79">
        <v>3.25</v>
      </c>
      <c r="AA6" t="s">
        <v>591</v>
      </c>
      <c r="AB6" s="137">
        <v>4.9885007000000003</v>
      </c>
      <c r="AC6" s="72">
        <v>5.2000000000000005E-2</v>
      </c>
      <c r="AD6" s="136">
        <v>46082</v>
      </c>
    </row>
    <row r="7" spans="2:30" ht="14.25" customHeight="1" x14ac:dyDescent="0.3">
      <c r="B7" s="69">
        <v>5</v>
      </c>
      <c r="C7" s="34" t="s">
        <v>218</v>
      </c>
      <c r="D7" s="34"/>
      <c r="E7" s="34">
        <v>5080.8100000000004</v>
      </c>
      <c r="F7" s="81">
        <v>18.37</v>
      </c>
      <c r="H7" s="134" t="s">
        <v>256</v>
      </c>
      <c r="I7" s="110">
        <v>2648.62</v>
      </c>
      <c r="J7" s="56">
        <v>24.922732</v>
      </c>
      <c r="L7" s="65" t="s">
        <v>256</v>
      </c>
      <c r="M7" s="79">
        <v>23547.75</v>
      </c>
      <c r="O7" s="55" t="s">
        <v>256</v>
      </c>
      <c r="P7" s="56">
        <v>500.6</v>
      </c>
      <c r="R7" s="55" t="s">
        <v>256</v>
      </c>
      <c r="S7" s="56">
        <v>215.49</v>
      </c>
      <c r="U7" s="55" t="s">
        <v>256</v>
      </c>
      <c r="V7" s="56">
        <v>990.9</v>
      </c>
      <c r="X7" s="65">
        <v>2003</v>
      </c>
      <c r="Y7" s="79">
        <v>71.900000000000006</v>
      </c>
      <c r="AA7" t="s">
        <v>592</v>
      </c>
      <c r="AB7" s="137">
        <v>4.570614</v>
      </c>
      <c r="AC7" s="72">
        <v>4.7699999999999992E-2</v>
      </c>
      <c r="AD7" s="136">
        <v>46082</v>
      </c>
    </row>
    <row r="8" spans="2:30" ht="14.25" customHeight="1" x14ac:dyDescent="0.3">
      <c r="H8" s="134" t="s">
        <v>258</v>
      </c>
      <c r="I8" s="110">
        <v>2423.4699999999998</v>
      </c>
      <c r="J8" s="56">
        <v>28.781051000000001</v>
      </c>
      <c r="L8" s="65" t="s">
        <v>258</v>
      </c>
      <c r="M8" s="79">
        <v>23997.55</v>
      </c>
      <c r="O8" s="55" t="s">
        <v>258</v>
      </c>
      <c r="P8" s="56">
        <v>473.1</v>
      </c>
      <c r="R8" s="55" t="s">
        <v>258</v>
      </c>
      <c r="S8" s="56">
        <v>194.87</v>
      </c>
      <c r="U8" s="55" t="s">
        <v>258</v>
      </c>
      <c r="V8" s="56">
        <v>860.2</v>
      </c>
      <c r="X8" s="65">
        <v>2004</v>
      </c>
      <c r="Y8" s="79">
        <v>10.68</v>
      </c>
      <c r="AA8" t="s">
        <v>593</v>
      </c>
      <c r="AB8" s="137">
        <v>2.8313860000000002</v>
      </c>
      <c r="AC8" s="72">
        <v>2.9500000000000002E-2</v>
      </c>
      <c r="AD8" s="136">
        <v>46082</v>
      </c>
    </row>
    <row r="9" spans="2:30" ht="14.25" customHeight="1" x14ac:dyDescent="0.3">
      <c r="H9" s="134" t="s">
        <v>261</v>
      </c>
      <c r="I9" s="110">
        <v>2146.58</v>
      </c>
      <c r="J9" s="56">
        <v>23.464907</v>
      </c>
      <c r="L9" s="65" t="s">
        <v>261</v>
      </c>
      <c r="M9" s="79">
        <v>22331.4</v>
      </c>
      <c r="O9" s="55" t="s">
        <v>261</v>
      </c>
      <c r="P9" s="56">
        <v>410</v>
      </c>
      <c r="R9" s="55" t="s">
        <v>261</v>
      </c>
      <c r="S9" s="56">
        <v>165.25</v>
      </c>
      <c r="U9" s="55" t="s">
        <v>261</v>
      </c>
      <c r="V9" s="56">
        <v>710.8</v>
      </c>
      <c r="X9" s="65">
        <v>2005</v>
      </c>
      <c r="Y9" s="79">
        <v>36.340000000000003</v>
      </c>
      <c r="AA9" t="s">
        <v>594</v>
      </c>
      <c r="AB9" s="137">
        <v>2.3150729999999999</v>
      </c>
      <c r="AC9" s="72">
        <v>2.41E-2</v>
      </c>
      <c r="AD9" s="136">
        <v>46082</v>
      </c>
    </row>
    <row r="10" spans="2:30" ht="14.25" customHeight="1" x14ac:dyDescent="0.3">
      <c r="H10" s="134" t="s">
        <v>263</v>
      </c>
      <c r="I10" s="110">
        <v>2355.7600000000002</v>
      </c>
      <c r="J10" s="56">
        <v>22.708371</v>
      </c>
      <c r="L10" s="65" t="s">
        <v>263</v>
      </c>
      <c r="M10" s="79">
        <v>25178.65</v>
      </c>
      <c r="O10" s="55" t="s">
        <v>263</v>
      </c>
      <c r="P10" s="56">
        <v>456.1</v>
      </c>
      <c r="R10" s="55" t="s">
        <v>263</v>
      </c>
      <c r="S10" s="56">
        <v>201.11</v>
      </c>
      <c r="U10" s="55" t="s">
        <v>263</v>
      </c>
      <c r="V10" s="56">
        <v>936.8</v>
      </c>
      <c r="X10" s="65">
        <v>2006</v>
      </c>
      <c r="Y10" s="79">
        <v>39.83</v>
      </c>
      <c r="AA10" t="s">
        <v>595</v>
      </c>
      <c r="AB10" s="137">
        <v>2.1582800999999998</v>
      </c>
      <c r="AC10" s="72">
        <v>2.2499999999999999E-2</v>
      </c>
      <c r="AD10" s="136">
        <v>46082</v>
      </c>
    </row>
    <row r="11" spans="2:30" ht="14.25" customHeight="1" x14ac:dyDescent="0.3">
      <c r="H11" s="134" t="s">
        <v>265</v>
      </c>
      <c r="I11" s="110">
        <v>2407.41</v>
      </c>
      <c r="J11" s="56">
        <v>29.421480000000003</v>
      </c>
      <c r="L11" s="65" t="s">
        <v>265</v>
      </c>
      <c r="M11" s="79">
        <v>25320.65</v>
      </c>
      <c r="O11" s="55" t="s">
        <v>265</v>
      </c>
      <c r="P11" s="56">
        <v>462.9</v>
      </c>
      <c r="R11" s="55" t="s">
        <v>265</v>
      </c>
      <c r="S11" s="56">
        <v>227.48</v>
      </c>
      <c r="U11" s="55" t="s">
        <v>265</v>
      </c>
      <c r="V11" s="56">
        <v>1044.4000000000001</v>
      </c>
      <c r="X11" s="65">
        <v>2007</v>
      </c>
      <c r="Y11" s="79">
        <v>54.77</v>
      </c>
      <c r="AA11" t="s">
        <v>596</v>
      </c>
      <c r="AB11" s="137">
        <v>1.9001760000000001</v>
      </c>
      <c r="AC11" s="72">
        <v>1.9799999999999998E-2</v>
      </c>
      <c r="AD11" s="136">
        <v>46082</v>
      </c>
    </row>
    <row r="12" spans="2:30" ht="14.25" customHeight="1" x14ac:dyDescent="0.3">
      <c r="H12" s="134" t="s">
        <v>272</v>
      </c>
      <c r="I12" s="110">
        <v>2745.68</v>
      </c>
      <c r="J12" s="56">
        <v>27.446915000000001</v>
      </c>
      <c r="L12" s="65" t="s">
        <v>272</v>
      </c>
      <c r="M12" s="79">
        <v>26129.599999999999</v>
      </c>
      <c r="O12" s="55" t="s">
        <v>272</v>
      </c>
      <c r="P12" s="56">
        <v>536.54999999999995</v>
      </c>
      <c r="R12" s="55" t="s">
        <v>272</v>
      </c>
      <c r="S12" s="56">
        <v>232.68</v>
      </c>
      <c r="U12" s="55" t="s">
        <v>272</v>
      </c>
      <c r="V12" s="56">
        <v>1143.8</v>
      </c>
      <c r="X12" s="65">
        <v>2008</v>
      </c>
      <c r="Y12" s="79">
        <v>-51.79</v>
      </c>
      <c r="AA12" t="s">
        <v>597</v>
      </c>
      <c r="AB12" s="137">
        <v>1.8849825</v>
      </c>
      <c r="AC12" s="72">
        <v>1.9699999999999999E-2</v>
      </c>
      <c r="AD12" s="136">
        <v>46082</v>
      </c>
    </row>
    <row r="13" spans="2:30" ht="14.25" customHeight="1" x14ac:dyDescent="0.3">
      <c r="H13" s="134" t="s">
        <v>274</v>
      </c>
      <c r="I13" s="110">
        <v>2849.68</v>
      </c>
      <c r="J13" s="56">
        <v>35.174896000000004</v>
      </c>
      <c r="L13" s="65" t="s">
        <v>274</v>
      </c>
      <c r="M13" s="79">
        <v>26202.95</v>
      </c>
      <c r="O13" s="55" t="s">
        <v>274</v>
      </c>
      <c r="P13" s="56">
        <v>564.6</v>
      </c>
      <c r="R13" s="55" t="s">
        <v>274</v>
      </c>
      <c r="S13" s="56">
        <v>233.71</v>
      </c>
      <c r="U13" s="55" t="s">
        <v>274</v>
      </c>
      <c r="V13" s="56">
        <v>1283.6500000000001</v>
      </c>
      <c r="X13" s="65">
        <v>2009</v>
      </c>
      <c r="Y13" s="79">
        <v>75.760000000000005</v>
      </c>
    </row>
    <row r="14" spans="2:30" ht="14.25" customHeight="1" x14ac:dyDescent="0.3">
      <c r="H14" s="134" t="s">
        <v>276</v>
      </c>
      <c r="I14" s="110">
        <v>2485.3200000000002</v>
      </c>
      <c r="J14" s="56">
        <v>16.363165000000002</v>
      </c>
      <c r="L14" s="65" t="s">
        <v>276</v>
      </c>
      <c r="M14" s="79">
        <v>25722.1</v>
      </c>
      <c r="O14" s="55" t="s">
        <v>276</v>
      </c>
      <c r="P14" s="56">
        <v>542.1</v>
      </c>
      <c r="R14" s="55" t="s">
        <v>276</v>
      </c>
      <c r="S14" s="56">
        <v>245.04</v>
      </c>
      <c r="U14" s="55" t="s">
        <v>276</v>
      </c>
      <c r="V14" s="56">
        <v>999.9</v>
      </c>
      <c r="X14" s="65">
        <v>2010</v>
      </c>
      <c r="Y14" s="79">
        <v>17.95</v>
      </c>
    </row>
    <row r="15" spans="2:30" ht="14.25" customHeight="1" x14ac:dyDescent="0.3">
      <c r="H15" s="134" t="s">
        <v>277</v>
      </c>
      <c r="I15" s="110">
        <v>2326.16</v>
      </c>
      <c r="J15" s="56">
        <v>21.304014000000002</v>
      </c>
      <c r="L15" s="65" t="s">
        <v>277</v>
      </c>
      <c r="M15" s="79">
        <v>24611.1</v>
      </c>
      <c r="O15" s="55" t="s">
        <v>277</v>
      </c>
      <c r="P15" s="56">
        <v>515.20000000000005</v>
      </c>
      <c r="R15" s="55" t="s">
        <v>277</v>
      </c>
      <c r="S15" s="56">
        <v>244.47</v>
      </c>
      <c r="U15" s="55" t="s">
        <v>277</v>
      </c>
      <c r="V15" s="56">
        <v>1052.2</v>
      </c>
      <c r="X15" s="65">
        <v>2011</v>
      </c>
      <c r="Y15" s="79">
        <v>-24.62</v>
      </c>
      <c r="AB15" s="138">
        <v>10000000</v>
      </c>
      <c r="AC15" s="125">
        <v>100</v>
      </c>
    </row>
    <row r="16" spans="2:30" ht="14.25" customHeight="1" x14ac:dyDescent="0.3">
      <c r="H16" s="134" t="s">
        <v>278</v>
      </c>
      <c r="I16" s="110">
        <v>2493.0500000000002</v>
      </c>
      <c r="J16" s="56">
        <v>26.744337000000002</v>
      </c>
      <c r="L16" s="65" t="s">
        <v>278</v>
      </c>
      <c r="M16" s="79">
        <v>24426.85</v>
      </c>
      <c r="O16" s="55" t="s">
        <v>278</v>
      </c>
      <c r="P16" s="56">
        <v>533</v>
      </c>
      <c r="R16" s="55" t="s">
        <v>278</v>
      </c>
      <c r="S16" s="56">
        <v>237.17</v>
      </c>
      <c r="U16" s="55" t="s">
        <v>278</v>
      </c>
      <c r="V16" s="56">
        <v>1099.7</v>
      </c>
      <c r="X16" s="65">
        <v>2012</v>
      </c>
      <c r="Y16" s="79">
        <v>27.7</v>
      </c>
    </row>
    <row r="17" spans="8:40" ht="14.25" customHeight="1" x14ac:dyDescent="0.3">
      <c r="H17" s="134" t="s">
        <v>286</v>
      </c>
      <c r="I17" s="110">
        <v>2371.79</v>
      </c>
      <c r="J17" s="56">
        <v>22.879351</v>
      </c>
      <c r="L17" s="65" t="s">
        <v>286</v>
      </c>
      <c r="M17" s="79">
        <v>24768.35</v>
      </c>
      <c r="O17" s="55" t="s">
        <v>286</v>
      </c>
      <c r="P17" s="56">
        <v>561.13</v>
      </c>
      <c r="R17" s="55" t="s">
        <v>286</v>
      </c>
      <c r="S17" s="56">
        <v>242.02</v>
      </c>
      <c r="U17" s="55" t="s">
        <v>286</v>
      </c>
      <c r="V17" s="56">
        <v>1196.31</v>
      </c>
      <c r="X17" s="65">
        <v>2013</v>
      </c>
      <c r="Y17" s="79">
        <v>6.76</v>
      </c>
      <c r="AB17" s="136">
        <v>45078</v>
      </c>
      <c r="AC17" s="136">
        <v>45170</v>
      </c>
      <c r="AD17" s="136">
        <v>45261</v>
      </c>
      <c r="AE17" s="136">
        <v>45352</v>
      </c>
      <c r="AF17" s="136">
        <v>45444</v>
      </c>
      <c r="AG17" s="136">
        <v>45536</v>
      </c>
      <c r="AH17" s="136">
        <v>45627</v>
      </c>
      <c r="AI17" s="136">
        <v>45717</v>
      </c>
      <c r="AJ17" s="136">
        <v>45809</v>
      </c>
      <c r="AK17" s="136">
        <v>45901</v>
      </c>
      <c r="AL17" s="136">
        <v>45992</v>
      </c>
      <c r="AM17" s="136">
        <v>46082</v>
      </c>
    </row>
    <row r="18" spans="8:40" ht="14.25" customHeight="1" x14ac:dyDescent="0.3">
      <c r="H18" s="134" t="s">
        <v>288</v>
      </c>
      <c r="I18" s="110">
        <v>2317.35</v>
      </c>
      <c r="J18" s="56">
        <v>25.721771</v>
      </c>
      <c r="L18" s="65" t="s">
        <v>288</v>
      </c>
      <c r="M18" s="79">
        <v>25517.05</v>
      </c>
      <c r="O18" s="55" t="s">
        <v>288</v>
      </c>
      <c r="P18" s="56">
        <v>588.70000000000005</v>
      </c>
      <c r="R18" s="55" t="s">
        <v>288</v>
      </c>
      <c r="S18" s="56">
        <v>249.18</v>
      </c>
      <c r="U18" s="55" t="s">
        <v>288</v>
      </c>
      <c r="V18" s="56">
        <v>1158.6300000000001</v>
      </c>
      <c r="X18" s="65">
        <v>2014</v>
      </c>
      <c r="Y18" s="79">
        <v>31.39</v>
      </c>
      <c r="AA18" t="s">
        <v>602</v>
      </c>
      <c r="AB18" s="4">
        <v>0.52629999999999999</v>
      </c>
      <c r="AC18" s="4">
        <v>0.52629999999999999</v>
      </c>
      <c r="AD18" s="4">
        <v>0.52629999999999999</v>
      </c>
      <c r="AE18" s="4">
        <v>0.52629999999999999</v>
      </c>
      <c r="AF18" s="4">
        <v>0.52629999999999999</v>
      </c>
      <c r="AG18" s="4">
        <v>0.52629999999999999</v>
      </c>
      <c r="AH18" s="4">
        <v>0.52629999999999999</v>
      </c>
      <c r="AI18" s="4">
        <v>0.52629999999999999</v>
      </c>
      <c r="AJ18" s="4">
        <v>0.52629999999999999</v>
      </c>
      <c r="AK18" s="4">
        <v>0.52629999999999999</v>
      </c>
      <c r="AL18" s="4">
        <v>0.52629999999999999</v>
      </c>
      <c r="AM18" s="4">
        <v>0.52629999999999999</v>
      </c>
    </row>
    <row r="19" spans="8:40" ht="14.25" customHeight="1" x14ac:dyDescent="0.3">
      <c r="H19" s="134" t="s">
        <v>290</v>
      </c>
      <c r="I19" s="110">
        <v>2215.7399999999998</v>
      </c>
      <c r="J19" s="56">
        <v>27.390695000000001</v>
      </c>
      <c r="L19" s="65" t="s">
        <v>290</v>
      </c>
      <c r="M19" s="79">
        <v>24750.7</v>
      </c>
      <c r="O19" s="55" t="s">
        <v>290</v>
      </c>
      <c r="P19" s="56">
        <v>564.51</v>
      </c>
      <c r="R19" s="55" t="s">
        <v>290</v>
      </c>
      <c r="S19" s="56">
        <v>246.79</v>
      </c>
      <c r="U19" s="55" t="s">
        <v>290</v>
      </c>
      <c r="V19" s="56">
        <v>1076.1300000000001</v>
      </c>
      <c r="X19" s="65">
        <v>2015</v>
      </c>
      <c r="Y19" s="79">
        <v>-4.0599999999999996</v>
      </c>
      <c r="AA19" t="s">
        <v>603</v>
      </c>
      <c r="AB19" s="4">
        <v>0.17480000000000001</v>
      </c>
      <c r="AC19" s="4">
        <v>0.17649999999999999</v>
      </c>
      <c r="AD19" s="4">
        <v>0.17319999999999999</v>
      </c>
      <c r="AE19" s="4">
        <v>0.15890000000000001</v>
      </c>
      <c r="AF19" s="4">
        <v>0.1527</v>
      </c>
      <c r="AG19" s="4">
        <v>0.15279999999999999</v>
      </c>
      <c r="AH19" s="4">
        <v>0.1361</v>
      </c>
      <c r="AI19" s="4">
        <v>0.12230000000000001</v>
      </c>
      <c r="AJ19" s="4">
        <v>0.11849999999999999</v>
      </c>
      <c r="AK19" s="4">
        <v>0.1164</v>
      </c>
      <c r="AL19" s="4">
        <v>0.1278</v>
      </c>
      <c r="AM19" s="4">
        <v>0.1211</v>
      </c>
    </row>
    <row r="20" spans="8:40" ht="14.25" customHeight="1" x14ac:dyDescent="0.3">
      <c r="H20" s="134" t="s">
        <v>291</v>
      </c>
      <c r="I20" s="110">
        <v>2379.14</v>
      </c>
      <c r="J20" s="56">
        <v>19.512307999999997</v>
      </c>
      <c r="L20" s="65" t="s">
        <v>291</v>
      </c>
      <c r="M20" s="79">
        <v>24334.2</v>
      </c>
      <c r="O20" s="55" t="s">
        <v>291</v>
      </c>
      <c r="P20" s="56">
        <v>540.57000000000005</v>
      </c>
      <c r="R20" s="55" t="s">
        <v>291</v>
      </c>
      <c r="S20" s="56">
        <v>250.17</v>
      </c>
      <c r="U20" s="55" t="s">
        <v>291</v>
      </c>
      <c r="V20" s="56">
        <v>971.75</v>
      </c>
      <c r="X20" s="65">
        <v>2016</v>
      </c>
      <c r="Y20" s="79">
        <v>3.01</v>
      </c>
      <c r="AA20" t="s">
        <v>604</v>
      </c>
      <c r="AB20" s="4">
        <v>0.10009999999999999</v>
      </c>
      <c r="AC20" s="4">
        <v>0.10009999999999999</v>
      </c>
      <c r="AD20" s="4">
        <v>0.1052</v>
      </c>
      <c r="AE20" s="4">
        <v>0.11609999999999999</v>
      </c>
      <c r="AF20" s="4">
        <v>0.123</v>
      </c>
      <c r="AG20" s="4">
        <v>0.13100000000000001</v>
      </c>
      <c r="AH20" s="4">
        <v>0.13980000000000001</v>
      </c>
      <c r="AI20" s="4">
        <v>0.15509999999999999</v>
      </c>
      <c r="AJ20" s="4">
        <v>0.20979999999999999</v>
      </c>
      <c r="AK20" s="4">
        <v>0.215</v>
      </c>
      <c r="AL20" s="4">
        <v>0.21079999999999999</v>
      </c>
      <c r="AM20" s="4">
        <v>0.21740000000000001</v>
      </c>
    </row>
    <row r="21" spans="8:40" ht="14.25" customHeight="1" x14ac:dyDescent="0.3">
      <c r="H21" s="134" t="s">
        <v>292</v>
      </c>
      <c r="I21" s="110">
        <v>2295.7199999999998</v>
      </c>
      <c r="J21" s="56">
        <v>22.686751000000001</v>
      </c>
      <c r="L21" s="65" t="s">
        <v>292</v>
      </c>
      <c r="M21" s="79">
        <v>23519.35</v>
      </c>
      <c r="O21" s="55" t="s">
        <v>292</v>
      </c>
      <c r="P21" s="56">
        <v>496.87</v>
      </c>
      <c r="R21" s="55" t="s">
        <v>292</v>
      </c>
      <c r="S21" s="56">
        <v>226.56</v>
      </c>
      <c r="U21" s="55" t="s">
        <v>292</v>
      </c>
      <c r="V21" s="56">
        <v>939.8</v>
      </c>
      <c r="X21" s="65">
        <v>2017</v>
      </c>
      <c r="Y21" s="79">
        <v>28.65</v>
      </c>
      <c r="AA21" t="s">
        <v>605</v>
      </c>
      <c r="AB21" s="4">
        <v>0.19819999999999999</v>
      </c>
      <c r="AC21" s="4">
        <v>0.19639999999999999</v>
      </c>
      <c r="AD21" s="4">
        <v>0.19439999999999999</v>
      </c>
      <c r="AE21" s="4">
        <v>0.1978</v>
      </c>
      <c r="AF21" s="4">
        <v>0.1968</v>
      </c>
      <c r="AG21" s="4">
        <v>0.1888</v>
      </c>
      <c r="AH21" s="4">
        <v>0.1966</v>
      </c>
      <c r="AI21" s="4">
        <v>0.1951</v>
      </c>
      <c r="AJ21" s="4">
        <v>0.14410000000000001</v>
      </c>
      <c r="AK21" s="4">
        <v>0.1409</v>
      </c>
      <c r="AL21" s="4">
        <v>0.13370000000000001</v>
      </c>
      <c r="AM21" s="4">
        <v>0.13519999999999999</v>
      </c>
      <c r="AN21" s="139"/>
    </row>
    <row r="22" spans="8:40" ht="14.25" customHeight="1" x14ac:dyDescent="0.3">
      <c r="H22" s="134" t="s">
        <v>293</v>
      </c>
      <c r="I22" s="110">
        <v>2137.91</v>
      </c>
      <c r="J22" s="56">
        <v>28.272421000000001</v>
      </c>
      <c r="L22" s="65" t="s">
        <v>293</v>
      </c>
      <c r="M22" s="79">
        <v>22124.7</v>
      </c>
      <c r="O22" s="55" t="s">
        <v>293</v>
      </c>
      <c r="P22" s="56">
        <v>485.29</v>
      </c>
      <c r="R22" s="55" t="s">
        <v>293</v>
      </c>
      <c r="S22" s="56">
        <v>220.49</v>
      </c>
      <c r="U22" s="55" t="s">
        <v>293</v>
      </c>
      <c r="V22" s="56">
        <v>1016.72</v>
      </c>
      <c r="X22" s="65">
        <v>2018</v>
      </c>
      <c r="Y22" s="79">
        <v>3.15</v>
      </c>
      <c r="AB22" s="4"/>
      <c r="AC22" s="4"/>
      <c r="AD22" s="4"/>
      <c r="AE22" s="4"/>
      <c r="AF22" s="4"/>
      <c r="AG22" s="4"/>
      <c r="AH22" s="4"/>
      <c r="AI22" s="4"/>
      <c r="AJ22" s="4"/>
      <c r="AK22" s="4"/>
      <c r="AL22" s="4"/>
      <c r="AM22" s="4"/>
      <c r="AN22" s="140"/>
    </row>
    <row r="23" spans="8:40" ht="14.25" customHeight="1" x14ac:dyDescent="0.3">
      <c r="H23" s="134" t="s">
        <v>294</v>
      </c>
      <c r="I23" s="110">
        <v>2256.64</v>
      </c>
      <c r="J23" s="56">
        <v>26.548647999999996</v>
      </c>
      <c r="L23" s="65" t="s">
        <v>294</v>
      </c>
      <c r="M23" s="79">
        <v>23508.400000000001</v>
      </c>
      <c r="O23" s="55" t="s">
        <v>294</v>
      </c>
      <c r="P23" s="56">
        <v>469.6</v>
      </c>
      <c r="R23" s="55" t="s">
        <v>294</v>
      </c>
      <c r="S23" s="56">
        <v>226.75</v>
      </c>
      <c r="U23" s="55" t="s">
        <v>294</v>
      </c>
      <c r="V23" s="56">
        <v>1263.31</v>
      </c>
      <c r="X23" s="65">
        <v>2019</v>
      </c>
      <c r="Y23" s="79">
        <v>12.02</v>
      </c>
      <c r="AB23" s="4"/>
      <c r="AC23" s="4"/>
      <c r="AD23" s="4"/>
      <c r="AE23" s="4"/>
      <c r="AF23" s="4"/>
      <c r="AG23" s="4"/>
      <c r="AH23" s="4"/>
      <c r="AI23" s="4"/>
      <c r="AJ23" s="4"/>
      <c r="AK23" s="4"/>
      <c r="AL23" s="4"/>
      <c r="AM23" s="4"/>
      <c r="AN23" s="140"/>
    </row>
    <row r="24" spans="8:40" ht="14.25" customHeight="1" x14ac:dyDescent="0.3">
      <c r="H24" s="134" t="s">
        <v>295</v>
      </c>
      <c r="I24" s="110">
        <v>2237.56</v>
      </c>
      <c r="J24" s="56">
        <v>28.639502</v>
      </c>
      <c r="L24" s="65" t="s">
        <v>295</v>
      </c>
      <c r="M24" s="79">
        <v>23644.799999999999</v>
      </c>
      <c r="O24" s="55" t="s">
        <v>295</v>
      </c>
      <c r="P24" s="56">
        <v>445.56</v>
      </c>
      <c r="R24" s="55" t="s">
        <v>295</v>
      </c>
      <c r="S24" s="56">
        <v>257.79000000000002</v>
      </c>
      <c r="U24" s="55" t="s">
        <v>295</v>
      </c>
      <c r="V24" s="56">
        <v>1397.74</v>
      </c>
      <c r="X24" s="65">
        <v>2020</v>
      </c>
      <c r="Y24" s="79">
        <v>14.9</v>
      </c>
      <c r="AM24" s="4"/>
    </row>
    <row r="25" spans="8:40" ht="14.25" customHeight="1" x14ac:dyDescent="0.3">
      <c r="H25" s="134" t="s">
        <v>296</v>
      </c>
      <c r="I25" s="110">
        <v>2432</v>
      </c>
      <c r="J25" s="56">
        <v>35.976546999999997</v>
      </c>
      <c r="L25" s="65" t="s">
        <v>296</v>
      </c>
      <c r="M25" s="79">
        <v>24131.1</v>
      </c>
      <c r="O25" s="55" t="s">
        <v>296</v>
      </c>
      <c r="P25" s="56">
        <v>490.41</v>
      </c>
      <c r="R25" s="55" t="s">
        <v>296</v>
      </c>
      <c r="S25" s="56">
        <v>273.3</v>
      </c>
      <c r="U25" s="55" t="s">
        <v>296</v>
      </c>
      <c r="V25" s="56">
        <v>1429.15</v>
      </c>
      <c r="X25" s="65">
        <v>2021</v>
      </c>
      <c r="Y25" s="79">
        <v>24.12</v>
      </c>
    </row>
    <row r="26" spans="8:40" ht="14.25" customHeight="1" x14ac:dyDescent="0.3">
      <c r="H26" s="134" t="s">
        <v>297</v>
      </c>
      <c r="I26" s="110">
        <v>2874.37</v>
      </c>
      <c r="J26" s="56">
        <v>20.203893000000001</v>
      </c>
      <c r="L26" s="65" t="s">
        <v>297</v>
      </c>
      <c r="M26" s="79">
        <v>24205.35</v>
      </c>
      <c r="O26" s="55" t="s">
        <v>297</v>
      </c>
      <c r="P26" s="56">
        <v>533.22</v>
      </c>
      <c r="R26" s="55" t="s">
        <v>297</v>
      </c>
      <c r="S26" s="56">
        <v>277.33999999999997</v>
      </c>
      <c r="U26" s="55" t="s">
        <v>297</v>
      </c>
      <c r="V26" s="56">
        <v>1640.34</v>
      </c>
      <c r="X26" s="65">
        <v>2022</v>
      </c>
      <c r="Y26" s="79">
        <v>4.32</v>
      </c>
    </row>
    <row r="27" spans="8:40" ht="14.25" customHeight="1" x14ac:dyDescent="0.3">
      <c r="H27" s="134" t="s">
        <v>298</v>
      </c>
      <c r="I27" s="110">
        <v>3259.61</v>
      </c>
      <c r="J27" s="56">
        <v>24.869289999999999</v>
      </c>
      <c r="L27" s="65" t="s">
        <v>298</v>
      </c>
      <c r="M27" s="79">
        <v>25810.85</v>
      </c>
      <c r="O27" s="55" t="s">
        <v>298</v>
      </c>
      <c r="P27" s="56">
        <v>618.15</v>
      </c>
      <c r="R27" s="55" t="s">
        <v>298</v>
      </c>
      <c r="S27" s="56">
        <v>301.07</v>
      </c>
      <c r="U27" s="55" t="s">
        <v>298</v>
      </c>
      <c r="V27" s="56">
        <v>1454.72</v>
      </c>
      <c r="X27" s="65">
        <v>2023</v>
      </c>
      <c r="Y27" s="79">
        <v>19.420000000000002</v>
      </c>
    </row>
    <row r="28" spans="8:40" ht="14.25" customHeight="1" x14ac:dyDescent="0.3">
      <c r="H28" s="134" t="s">
        <v>299</v>
      </c>
      <c r="I28" s="110">
        <v>3061.53</v>
      </c>
      <c r="J28" s="56">
        <v>23.138940999999999</v>
      </c>
      <c r="L28" s="65" t="s">
        <v>299</v>
      </c>
      <c r="M28" s="79">
        <v>25235.9</v>
      </c>
      <c r="O28" s="55" t="s">
        <v>299</v>
      </c>
      <c r="P28" s="56">
        <v>567.24</v>
      </c>
      <c r="R28" s="55" t="s">
        <v>299</v>
      </c>
      <c r="S28" s="56">
        <v>288.43</v>
      </c>
      <c r="U28" s="55" t="s">
        <v>299</v>
      </c>
      <c r="V28" s="56">
        <v>1446.04</v>
      </c>
      <c r="X28" s="65">
        <v>2024</v>
      </c>
      <c r="Y28" s="79">
        <v>8.75</v>
      </c>
    </row>
    <row r="29" spans="8:40" ht="14.25" customHeight="1" x14ac:dyDescent="0.3">
      <c r="H29" s="134" t="s">
        <v>300</v>
      </c>
      <c r="I29" s="110">
        <v>3020.07</v>
      </c>
      <c r="J29" s="56">
        <v>38.749558</v>
      </c>
      <c r="L29" s="65" t="s">
        <v>300</v>
      </c>
      <c r="M29" s="79">
        <v>24951.15</v>
      </c>
      <c r="O29" s="55" t="s">
        <v>300</v>
      </c>
      <c r="P29" s="56">
        <v>547.69000000000005</v>
      </c>
      <c r="R29" s="55" t="s">
        <v>300</v>
      </c>
      <c r="S29" s="56">
        <v>298.83999999999997</v>
      </c>
      <c r="U29" s="55" t="s">
        <v>300</v>
      </c>
      <c r="V29" s="56">
        <v>1490.86</v>
      </c>
      <c r="X29" s="69">
        <v>2025</v>
      </c>
      <c r="Y29" s="80">
        <v>10.51</v>
      </c>
    </row>
    <row r="30" spans="8:40" ht="14.25" customHeight="1" x14ac:dyDescent="0.3">
      <c r="H30" s="134" t="s">
        <v>301</v>
      </c>
      <c r="I30" s="110">
        <v>2856.16</v>
      </c>
      <c r="J30" s="56">
        <v>24.996770000000001</v>
      </c>
      <c r="L30" s="65" t="s">
        <v>301</v>
      </c>
      <c r="M30" s="79">
        <v>24010.6</v>
      </c>
      <c r="O30" s="55" t="s">
        <v>301</v>
      </c>
      <c r="P30" s="56">
        <v>497.65</v>
      </c>
      <c r="R30" s="55" t="s">
        <v>301</v>
      </c>
      <c r="S30" s="56">
        <v>262.75</v>
      </c>
      <c r="U30" s="55" t="s">
        <v>301</v>
      </c>
      <c r="V30" s="56">
        <v>1365.59</v>
      </c>
    </row>
    <row r="31" spans="8:40" ht="14.25" customHeight="1" x14ac:dyDescent="0.3">
      <c r="H31" s="134" t="s">
        <v>302</v>
      </c>
      <c r="I31" s="110">
        <v>2794.03</v>
      </c>
      <c r="J31" s="56">
        <v>32.374117999999996</v>
      </c>
      <c r="L31" s="65" t="s">
        <v>302</v>
      </c>
      <c r="M31" s="79">
        <v>22530.7</v>
      </c>
      <c r="O31" s="55" t="s">
        <v>302</v>
      </c>
      <c r="P31" s="56">
        <v>454.03</v>
      </c>
      <c r="R31" s="55" t="s">
        <v>302</v>
      </c>
      <c r="S31" s="56">
        <v>258.79000000000002</v>
      </c>
      <c r="U31" s="55" t="s">
        <v>302</v>
      </c>
      <c r="V31" s="56">
        <v>1333.07</v>
      </c>
    </row>
    <row r="32" spans="8:40" ht="14.25" customHeight="1" x14ac:dyDescent="0.3">
      <c r="H32" s="134" t="s">
        <v>303</v>
      </c>
      <c r="I32" s="110">
        <v>2788.89</v>
      </c>
      <c r="J32" s="56">
        <v>20.285504</v>
      </c>
      <c r="L32" s="65" t="s">
        <v>303</v>
      </c>
      <c r="M32" s="79">
        <v>22604.85</v>
      </c>
      <c r="O32" s="55" t="s">
        <v>303</v>
      </c>
      <c r="P32" s="56">
        <v>501.95</v>
      </c>
      <c r="R32" s="55" t="s">
        <v>303</v>
      </c>
      <c r="S32" s="56">
        <v>268.52999999999997</v>
      </c>
      <c r="U32" s="55" t="s">
        <v>303</v>
      </c>
      <c r="V32" s="56">
        <v>1366.54</v>
      </c>
      <c r="X32" s="109"/>
    </row>
    <row r="33" spans="8:24" ht="14.25" customHeight="1" x14ac:dyDescent="0.3">
      <c r="H33" s="134" t="s">
        <v>304</v>
      </c>
      <c r="I33" s="110">
        <v>2760.62</v>
      </c>
      <c r="J33" s="56">
        <v>21.368906000000003</v>
      </c>
      <c r="L33" s="65" t="s">
        <v>304</v>
      </c>
      <c r="M33" s="79">
        <v>22326.9</v>
      </c>
      <c r="O33" s="55" t="s">
        <v>304</v>
      </c>
      <c r="P33" s="56">
        <v>565.61</v>
      </c>
      <c r="R33" s="55" t="s">
        <v>304</v>
      </c>
      <c r="S33" s="56">
        <v>251.73</v>
      </c>
      <c r="U33" s="55" t="s">
        <v>304</v>
      </c>
      <c r="V33" s="56">
        <v>1249.82</v>
      </c>
      <c r="X33" s="109"/>
    </row>
    <row r="34" spans="8:24" ht="14.25" customHeight="1" x14ac:dyDescent="0.3">
      <c r="H34" s="134" t="s">
        <v>305</v>
      </c>
      <c r="I34" s="110">
        <v>2736.52</v>
      </c>
      <c r="J34" s="56">
        <v>31.586525999999999</v>
      </c>
      <c r="L34" s="65" t="s">
        <v>305</v>
      </c>
      <c r="M34" s="79">
        <v>21982.799999999999</v>
      </c>
      <c r="O34" s="55" t="s">
        <v>305</v>
      </c>
      <c r="P34" s="56">
        <v>598.82000000000005</v>
      </c>
      <c r="R34" s="55" t="s">
        <v>305</v>
      </c>
      <c r="S34" s="56">
        <v>277.98</v>
      </c>
      <c r="U34" s="55" t="s">
        <v>305</v>
      </c>
      <c r="V34" s="56">
        <v>1391.3</v>
      </c>
      <c r="X34" s="109"/>
    </row>
    <row r="35" spans="8:24" ht="14.25" customHeight="1" x14ac:dyDescent="0.3">
      <c r="H35" s="134" t="s">
        <v>306</v>
      </c>
      <c r="I35" s="110">
        <v>2868.36</v>
      </c>
      <c r="J35" s="56">
        <v>24.098927</v>
      </c>
      <c r="L35" s="65" t="s">
        <v>306</v>
      </c>
      <c r="M35" s="79">
        <v>21725.7</v>
      </c>
      <c r="O35" s="55" t="s">
        <v>306</v>
      </c>
      <c r="P35" s="56">
        <v>557.80999999999995</v>
      </c>
      <c r="R35" s="55" t="s">
        <v>306</v>
      </c>
      <c r="S35" s="56">
        <v>328.04</v>
      </c>
      <c r="U35" s="55" t="s">
        <v>306</v>
      </c>
      <c r="V35" s="56">
        <v>1435.66</v>
      </c>
    </row>
    <row r="36" spans="8:24" ht="14.25" customHeight="1" x14ac:dyDescent="0.3">
      <c r="H36" s="134" t="s">
        <v>307</v>
      </c>
      <c r="I36" s="110">
        <v>3299.46</v>
      </c>
      <c r="J36" s="56">
        <v>19.737884999999999</v>
      </c>
      <c r="L36" s="65" t="s">
        <v>307</v>
      </c>
      <c r="M36" s="79">
        <v>21731.4</v>
      </c>
      <c r="O36" s="55" t="s">
        <v>307</v>
      </c>
      <c r="P36" s="56">
        <v>596.79999999999995</v>
      </c>
      <c r="R36" s="55" t="s">
        <v>307</v>
      </c>
      <c r="S36" s="56">
        <v>319.88</v>
      </c>
      <c r="U36" s="55" t="s">
        <v>307</v>
      </c>
      <c r="V36" s="56">
        <v>1482.46</v>
      </c>
    </row>
    <row r="37" spans="8:24" ht="14.25" customHeight="1" x14ac:dyDescent="0.3">
      <c r="H37" s="134" t="s">
        <v>308</v>
      </c>
      <c r="I37" s="110">
        <v>3025.5</v>
      </c>
      <c r="J37" s="56">
        <v>15.149982</v>
      </c>
      <c r="L37" s="65" t="s">
        <v>308</v>
      </c>
      <c r="M37" s="79">
        <v>20133.150000000001</v>
      </c>
      <c r="O37" s="55" t="s">
        <v>308</v>
      </c>
      <c r="P37" s="56">
        <v>566.94000000000005</v>
      </c>
      <c r="R37" s="55" t="s">
        <v>308</v>
      </c>
      <c r="S37" s="56">
        <v>307.39999999999998</v>
      </c>
      <c r="U37" s="55" t="s">
        <v>308</v>
      </c>
      <c r="V37" s="56">
        <v>1480.62</v>
      </c>
    </row>
    <row r="38" spans="8:24" ht="14.25" customHeight="1" x14ac:dyDescent="0.3">
      <c r="H38" s="134" t="s">
        <v>309</v>
      </c>
      <c r="I38" s="110">
        <v>2900</v>
      </c>
      <c r="J38" s="56">
        <v>18.372958000000001</v>
      </c>
      <c r="L38" s="65" t="s">
        <v>309</v>
      </c>
      <c r="M38" s="79">
        <v>19079.599999999999</v>
      </c>
      <c r="O38" s="55" t="s">
        <v>309</v>
      </c>
      <c r="P38" s="56">
        <v>551.35</v>
      </c>
      <c r="R38" s="55" t="s">
        <v>309</v>
      </c>
      <c r="S38" s="56">
        <v>302.45999999999998</v>
      </c>
      <c r="U38" s="55" t="s">
        <v>309</v>
      </c>
      <c r="V38" s="56">
        <v>1392.45</v>
      </c>
    </row>
    <row r="39" spans="8:24" ht="14.25" customHeight="1" x14ac:dyDescent="0.3">
      <c r="H39" s="134" t="s">
        <v>310</v>
      </c>
      <c r="I39" s="110">
        <v>3060.07</v>
      </c>
      <c r="J39" s="56">
        <v>18.227698</v>
      </c>
      <c r="L39" s="65" t="s">
        <v>310</v>
      </c>
      <c r="M39" s="79">
        <v>19638.3</v>
      </c>
      <c r="O39" s="55" t="s">
        <v>310</v>
      </c>
      <c r="P39" s="56">
        <v>561.46</v>
      </c>
      <c r="R39" s="55" t="s">
        <v>310</v>
      </c>
      <c r="S39" s="56">
        <v>304.72000000000003</v>
      </c>
      <c r="U39" s="55" t="s">
        <v>310</v>
      </c>
      <c r="V39" s="56">
        <v>1477.78</v>
      </c>
    </row>
    <row r="40" spans="8:24" ht="14.25" customHeight="1" x14ac:dyDescent="0.3">
      <c r="H40" s="134" t="s">
        <v>311</v>
      </c>
      <c r="I40" s="110">
        <v>3152.08</v>
      </c>
      <c r="J40" s="56">
        <v>16.415450999999997</v>
      </c>
      <c r="L40" s="65" t="s">
        <v>311</v>
      </c>
      <c r="M40" s="79">
        <v>19253.8</v>
      </c>
      <c r="O40" s="55" t="s">
        <v>311</v>
      </c>
      <c r="P40" s="56">
        <v>591.05999999999995</v>
      </c>
      <c r="R40" s="55" t="s">
        <v>311</v>
      </c>
      <c r="S40" s="56">
        <v>319.31</v>
      </c>
      <c r="U40" s="55" t="s">
        <v>311</v>
      </c>
      <c r="V40" s="56">
        <v>1561.83</v>
      </c>
    </row>
    <row r="41" spans="8:24" ht="14.25" customHeight="1" x14ac:dyDescent="0.3">
      <c r="H41" s="134" t="s">
        <v>312</v>
      </c>
      <c r="I41" s="110">
        <v>3269.46</v>
      </c>
      <c r="J41" s="56">
        <v>17.229102000000001</v>
      </c>
      <c r="L41" s="65" t="s">
        <v>312</v>
      </c>
      <c r="M41" s="79">
        <v>19753.8</v>
      </c>
      <c r="O41" s="55" t="s">
        <v>312</v>
      </c>
      <c r="P41" s="56">
        <v>558.71</v>
      </c>
      <c r="R41" s="55" t="s">
        <v>312</v>
      </c>
      <c r="S41" s="56">
        <v>321.95</v>
      </c>
      <c r="U41" s="55" t="s">
        <v>312</v>
      </c>
      <c r="V41" s="56">
        <v>1583.76</v>
      </c>
    </row>
    <row r="42" spans="8:24" ht="14.25" customHeight="1" x14ac:dyDescent="0.3">
      <c r="H42" s="134" t="s">
        <v>313</v>
      </c>
      <c r="I42" s="110">
        <v>3254.65</v>
      </c>
      <c r="J42" s="56">
        <v>18.302973000000001</v>
      </c>
      <c r="L42" s="65" t="s">
        <v>313</v>
      </c>
      <c r="M42" s="79">
        <v>19189.05</v>
      </c>
      <c r="O42" s="55" t="s">
        <v>313</v>
      </c>
      <c r="P42" s="56">
        <v>555.19000000000005</v>
      </c>
      <c r="R42" s="55" t="s">
        <v>313</v>
      </c>
      <c r="S42" s="56">
        <v>288.25</v>
      </c>
      <c r="U42" s="55" t="s">
        <v>313</v>
      </c>
      <c r="V42" s="56">
        <v>1417.95</v>
      </c>
    </row>
    <row r="43" spans="8:24" ht="14.25" customHeight="1" x14ac:dyDescent="0.3">
      <c r="H43" s="134" t="s">
        <v>314</v>
      </c>
      <c r="I43" s="110">
        <v>3070.5</v>
      </c>
      <c r="J43" s="56">
        <v>21.922294000000001</v>
      </c>
      <c r="L43" s="65" t="s">
        <v>314</v>
      </c>
      <c r="M43" s="79">
        <v>18534.400000000001</v>
      </c>
      <c r="O43" s="55" t="s">
        <v>314</v>
      </c>
      <c r="P43" s="56">
        <v>532.54999999999995</v>
      </c>
      <c r="R43" s="55" t="s">
        <v>314</v>
      </c>
      <c r="S43" s="56">
        <v>282.11</v>
      </c>
      <c r="U43" s="55" t="s">
        <v>314</v>
      </c>
      <c r="V43" s="56">
        <v>1445.09</v>
      </c>
    </row>
    <row r="44" spans="8:24" ht="14.25" customHeight="1" x14ac:dyDescent="0.3">
      <c r="H44" s="134" t="s">
        <v>315</v>
      </c>
      <c r="I44" s="110">
        <v>2791.04</v>
      </c>
      <c r="J44" s="56">
        <v>15.227696</v>
      </c>
      <c r="L44" s="65" t="s">
        <v>315</v>
      </c>
      <c r="M44" s="79">
        <v>18065</v>
      </c>
      <c r="O44" s="55" t="s">
        <v>315</v>
      </c>
      <c r="P44" s="56">
        <v>499.72</v>
      </c>
      <c r="R44" s="55" t="s">
        <v>315</v>
      </c>
      <c r="S44" s="56">
        <v>241.67</v>
      </c>
      <c r="U44" s="55" t="s">
        <v>315</v>
      </c>
      <c r="V44" s="56">
        <v>1144.71</v>
      </c>
    </row>
    <row r="45" spans="8:24" ht="14.25" customHeight="1" x14ac:dyDescent="0.3">
      <c r="H45" s="134" t="s">
        <v>316</v>
      </c>
      <c r="I45" s="110">
        <v>2655.74</v>
      </c>
      <c r="J45" s="56">
        <v>21.347057</v>
      </c>
      <c r="L45" s="65" t="s">
        <v>316</v>
      </c>
      <c r="M45" s="79">
        <v>17359.75</v>
      </c>
      <c r="O45" s="55" t="s">
        <v>316</v>
      </c>
      <c r="P45" s="56">
        <v>476.26</v>
      </c>
      <c r="R45" s="55" t="s">
        <v>316</v>
      </c>
      <c r="S45" s="56">
        <v>245.9</v>
      </c>
      <c r="U45" s="55" t="s">
        <v>316</v>
      </c>
      <c r="V45" s="56">
        <v>1000.62</v>
      </c>
    </row>
    <row r="46" spans="8:24" ht="14.25" customHeight="1" x14ac:dyDescent="0.3">
      <c r="H46" s="134" t="s">
        <v>317</v>
      </c>
      <c r="I46" s="110">
        <v>2720.31</v>
      </c>
      <c r="J46" s="56">
        <v>18.969238000000001</v>
      </c>
      <c r="L46" s="65" t="s">
        <v>317</v>
      </c>
      <c r="M46" s="79">
        <v>17303.95</v>
      </c>
      <c r="O46" s="55" t="s">
        <v>317</v>
      </c>
      <c r="P46" s="56">
        <v>474.54</v>
      </c>
      <c r="R46" s="55" t="s">
        <v>317</v>
      </c>
      <c r="S46" s="56">
        <v>256.01</v>
      </c>
      <c r="U46" s="55" t="s">
        <v>317</v>
      </c>
      <c r="V46" s="56">
        <v>990.65</v>
      </c>
    </row>
    <row r="47" spans="8:24" ht="14.25" customHeight="1" x14ac:dyDescent="0.3">
      <c r="H47" s="134" t="s">
        <v>318</v>
      </c>
      <c r="I47" s="110">
        <v>2621.31</v>
      </c>
      <c r="J47" s="56">
        <v>26.563904000000001</v>
      </c>
      <c r="L47" s="65" t="s">
        <v>318</v>
      </c>
      <c r="M47" s="79">
        <v>17662.150000000001</v>
      </c>
      <c r="O47" s="55" t="s">
        <v>318</v>
      </c>
      <c r="P47" s="56">
        <v>449.61</v>
      </c>
      <c r="R47" s="55" t="s">
        <v>318</v>
      </c>
      <c r="S47" s="56">
        <v>269.01</v>
      </c>
      <c r="U47" s="55" t="s">
        <v>318</v>
      </c>
      <c r="V47" s="56">
        <v>1168.1300000000001</v>
      </c>
    </row>
    <row r="48" spans="8:24" ht="14.25" customHeight="1" x14ac:dyDescent="0.3">
      <c r="H48" s="134" t="s">
        <v>319</v>
      </c>
      <c r="I48" s="110">
        <v>2969.48</v>
      </c>
      <c r="J48" s="56">
        <v>19.992087000000001</v>
      </c>
      <c r="L48" s="65" t="s">
        <v>319</v>
      </c>
      <c r="M48" s="79">
        <v>18105.3</v>
      </c>
      <c r="O48" s="55" t="s">
        <v>319</v>
      </c>
      <c r="P48" s="56">
        <v>475.98</v>
      </c>
      <c r="R48" s="55" t="s">
        <v>319</v>
      </c>
      <c r="S48" s="56">
        <v>279.24</v>
      </c>
      <c r="U48" s="55" t="s">
        <v>319</v>
      </c>
      <c r="V48" s="56">
        <v>1292.6199999999999</v>
      </c>
    </row>
    <row r="49" spans="8:22" ht="14.25" customHeight="1" x14ac:dyDescent="0.3">
      <c r="H49" s="134" t="s">
        <v>320</v>
      </c>
      <c r="I49" s="110">
        <v>3053.38</v>
      </c>
      <c r="J49" s="56">
        <v>20.242761999999999</v>
      </c>
      <c r="L49" s="65" t="s">
        <v>320</v>
      </c>
      <c r="M49" s="79">
        <v>18758.349999999999</v>
      </c>
      <c r="O49" s="55" t="s">
        <v>320</v>
      </c>
      <c r="P49" s="56">
        <v>509.59</v>
      </c>
      <c r="R49" s="55" t="s">
        <v>320</v>
      </c>
      <c r="S49" s="56">
        <v>285.06</v>
      </c>
      <c r="U49" s="55" t="s">
        <v>320</v>
      </c>
      <c r="V49" s="56">
        <v>1331.96</v>
      </c>
    </row>
    <row r="50" spans="8:22" ht="14.25" customHeight="1" x14ac:dyDescent="0.3">
      <c r="H50" s="134" t="s">
        <v>321</v>
      </c>
      <c r="I50" s="110">
        <v>2988.52</v>
      </c>
      <c r="J50" s="56">
        <v>20.990793</v>
      </c>
      <c r="L50" s="65" t="s">
        <v>321</v>
      </c>
      <c r="M50" s="79">
        <v>18012.2</v>
      </c>
      <c r="O50" s="55" t="s">
        <v>321</v>
      </c>
      <c r="P50" s="56">
        <v>479.62</v>
      </c>
      <c r="R50" s="55" t="s">
        <v>321</v>
      </c>
      <c r="S50" s="56">
        <v>308.95999999999998</v>
      </c>
      <c r="U50" s="55" t="s">
        <v>321</v>
      </c>
      <c r="V50" s="56">
        <v>1432.74</v>
      </c>
    </row>
    <row r="51" spans="8:22" ht="14.25" customHeight="1" x14ac:dyDescent="0.3">
      <c r="H51" s="134" t="s">
        <v>322</v>
      </c>
      <c r="I51" s="110">
        <v>3209.63</v>
      </c>
      <c r="J51" s="56">
        <v>23.352453000000001</v>
      </c>
      <c r="L51" s="65" t="s">
        <v>322</v>
      </c>
      <c r="M51" s="79">
        <v>17094.349999999999</v>
      </c>
      <c r="O51" s="55" t="s">
        <v>322</v>
      </c>
      <c r="P51" s="56">
        <v>505.17</v>
      </c>
      <c r="R51" s="55" t="s">
        <v>322</v>
      </c>
      <c r="S51" s="56">
        <v>311.27999999999997</v>
      </c>
      <c r="U51" s="55" t="s">
        <v>322</v>
      </c>
      <c r="V51" s="56">
        <v>1487.91</v>
      </c>
    </row>
    <row r="52" spans="8:22" ht="14.25" customHeight="1" x14ac:dyDescent="0.3">
      <c r="H52" s="134" t="s">
        <v>323</v>
      </c>
      <c r="I52" s="110">
        <v>3256.83</v>
      </c>
      <c r="J52" s="56">
        <v>21.161293000000001</v>
      </c>
      <c r="L52" s="65" t="s">
        <v>323</v>
      </c>
      <c r="M52" s="79">
        <v>17759.3</v>
      </c>
      <c r="O52" s="55" t="s">
        <v>323</v>
      </c>
      <c r="P52" s="56">
        <v>551.59</v>
      </c>
      <c r="R52" s="55" t="s">
        <v>323</v>
      </c>
      <c r="S52" s="56">
        <v>321.23</v>
      </c>
      <c r="U52" s="55" t="s">
        <v>323</v>
      </c>
      <c r="V52" s="56">
        <v>1666.38</v>
      </c>
    </row>
    <row r="53" spans="8:22" ht="14.25" customHeight="1" x14ac:dyDescent="0.3">
      <c r="H53" s="134" t="s">
        <v>324</v>
      </c>
      <c r="I53" s="110">
        <v>3201.28</v>
      </c>
      <c r="J53" s="56">
        <v>28.722838000000003</v>
      </c>
      <c r="L53" s="65" t="s">
        <v>324</v>
      </c>
      <c r="M53" s="79">
        <v>17158.25</v>
      </c>
      <c r="O53" s="55" t="s">
        <v>324</v>
      </c>
      <c r="P53" s="56">
        <v>509.22</v>
      </c>
      <c r="R53" s="55" t="s">
        <v>324</v>
      </c>
      <c r="S53" s="56">
        <v>254.29</v>
      </c>
      <c r="U53" s="55" t="s">
        <v>324</v>
      </c>
      <c r="V53" s="56">
        <v>1378.57</v>
      </c>
    </row>
    <row r="54" spans="8:22" ht="14.25" customHeight="1" x14ac:dyDescent="0.3">
      <c r="H54" s="134" t="s">
        <v>325</v>
      </c>
      <c r="I54" s="110">
        <v>2588.1</v>
      </c>
      <c r="J54" s="56">
        <v>34.007281999999996</v>
      </c>
      <c r="L54" s="65" t="s">
        <v>325</v>
      </c>
      <c r="M54" s="79">
        <v>15780.25</v>
      </c>
      <c r="O54" s="55" t="s">
        <v>325</v>
      </c>
      <c r="P54" s="56">
        <v>463.25</v>
      </c>
      <c r="R54" s="55" t="s">
        <v>325</v>
      </c>
      <c r="S54" s="56">
        <v>235.54</v>
      </c>
      <c r="U54" s="55" t="s">
        <v>325</v>
      </c>
      <c r="V54" s="56">
        <v>1382.48</v>
      </c>
    </row>
    <row r="55" spans="8:22" ht="14.25" customHeight="1" x14ac:dyDescent="0.3">
      <c r="H55" s="134" t="s">
        <v>326</v>
      </c>
      <c r="I55" s="110">
        <v>2730.29</v>
      </c>
      <c r="J55" s="56">
        <v>30.837045</v>
      </c>
      <c r="L55" s="65" t="s">
        <v>326</v>
      </c>
      <c r="M55" s="79">
        <v>16584.55</v>
      </c>
      <c r="O55" s="55" t="s">
        <v>326</v>
      </c>
      <c r="P55" s="56">
        <v>501.23</v>
      </c>
      <c r="R55" s="55" t="s">
        <v>326</v>
      </c>
      <c r="S55" s="56">
        <v>253.79</v>
      </c>
      <c r="U55" s="55" t="s">
        <v>326</v>
      </c>
      <c r="V55" s="56">
        <v>1585.25</v>
      </c>
    </row>
    <row r="56" spans="8:22" ht="14.25" customHeight="1" x14ac:dyDescent="0.3">
      <c r="H56" s="134" t="s">
        <v>327</v>
      </c>
      <c r="I56" s="110">
        <v>3090.76</v>
      </c>
      <c r="J56" s="56">
        <v>18.570571000000001</v>
      </c>
      <c r="L56" s="65" t="s">
        <v>327</v>
      </c>
      <c r="M56" s="79">
        <v>17102.55</v>
      </c>
      <c r="O56" s="55" t="s">
        <v>327</v>
      </c>
      <c r="P56" s="56">
        <v>585.23</v>
      </c>
      <c r="R56" s="55" t="s">
        <v>327</v>
      </c>
      <c r="S56" s="56">
        <v>297.77</v>
      </c>
      <c r="U56" s="55" t="s">
        <v>327</v>
      </c>
      <c r="V56" s="56">
        <v>1541.32</v>
      </c>
    </row>
    <row r="57" spans="8:22" ht="14.25" customHeight="1" x14ac:dyDescent="0.3">
      <c r="H57" s="134" t="s">
        <v>328</v>
      </c>
      <c r="I57" s="110">
        <v>2940.62</v>
      </c>
      <c r="J57" s="56">
        <v>46.951420999999996</v>
      </c>
      <c r="L57" s="65" t="s">
        <v>328</v>
      </c>
      <c r="M57" s="79">
        <v>17464.75</v>
      </c>
      <c r="O57" s="55" t="s">
        <v>328</v>
      </c>
      <c r="P57" s="56">
        <v>570.36</v>
      </c>
      <c r="R57" s="55" t="s">
        <v>328</v>
      </c>
      <c r="S57" s="56">
        <v>296.63</v>
      </c>
      <c r="U57" s="55" t="s">
        <v>328</v>
      </c>
      <c r="V57" s="56">
        <v>1590.7</v>
      </c>
    </row>
    <row r="58" spans="8:22" ht="14.25" customHeight="1" x14ac:dyDescent="0.3">
      <c r="H58" s="134" t="s">
        <v>329</v>
      </c>
      <c r="I58" s="110">
        <v>3031.03</v>
      </c>
      <c r="J58" s="56">
        <v>17.145294999999997</v>
      </c>
      <c r="L58" s="65" t="s">
        <v>329</v>
      </c>
      <c r="M58" s="79">
        <v>16793.900000000001</v>
      </c>
      <c r="O58" s="55" t="s">
        <v>329</v>
      </c>
      <c r="P58" s="56">
        <v>562.82000000000005</v>
      </c>
      <c r="R58" s="55" t="s">
        <v>329</v>
      </c>
      <c r="S58" s="56">
        <v>288.32</v>
      </c>
      <c r="U58" s="55" t="s">
        <v>329</v>
      </c>
      <c r="V58" s="56">
        <v>1773.76</v>
      </c>
    </row>
    <row r="59" spans="8:22" ht="14.25" customHeight="1" x14ac:dyDescent="0.3">
      <c r="H59" s="134" t="s">
        <v>330</v>
      </c>
      <c r="I59" s="110">
        <v>3009.65</v>
      </c>
      <c r="J59" s="56">
        <v>25.109145000000002</v>
      </c>
      <c r="L59" s="65" t="s">
        <v>330</v>
      </c>
      <c r="M59" s="79">
        <v>17339.849999999999</v>
      </c>
      <c r="O59" s="55" t="s">
        <v>330</v>
      </c>
      <c r="P59" s="56">
        <v>588.86</v>
      </c>
      <c r="R59" s="55" t="s">
        <v>330</v>
      </c>
      <c r="S59" s="56">
        <v>359.57</v>
      </c>
      <c r="U59" s="55" t="s">
        <v>330</v>
      </c>
      <c r="V59" s="56">
        <v>2003.52</v>
      </c>
    </row>
    <row r="60" spans="8:22" ht="14.25" customHeight="1" x14ac:dyDescent="0.3">
      <c r="H60" s="134" t="s">
        <v>331</v>
      </c>
      <c r="I60" s="110">
        <v>3229.91</v>
      </c>
      <c r="J60" s="56">
        <v>24.234062999999999</v>
      </c>
      <c r="L60" s="65" t="s">
        <v>331</v>
      </c>
      <c r="M60" s="79">
        <v>17354.05</v>
      </c>
      <c r="O60" s="55" t="s">
        <v>331</v>
      </c>
      <c r="P60" s="56">
        <v>629.09</v>
      </c>
      <c r="R60" s="55" t="s">
        <v>331</v>
      </c>
      <c r="S60" s="56">
        <v>374.92</v>
      </c>
      <c r="U60" s="55" t="s">
        <v>331</v>
      </c>
      <c r="V60" s="56">
        <v>2110.65</v>
      </c>
    </row>
    <row r="61" spans="8:22" ht="14.25" customHeight="1" x14ac:dyDescent="0.3">
      <c r="H61" s="134" t="s">
        <v>332</v>
      </c>
      <c r="I61" s="110">
        <v>3001.44</v>
      </c>
      <c r="J61" s="56">
        <v>21.72899</v>
      </c>
      <c r="L61" s="65" t="s">
        <v>332</v>
      </c>
      <c r="M61" s="79">
        <v>16983.2</v>
      </c>
      <c r="O61" s="55" t="s">
        <v>332</v>
      </c>
      <c r="P61" s="56">
        <v>612.78</v>
      </c>
      <c r="R61" s="55" t="s">
        <v>332</v>
      </c>
      <c r="S61" s="56">
        <v>378.12</v>
      </c>
      <c r="U61" s="55" t="s">
        <v>332</v>
      </c>
      <c r="V61" s="56">
        <v>2201.4299999999998</v>
      </c>
    </row>
    <row r="62" spans="8:22" ht="14.25" customHeight="1" x14ac:dyDescent="0.3">
      <c r="H62" s="134" t="s">
        <v>333</v>
      </c>
      <c r="I62" s="110">
        <v>2959.86</v>
      </c>
      <c r="J62" s="56">
        <v>32.085053000000002</v>
      </c>
      <c r="L62" s="65" t="s">
        <v>333</v>
      </c>
      <c r="M62" s="79">
        <v>17671.650000000001</v>
      </c>
      <c r="O62" s="55" t="s">
        <v>333</v>
      </c>
      <c r="P62" s="56">
        <v>604.42999999999995</v>
      </c>
      <c r="R62" s="55" t="s">
        <v>333</v>
      </c>
      <c r="S62" s="56">
        <v>344.9</v>
      </c>
      <c r="U62" s="55" t="s">
        <v>333</v>
      </c>
      <c r="V62" s="56">
        <v>2367.8000000000002</v>
      </c>
    </row>
    <row r="63" spans="8:22" ht="14.25" customHeight="1" x14ac:dyDescent="0.3">
      <c r="H63" s="134" t="s">
        <v>334</v>
      </c>
      <c r="I63" s="110">
        <v>3094.21</v>
      </c>
      <c r="J63" s="56">
        <v>22.000890999999999</v>
      </c>
      <c r="L63" s="65" t="s">
        <v>334</v>
      </c>
      <c r="M63" s="79">
        <v>17618.150000000001</v>
      </c>
      <c r="O63" s="55" t="s">
        <v>334</v>
      </c>
      <c r="P63" s="56">
        <v>659.45</v>
      </c>
      <c r="R63" s="55" t="s">
        <v>334</v>
      </c>
      <c r="S63" s="56">
        <v>400.71</v>
      </c>
      <c r="U63" s="55" t="s">
        <v>334</v>
      </c>
      <c r="V63" s="56">
        <v>2536.1</v>
      </c>
    </row>
    <row r="64" spans="8:22" x14ac:dyDescent="0.3">
      <c r="H64" s="135" t="s">
        <v>335</v>
      </c>
      <c r="I64" s="35">
        <v>3052.92</v>
      </c>
      <c r="J64" s="81">
        <v>25.145607999999999</v>
      </c>
      <c r="L64" s="69" t="s">
        <v>335</v>
      </c>
      <c r="M64" s="80">
        <v>17132.2</v>
      </c>
      <c r="O64" s="63" t="s">
        <v>335</v>
      </c>
      <c r="P64" s="81">
        <v>669.07</v>
      </c>
      <c r="R64" s="63" t="s">
        <v>335</v>
      </c>
      <c r="S64" s="81">
        <v>392.04</v>
      </c>
      <c r="U64" s="63" t="s">
        <v>335</v>
      </c>
      <c r="V64" s="81">
        <v>2561.5500000000002</v>
      </c>
    </row>
    <row r="66"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sheetData>
  <pageMargins left="0.7" right="0.7" top="0.75" bottom="0.75" header="0.511811023622047" footer="0.511811023622047"/>
  <pageSetup paperSize="9" orientation="portrait"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0FAD4-CD60-49A5-AAD6-53F7E0713F78}">
  <dimension ref="B3:L25"/>
  <sheetViews>
    <sheetView workbookViewId="0">
      <selection activeCell="H16" sqref="H16"/>
    </sheetView>
  </sheetViews>
  <sheetFormatPr defaultRowHeight="14.4" x14ac:dyDescent="0.3"/>
  <cols>
    <col min="2" max="2" width="11.77734375" customWidth="1"/>
    <col min="3" max="3" width="13.44140625" bestFit="1" customWidth="1"/>
    <col min="4" max="4" width="15.5546875" customWidth="1"/>
    <col min="5" max="5" width="15.6640625" bestFit="1" customWidth="1"/>
    <col min="6" max="6" width="14.21875" customWidth="1"/>
    <col min="7" max="7" width="15" customWidth="1"/>
    <col min="8" max="8" width="14.5546875" customWidth="1"/>
    <col min="9" max="9" width="14.6640625" customWidth="1"/>
  </cols>
  <sheetData>
    <row r="3" spans="2:12" x14ac:dyDescent="0.3">
      <c r="B3" s="109" t="s">
        <v>346</v>
      </c>
      <c r="C3" t="s">
        <v>347</v>
      </c>
      <c r="D3" t="s">
        <v>469</v>
      </c>
      <c r="E3" t="s">
        <v>470</v>
      </c>
      <c r="F3" t="s">
        <v>349</v>
      </c>
      <c r="G3" t="s">
        <v>471</v>
      </c>
      <c r="H3" t="s">
        <v>472</v>
      </c>
      <c r="I3" t="s">
        <v>473</v>
      </c>
      <c r="J3" t="s">
        <v>476</v>
      </c>
      <c r="K3" t="s">
        <v>477</v>
      </c>
      <c r="L3" t="s">
        <v>478</v>
      </c>
    </row>
    <row r="4" spans="2:12" x14ac:dyDescent="0.3">
      <c r="B4" s="109">
        <v>1</v>
      </c>
      <c r="C4" t="s">
        <v>214</v>
      </c>
      <c r="D4">
        <v>2737.8</v>
      </c>
      <c r="E4">
        <v>95.92</v>
      </c>
      <c r="F4">
        <v>3928.93</v>
      </c>
      <c r="G4">
        <v>1073.68</v>
      </c>
      <c r="H4">
        <v>265464.42</v>
      </c>
      <c r="I4">
        <v>35583.54</v>
      </c>
      <c r="J4">
        <v>34.979999999999997</v>
      </c>
      <c r="K4">
        <v>4394.6899999999996</v>
      </c>
      <c r="L4">
        <v>7589.12</v>
      </c>
    </row>
    <row r="5" spans="2:12" x14ac:dyDescent="0.3">
      <c r="B5" s="109">
        <v>2</v>
      </c>
      <c r="C5" t="s">
        <v>216</v>
      </c>
      <c r="D5">
        <v>519.45000000000005</v>
      </c>
      <c r="E5">
        <v>116.6</v>
      </c>
      <c r="F5">
        <v>635.13</v>
      </c>
      <c r="G5">
        <v>305.31</v>
      </c>
      <c r="H5">
        <v>60897.84</v>
      </c>
      <c r="I5">
        <v>11880.25</v>
      </c>
      <c r="J5">
        <v>30.59</v>
      </c>
      <c r="K5">
        <v>1128.02</v>
      </c>
      <c r="L5">
        <v>1991.05</v>
      </c>
    </row>
    <row r="6" spans="2:12" x14ac:dyDescent="0.3">
      <c r="B6" s="109">
        <v>3</v>
      </c>
      <c r="C6" t="s">
        <v>217</v>
      </c>
      <c r="D6">
        <v>211.83</v>
      </c>
      <c r="E6">
        <v>80.87</v>
      </c>
      <c r="F6">
        <v>302.73</v>
      </c>
      <c r="G6">
        <v>225.78</v>
      </c>
      <c r="H6">
        <v>17207.95</v>
      </c>
      <c r="I6">
        <v>8051.91</v>
      </c>
      <c r="J6">
        <v>16.399999999999999</v>
      </c>
      <c r="K6">
        <v>575.84</v>
      </c>
      <c r="L6">
        <v>1049.22</v>
      </c>
    </row>
    <row r="7" spans="2:12" x14ac:dyDescent="0.3">
      <c r="B7" s="109">
        <v>4</v>
      </c>
      <c r="C7" t="s">
        <v>351</v>
      </c>
      <c r="D7">
        <v>3276.6</v>
      </c>
      <c r="E7">
        <v>4.55</v>
      </c>
      <c r="F7">
        <v>79.099999999999994</v>
      </c>
      <c r="G7">
        <v>323.7</v>
      </c>
      <c r="H7">
        <v>14677.14</v>
      </c>
      <c r="I7">
        <v>3599.2</v>
      </c>
      <c r="J7">
        <v>28.16</v>
      </c>
      <c r="K7">
        <v>1973.8</v>
      </c>
      <c r="L7">
        <v>521.20000000000005</v>
      </c>
    </row>
    <row r="8" spans="2:12" x14ac:dyDescent="0.3">
      <c r="B8" s="109">
        <v>5</v>
      </c>
      <c r="C8" t="s">
        <v>218</v>
      </c>
      <c r="D8">
        <v>1065.9000000000001</v>
      </c>
      <c r="E8">
        <v>4.7699999999999996</v>
      </c>
      <c r="F8">
        <v>18.37</v>
      </c>
      <c r="G8">
        <v>28.55</v>
      </c>
      <c r="H8">
        <v>5071.57</v>
      </c>
      <c r="I8">
        <v>1330.12</v>
      </c>
      <c r="J8">
        <v>19.59</v>
      </c>
      <c r="K8">
        <v>145.38999999999999</v>
      </c>
      <c r="L8">
        <v>258.94</v>
      </c>
    </row>
    <row r="9" spans="2:12" x14ac:dyDescent="0.3">
      <c r="B9" s="109">
        <v>6</v>
      </c>
      <c r="C9" t="s">
        <v>474</v>
      </c>
      <c r="D9">
        <v>402.45</v>
      </c>
      <c r="E9">
        <v>5.68</v>
      </c>
      <c r="F9">
        <v>32.32</v>
      </c>
      <c r="G9">
        <v>57.98</v>
      </c>
      <c r="H9">
        <v>2259.9699999999998</v>
      </c>
      <c r="I9">
        <v>492.48</v>
      </c>
      <c r="J9">
        <v>21.99</v>
      </c>
      <c r="K9">
        <v>65.05</v>
      </c>
      <c r="L9">
        <v>102.75</v>
      </c>
    </row>
    <row r="10" spans="2:12" x14ac:dyDescent="0.3">
      <c r="B10" s="109">
        <v>7</v>
      </c>
      <c r="C10" t="s">
        <v>475</v>
      </c>
      <c r="D10">
        <v>51.82</v>
      </c>
      <c r="E10">
        <v>8.3699999999999992</v>
      </c>
      <c r="F10">
        <v>164.76</v>
      </c>
      <c r="G10">
        <v>47.09</v>
      </c>
      <c r="H10">
        <v>551.46</v>
      </c>
      <c r="I10">
        <v>575.63</v>
      </c>
      <c r="J10">
        <v>-34.729999999999997</v>
      </c>
      <c r="K10">
        <v>-64.95</v>
      </c>
      <c r="L10">
        <v>-15.88</v>
      </c>
    </row>
    <row r="12" spans="2:12" x14ac:dyDescent="0.3">
      <c r="B12" t="s">
        <v>495</v>
      </c>
      <c r="C12" s="110" t="s">
        <v>496</v>
      </c>
      <c r="D12" s="110" t="s">
        <v>479</v>
      </c>
      <c r="E12" s="110" t="s">
        <v>482</v>
      </c>
      <c r="F12" s="110" t="s">
        <v>244</v>
      </c>
      <c r="G12" s="110" t="s">
        <v>497</v>
      </c>
    </row>
    <row r="13" spans="2:12" x14ac:dyDescent="0.3">
      <c r="B13" s="111">
        <v>46204</v>
      </c>
      <c r="C13" s="110" t="s">
        <v>498</v>
      </c>
      <c r="D13" s="110" t="s">
        <v>499</v>
      </c>
      <c r="E13" s="110" t="s">
        <v>500</v>
      </c>
      <c r="F13" s="110" t="s">
        <v>501</v>
      </c>
      <c r="G13" s="112">
        <v>3.6400000000000002E-2</v>
      </c>
    </row>
    <row r="14" spans="2:12" x14ac:dyDescent="0.3">
      <c r="B14" s="111">
        <v>46174</v>
      </c>
      <c r="C14" s="110" t="s">
        <v>502</v>
      </c>
      <c r="D14" s="110" t="s">
        <v>503</v>
      </c>
      <c r="E14" s="110" t="s">
        <v>504</v>
      </c>
      <c r="F14" s="110" t="s">
        <v>505</v>
      </c>
      <c r="G14" s="112">
        <v>-3.5499999999999997E-2</v>
      </c>
    </row>
    <row r="15" spans="2:12" x14ac:dyDescent="0.3">
      <c r="B15" s="111">
        <v>46143</v>
      </c>
      <c r="C15" s="110" t="s">
        <v>506</v>
      </c>
      <c r="D15" s="110" t="s">
        <v>507</v>
      </c>
      <c r="E15" s="110" t="s">
        <v>508</v>
      </c>
      <c r="F15" s="110" t="s">
        <v>509</v>
      </c>
      <c r="G15" s="112">
        <v>8.5999999999999993E-2</v>
      </c>
    </row>
    <row r="16" spans="2:12" x14ac:dyDescent="0.3">
      <c r="B16" s="111">
        <v>46113</v>
      </c>
      <c r="C16" s="110" t="s">
        <v>510</v>
      </c>
      <c r="D16" s="110" t="s">
        <v>511</v>
      </c>
      <c r="E16" s="110" t="s">
        <v>512</v>
      </c>
      <c r="F16" s="110" t="s">
        <v>513</v>
      </c>
      <c r="G16" s="112">
        <v>9.8799999999999999E-2</v>
      </c>
    </row>
    <row r="17" spans="2:7" x14ac:dyDescent="0.3">
      <c r="B17" s="111">
        <v>46082</v>
      </c>
      <c r="C17" s="110" t="s">
        <v>514</v>
      </c>
      <c r="D17" s="110" t="s">
        <v>515</v>
      </c>
      <c r="E17" s="110" t="s">
        <v>516</v>
      </c>
      <c r="F17" s="110" t="s">
        <v>517</v>
      </c>
      <c r="G17" s="112">
        <v>-5.8599999999999999E-2</v>
      </c>
    </row>
    <row r="18" spans="2:7" x14ac:dyDescent="0.3">
      <c r="B18" s="111">
        <v>46054</v>
      </c>
      <c r="C18" s="110" t="s">
        <v>518</v>
      </c>
      <c r="D18" s="110" t="s">
        <v>519</v>
      </c>
      <c r="E18" s="110" t="s">
        <v>520</v>
      </c>
      <c r="F18" s="110" t="s">
        <v>521</v>
      </c>
      <c r="G18" s="112">
        <v>5.0000000000000001E-4</v>
      </c>
    </row>
    <row r="19" spans="2:7" x14ac:dyDescent="0.3">
      <c r="B19" s="111">
        <v>46023</v>
      </c>
      <c r="C19" s="110" t="s">
        <v>522</v>
      </c>
      <c r="D19" s="110" t="s">
        <v>523</v>
      </c>
      <c r="E19" s="110" t="s">
        <v>524</v>
      </c>
      <c r="F19" s="110" t="s">
        <v>525</v>
      </c>
      <c r="G19" s="112">
        <v>-0.12520000000000001</v>
      </c>
    </row>
    <row r="20" spans="2:7" x14ac:dyDescent="0.3">
      <c r="B20" s="111">
        <v>45992</v>
      </c>
      <c r="C20" s="110" t="s">
        <v>526</v>
      </c>
      <c r="D20" s="110" t="s">
        <v>527</v>
      </c>
      <c r="E20" s="110" t="s">
        <v>528</v>
      </c>
      <c r="F20" s="110" t="s">
        <v>529</v>
      </c>
      <c r="G20" s="112">
        <v>-3.7600000000000001E-2</v>
      </c>
    </row>
    <row r="21" spans="2:7" x14ac:dyDescent="0.3">
      <c r="B21" s="111">
        <v>45962</v>
      </c>
      <c r="C21" s="110" t="s">
        <v>530</v>
      </c>
      <c r="D21" s="110" t="s">
        <v>531</v>
      </c>
      <c r="E21" s="110" t="s">
        <v>532</v>
      </c>
      <c r="F21" s="110" t="s">
        <v>533</v>
      </c>
      <c r="G21" s="112">
        <v>0.1515</v>
      </c>
    </row>
    <row r="22" spans="2:7" x14ac:dyDescent="0.3">
      <c r="B22" s="111">
        <v>45931</v>
      </c>
      <c r="C22" s="110" t="s">
        <v>534</v>
      </c>
      <c r="D22" s="110" t="s">
        <v>535</v>
      </c>
      <c r="E22" s="110" t="s">
        <v>536</v>
      </c>
      <c r="F22" s="110" t="s">
        <v>537</v>
      </c>
      <c r="G22" s="112">
        <v>6.6900000000000001E-2</v>
      </c>
    </row>
    <row r="23" spans="2:7" x14ac:dyDescent="0.3">
      <c r="B23" s="111">
        <v>45901</v>
      </c>
      <c r="C23" s="110" t="s">
        <v>538</v>
      </c>
      <c r="D23" s="110" t="s">
        <v>539</v>
      </c>
      <c r="E23" s="110" t="s">
        <v>540</v>
      </c>
      <c r="F23" s="110" t="s">
        <v>541</v>
      </c>
      <c r="G23" s="112">
        <v>-6.6699999999999995E-2</v>
      </c>
    </row>
    <row r="24" spans="2:7" x14ac:dyDescent="0.3">
      <c r="B24" s="111">
        <v>45870</v>
      </c>
      <c r="C24" s="110" t="s">
        <v>542</v>
      </c>
      <c r="D24" s="110" t="s">
        <v>543</v>
      </c>
      <c r="E24" s="110" t="s">
        <v>542</v>
      </c>
      <c r="F24" s="110" t="s">
        <v>544</v>
      </c>
      <c r="G24" s="112">
        <v>5.91E-2</v>
      </c>
    </row>
    <row r="25" spans="2:7" x14ac:dyDescent="0.3">
      <c r="B25" s="109"/>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1F36C-5CDE-4CE8-9C84-F565CC64C62D}">
  <dimension ref="A1"/>
  <sheetViews>
    <sheetView showGridLines="0" workbookViewId="0"/>
  </sheetViews>
  <sheetFormatPr defaultRowHeight="14.4" x14ac:dyDescent="0.3"/>
  <cols>
    <col min="1" max="1" width="1.88671875" customWidth="1"/>
  </cols>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30</vt:i4>
      </vt:variant>
      <vt:variant>
        <vt:lpstr>Named Ranges</vt:lpstr>
      </vt:variant>
      <vt:variant>
        <vt:i4>13</vt:i4>
      </vt:variant>
    </vt:vector>
  </HeadingPairs>
  <TitlesOfParts>
    <vt:vector size="43" baseType="lpstr">
      <vt:lpstr>Front Page</vt:lpstr>
      <vt:lpstr>Content</vt:lpstr>
      <vt:lpstr>Teaser</vt:lpstr>
      <vt:lpstr>HistoricalFS</vt:lpstr>
      <vt:lpstr>Ratio Analysis</vt:lpstr>
      <vt:lpstr>Common Size Statement</vt:lpstr>
      <vt:lpstr>Assumption Sheet</vt:lpstr>
      <vt:lpstr>ForecastFS</vt:lpstr>
      <vt:lpstr>Beta-Regression</vt:lpstr>
      <vt:lpstr>Rm</vt:lpstr>
      <vt:lpstr>WACC</vt:lpstr>
      <vt:lpstr>IntrinsiGrowth</vt:lpstr>
      <vt:lpstr>DCF</vt:lpstr>
      <vt:lpstr>Comp_Valuation</vt:lpstr>
      <vt:lpstr>Football_Field</vt:lpstr>
      <vt:lpstr>VAR Historical Approach</vt:lpstr>
      <vt:lpstr>Monte Carlo Simulation</vt:lpstr>
      <vt:lpstr>DUPONT Analysis</vt:lpstr>
      <vt:lpstr>ALTMAN'S Z SCORE</vt:lpstr>
      <vt:lpstr>One Page Profile&gt;</vt:lpstr>
      <vt:lpstr>InputSheet</vt:lpstr>
      <vt:lpstr>Financials&gt;</vt:lpstr>
      <vt:lpstr>Data&gt;</vt:lpstr>
      <vt:lpstr>Data Sheet</vt:lpstr>
      <vt:lpstr>CashFlow Statement</vt:lpstr>
      <vt:lpstr>DCF&gt;</vt:lpstr>
      <vt:lpstr>RawFS</vt:lpstr>
      <vt:lpstr>RawData</vt:lpstr>
      <vt:lpstr>Data</vt:lpstr>
      <vt:lpstr>VAR&gt;</vt:lpstr>
      <vt:lpstr>'ALTMAN''S Z SCORE'!Print_Area</vt:lpstr>
      <vt:lpstr>'Assumption Sheet'!Print_Area</vt:lpstr>
      <vt:lpstr>Comp_Valuation!Print_Area</vt:lpstr>
      <vt:lpstr>Content!Print_Area</vt:lpstr>
      <vt:lpstr>DCF!Print_Area</vt:lpstr>
      <vt:lpstr>'DUPONT Analysis'!Print_Area</vt:lpstr>
      <vt:lpstr>Football_Field!Print_Area</vt:lpstr>
      <vt:lpstr>ForecastFS!Print_Area</vt:lpstr>
      <vt:lpstr>'Front Page'!Print_Area</vt:lpstr>
      <vt:lpstr>IntrinsiGrowth!Print_Area</vt:lpstr>
      <vt:lpstr>'Ratio Analysis'!Print_Area</vt:lpstr>
      <vt:lpstr>Teaser!Print_Area</vt:lpstr>
      <vt:lpstr>'VAR Historical Approach'!Print_Area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rajput</dc:creator>
  <dc:description/>
  <cp:lastModifiedBy>lokesh rajput</cp:lastModifiedBy>
  <cp:revision>0</cp:revision>
  <cp:lastPrinted>2026-07-09T20:07:48Z</cp:lastPrinted>
  <dcterms:created xsi:type="dcterms:W3CDTF">2026-06-28T08:20:57Z</dcterms:created>
  <dcterms:modified xsi:type="dcterms:W3CDTF">2026-08-05T06:36:38Z</dcterms:modified>
  <dc:language>en-US</dc:language>
</cp:coreProperties>
</file>