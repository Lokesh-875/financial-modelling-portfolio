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3422F9E-A1BC-4834-98E9-AD7DF19C8C64}" xr6:coauthVersionLast="47" xr6:coauthVersionMax="47" xr10:uidLastSave="{00000000-0000-0000-0000-000000000000}"/>
  <bookViews>
    <workbookView xWindow="-108" yWindow="-108" windowWidth="23256" windowHeight="12456" firstSheet="1" activeTab="2" xr2:uid="{C1B73356-1013-4D2D-8D2F-BF005C3EECCB}"/>
  </bookViews>
  <sheets>
    <sheet name="Financial&gt;" sheetId="4" r:id="rId1"/>
    <sheet name="HistoricalFS" sheetId="5" r:id="rId2"/>
    <sheet name="Ratio Analysis" sheetId="6" r:id="rId3"/>
    <sheet name="Common Size Statement" sheetId="15" r:id="rId4"/>
    <sheet name="IS-Forecasting" sheetId="7" r:id="rId5"/>
    <sheet name="BS-Forcasting" sheetId="8" r:id="rId6"/>
    <sheet name="CashFlow-Forcasting" sheetId="9" r:id="rId7"/>
    <sheet name="DCF&gt;" sheetId="13" r:id="rId8"/>
    <sheet name="WACC" sheetId="10" r:id="rId9"/>
    <sheet name="Beta - Regression" sheetId="11" r:id="rId10"/>
    <sheet name="Rm" sheetId="14" r:id="rId11"/>
    <sheet name="Intrinsic Growth" sheetId="17" r:id="rId12"/>
    <sheet name="DCF" sheetId="18" r:id="rId13"/>
    <sheet name="Data&gt;" sheetId="3" r:id="rId14"/>
    <sheet name="Data Sheet" sheetId="1" r:id="rId15"/>
    <sheet name="Cashflow Data" sheetId="2" r:id="rId16"/>
    <sheet name="Raw Data" sheetId="12" r:id="rId17"/>
    <sheet name="RawFS" sheetId="16" r:id="rId18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6" l="1"/>
  <c r="C23" i="6"/>
  <c r="C21" i="6"/>
  <c r="C19" i="6"/>
  <c r="H2" i="18"/>
  <c r="I2" i="18"/>
  <c r="J2" i="18"/>
  <c r="K2" i="18"/>
  <c r="L2" i="18"/>
  <c r="G2" i="18"/>
  <c r="D44" i="18"/>
  <c r="D41" i="18"/>
  <c r="D40" i="18"/>
  <c r="D39" i="18"/>
  <c r="D38" i="18"/>
  <c r="D37" i="18"/>
  <c r="D35" i="18"/>
  <c r="D34" i="18"/>
  <c r="D33" i="18"/>
  <c r="D29" i="18"/>
  <c r="D27" i="18"/>
  <c r="D26" i="18"/>
  <c r="D25" i="18"/>
  <c r="I17" i="18"/>
  <c r="J17" i="18"/>
  <c r="K17" i="18"/>
  <c r="L17" i="18"/>
  <c r="H17" i="18"/>
  <c r="I15" i="18"/>
  <c r="J15" i="18"/>
  <c r="K15" i="18"/>
  <c r="L15" i="18"/>
  <c r="H15" i="18"/>
  <c r="J14" i="18"/>
  <c r="K14" i="18"/>
  <c r="L14" i="18"/>
  <c r="I14" i="18"/>
  <c r="H8" i="18"/>
  <c r="I8" i="18"/>
  <c r="J8" i="18"/>
  <c r="K8" i="18"/>
  <c r="L8" i="18"/>
  <c r="I4" i="18"/>
  <c r="J4" i="18"/>
  <c r="K4" i="18" s="1"/>
  <c r="L4" i="18" s="1"/>
  <c r="H4" i="18"/>
  <c r="D21" i="18"/>
  <c r="H12" i="18"/>
  <c r="I12" i="18"/>
  <c r="J12" i="18"/>
  <c r="K12" i="18"/>
  <c r="L12" i="18"/>
  <c r="G12" i="18"/>
  <c r="I10" i="18"/>
  <c r="J10" i="18" s="1"/>
  <c r="K10" i="18" s="1"/>
  <c r="H10" i="18"/>
  <c r="G10" i="18"/>
  <c r="G4" i="18"/>
  <c r="G8" i="18"/>
  <c r="I6" i="18"/>
  <c r="J6" i="18" s="1"/>
  <c r="K6" i="18" s="1"/>
  <c r="L6" i="18" s="1"/>
  <c r="H6" i="18"/>
  <c r="H57" i="17"/>
  <c r="H50" i="17"/>
  <c r="H49" i="17"/>
  <c r="H42" i="17"/>
  <c r="K38" i="17"/>
  <c r="H38" i="17"/>
  <c r="I38" i="17"/>
  <c r="J38" i="17"/>
  <c r="G38" i="17"/>
  <c r="H36" i="17"/>
  <c r="I36" i="17"/>
  <c r="J36" i="17"/>
  <c r="K36" i="17"/>
  <c r="G36" i="17"/>
  <c r="B36" i="17"/>
  <c r="B58" i="17"/>
  <c r="B57" i="17"/>
  <c r="H55" i="17"/>
  <c r="I55" i="17"/>
  <c r="H45" i="17"/>
  <c r="H47" i="17" s="1"/>
  <c r="I45" i="17"/>
  <c r="I47" i="17" s="1"/>
  <c r="I42" i="17"/>
  <c r="J42" i="17"/>
  <c r="K42" i="17"/>
  <c r="G42" i="17"/>
  <c r="H35" i="17"/>
  <c r="I35" i="17"/>
  <c r="J35" i="17"/>
  <c r="J45" i="17" s="1"/>
  <c r="J47" i="17" s="1"/>
  <c r="K35" i="17"/>
  <c r="K45" i="17" s="1"/>
  <c r="K47" i="17" s="1"/>
  <c r="G35" i="17"/>
  <c r="G45" i="17" s="1"/>
  <c r="G47" i="17" s="1"/>
  <c r="G31" i="17"/>
  <c r="H31" i="17"/>
  <c r="I31" i="17"/>
  <c r="J31" i="17"/>
  <c r="K31" i="17"/>
  <c r="B31" i="17"/>
  <c r="G21" i="17"/>
  <c r="H21" i="17"/>
  <c r="I21" i="17"/>
  <c r="J21" i="17"/>
  <c r="K21" i="17"/>
  <c r="G22" i="17"/>
  <c r="H22" i="17"/>
  <c r="I22" i="17"/>
  <c r="J22" i="17"/>
  <c r="K22" i="17"/>
  <c r="G23" i="17"/>
  <c r="H23" i="17"/>
  <c r="I23" i="17"/>
  <c r="J23" i="17"/>
  <c r="K23" i="17"/>
  <c r="G24" i="17"/>
  <c r="H24" i="17"/>
  <c r="I24" i="17"/>
  <c r="J24" i="17"/>
  <c r="K24" i="17"/>
  <c r="G25" i="17"/>
  <c r="H25" i="17"/>
  <c r="I25" i="17"/>
  <c r="J25" i="17"/>
  <c r="K25" i="17"/>
  <c r="G26" i="17"/>
  <c r="H26" i="17"/>
  <c r="I26" i="17"/>
  <c r="J26" i="17"/>
  <c r="K26" i="17"/>
  <c r="G27" i="17"/>
  <c r="H27" i="17"/>
  <c r="I27" i="17"/>
  <c r="J27" i="17"/>
  <c r="K27" i="17"/>
  <c r="G28" i="17"/>
  <c r="H28" i="17"/>
  <c r="I28" i="17"/>
  <c r="J28" i="17"/>
  <c r="K28" i="17"/>
  <c r="H20" i="17"/>
  <c r="I20" i="17"/>
  <c r="J20" i="17"/>
  <c r="K20" i="17"/>
  <c r="G20" i="17"/>
  <c r="B21" i="17"/>
  <c r="B22" i="17"/>
  <c r="B23" i="17"/>
  <c r="B24" i="17"/>
  <c r="B25" i="17"/>
  <c r="B26" i="17"/>
  <c r="B27" i="17"/>
  <c r="B28" i="17"/>
  <c r="B30" i="17"/>
  <c r="B20" i="17"/>
  <c r="G13" i="17"/>
  <c r="H13" i="17"/>
  <c r="I13" i="17"/>
  <c r="J13" i="17"/>
  <c r="K13" i="17"/>
  <c r="G14" i="17"/>
  <c r="H14" i="17"/>
  <c r="I14" i="17"/>
  <c r="J14" i="17"/>
  <c r="K14" i="17"/>
  <c r="H12" i="17"/>
  <c r="I12" i="17"/>
  <c r="J12" i="17"/>
  <c r="K12" i="17"/>
  <c r="G12" i="17"/>
  <c r="B13" i="17"/>
  <c r="B14" i="17"/>
  <c r="B12" i="17"/>
  <c r="G8" i="17"/>
  <c r="H8" i="17"/>
  <c r="I8" i="17"/>
  <c r="J8" i="17"/>
  <c r="K8" i="17"/>
  <c r="H7" i="17"/>
  <c r="I7" i="17"/>
  <c r="J7" i="17"/>
  <c r="K7" i="17"/>
  <c r="G7" i="17"/>
  <c r="B8" i="17"/>
  <c r="B7" i="17"/>
  <c r="G6" i="17"/>
  <c r="H6" i="17"/>
  <c r="I6" i="17"/>
  <c r="J6" i="17"/>
  <c r="K6" i="17"/>
  <c r="H5" i="17"/>
  <c r="I5" i="17"/>
  <c r="J5" i="17"/>
  <c r="K5" i="17"/>
  <c r="G5" i="17"/>
  <c r="B6" i="17"/>
  <c r="B5" i="17"/>
  <c r="H2" i="17"/>
  <c r="H40" i="17" s="1"/>
  <c r="I2" i="17"/>
  <c r="I40" i="17" s="1"/>
  <c r="J2" i="17"/>
  <c r="J40" i="17" s="1"/>
  <c r="K2" i="17"/>
  <c r="K40" i="17" s="1"/>
  <c r="G2" i="17"/>
  <c r="G40" i="17" s="1"/>
  <c r="D30" i="16"/>
  <c r="E30" i="16"/>
  <c r="F30" i="16"/>
  <c r="G30" i="16"/>
  <c r="H30" i="16"/>
  <c r="I30" i="16"/>
  <c r="J30" i="16"/>
  <c r="K30" i="16"/>
  <c r="L30" i="16"/>
  <c r="M30" i="16"/>
  <c r="N30" i="16"/>
  <c r="C30" i="16"/>
  <c r="G55" i="17" l="1"/>
  <c r="K55" i="17"/>
  <c r="J55" i="17"/>
  <c r="H30" i="17"/>
  <c r="H32" i="17" s="1"/>
  <c r="H9" i="17"/>
  <c r="G9" i="17"/>
  <c r="H15" i="17"/>
  <c r="G30" i="17"/>
  <c r="G32" i="17" s="1"/>
  <c r="I30" i="17"/>
  <c r="I32" i="17" s="1"/>
  <c r="I9" i="17"/>
  <c r="K30" i="17"/>
  <c r="K32" i="17" s="1"/>
  <c r="J30" i="17"/>
  <c r="J32" i="17" s="1"/>
  <c r="H17" i="17"/>
  <c r="G15" i="17"/>
  <c r="G17" i="17" s="1"/>
  <c r="G34" i="17" s="1"/>
  <c r="K15" i="17"/>
  <c r="K17" i="17" s="1"/>
  <c r="J15" i="17"/>
  <c r="I15" i="17"/>
  <c r="K9" i="17"/>
  <c r="J9" i="17"/>
  <c r="C39" i="15"/>
  <c r="D39" i="15"/>
  <c r="E39" i="15"/>
  <c r="F39" i="15"/>
  <c r="G39" i="15"/>
  <c r="H39" i="15"/>
  <c r="I39" i="15"/>
  <c r="J39" i="15"/>
  <c r="K39" i="15"/>
  <c r="L39" i="15"/>
  <c r="C40" i="15"/>
  <c r="D40" i="15"/>
  <c r="E40" i="15"/>
  <c r="F40" i="15"/>
  <c r="G40" i="15"/>
  <c r="H40" i="15"/>
  <c r="I40" i="15"/>
  <c r="J40" i="15"/>
  <c r="K40" i="15"/>
  <c r="L40" i="15"/>
  <c r="D38" i="15"/>
  <c r="E38" i="15"/>
  <c r="F38" i="15"/>
  <c r="G38" i="15"/>
  <c r="H38" i="15"/>
  <c r="I38" i="15"/>
  <c r="J38" i="15"/>
  <c r="K38" i="15"/>
  <c r="L38" i="15"/>
  <c r="C38" i="15"/>
  <c r="D37" i="15"/>
  <c r="E37" i="15"/>
  <c r="F37" i="15"/>
  <c r="G37" i="15"/>
  <c r="H37" i="15"/>
  <c r="I37" i="15"/>
  <c r="J37" i="15"/>
  <c r="K37" i="15"/>
  <c r="L37" i="15"/>
  <c r="C37" i="15"/>
  <c r="C35" i="15"/>
  <c r="D35" i="15"/>
  <c r="E35" i="15"/>
  <c r="F35" i="15"/>
  <c r="G35" i="15"/>
  <c r="H35" i="15"/>
  <c r="I35" i="15"/>
  <c r="J35" i="15"/>
  <c r="K35" i="15"/>
  <c r="L35" i="15"/>
  <c r="C36" i="15"/>
  <c r="D36" i="15"/>
  <c r="E36" i="15"/>
  <c r="F36" i="15"/>
  <c r="G36" i="15"/>
  <c r="H36" i="15"/>
  <c r="I36" i="15"/>
  <c r="J36" i="15"/>
  <c r="K36" i="15"/>
  <c r="L36" i="15"/>
  <c r="D34" i="15"/>
  <c r="E34" i="15"/>
  <c r="F34" i="15"/>
  <c r="G34" i="15"/>
  <c r="H34" i="15"/>
  <c r="I34" i="15"/>
  <c r="J34" i="15"/>
  <c r="K34" i="15"/>
  <c r="L34" i="15"/>
  <c r="C34" i="15"/>
  <c r="D33" i="15"/>
  <c r="E33" i="15"/>
  <c r="F33" i="15"/>
  <c r="G33" i="15"/>
  <c r="H33" i="15"/>
  <c r="I33" i="15"/>
  <c r="J33" i="15"/>
  <c r="K33" i="15"/>
  <c r="L33" i="15"/>
  <c r="C33" i="15"/>
  <c r="C75" i="1"/>
  <c r="D75" i="1"/>
  <c r="E75" i="1"/>
  <c r="F75" i="1"/>
  <c r="G75" i="1"/>
  <c r="H75" i="1"/>
  <c r="I75" i="1"/>
  <c r="J75" i="1"/>
  <c r="K75" i="1"/>
  <c r="B75" i="1"/>
  <c r="E74" i="1"/>
  <c r="B74" i="1"/>
  <c r="C74" i="1"/>
  <c r="D74" i="1"/>
  <c r="F74" i="1"/>
  <c r="G74" i="1"/>
  <c r="H74" i="1"/>
  <c r="I74" i="1"/>
  <c r="J74" i="1"/>
  <c r="K74" i="1"/>
  <c r="C29" i="15"/>
  <c r="D29" i="15"/>
  <c r="E29" i="15"/>
  <c r="F29" i="15"/>
  <c r="G29" i="15"/>
  <c r="H29" i="15"/>
  <c r="I29" i="15"/>
  <c r="J29" i="15"/>
  <c r="K29" i="15"/>
  <c r="L29" i="15"/>
  <c r="C30" i="15"/>
  <c r="D30" i="15"/>
  <c r="E30" i="15"/>
  <c r="F30" i="15"/>
  <c r="G30" i="15"/>
  <c r="H30" i="15"/>
  <c r="I30" i="15"/>
  <c r="J30" i="15"/>
  <c r="K30" i="15"/>
  <c r="L30" i="15"/>
  <c r="C31" i="15"/>
  <c r="D31" i="15"/>
  <c r="E31" i="15"/>
  <c r="F31" i="15"/>
  <c r="G31" i="15"/>
  <c r="H31" i="15"/>
  <c r="I31" i="15"/>
  <c r="J31" i="15"/>
  <c r="K31" i="15"/>
  <c r="L31" i="15"/>
  <c r="D28" i="15"/>
  <c r="E28" i="15"/>
  <c r="F28" i="15"/>
  <c r="G28" i="15"/>
  <c r="H28" i="15"/>
  <c r="I28" i="15"/>
  <c r="J28" i="15"/>
  <c r="K28" i="15"/>
  <c r="L28" i="15"/>
  <c r="C28" i="15"/>
  <c r="D27" i="15"/>
  <c r="E27" i="15"/>
  <c r="F27" i="15"/>
  <c r="G27" i="15"/>
  <c r="H27" i="15"/>
  <c r="I27" i="15"/>
  <c r="J27" i="15"/>
  <c r="K27" i="15"/>
  <c r="L27" i="15"/>
  <c r="C27" i="15"/>
  <c r="B29" i="15"/>
  <c r="B30" i="15"/>
  <c r="B31" i="15"/>
  <c r="B34" i="15"/>
  <c r="B35" i="15"/>
  <c r="B36" i="15"/>
  <c r="B37" i="15"/>
  <c r="B38" i="15"/>
  <c r="B39" i="15"/>
  <c r="B40" i="15"/>
  <c r="B28" i="15"/>
  <c r="D25" i="15"/>
  <c r="E25" i="15"/>
  <c r="F25" i="15"/>
  <c r="G25" i="15"/>
  <c r="H25" i="15"/>
  <c r="I25" i="15"/>
  <c r="J25" i="15"/>
  <c r="K25" i="15"/>
  <c r="L25" i="15"/>
  <c r="C25" i="15"/>
  <c r="B23" i="15"/>
  <c r="B21" i="15"/>
  <c r="C7" i="15"/>
  <c r="D7" i="15"/>
  <c r="E7" i="15"/>
  <c r="F7" i="15"/>
  <c r="G7" i="15"/>
  <c r="H7" i="15"/>
  <c r="I7" i="15"/>
  <c r="J7" i="15"/>
  <c r="K7" i="15"/>
  <c r="L7" i="15"/>
  <c r="C8" i="15"/>
  <c r="D8" i="15"/>
  <c r="E8" i="15"/>
  <c r="F8" i="15"/>
  <c r="G8" i="15"/>
  <c r="H8" i="15"/>
  <c r="I8" i="15"/>
  <c r="J8" i="15"/>
  <c r="K8" i="15"/>
  <c r="L8" i="15"/>
  <c r="C9" i="15"/>
  <c r="D9" i="15"/>
  <c r="E9" i="15"/>
  <c r="F9" i="15"/>
  <c r="G9" i="15"/>
  <c r="H9" i="15"/>
  <c r="I9" i="15"/>
  <c r="J9" i="15"/>
  <c r="K9" i="15"/>
  <c r="L9" i="15"/>
  <c r="C10" i="15"/>
  <c r="D10" i="15"/>
  <c r="E10" i="15"/>
  <c r="F10" i="15"/>
  <c r="G10" i="15"/>
  <c r="H10" i="15"/>
  <c r="I10" i="15"/>
  <c r="J10" i="15"/>
  <c r="K10" i="15"/>
  <c r="L10" i="15"/>
  <c r="C11" i="15"/>
  <c r="D11" i="15"/>
  <c r="E11" i="15"/>
  <c r="F11" i="15"/>
  <c r="G11" i="15"/>
  <c r="H11" i="15"/>
  <c r="I11" i="15"/>
  <c r="J11" i="15"/>
  <c r="K11" i="15"/>
  <c r="L11" i="15"/>
  <c r="C12" i="15"/>
  <c r="D12" i="15"/>
  <c r="E12" i="15"/>
  <c r="F12" i="15"/>
  <c r="G12" i="15"/>
  <c r="H12" i="15"/>
  <c r="I12" i="15"/>
  <c r="J12" i="15"/>
  <c r="K12" i="15"/>
  <c r="L12" i="15"/>
  <c r="C13" i="15"/>
  <c r="D13" i="15"/>
  <c r="E13" i="15"/>
  <c r="F13" i="15"/>
  <c r="G13" i="15"/>
  <c r="H13" i="15"/>
  <c r="I13" i="15"/>
  <c r="J13" i="15"/>
  <c r="K13" i="15"/>
  <c r="L13" i="15"/>
  <c r="C14" i="15"/>
  <c r="D14" i="15"/>
  <c r="E14" i="15"/>
  <c r="F14" i="15"/>
  <c r="G14" i="15"/>
  <c r="H14" i="15"/>
  <c r="I14" i="15"/>
  <c r="J14" i="15"/>
  <c r="K14" i="15"/>
  <c r="L14" i="15"/>
  <c r="C15" i="15"/>
  <c r="D15" i="15"/>
  <c r="E15" i="15"/>
  <c r="F15" i="15"/>
  <c r="G15" i="15"/>
  <c r="H15" i="15"/>
  <c r="I15" i="15"/>
  <c r="J15" i="15"/>
  <c r="K15" i="15"/>
  <c r="L15" i="15"/>
  <c r="C16" i="15"/>
  <c r="D16" i="15"/>
  <c r="E16" i="15"/>
  <c r="F16" i="15"/>
  <c r="G16" i="15"/>
  <c r="H16" i="15"/>
  <c r="I16" i="15"/>
  <c r="J16" i="15"/>
  <c r="K16" i="15"/>
  <c r="L16" i="15"/>
  <c r="C17" i="15"/>
  <c r="D17" i="15"/>
  <c r="E17" i="15"/>
  <c r="F17" i="15"/>
  <c r="G17" i="15"/>
  <c r="H17" i="15"/>
  <c r="I17" i="15"/>
  <c r="J17" i="15"/>
  <c r="K17" i="15"/>
  <c r="L17" i="15"/>
  <c r="C18" i="15"/>
  <c r="D18" i="15"/>
  <c r="E18" i="15"/>
  <c r="F18" i="15"/>
  <c r="G18" i="15"/>
  <c r="H18" i="15"/>
  <c r="I18" i="15"/>
  <c r="J18" i="15"/>
  <c r="K18" i="15"/>
  <c r="L18" i="15"/>
  <c r="C19" i="15"/>
  <c r="D19" i="15"/>
  <c r="E19" i="15"/>
  <c r="F19" i="15"/>
  <c r="G19" i="15"/>
  <c r="H19" i="15"/>
  <c r="I19" i="15"/>
  <c r="J19" i="15"/>
  <c r="K19" i="15"/>
  <c r="L19" i="15"/>
  <c r="C20" i="15"/>
  <c r="D20" i="15"/>
  <c r="E20" i="15"/>
  <c r="F20" i="15"/>
  <c r="G20" i="15"/>
  <c r="H20" i="15"/>
  <c r="I20" i="15"/>
  <c r="J20" i="15"/>
  <c r="K20" i="15"/>
  <c r="L20" i="15"/>
  <c r="C21" i="15"/>
  <c r="D21" i="15"/>
  <c r="E21" i="15"/>
  <c r="F21" i="15"/>
  <c r="G21" i="15"/>
  <c r="H21" i="15"/>
  <c r="I21" i="15"/>
  <c r="J21" i="15"/>
  <c r="K21" i="15"/>
  <c r="L21" i="15"/>
  <c r="D6" i="15"/>
  <c r="E6" i="15"/>
  <c r="F6" i="15"/>
  <c r="G6" i="15"/>
  <c r="H6" i="15"/>
  <c r="I6" i="15"/>
  <c r="J6" i="15"/>
  <c r="K6" i="15"/>
  <c r="L6" i="15"/>
  <c r="C6" i="15"/>
  <c r="C32" i="1"/>
  <c r="D32" i="1"/>
  <c r="E32" i="1"/>
  <c r="F32" i="1"/>
  <c r="G32" i="1"/>
  <c r="H32" i="1"/>
  <c r="I32" i="1"/>
  <c r="J32" i="1"/>
  <c r="K32" i="1"/>
  <c r="B32" i="1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6" i="15"/>
  <c r="D4" i="15"/>
  <c r="E4" i="15"/>
  <c r="F4" i="15"/>
  <c r="G4" i="15"/>
  <c r="H4" i="15"/>
  <c r="I4" i="15"/>
  <c r="J4" i="15"/>
  <c r="K4" i="15"/>
  <c r="L4" i="15"/>
  <c r="C4" i="15"/>
  <c r="B2" i="15"/>
  <c r="E34" i="10"/>
  <c r="F34" i="10"/>
  <c r="M42" i="10"/>
  <c r="M40" i="10"/>
  <c r="M39" i="10"/>
  <c r="M37" i="10"/>
  <c r="M36" i="10"/>
  <c r="F23" i="10"/>
  <c r="M24" i="10"/>
  <c r="M22" i="10"/>
  <c r="G7" i="14"/>
  <c r="G5" i="14"/>
  <c r="F22" i="10"/>
  <c r="E30" i="10"/>
  <c r="F31" i="10"/>
  <c r="F30" i="10"/>
  <c r="M23" i="10"/>
  <c r="M32" i="10"/>
  <c r="M31" i="10"/>
  <c r="M30" i="10"/>
  <c r="D32" i="10"/>
  <c r="M29" i="10"/>
  <c r="J13" i="10"/>
  <c r="M13" i="10"/>
  <c r="K12" i="10"/>
  <c r="L16" i="10"/>
  <c r="L15" i="10"/>
  <c r="K16" i="10"/>
  <c r="K15" i="10"/>
  <c r="J15" i="10"/>
  <c r="I16" i="10"/>
  <c r="I15" i="10"/>
  <c r="H16" i="10"/>
  <c r="H15" i="10"/>
  <c r="G16" i="10"/>
  <c r="G15" i="10"/>
  <c r="L10" i="10"/>
  <c r="K11" i="10"/>
  <c r="K13" i="10"/>
  <c r="K10" i="10"/>
  <c r="J11" i="10"/>
  <c r="M11" i="10" s="1"/>
  <c r="J12" i="10"/>
  <c r="M12" i="10" s="1"/>
  <c r="J10" i="10"/>
  <c r="M10" i="10" s="1"/>
  <c r="K12" i="11"/>
  <c r="K6" i="11"/>
  <c r="O8" i="11"/>
  <c r="K34" i="17" l="1"/>
  <c r="K58" i="17" s="1"/>
  <c r="H34" i="17"/>
  <c r="H58" i="17" s="1"/>
  <c r="H43" i="17"/>
  <c r="J17" i="17"/>
  <c r="I17" i="17"/>
  <c r="M15" i="10"/>
  <c r="M16" i="10"/>
  <c r="J16" i="10"/>
  <c r="H60" i="17" l="1"/>
  <c r="I34" i="17"/>
  <c r="I58" i="17" s="1"/>
  <c r="I43" i="17"/>
  <c r="I49" i="17" s="1"/>
  <c r="I50" i="17" s="1"/>
  <c r="I57" i="17" s="1"/>
  <c r="I60" i="17" s="1"/>
  <c r="J34" i="17"/>
  <c r="J58" i="17" s="1"/>
  <c r="J43" i="17"/>
  <c r="J49" i="17" s="1"/>
  <c r="J50" i="17" s="1"/>
  <c r="J57" i="17" s="1"/>
  <c r="J60" i="17" s="1"/>
  <c r="K43" i="17"/>
  <c r="K49" i="17" s="1"/>
  <c r="K50" i="17" s="1"/>
  <c r="K57" i="17" s="1"/>
  <c r="K60" i="17" s="1"/>
  <c r="O6" i="11"/>
  <c r="O4" i="11"/>
  <c r="D9" i="11"/>
  <c r="D8" i="11"/>
  <c r="H10" i="11"/>
  <c r="H9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8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M7" i="9"/>
  <c r="Q34" i="9"/>
  <c r="P23" i="9"/>
  <c r="Q14" i="9"/>
  <c r="O9" i="9"/>
  <c r="P21" i="9"/>
  <c r="Q21" i="9"/>
  <c r="N38" i="9"/>
  <c r="N36" i="9"/>
  <c r="O36" i="9"/>
  <c r="P36" i="9"/>
  <c r="Q36" i="9"/>
  <c r="M36" i="9"/>
  <c r="M31" i="9"/>
  <c r="N31" i="9"/>
  <c r="O31" i="9"/>
  <c r="P31" i="9"/>
  <c r="Q31" i="9"/>
  <c r="M32" i="9"/>
  <c r="N32" i="9"/>
  <c r="O32" i="9"/>
  <c r="P32" i="9"/>
  <c r="Q32" i="9"/>
  <c r="M33" i="9"/>
  <c r="N33" i="9"/>
  <c r="O33" i="9"/>
  <c r="P33" i="9"/>
  <c r="Q33" i="9"/>
  <c r="M34" i="9"/>
  <c r="N34" i="9"/>
  <c r="O34" i="9"/>
  <c r="P34" i="9"/>
  <c r="M35" i="9"/>
  <c r="N35" i="9"/>
  <c r="O35" i="9"/>
  <c r="P35" i="9"/>
  <c r="Q35" i="9"/>
  <c r="N30" i="9"/>
  <c r="O30" i="9"/>
  <c r="P30" i="9"/>
  <c r="Q30" i="9"/>
  <c r="M30" i="9"/>
  <c r="O14" i="9"/>
  <c r="O15" i="9" s="1"/>
  <c r="O38" i="9" s="1"/>
  <c r="Q15" i="9"/>
  <c r="Q27" i="9"/>
  <c r="Q38" i="9" s="1"/>
  <c r="N27" i="9"/>
  <c r="O27" i="9"/>
  <c r="P27" i="9"/>
  <c r="P38" i="9" s="1"/>
  <c r="M27" i="9"/>
  <c r="M19" i="9"/>
  <c r="N19" i="9"/>
  <c r="O19" i="9"/>
  <c r="P19" i="9"/>
  <c r="Q19" i="9"/>
  <c r="M20" i="9"/>
  <c r="N20" i="9"/>
  <c r="O20" i="9"/>
  <c r="P20" i="9"/>
  <c r="Q20" i="9"/>
  <c r="M21" i="9"/>
  <c r="N21" i="9"/>
  <c r="O21" i="9"/>
  <c r="M22" i="9"/>
  <c r="N22" i="9"/>
  <c r="O22" i="9"/>
  <c r="P22" i="9"/>
  <c r="Q22" i="9"/>
  <c r="M23" i="9"/>
  <c r="N23" i="9"/>
  <c r="O23" i="9"/>
  <c r="Q23" i="9"/>
  <c r="M24" i="9"/>
  <c r="N24" i="9"/>
  <c r="O24" i="9"/>
  <c r="P24" i="9"/>
  <c r="Q24" i="9"/>
  <c r="M25" i="9"/>
  <c r="N25" i="9"/>
  <c r="O25" i="9"/>
  <c r="P25" i="9"/>
  <c r="Q25" i="9"/>
  <c r="M26" i="9"/>
  <c r="N26" i="9"/>
  <c r="O26" i="9"/>
  <c r="P26" i="9"/>
  <c r="Q26" i="9"/>
  <c r="N18" i="9"/>
  <c r="O18" i="9"/>
  <c r="P18" i="9"/>
  <c r="Q18" i="9"/>
  <c r="M18" i="9"/>
  <c r="N15" i="9"/>
  <c r="P15" i="9"/>
  <c r="N14" i="9"/>
  <c r="P14" i="9"/>
  <c r="O11" i="9"/>
  <c r="Q9" i="9"/>
  <c r="M9" i="9"/>
  <c r="M8" i="9"/>
  <c r="N8" i="9"/>
  <c r="O8" i="9"/>
  <c r="P8" i="9"/>
  <c r="Q8" i="9"/>
  <c r="N9" i="9"/>
  <c r="P9" i="9"/>
  <c r="M10" i="9"/>
  <c r="N10" i="9"/>
  <c r="O10" i="9"/>
  <c r="P10" i="9"/>
  <c r="Q10" i="9"/>
  <c r="M11" i="9"/>
  <c r="N11" i="9"/>
  <c r="P11" i="9"/>
  <c r="Q11" i="9"/>
  <c r="M12" i="9"/>
  <c r="N12" i="9"/>
  <c r="O12" i="9"/>
  <c r="P12" i="9"/>
  <c r="Q12" i="9"/>
  <c r="M13" i="9"/>
  <c r="N13" i="9"/>
  <c r="O13" i="9"/>
  <c r="P13" i="9"/>
  <c r="Q13" i="9"/>
  <c r="M14" i="9"/>
  <c r="N7" i="9"/>
  <c r="O7" i="9"/>
  <c r="P7" i="9"/>
  <c r="Q7" i="9"/>
  <c r="B2" i="9"/>
  <c r="D4" i="9"/>
  <c r="E4" i="9" s="1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D3" i="9"/>
  <c r="E3" i="9" s="1"/>
  <c r="F3" i="9" s="1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U22" i="8"/>
  <c r="U23" i="8"/>
  <c r="U24" i="8"/>
  <c r="U25" i="8"/>
  <c r="U21" i="8"/>
  <c r="T12" i="8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S12" i="8"/>
  <c r="S13" i="8" s="1"/>
  <c r="S14" i="8" s="1"/>
  <c r="S15" i="8" s="1"/>
  <c r="S16" i="8" s="1"/>
  <c r="S17" i="8" s="1"/>
  <c r="S18" i="8" s="1"/>
  <c r="S19" i="8" s="1"/>
  <c r="S20" i="8" s="1"/>
  <c r="S21" i="8" s="1"/>
  <c r="K53" i="17" l="1"/>
  <c r="K52" i="17"/>
  <c r="S22" i="8"/>
  <c r="S23" i="8" l="1"/>
  <c r="S24" i="8" l="1"/>
  <c r="H54" i="5"/>
  <c r="M19" i="8"/>
  <c r="N19" i="8"/>
  <c r="O19" i="8"/>
  <c r="P19" i="8"/>
  <c r="Q19" i="8"/>
  <c r="M20" i="8"/>
  <c r="N20" i="8"/>
  <c r="O20" i="8"/>
  <c r="P20" i="8"/>
  <c r="Q20" i="8"/>
  <c r="N18" i="8"/>
  <c r="O18" i="8"/>
  <c r="P18" i="8"/>
  <c r="Q18" i="8"/>
  <c r="M18" i="8"/>
  <c r="N12" i="8"/>
  <c r="M13" i="8"/>
  <c r="N13" i="8"/>
  <c r="O13" i="8"/>
  <c r="P13" i="8"/>
  <c r="Q13" i="8"/>
  <c r="M14" i="8"/>
  <c r="N14" i="8"/>
  <c r="O14" i="8"/>
  <c r="P14" i="8"/>
  <c r="Q14" i="8"/>
  <c r="M15" i="8"/>
  <c r="N15" i="8"/>
  <c r="O15" i="8"/>
  <c r="P15" i="8"/>
  <c r="Q15" i="8"/>
  <c r="O12" i="8"/>
  <c r="P12" i="8"/>
  <c r="P16" i="8" s="1"/>
  <c r="Q12" i="8"/>
  <c r="Q16" i="8" s="1"/>
  <c r="M12" i="8"/>
  <c r="Q8" i="8"/>
  <c r="P8" i="8"/>
  <c r="O8" i="8"/>
  <c r="N8" i="8"/>
  <c r="M8" i="8"/>
  <c r="M9" i="8"/>
  <c r="N9" i="8"/>
  <c r="O9" i="8"/>
  <c r="P9" i="8"/>
  <c r="Q9" i="8"/>
  <c r="N7" i="8"/>
  <c r="O7" i="8"/>
  <c r="P7" i="8"/>
  <c r="Q7" i="8"/>
  <c r="M7" i="8"/>
  <c r="Q6" i="8"/>
  <c r="P6" i="8"/>
  <c r="O6" i="8"/>
  <c r="N6" i="8"/>
  <c r="M6" i="8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D3" i="8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B2" i="8"/>
  <c r="Z15" i="7"/>
  <c r="Z16" i="7"/>
  <c r="Z17" i="7"/>
  <c r="Z18" i="7"/>
  <c r="Z14" i="7"/>
  <c r="T15" i="7"/>
  <c r="T16" i="7"/>
  <c r="T17" i="7"/>
  <c r="T18" i="7"/>
  <c r="T14" i="7"/>
  <c r="U14" i="7" s="1"/>
  <c r="I15" i="7"/>
  <c r="I16" i="7"/>
  <c r="I17" i="7"/>
  <c r="I18" i="7"/>
  <c r="I14" i="7"/>
  <c r="O15" i="7"/>
  <c r="O16" i="7"/>
  <c r="O17" i="7"/>
  <c r="O18" i="7"/>
  <c r="O14" i="7"/>
  <c r="AA5" i="7"/>
  <c r="AA6" i="7"/>
  <c r="AA7" i="7"/>
  <c r="AA8" i="7"/>
  <c r="AA9" i="7"/>
  <c r="AA10" i="7"/>
  <c r="AA11" i="7"/>
  <c r="AA12" i="7"/>
  <c r="AA13" i="7"/>
  <c r="AA4" i="7"/>
  <c r="J14" i="7"/>
  <c r="W2" i="7"/>
  <c r="X5" i="7"/>
  <c r="X6" i="7" s="1"/>
  <c r="X7" i="7" s="1"/>
  <c r="X8" i="7" s="1"/>
  <c r="X9" i="7" s="1"/>
  <c r="X10" i="7" s="1"/>
  <c r="X11" i="7" s="1"/>
  <c r="X12" i="7" s="1"/>
  <c r="X13" i="7" s="1"/>
  <c r="X14" i="7" s="1"/>
  <c r="X15" i="7" s="1"/>
  <c r="X16" i="7" s="1"/>
  <c r="X17" i="7" s="1"/>
  <c r="X18" i="7" s="1"/>
  <c r="W5" i="7"/>
  <c r="W6" i="7" s="1"/>
  <c r="W7" i="7" s="1"/>
  <c r="W8" i="7" s="1"/>
  <c r="W9" i="7" s="1"/>
  <c r="W10" i="7" s="1"/>
  <c r="W11" i="7" s="1"/>
  <c r="W12" i="7" s="1"/>
  <c r="W13" i="7" s="1"/>
  <c r="W14" i="7" s="1"/>
  <c r="R2" i="7"/>
  <c r="U6" i="7"/>
  <c r="U7" i="7"/>
  <c r="U8" i="7"/>
  <c r="U9" i="7"/>
  <c r="U10" i="7"/>
  <c r="U11" i="7"/>
  <c r="U12" i="7"/>
  <c r="U13" i="7"/>
  <c r="U5" i="7"/>
  <c r="S5" i="7"/>
  <c r="S6" i="7" s="1"/>
  <c r="S7" i="7" s="1"/>
  <c r="S8" i="7" s="1"/>
  <c r="S9" i="7" s="1"/>
  <c r="S10" i="7" s="1"/>
  <c r="S11" i="7" s="1"/>
  <c r="S12" i="7" s="1"/>
  <c r="S13" i="7" s="1"/>
  <c r="S14" i="7" s="1"/>
  <c r="S15" i="7" s="1"/>
  <c r="S16" i="7" s="1"/>
  <c r="S17" i="7" s="1"/>
  <c r="S18" i="7" s="1"/>
  <c r="R5" i="7"/>
  <c r="R6" i="7" s="1"/>
  <c r="R7" i="7" s="1"/>
  <c r="R8" i="7" s="1"/>
  <c r="R9" i="7" s="1"/>
  <c r="R10" i="7" s="1"/>
  <c r="R11" i="7" s="1"/>
  <c r="R12" i="7" s="1"/>
  <c r="R13" i="7" s="1"/>
  <c r="R14" i="7" s="1"/>
  <c r="P5" i="7"/>
  <c r="P6" i="7"/>
  <c r="P7" i="7"/>
  <c r="P8" i="7"/>
  <c r="P9" i="7"/>
  <c r="P10" i="7"/>
  <c r="P11" i="7"/>
  <c r="P12" i="7"/>
  <c r="P13" i="7"/>
  <c r="P4" i="7"/>
  <c r="L2" i="7"/>
  <c r="M5" i="7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L5" i="7"/>
  <c r="L6" i="7" s="1"/>
  <c r="L7" i="7" s="1"/>
  <c r="L8" i="7" s="1"/>
  <c r="L9" i="7" s="1"/>
  <c r="L10" i="7" s="1"/>
  <c r="L11" i="7" s="1"/>
  <c r="L12" i="7" s="1"/>
  <c r="L13" i="7" s="1"/>
  <c r="L14" i="7" s="1"/>
  <c r="P14" i="7" s="1"/>
  <c r="J6" i="7"/>
  <c r="J7" i="7"/>
  <c r="J8" i="7"/>
  <c r="J9" i="7"/>
  <c r="J10" i="7"/>
  <c r="J11" i="7"/>
  <c r="J12" i="7"/>
  <c r="J13" i="7"/>
  <c r="J5" i="7"/>
  <c r="G2" i="7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G5" i="7"/>
  <c r="G6" i="7" s="1"/>
  <c r="G7" i="7" s="1"/>
  <c r="G8" i="7" s="1"/>
  <c r="G9" i="7" s="1"/>
  <c r="G10" i="7" s="1"/>
  <c r="G11" i="7" s="1"/>
  <c r="G12" i="7" s="1"/>
  <c r="G13" i="7" s="1"/>
  <c r="G14" i="7" s="1"/>
  <c r="E6" i="7"/>
  <c r="E7" i="7"/>
  <c r="E8" i="7"/>
  <c r="E9" i="7"/>
  <c r="E10" i="7"/>
  <c r="E11" i="7"/>
  <c r="E12" i="7"/>
  <c r="E13" i="7"/>
  <c r="E5" i="7"/>
  <c r="C6" i="7"/>
  <c r="C7" i="7"/>
  <c r="C8" i="7"/>
  <c r="C9" i="7"/>
  <c r="C10" i="7"/>
  <c r="C11" i="7"/>
  <c r="C12" i="7"/>
  <c r="C13" i="7" s="1"/>
  <c r="C14" i="7" s="1"/>
  <c r="C15" i="7" s="1"/>
  <c r="C16" i="7" s="1"/>
  <c r="C17" i="7" s="1"/>
  <c r="C18" i="7" s="1"/>
  <c r="C5" i="7"/>
  <c r="B2" i="7"/>
  <c r="N10" i="8" l="1"/>
  <c r="O10" i="8"/>
  <c r="P10" i="8"/>
  <c r="Q10" i="8"/>
  <c r="M16" i="8"/>
  <c r="O16" i="8"/>
  <c r="N16" i="8"/>
  <c r="M21" i="8"/>
  <c r="M23" i="8"/>
  <c r="M10" i="8"/>
  <c r="P21" i="8"/>
  <c r="P23" i="8" s="1"/>
  <c r="Q21" i="8"/>
  <c r="Q23" i="8" s="1"/>
  <c r="O21" i="8"/>
  <c r="O23" i="8" s="1"/>
  <c r="N21" i="8"/>
  <c r="N23" i="8" s="1"/>
  <c r="S25" i="8"/>
  <c r="AA14" i="7"/>
  <c r="W15" i="7"/>
  <c r="AA15" i="7" s="1"/>
  <c r="R15" i="7"/>
  <c r="L15" i="7"/>
  <c r="G15" i="7"/>
  <c r="J15" i="7" s="1"/>
  <c r="W16" i="7" l="1"/>
  <c r="AA16" i="7" s="1"/>
  <c r="U15" i="7"/>
  <c r="P15" i="7"/>
  <c r="R16" i="7"/>
  <c r="U16" i="7" s="1"/>
  <c r="L16" i="7"/>
  <c r="P16" i="7" s="1"/>
  <c r="G16" i="7"/>
  <c r="J16" i="7" s="1"/>
  <c r="W17" i="7" l="1"/>
  <c r="AA17" i="7" s="1"/>
  <c r="R17" i="7"/>
  <c r="L17" i="7"/>
  <c r="G17" i="7"/>
  <c r="J17" i="7" s="1"/>
  <c r="B5" i="7"/>
  <c r="B6" i="7" s="1"/>
  <c r="B7" i="7" s="1"/>
  <c r="B8" i="7" s="1"/>
  <c r="B9" i="7" s="1"/>
  <c r="B10" i="7" s="1"/>
  <c r="B11" i="7" s="1"/>
  <c r="B12" i="7" s="1"/>
  <c r="B13" i="7" s="1"/>
  <c r="B14" i="7" s="1"/>
  <c r="D27" i="6"/>
  <c r="D33" i="6" s="1"/>
  <c r="E27" i="6"/>
  <c r="E33" i="6" s="1"/>
  <c r="F27" i="6"/>
  <c r="F33" i="6" s="1"/>
  <c r="G27" i="6"/>
  <c r="G33" i="6" s="1"/>
  <c r="H27" i="6"/>
  <c r="H33" i="6" s="1"/>
  <c r="I27" i="6"/>
  <c r="I33" i="6" s="1"/>
  <c r="J27" i="6"/>
  <c r="J33" i="6" s="1"/>
  <c r="K27" i="6"/>
  <c r="K33" i="6" s="1"/>
  <c r="L27" i="6"/>
  <c r="L33" i="6" s="1"/>
  <c r="D28" i="6"/>
  <c r="D34" i="6" s="1"/>
  <c r="E28" i="6"/>
  <c r="E34" i="6" s="1"/>
  <c r="F28" i="6"/>
  <c r="F34" i="6" s="1"/>
  <c r="G28" i="6"/>
  <c r="G34" i="6" s="1"/>
  <c r="H28" i="6"/>
  <c r="H34" i="6" s="1"/>
  <c r="I28" i="6"/>
  <c r="I34" i="6" s="1"/>
  <c r="J28" i="6"/>
  <c r="J34" i="6" s="1"/>
  <c r="K28" i="6"/>
  <c r="K34" i="6" s="1"/>
  <c r="L28" i="6"/>
  <c r="L34" i="6" s="1"/>
  <c r="D29" i="6"/>
  <c r="D35" i="6" s="1"/>
  <c r="E29" i="6"/>
  <c r="E35" i="6" s="1"/>
  <c r="F29" i="6"/>
  <c r="F35" i="6" s="1"/>
  <c r="G29" i="6"/>
  <c r="G35" i="6" s="1"/>
  <c r="H29" i="6"/>
  <c r="H35" i="6" s="1"/>
  <c r="I29" i="6"/>
  <c r="I35" i="6" s="1"/>
  <c r="J29" i="6"/>
  <c r="J35" i="6" s="1"/>
  <c r="K29" i="6"/>
  <c r="K35" i="6" s="1"/>
  <c r="L29" i="6"/>
  <c r="L35" i="6" s="1"/>
  <c r="D30" i="6"/>
  <c r="E30" i="6"/>
  <c r="F30" i="6"/>
  <c r="G30" i="6"/>
  <c r="H30" i="6"/>
  <c r="I30" i="6"/>
  <c r="J30" i="6"/>
  <c r="K30" i="6"/>
  <c r="L30" i="6"/>
  <c r="D31" i="6"/>
  <c r="E31" i="6"/>
  <c r="F31" i="6"/>
  <c r="G31" i="6"/>
  <c r="H31" i="6"/>
  <c r="I31" i="6"/>
  <c r="J31" i="6"/>
  <c r="K31" i="6"/>
  <c r="L31" i="6"/>
  <c r="C31" i="6"/>
  <c r="C30" i="6"/>
  <c r="C29" i="6"/>
  <c r="C35" i="6" s="1"/>
  <c r="C28" i="6"/>
  <c r="C27" i="6"/>
  <c r="C33" i="6" s="1"/>
  <c r="E5" i="6"/>
  <c r="F5" i="6"/>
  <c r="G5" i="6"/>
  <c r="H5" i="6"/>
  <c r="I5" i="6"/>
  <c r="J5" i="6"/>
  <c r="O5" i="6" s="1"/>
  <c r="K5" i="6"/>
  <c r="L5" i="6"/>
  <c r="D5" i="6"/>
  <c r="N5" i="6" s="1"/>
  <c r="D3" i="6"/>
  <c r="E3" i="6"/>
  <c r="F3" i="6"/>
  <c r="G3" i="6"/>
  <c r="H3" i="6"/>
  <c r="I3" i="6"/>
  <c r="J3" i="6"/>
  <c r="K3" i="6"/>
  <c r="L3" i="6"/>
  <c r="C3" i="6"/>
  <c r="B2" i="6"/>
  <c r="W18" i="7" l="1"/>
  <c r="AA18" i="7" s="1"/>
  <c r="D14" i="7"/>
  <c r="E14" i="7" s="1"/>
  <c r="B15" i="7"/>
  <c r="U17" i="7"/>
  <c r="P17" i="7"/>
  <c r="R18" i="7"/>
  <c r="U18" i="7" s="1"/>
  <c r="L18" i="7"/>
  <c r="P18" i="7" s="1"/>
  <c r="G18" i="7"/>
  <c r="J18" i="7" s="1"/>
  <c r="H36" i="6"/>
  <c r="N30" i="6"/>
  <c r="G36" i="6"/>
  <c r="N28" i="6"/>
  <c r="C34" i="6"/>
  <c r="C36" i="6" s="1"/>
  <c r="O31" i="6"/>
  <c r="O30" i="6"/>
  <c r="N27" i="6"/>
  <c r="N31" i="6"/>
  <c r="E36" i="6"/>
  <c r="D36" i="6"/>
  <c r="F36" i="6"/>
  <c r="O33" i="6"/>
  <c r="O35" i="6"/>
  <c r="I36" i="6"/>
  <c r="L36" i="6"/>
  <c r="N29" i="6"/>
  <c r="K36" i="6"/>
  <c r="J36" i="6"/>
  <c r="O27" i="6"/>
  <c r="O34" i="6"/>
  <c r="O29" i="6"/>
  <c r="O28" i="6"/>
  <c r="N35" i="6"/>
  <c r="N33" i="6"/>
  <c r="N34" i="6" l="1"/>
  <c r="D15" i="7"/>
  <c r="E15" i="7" s="1"/>
  <c r="B16" i="7"/>
  <c r="O36" i="6"/>
  <c r="N36" i="6"/>
  <c r="D16" i="7" l="1"/>
  <c r="E16" i="7" s="1"/>
  <c r="B17" i="7"/>
  <c r="D102" i="5"/>
  <c r="E102" i="5"/>
  <c r="F102" i="5"/>
  <c r="G102" i="5"/>
  <c r="H102" i="5"/>
  <c r="I102" i="5"/>
  <c r="J102" i="5"/>
  <c r="K102" i="5"/>
  <c r="L102" i="5"/>
  <c r="C102" i="5"/>
  <c r="C97" i="5"/>
  <c r="D97" i="5"/>
  <c r="E97" i="5"/>
  <c r="F97" i="5"/>
  <c r="G97" i="5"/>
  <c r="H97" i="5"/>
  <c r="I97" i="5"/>
  <c r="J97" i="5"/>
  <c r="K97" i="5"/>
  <c r="L97" i="5"/>
  <c r="C98" i="5"/>
  <c r="D98" i="5"/>
  <c r="E98" i="5"/>
  <c r="F98" i="5"/>
  <c r="G98" i="5"/>
  <c r="H98" i="5"/>
  <c r="I98" i="5"/>
  <c r="J98" i="5"/>
  <c r="K98" i="5"/>
  <c r="L98" i="5"/>
  <c r="C99" i="5"/>
  <c r="D99" i="5"/>
  <c r="E99" i="5"/>
  <c r="F99" i="5"/>
  <c r="G99" i="5"/>
  <c r="H99" i="5"/>
  <c r="I99" i="5"/>
  <c r="J99" i="5"/>
  <c r="K99" i="5"/>
  <c r="L99" i="5"/>
  <c r="C100" i="5"/>
  <c r="D100" i="5"/>
  <c r="E100" i="5"/>
  <c r="F100" i="5"/>
  <c r="G100" i="5"/>
  <c r="H100" i="5"/>
  <c r="I100" i="5"/>
  <c r="J100" i="5"/>
  <c r="K100" i="5"/>
  <c r="L100" i="5"/>
  <c r="C101" i="5"/>
  <c r="D101" i="5"/>
  <c r="E101" i="5"/>
  <c r="F101" i="5"/>
  <c r="G101" i="5"/>
  <c r="H101" i="5"/>
  <c r="I101" i="5"/>
  <c r="J101" i="5"/>
  <c r="K101" i="5"/>
  <c r="L101" i="5"/>
  <c r="D96" i="5"/>
  <c r="E96" i="5"/>
  <c r="F96" i="5"/>
  <c r="G96" i="5"/>
  <c r="H96" i="5"/>
  <c r="I96" i="5"/>
  <c r="J96" i="5"/>
  <c r="K96" i="5"/>
  <c r="L96" i="5"/>
  <c r="C96" i="5"/>
  <c r="D81" i="5"/>
  <c r="E81" i="5"/>
  <c r="F81" i="5"/>
  <c r="G81" i="5"/>
  <c r="H81" i="5"/>
  <c r="I81" i="5"/>
  <c r="J81" i="5"/>
  <c r="K81" i="5"/>
  <c r="L81" i="5"/>
  <c r="C81" i="5"/>
  <c r="C74" i="5"/>
  <c r="D74" i="5"/>
  <c r="E74" i="5"/>
  <c r="F74" i="5"/>
  <c r="G74" i="5"/>
  <c r="H74" i="5"/>
  <c r="I74" i="5"/>
  <c r="J74" i="5"/>
  <c r="K74" i="5"/>
  <c r="L74" i="5"/>
  <c r="C75" i="5"/>
  <c r="D75" i="5"/>
  <c r="E75" i="5"/>
  <c r="F75" i="5"/>
  <c r="G75" i="5"/>
  <c r="H75" i="5"/>
  <c r="I75" i="5"/>
  <c r="J75" i="5"/>
  <c r="K75" i="5"/>
  <c r="L75" i="5"/>
  <c r="C76" i="5"/>
  <c r="D76" i="5"/>
  <c r="E76" i="5"/>
  <c r="F76" i="5"/>
  <c r="G76" i="5"/>
  <c r="H76" i="5"/>
  <c r="I76" i="5"/>
  <c r="J76" i="5"/>
  <c r="K76" i="5"/>
  <c r="L76" i="5"/>
  <c r="C77" i="5"/>
  <c r="D77" i="5"/>
  <c r="E77" i="5"/>
  <c r="F77" i="5"/>
  <c r="G77" i="5"/>
  <c r="H77" i="5"/>
  <c r="I77" i="5"/>
  <c r="J77" i="5"/>
  <c r="K77" i="5"/>
  <c r="L77" i="5"/>
  <c r="C78" i="5"/>
  <c r="D78" i="5"/>
  <c r="E78" i="5"/>
  <c r="F78" i="5"/>
  <c r="G78" i="5"/>
  <c r="H78" i="5"/>
  <c r="I78" i="5"/>
  <c r="J78" i="5"/>
  <c r="K78" i="5"/>
  <c r="L78" i="5"/>
  <c r="C79" i="5"/>
  <c r="D79" i="5"/>
  <c r="E79" i="5"/>
  <c r="F79" i="5"/>
  <c r="G79" i="5"/>
  <c r="H79" i="5"/>
  <c r="I79" i="5"/>
  <c r="J79" i="5"/>
  <c r="K79" i="5"/>
  <c r="L79" i="5"/>
  <c r="C80" i="5"/>
  <c r="D80" i="5"/>
  <c r="E80" i="5"/>
  <c r="F80" i="5"/>
  <c r="G80" i="5"/>
  <c r="H80" i="5"/>
  <c r="I80" i="5"/>
  <c r="J80" i="5"/>
  <c r="K80" i="5"/>
  <c r="L80" i="5"/>
  <c r="D73" i="5"/>
  <c r="E73" i="5"/>
  <c r="F73" i="5"/>
  <c r="G73" i="5"/>
  <c r="H73" i="5"/>
  <c r="I73" i="5"/>
  <c r="J73" i="5"/>
  <c r="K73" i="5"/>
  <c r="L73" i="5"/>
  <c r="C73" i="5"/>
  <c r="C85" i="5"/>
  <c r="D85" i="5"/>
  <c r="E85" i="5"/>
  <c r="F85" i="5"/>
  <c r="G85" i="5"/>
  <c r="H85" i="5"/>
  <c r="I85" i="5"/>
  <c r="J85" i="5"/>
  <c r="K85" i="5"/>
  <c r="L85" i="5"/>
  <c r="C86" i="5"/>
  <c r="D86" i="5"/>
  <c r="E86" i="5"/>
  <c r="F86" i="5"/>
  <c r="G86" i="5"/>
  <c r="G93" i="5" s="1"/>
  <c r="H86" i="5"/>
  <c r="H93" i="5" s="1"/>
  <c r="I86" i="5"/>
  <c r="J86" i="5"/>
  <c r="K86" i="5"/>
  <c r="L86" i="5"/>
  <c r="C87" i="5"/>
  <c r="D87" i="5"/>
  <c r="E87" i="5"/>
  <c r="F87" i="5"/>
  <c r="G87" i="5"/>
  <c r="H87" i="5"/>
  <c r="I87" i="5"/>
  <c r="J87" i="5"/>
  <c r="K87" i="5"/>
  <c r="L87" i="5"/>
  <c r="C88" i="5"/>
  <c r="D88" i="5"/>
  <c r="E88" i="5"/>
  <c r="F88" i="5"/>
  <c r="G88" i="5"/>
  <c r="H88" i="5"/>
  <c r="I88" i="5"/>
  <c r="J88" i="5"/>
  <c r="K88" i="5"/>
  <c r="L88" i="5"/>
  <c r="C89" i="5"/>
  <c r="D89" i="5"/>
  <c r="E89" i="5"/>
  <c r="F89" i="5"/>
  <c r="G89" i="5"/>
  <c r="H89" i="5"/>
  <c r="I89" i="5"/>
  <c r="I93" i="5" s="1"/>
  <c r="J89" i="5"/>
  <c r="K89" i="5"/>
  <c r="L89" i="5"/>
  <c r="C90" i="5"/>
  <c r="D90" i="5"/>
  <c r="E90" i="5"/>
  <c r="F90" i="5"/>
  <c r="G90" i="5"/>
  <c r="H90" i="5"/>
  <c r="I90" i="5"/>
  <c r="J90" i="5"/>
  <c r="K90" i="5"/>
  <c r="L90" i="5"/>
  <c r="C91" i="5"/>
  <c r="D91" i="5"/>
  <c r="E91" i="5"/>
  <c r="F91" i="5"/>
  <c r="F93" i="5" s="1"/>
  <c r="G91" i="5"/>
  <c r="H91" i="5"/>
  <c r="I91" i="5"/>
  <c r="J91" i="5"/>
  <c r="K91" i="5"/>
  <c r="L91" i="5"/>
  <c r="C92" i="5"/>
  <c r="D92" i="5"/>
  <c r="E92" i="5"/>
  <c r="F92" i="5"/>
  <c r="G92" i="5"/>
  <c r="H92" i="5"/>
  <c r="I92" i="5"/>
  <c r="J92" i="5"/>
  <c r="K92" i="5"/>
  <c r="L92" i="5"/>
  <c r="D84" i="5"/>
  <c r="E84" i="5"/>
  <c r="F84" i="5"/>
  <c r="G84" i="5"/>
  <c r="H84" i="5"/>
  <c r="I84" i="5"/>
  <c r="J84" i="5"/>
  <c r="K84" i="5"/>
  <c r="L84" i="5"/>
  <c r="C84" i="5"/>
  <c r="D59" i="5"/>
  <c r="E59" i="5"/>
  <c r="F59" i="5"/>
  <c r="G59" i="5"/>
  <c r="H59" i="5"/>
  <c r="I59" i="5"/>
  <c r="J59" i="5"/>
  <c r="K59" i="5"/>
  <c r="L59" i="5"/>
  <c r="C59" i="5"/>
  <c r="K65" i="5"/>
  <c r="L65" i="5"/>
  <c r="C63" i="5"/>
  <c r="D63" i="5"/>
  <c r="E63" i="5"/>
  <c r="F63" i="5"/>
  <c r="G63" i="5"/>
  <c r="H63" i="5"/>
  <c r="I63" i="5"/>
  <c r="J63" i="5"/>
  <c r="K63" i="5"/>
  <c r="L63" i="5"/>
  <c r="C64" i="5"/>
  <c r="D64" i="5"/>
  <c r="E64" i="5"/>
  <c r="E65" i="5" s="1"/>
  <c r="F64" i="5"/>
  <c r="F65" i="5" s="1"/>
  <c r="G64" i="5"/>
  <c r="G65" i="5" s="1"/>
  <c r="H64" i="5"/>
  <c r="H65" i="5" s="1"/>
  <c r="I64" i="5"/>
  <c r="I65" i="5" s="1"/>
  <c r="J64" i="5"/>
  <c r="J65" i="5" s="1"/>
  <c r="K64" i="5"/>
  <c r="L64" i="5"/>
  <c r="D62" i="5"/>
  <c r="E62" i="5"/>
  <c r="F62" i="5"/>
  <c r="G62" i="5"/>
  <c r="H62" i="5"/>
  <c r="I62" i="5"/>
  <c r="J62" i="5"/>
  <c r="K62" i="5"/>
  <c r="L62" i="5"/>
  <c r="C62" i="5"/>
  <c r="D56" i="5"/>
  <c r="E56" i="5"/>
  <c r="F56" i="5"/>
  <c r="G56" i="5"/>
  <c r="H56" i="5"/>
  <c r="I56" i="5"/>
  <c r="J56" i="5"/>
  <c r="K56" i="5"/>
  <c r="L56" i="5"/>
  <c r="D57" i="5"/>
  <c r="E57" i="5"/>
  <c r="F57" i="5"/>
  <c r="G57" i="5"/>
  <c r="H57" i="5"/>
  <c r="I57" i="5"/>
  <c r="J57" i="5"/>
  <c r="K57" i="5"/>
  <c r="L57" i="5"/>
  <c r="D58" i="5"/>
  <c r="E58" i="5"/>
  <c r="F58" i="5"/>
  <c r="G58" i="5"/>
  <c r="H58" i="5"/>
  <c r="I58" i="5"/>
  <c r="J58" i="5"/>
  <c r="K58" i="5"/>
  <c r="L58" i="5"/>
  <c r="C57" i="5"/>
  <c r="C58" i="5"/>
  <c r="C56" i="5"/>
  <c r="C51" i="5"/>
  <c r="D51" i="5"/>
  <c r="E51" i="5"/>
  <c r="F51" i="5"/>
  <c r="G51" i="5"/>
  <c r="H51" i="5"/>
  <c r="I51" i="5"/>
  <c r="J51" i="5"/>
  <c r="K51" i="5"/>
  <c r="L51" i="5"/>
  <c r="C52" i="5"/>
  <c r="D52" i="5"/>
  <c r="E52" i="5"/>
  <c r="F52" i="5"/>
  <c r="G52" i="5"/>
  <c r="H52" i="5"/>
  <c r="I52" i="5"/>
  <c r="J52" i="5"/>
  <c r="K52" i="5"/>
  <c r="L52" i="5"/>
  <c r="C53" i="5"/>
  <c r="D53" i="5"/>
  <c r="E53" i="5"/>
  <c r="F53" i="5"/>
  <c r="G53" i="5"/>
  <c r="H53" i="5"/>
  <c r="I53" i="5"/>
  <c r="J53" i="5"/>
  <c r="K53" i="5"/>
  <c r="L53" i="5"/>
  <c r="C54" i="5"/>
  <c r="D54" i="5"/>
  <c r="E54" i="5"/>
  <c r="F54" i="5"/>
  <c r="G54" i="5"/>
  <c r="I54" i="5"/>
  <c r="J54" i="5"/>
  <c r="K54" i="5"/>
  <c r="L54" i="5"/>
  <c r="D50" i="5"/>
  <c r="E50" i="5"/>
  <c r="F50" i="5"/>
  <c r="G50" i="5"/>
  <c r="H50" i="5"/>
  <c r="I50" i="5"/>
  <c r="J50" i="5"/>
  <c r="K50" i="5"/>
  <c r="L50" i="5"/>
  <c r="C50" i="5"/>
  <c r="D39" i="5"/>
  <c r="D44" i="5" s="1"/>
  <c r="D9" i="6" s="1"/>
  <c r="E39" i="5"/>
  <c r="E44" i="5" s="1"/>
  <c r="F39" i="5"/>
  <c r="F44" i="5" s="1"/>
  <c r="G39" i="5"/>
  <c r="G44" i="5" s="1"/>
  <c r="G9" i="6" s="1"/>
  <c r="H39" i="5"/>
  <c r="H44" i="5" s="1"/>
  <c r="H9" i="6" s="1"/>
  <c r="I39" i="5"/>
  <c r="J39" i="5"/>
  <c r="J44" i="5" s="1"/>
  <c r="K39" i="5"/>
  <c r="L39" i="5"/>
  <c r="M39" i="5"/>
  <c r="M44" i="5" s="1"/>
  <c r="I44" i="5"/>
  <c r="I9" i="6" s="1"/>
  <c r="K44" i="5"/>
  <c r="L44" i="5"/>
  <c r="L9" i="6" s="1"/>
  <c r="C39" i="5"/>
  <c r="C44" i="5" s="1"/>
  <c r="M33" i="5"/>
  <c r="D33" i="5"/>
  <c r="E33" i="5"/>
  <c r="F33" i="5"/>
  <c r="G33" i="5"/>
  <c r="H33" i="5"/>
  <c r="I33" i="5"/>
  <c r="J33" i="5"/>
  <c r="K33" i="5"/>
  <c r="L33" i="5"/>
  <c r="C33" i="5"/>
  <c r="L22" i="5"/>
  <c r="M21" i="5"/>
  <c r="M22" i="5" s="1"/>
  <c r="D21" i="5"/>
  <c r="E21" i="5"/>
  <c r="F21" i="5"/>
  <c r="G21" i="5"/>
  <c r="H21" i="5"/>
  <c r="I21" i="5"/>
  <c r="J21" i="5"/>
  <c r="K21" i="5"/>
  <c r="L21" i="5"/>
  <c r="C21" i="5"/>
  <c r="M27" i="5"/>
  <c r="D27" i="5"/>
  <c r="E27" i="5"/>
  <c r="F27" i="5"/>
  <c r="G27" i="5"/>
  <c r="H27" i="5"/>
  <c r="I27" i="5"/>
  <c r="J27" i="5"/>
  <c r="K27" i="5"/>
  <c r="L27" i="5"/>
  <c r="C27" i="5"/>
  <c r="M24" i="5"/>
  <c r="D24" i="5"/>
  <c r="E24" i="5"/>
  <c r="F24" i="5"/>
  <c r="G24" i="5"/>
  <c r="H24" i="5"/>
  <c r="I24" i="5"/>
  <c r="J24" i="5"/>
  <c r="K24" i="5"/>
  <c r="L24" i="5"/>
  <c r="C24" i="5"/>
  <c r="M18" i="5"/>
  <c r="D15" i="5"/>
  <c r="E15" i="5"/>
  <c r="F15" i="5"/>
  <c r="G15" i="5"/>
  <c r="H15" i="5"/>
  <c r="I15" i="5"/>
  <c r="J15" i="5"/>
  <c r="K15" i="5"/>
  <c r="L15" i="5"/>
  <c r="M15" i="5"/>
  <c r="C15" i="5"/>
  <c r="M9" i="5"/>
  <c r="D9" i="5"/>
  <c r="E9" i="5"/>
  <c r="F9" i="5"/>
  <c r="G9" i="5"/>
  <c r="H9" i="5"/>
  <c r="I9" i="5"/>
  <c r="J9" i="5"/>
  <c r="K9" i="5"/>
  <c r="L9" i="5"/>
  <c r="C9" i="5"/>
  <c r="L6" i="5"/>
  <c r="M6" i="5"/>
  <c r="M7" i="5" s="1"/>
  <c r="D6" i="5"/>
  <c r="E6" i="5"/>
  <c r="E7" i="5" s="1"/>
  <c r="F6" i="5"/>
  <c r="G6" i="5"/>
  <c r="G7" i="5" s="1"/>
  <c r="H6" i="5"/>
  <c r="I6" i="5"/>
  <c r="I7" i="5" s="1"/>
  <c r="J6" i="5"/>
  <c r="K6" i="5"/>
  <c r="K22" i="5" s="1"/>
  <c r="C6" i="5"/>
  <c r="C22" i="5" s="1"/>
  <c r="D3" i="5"/>
  <c r="E3" i="5"/>
  <c r="F3" i="5"/>
  <c r="G3" i="5"/>
  <c r="H3" i="5"/>
  <c r="I3" i="5"/>
  <c r="J3" i="5"/>
  <c r="K3" i="5"/>
  <c r="L3" i="5"/>
  <c r="C3" i="5"/>
  <c r="B6" i="1"/>
  <c r="E1" i="1"/>
  <c r="K9" i="6" l="1"/>
  <c r="D17" i="7"/>
  <c r="E17" i="7" s="1"/>
  <c r="B18" i="7"/>
  <c r="D18" i="7" s="1"/>
  <c r="E18" i="7" s="1"/>
  <c r="I104" i="5"/>
  <c r="H104" i="5"/>
  <c r="F9" i="6"/>
  <c r="J9" i="6"/>
  <c r="E9" i="6"/>
  <c r="E40" i="6"/>
  <c r="E38" i="6"/>
  <c r="C38" i="6"/>
  <c r="L38" i="6"/>
  <c r="L40" i="6"/>
  <c r="K38" i="6"/>
  <c r="K40" i="6"/>
  <c r="J38" i="6"/>
  <c r="J40" i="6"/>
  <c r="I38" i="6"/>
  <c r="I40" i="6"/>
  <c r="H38" i="6"/>
  <c r="H40" i="6"/>
  <c r="G38" i="6"/>
  <c r="G40" i="6"/>
  <c r="F38" i="6"/>
  <c r="F40" i="6"/>
  <c r="D38" i="6"/>
  <c r="D39" i="6"/>
  <c r="D40" i="6"/>
  <c r="G104" i="5"/>
  <c r="F104" i="5"/>
  <c r="C93" i="5"/>
  <c r="C104" i="5" s="1"/>
  <c r="J22" i="5"/>
  <c r="F22" i="5"/>
  <c r="E60" i="5"/>
  <c r="E67" i="5" s="1"/>
  <c r="E69" i="5" s="1"/>
  <c r="D93" i="5"/>
  <c r="D104" i="5" s="1"/>
  <c r="D65" i="5"/>
  <c r="D60" i="5"/>
  <c r="E93" i="5"/>
  <c r="E104" i="5" s="1"/>
  <c r="H22" i="5"/>
  <c r="L93" i="5"/>
  <c r="L104" i="5" s="1"/>
  <c r="K93" i="5"/>
  <c r="K104" i="5" s="1"/>
  <c r="J93" i="5"/>
  <c r="J104" i="5" s="1"/>
  <c r="C60" i="5"/>
  <c r="D22" i="5"/>
  <c r="C65" i="5"/>
  <c r="I60" i="5"/>
  <c r="I67" i="5" s="1"/>
  <c r="I69" i="5" s="1"/>
  <c r="G60" i="5"/>
  <c r="G67" i="5" s="1"/>
  <c r="G69" i="5" s="1"/>
  <c r="M30" i="5"/>
  <c r="M36" i="5" s="1"/>
  <c r="H60" i="5"/>
  <c r="H67" i="5" s="1"/>
  <c r="H69" i="5" s="1"/>
  <c r="F60" i="5"/>
  <c r="M41" i="5"/>
  <c r="M45" i="5" s="1"/>
  <c r="M37" i="5"/>
  <c r="F67" i="5"/>
  <c r="F69" i="5" s="1"/>
  <c r="D67" i="5"/>
  <c r="D69" i="5" s="1"/>
  <c r="I22" i="5"/>
  <c r="H16" i="5"/>
  <c r="H17" i="6" s="1"/>
  <c r="L60" i="5"/>
  <c r="L67" i="5" s="1"/>
  <c r="L69" i="5" s="1"/>
  <c r="G22" i="5"/>
  <c r="E22" i="5"/>
  <c r="G16" i="5"/>
  <c r="G17" i="6" s="1"/>
  <c r="F16" i="5"/>
  <c r="F17" i="6" s="1"/>
  <c r="G12" i="5"/>
  <c r="G13" i="5" s="1"/>
  <c r="G11" i="6" s="1"/>
  <c r="K60" i="5"/>
  <c r="K67" i="5" s="1"/>
  <c r="K69" i="5" s="1"/>
  <c r="F12" i="5"/>
  <c r="F13" i="5" s="1"/>
  <c r="F11" i="6" s="1"/>
  <c r="J60" i="5"/>
  <c r="J67" i="5" s="1"/>
  <c r="J69" i="5" s="1"/>
  <c r="J12" i="5"/>
  <c r="J13" i="5" s="1"/>
  <c r="J11" i="6" s="1"/>
  <c r="H10" i="5"/>
  <c r="C12" i="5"/>
  <c r="C13" i="5" s="1"/>
  <c r="C11" i="6" s="1"/>
  <c r="J28" i="5"/>
  <c r="J18" i="6" s="1"/>
  <c r="L12" i="5"/>
  <c r="L18" i="5" s="1"/>
  <c r="G28" i="5"/>
  <c r="G18" i="6" s="1"/>
  <c r="J7" i="5"/>
  <c r="I12" i="5"/>
  <c r="I13" i="5" s="1"/>
  <c r="I11" i="6" s="1"/>
  <c r="F28" i="5"/>
  <c r="F18" i="6" s="1"/>
  <c r="H12" i="5"/>
  <c r="H13" i="5" s="1"/>
  <c r="H11" i="6" s="1"/>
  <c r="H7" i="5"/>
  <c r="I25" i="5"/>
  <c r="H25" i="5"/>
  <c r="K12" i="5"/>
  <c r="K13" i="5" s="1"/>
  <c r="K11" i="6" s="1"/>
  <c r="I10" i="5"/>
  <c r="K28" i="5"/>
  <c r="K18" i="6" s="1"/>
  <c r="I28" i="5"/>
  <c r="I18" i="6" s="1"/>
  <c r="H28" i="5"/>
  <c r="H18" i="6" s="1"/>
  <c r="D12" i="5"/>
  <c r="D18" i="5" s="1"/>
  <c r="D16" i="5"/>
  <c r="D17" i="6" s="1"/>
  <c r="F7" i="5"/>
  <c r="E28" i="5"/>
  <c r="E18" i="6" s="1"/>
  <c r="D28" i="5"/>
  <c r="D18" i="6" s="1"/>
  <c r="M16" i="5"/>
  <c r="L16" i="5"/>
  <c r="L17" i="6" s="1"/>
  <c r="G25" i="5"/>
  <c r="F25" i="5"/>
  <c r="E12" i="5"/>
  <c r="E18" i="5" s="1"/>
  <c r="E16" i="5"/>
  <c r="E17" i="6" s="1"/>
  <c r="G10" i="5"/>
  <c r="J16" i="5"/>
  <c r="J17" i="6" s="1"/>
  <c r="E25" i="5"/>
  <c r="F10" i="5"/>
  <c r="I16" i="5"/>
  <c r="I17" i="6" s="1"/>
  <c r="D25" i="5"/>
  <c r="M10" i="5"/>
  <c r="M25" i="5"/>
  <c r="L25" i="5"/>
  <c r="J10" i="5"/>
  <c r="E10" i="5"/>
  <c r="L10" i="5"/>
  <c r="M28" i="5"/>
  <c r="L28" i="5"/>
  <c r="L18" i="6" s="1"/>
  <c r="C28" i="5"/>
  <c r="C18" i="6" s="1"/>
  <c r="D10" i="5"/>
  <c r="J25" i="5"/>
  <c r="C10" i="5"/>
  <c r="K10" i="5"/>
  <c r="M19" i="5"/>
  <c r="K16" i="5"/>
  <c r="K17" i="6" s="1"/>
  <c r="D7" i="5"/>
  <c r="K25" i="5"/>
  <c r="C16" i="5"/>
  <c r="C17" i="6" s="1"/>
  <c r="M12" i="5"/>
  <c r="M13" i="5" s="1"/>
  <c r="L7" i="5"/>
  <c r="C25" i="5"/>
  <c r="K7" i="5"/>
  <c r="B2" i="5"/>
  <c r="L39" i="6" l="1"/>
  <c r="C67" i="5"/>
  <c r="K39" i="6"/>
  <c r="O9" i="6"/>
  <c r="L30" i="5"/>
  <c r="E30" i="5"/>
  <c r="E6" i="6"/>
  <c r="N9" i="6"/>
  <c r="O17" i="6"/>
  <c r="N17" i="6"/>
  <c r="D30" i="5"/>
  <c r="D31" i="5" s="1"/>
  <c r="D14" i="6" s="1"/>
  <c r="N18" i="6"/>
  <c r="O18" i="6"/>
  <c r="F39" i="6"/>
  <c r="G39" i="6"/>
  <c r="H39" i="6"/>
  <c r="E39" i="6"/>
  <c r="I39" i="6"/>
  <c r="J39" i="6"/>
  <c r="N40" i="6"/>
  <c r="O40" i="6"/>
  <c r="O38" i="6"/>
  <c r="N38" i="6"/>
  <c r="G18" i="5"/>
  <c r="M31" i="5"/>
  <c r="M34" i="5"/>
  <c r="D34" i="5"/>
  <c r="D36" i="5"/>
  <c r="F18" i="5"/>
  <c r="F19" i="5" s="1"/>
  <c r="F12" i="6" s="1"/>
  <c r="L36" i="5"/>
  <c r="L34" i="5"/>
  <c r="L13" i="5"/>
  <c r="L11" i="6" s="1"/>
  <c r="H18" i="5"/>
  <c r="I18" i="5"/>
  <c r="C18" i="5"/>
  <c r="C30" i="5" s="1"/>
  <c r="J18" i="5"/>
  <c r="J6" i="6" s="1"/>
  <c r="D19" i="5"/>
  <c r="D12" i="6" s="1"/>
  <c r="K18" i="5"/>
  <c r="K6" i="6" s="1"/>
  <c r="D13" i="5"/>
  <c r="D11" i="6" s="1"/>
  <c r="E19" i="5"/>
  <c r="E12" i="6" s="1"/>
  <c r="E13" i="5"/>
  <c r="E11" i="6" s="1"/>
  <c r="L31" i="5"/>
  <c r="L14" i="6" s="1"/>
  <c r="L19" i="5"/>
  <c r="L12" i="6" s="1"/>
  <c r="I6" i="6" l="1"/>
  <c r="C69" i="5"/>
  <c r="C39" i="6"/>
  <c r="N11" i="6"/>
  <c r="D23" i="6"/>
  <c r="G30" i="5"/>
  <c r="G6" i="6"/>
  <c r="C13" i="6"/>
  <c r="D6" i="6"/>
  <c r="D13" i="6"/>
  <c r="D19" i="6" s="1"/>
  <c r="D21" i="6"/>
  <c r="D7" i="6"/>
  <c r="D25" i="6"/>
  <c r="H30" i="5"/>
  <c r="H34" i="5" s="1"/>
  <c r="H6" i="6"/>
  <c r="G19" i="5"/>
  <c r="G12" i="6" s="1"/>
  <c r="L23" i="6"/>
  <c r="E13" i="6"/>
  <c r="E19" i="6" s="1"/>
  <c r="E7" i="6"/>
  <c r="E21" i="6"/>
  <c r="E25" i="6"/>
  <c r="O11" i="6"/>
  <c r="F30" i="5"/>
  <c r="F6" i="6"/>
  <c r="E31" i="5"/>
  <c r="E14" i="6" s="1"/>
  <c r="E36" i="5"/>
  <c r="L6" i="6"/>
  <c r="E34" i="5"/>
  <c r="L25" i="6"/>
  <c r="L21" i="6"/>
  <c r="L13" i="6"/>
  <c r="L19" i="6" s="1"/>
  <c r="H19" i="5"/>
  <c r="H12" i="6" s="1"/>
  <c r="C36" i="5"/>
  <c r="C34" i="5"/>
  <c r="I30" i="5"/>
  <c r="C19" i="5"/>
  <c r="C12" i="6" s="1"/>
  <c r="C31" i="5"/>
  <c r="C14" i="6" s="1"/>
  <c r="L37" i="5"/>
  <c r="L15" i="6" s="1"/>
  <c r="L41" i="5"/>
  <c r="F36" i="5"/>
  <c r="F34" i="5"/>
  <c r="K30" i="5"/>
  <c r="L7" i="6" s="1"/>
  <c r="D41" i="5"/>
  <c r="D37" i="5"/>
  <c r="D15" i="6" s="1"/>
  <c r="J30" i="5"/>
  <c r="J19" i="5"/>
  <c r="J12" i="6" s="1"/>
  <c r="I19" i="5"/>
  <c r="I12" i="6" s="1"/>
  <c r="K19" i="5"/>
  <c r="K12" i="6" s="1"/>
  <c r="O39" i="6" l="1"/>
  <c r="N39" i="6"/>
  <c r="K31" i="5"/>
  <c r="K14" i="6" s="1"/>
  <c r="K21" i="6"/>
  <c r="K7" i="6"/>
  <c r="K13" i="6"/>
  <c r="K19" i="6" s="1"/>
  <c r="K25" i="6"/>
  <c r="F8" i="6"/>
  <c r="F23" i="6"/>
  <c r="E23" i="6"/>
  <c r="E8" i="6"/>
  <c r="F21" i="6"/>
  <c r="F7" i="6"/>
  <c r="F13" i="6"/>
  <c r="F19" i="6" s="1"/>
  <c r="F25" i="6"/>
  <c r="F31" i="5"/>
  <c r="F14" i="6" s="1"/>
  <c r="E37" i="5"/>
  <c r="E15" i="6" s="1"/>
  <c r="G7" i="6"/>
  <c r="G21" i="6"/>
  <c r="G13" i="6"/>
  <c r="G19" i="6" s="1"/>
  <c r="G25" i="6"/>
  <c r="G34" i="5"/>
  <c r="G36" i="5"/>
  <c r="G31" i="5"/>
  <c r="G14" i="6" s="1"/>
  <c r="J31" i="5"/>
  <c r="J14" i="6" s="1"/>
  <c r="J13" i="6"/>
  <c r="J19" i="6" s="1"/>
  <c r="J21" i="6"/>
  <c r="J25" i="6"/>
  <c r="J7" i="6"/>
  <c r="H31" i="5"/>
  <c r="H14" i="6" s="1"/>
  <c r="H7" i="6"/>
  <c r="H13" i="6"/>
  <c r="H19" i="6" s="1"/>
  <c r="H21" i="6"/>
  <c r="H25" i="6"/>
  <c r="N6" i="6"/>
  <c r="O6" i="6"/>
  <c r="O12" i="6"/>
  <c r="N12" i="6"/>
  <c r="E41" i="5"/>
  <c r="E45" i="5" s="1"/>
  <c r="E47" i="5" s="1"/>
  <c r="E22" i="6" s="1"/>
  <c r="I21" i="6"/>
  <c r="I7" i="6"/>
  <c r="I13" i="6"/>
  <c r="I19" i="6" s="1"/>
  <c r="I25" i="6"/>
  <c r="H36" i="5"/>
  <c r="H41" i="5" s="1"/>
  <c r="D8" i="6"/>
  <c r="D45" i="5"/>
  <c r="D47" i="5" s="1"/>
  <c r="D22" i="6" s="1"/>
  <c r="D24" i="6" s="1"/>
  <c r="F37" i="5"/>
  <c r="F15" i="6" s="1"/>
  <c r="F41" i="5"/>
  <c r="I34" i="5"/>
  <c r="I36" i="5"/>
  <c r="J36" i="5"/>
  <c r="J34" i="5"/>
  <c r="K36" i="5"/>
  <c r="K34" i="5"/>
  <c r="L45" i="5"/>
  <c r="L47" i="5" s="1"/>
  <c r="L22" i="6" s="1"/>
  <c r="L24" i="6" s="1"/>
  <c r="I31" i="5"/>
  <c r="I14" i="6" s="1"/>
  <c r="C41" i="5"/>
  <c r="C37" i="5"/>
  <c r="C15" i="6" s="1"/>
  <c r="O25" i="6" l="1"/>
  <c r="O7" i="6"/>
  <c r="O21" i="6"/>
  <c r="N21" i="6"/>
  <c r="O14" i="6"/>
  <c r="N25" i="6"/>
  <c r="I8" i="6"/>
  <c r="I23" i="6"/>
  <c r="N13" i="6"/>
  <c r="O13" i="6"/>
  <c r="H8" i="6"/>
  <c r="H23" i="6"/>
  <c r="E42" i="5"/>
  <c r="N14" i="6"/>
  <c r="N7" i="6"/>
  <c r="K23" i="6"/>
  <c r="K8" i="6"/>
  <c r="L8" i="6"/>
  <c r="E24" i="6"/>
  <c r="F24" i="6"/>
  <c r="O19" i="6"/>
  <c r="N19" i="6"/>
  <c r="G23" i="6"/>
  <c r="G8" i="6"/>
  <c r="G41" i="5"/>
  <c r="G45" i="5" s="1"/>
  <c r="G47" i="5" s="1"/>
  <c r="G22" i="6" s="1"/>
  <c r="G37" i="5"/>
  <c r="G15" i="6" s="1"/>
  <c r="J8" i="6"/>
  <c r="J23" i="6"/>
  <c r="H37" i="5"/>
  <c r="H15" i="6" s="1"/>
  <c r="C45" i="5"/>
  <c r="C47" i="5" s="1"/>
  <c r="C22" i="6" s="1"/>
  <c r="I37" i="5"/>
  <c r="I15" i="6" s="1"/>
  <c r="I41" i="5"/>
  <c r="F42" i="5"/>
  <c r="F45" i="5"/>
  <c r="F47" i="5" s="1"/>
  <c r="F22" i="6" s="1"/>
  <c r="D42" i="5"/>
  <c r="K37" i="5"/>
  <c r="K15" i="6" s="1"/>
  <c r="K41" i="5"/>
  <c r="J37" i="5"/>
  <c r="J15" i="6" s="1"/>
  <c r="J41" i="5"/>
  <c r="H45" i="5"/>
  <c r="H47" i="5" s="1"/>
  <c r="H22" i="6" s="1"/>
  <c r="O15" i="6" l="1"/>
  <c r="H42" i="5"/>
  <c r="O8" i="6"/>
  <c r="N23" i="6"/>
  <c r="C24" i="6"/>
  <c r="H24" i="6"/>
  <c r="G24" i="6"/>
  <c r="N15" i="6"/>
  <c r="G42" i="5"/>
  <c r="I24" i="6"/>
  <c r="N8" i="6"/>
  <c r="O23" i="6"/>
  <c r="J42" i="5"/>
  <c r="J45" i="5"/>
  <c r="J47" i="5" s="1"/>
  <c r="J22" i="6" s="1"/>
  <c r="J24" i="6" s="1"/>
  <c r="K42" i="5"/>
  <c r="K45" i="5"/>
  <c r="K47" i="5" s="1"/>
  <c r="K22" i="6" s="1"/>
  <c r="K24" i="6" s="1"/>
  <c r="L42" i="5"/>
  <c r="I45" i="5"/>
  <c r="I42" i="5"/>
  <c r="I47" i="5"/>
  <c r="I22" i="6" s="1"/>
  <c r="N22" i="6" l="1"/>
  <c r="O24" i="6"/>
  <c r="N24" i="6"/>
  <c r="O22" i="6"/>
  <c r="M15" i="9" l="1"/>
  <c r="M38" i="9"/>
  <c r="E31" i="10" l="1"/>
</calcChain>
</file>

<file path=xl/sharedStrings.xml><?xml version="1.0" encoding="utf-8"?>
<sst xmlns="http://schemas.openxmlformats.org/spreadsheetml/2006/main" count="834" uniqueCount="406">
  <si>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</si>
  <si>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</si>
  <si>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</si>
  <si>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</si>
  <si>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</si>
  <si>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</si>
  <si>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</si>
  <si>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</si>
  <si>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</si>
  <si>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</si>
  <si>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</si>
  <si>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</si>
  <si>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</si>
  <si>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</si>
  <si>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</si>
  <si>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</si>
  <si>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</si>
  <si>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</si>
  <si>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</si>
  <si>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</si>
  <si>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</si>
  <si>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</si>
  <si>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</si>
  <si>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</si>
  <si>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</si>
  <si>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</si>
  <si>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</si>
  <si>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</si>
  <si>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</si>
  <si>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</si>
  <si>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</si>
  <si>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</si>
  <si>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</si>
  <si>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</si>
  <si>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</si>
  <si>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</si>
  <si>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</si>
  <si>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</si>
  <si>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</si>
  <si>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</si>
  <si>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</si>
  <si>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</si>
  <si>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</si>
  <si>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</si>
  <si>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</si>
  <si>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</si>
  <si>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</si>
  <si>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</si>
  <si>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</si>
  <si>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</si>
  <si>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</si>
  <si>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</si>
  <si>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</si>
  <si>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</si>
  <si>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</si>
  <si>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</si>
  <si>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</si>
  <si>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</si>
  <si>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</si>
  <si>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</si>
  <si>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</si>
  <si>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</si>
  <si>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</si>
  <si>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</si>
  <si>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</si>
  <si>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</si>
  <si>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Redemp n Canc of Shares</t>
  </si>
  <si>
    <t>Acquisition of companies</t>
  </si>
  <si>
    <t>Other investing items</t>
  </si>
  <si>
    <t>Cash from Financing Activity 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</si>
  <si>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</si>
  <si>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</si>
  <si>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</si>
  <si>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</si>
  <si>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</si>
  <si>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</si>
  <si>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Years</t>
  </si>
  <si>
    <t>LTM</t>
  </si>
  <si>
    <t>Income Statement</t>
  </si>
  <si>
    <t>Sales Growth</t>
  </si>
  <si>
    <t>MARUTI SUZUKI INDIA LTD</t>
  </si>
  <si>
    <t>Dividends received</t>
  </si>
  <si>
    <t>COGS</t>
  </si>
  <si>
    <t>COGS % Sales</t>
  </si>
  <si>
    <t>Gross Profit</t>
  </si>
  <si>
    <t>Gross Margin</t>
  </si>
  <si>
    <t>Selling &amp; General Expenses</t>
  </si>
  <si>
    <t>S&amp;G Exp % Sales</t>
  </si>
  <si>
    <t>EBITDA</t>
  </si>
  <si>
    <t>EBITDA Margin</t>
  </si>
  <si>
    <t>Interest % Sales</t>
  </si>
  <si>
    <t>Depreciation % Sales</t>
  </si>
  <si>
    <t>Earning Before Tax</t>
  </si>
  <si>
    <t>EBT % Sales</t>
  </si>
  <si>
    <t>Effective Tax Rate</t>
  </si>
  <si>
    <t>Net Profit</t>
  </si>
  <si>
    <t>Net Margin</t>
  </si>
  <si>
    <t>No of Equity Shares</t>
  </si>
  <si>
    <t>Earning per Share</t>
  </si>
  <si>
    <t>EPS Growth %</t>
  </si>
  <si>
    <t>Dividend per Share</t>
  </si>
  <si>
    <t>Dividend payout ratio</t>
  </si>
  <si>
    <t>Retained Earnings</t>
  </si>
  <si>
    <t>Balance Sheet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</si>
  <si>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</si>
  <si>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</si>
  <si>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</si>
  <si>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</si>
  <si>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</si>
  <si>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</si>
  <si>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Operating Activities</t>
  </si>
  <si>
    <t>Investing Activities</t>
  </si>
  <si>
    <t>Cash from Investing Activities</t>
  </si>
  <si>
    <t>Financial Activities</t>
  </si>
  <si>
    <t>Cash from Financial Activities</t>
  </si>
  <si>
    <t>Other Income % sales</t>
  </si>
  <si>
    <t>Mean</t>
  </si>
  <si>
    <t>Median</t>
  </si>
  <si>
    <t>EBITDA Growth</t>
  </si>
  <si>
    <t>EBIT Growth</t>
  </si>
  <si>
    <t>Net Profit Growth</t>
  </si>
  <si>
    <t>Dividend Growth</t>
  </si>
  <si>
    <t>EBIT Margin</t>
  </si>
  <si>
    <t>EBT Margin</t>
  </si>
  <si>
    <t>Net Profit Margin</t>
  </si>
  <si>
    <t>Sales Exp % Sales</t>
  </si>
  <si>
    <t>Operating Income % Sales</t>
  </si>
  <si>
    <t>Return on Capital Employed</t>
  </si>
  <si>
    <t>Retained Earning %</t>
  </si>
  <si>
    <t>Return on Equity 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</si>
  <si>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</si>
  <si>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</si>
  <si>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</si>
  <si>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</si>
  <si>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</si>
  <si>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</si>
  <si>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</si>
  <si>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</si>
  <si>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</si>
  <si>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</si>
  <si>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</si>
  <si>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</si>
  <si>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</si>
  <si>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</si>
  <si>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 xml:space="preserve">Trend Line </t>
  </si>
  <si>
    <t>#</t>
  </si>
  <si>
    <t>Year Weight</t>
  </si>
  <si>
    <t>Sales Forecasting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</si>
  <si>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</si>
  <si>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</si>
  <si>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</si>
  <si>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</si>
  <si>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</si>
  <si>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</si>
  <si>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</si>
  <si>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</si>
  <si>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</si>
  <si>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</si>
  <si>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</si>
  <si>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</si>
  <si>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</si>
  <si>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</si>
  <si>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</si>
  <si>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</si>
  <si>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</si>
  <si>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</si>
  <si>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</si>
  <si>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</si>
  <si>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</si>
  <si>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</si>
  <si>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</si>
  <si>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Y=mx+c</t>
  </si>
  <si>
    <t>X Variable 1</t>
  </si>
  <si>
    <t>EBT</t>
  </si>
  <si>
    <t>EBT Growth</t>
  </si>
  <si>
    <t>EBITDA Forecasting</t>
  </si>
  <si>
    <t>COGS % Sales Forecasting</t>
  </si>
  <si>
    <t>EBT Forecasting</t>
  </si>
  <si>
    <t>Net Profit Forecasting</t>
  </si>
  <si>
    <t xml:space="preserve">Note: </t>
  </si>
  <si>
    <t>Used Forecast Formula</t>
  </si>
  <si>
    <t>Run Regression for Total Assets to check accuracy of forecast formula</t>
  </si>
  <si>
    <t>Total Assers</t>
  </si>
  <si>
    <t>Check(Total Assets=Total Liabilities)</t>
  </si>
  <si>
    <t xml:space="preserve">Total Liabilities </t>
  </si>
  <si>
    <t>Total Liabilities</t>
  </si>
  <si>
    <t>Weighted Average Cost of Capital</t>
  </si>
  <si>
    <t>All figures are in INR unless stated otherwise.</t>
  </si>
  <si>
    <t>Peer Comps</t>
  </si>
  <si>
    <t>Name of the Company</t>
  </si>
  <si>
    <t>Country</t>
  </si>
  <si>
    <t>Total Debt</t>
  </si>
  <si>
    <t>Total Equity</t>
  </si>
  <si>
    <r>
      <t>Taxrate</t>
    </r>
    <r>
      <rPr>
        <vertAlign val="superscript"/>
        <sz val="11"/>
        <color theme="1"/>
        <rFont val="Calibri"/>
        <family val="2"/>
      </rPr>
      <t>1</t>
    </r>
  </si>
  <si>
    <t>Debt/</t>
  </si>
  <si>
    <t>Equity</t>
  </si>
  <si>
    <t>Capital</t>
  </si>
  <si>
    <t>Levered</t>
  </si>
  <si>
    <t>Unlevered</t>
  </si>
  <si>
    <r>
      <t>Beta</t>
    </r>
    <r>
      <rPr>
        <vertAlign val="superscript"/>
        <sz val="11"/>
        <color theme="1"/>
        <rFont val="Calibri"/>
        <family val="2"/>
      </rPr>
      <t>2</t>
    </r>
  </si>
  <si>
    <r>
      <t>Beta</t>
    </r>
    <r>
      <rPr>
        <vertAlign val="superscript"/>
        <sz val="11"/>
        <color theme="1"/>
        <rFont val="Calibri"/>
        <family val="2"/>
      </rPr>
      <t>3</t>
    </r>
  </si>
  <si>
    <t>Maruti Suzuki</t>
  </si>
  <si>
    <t>M &amp; M</t>
  </si>
  <si>
    <t>Hyundai Motor I</t>
  </si>
  <si>
    <t>Tata Motors PVeh</t>
  </si>
  <si>
    <t>India</t>
  </si>
  <si>
    <t>Average</t>
  </si>
  <si>
    <t>Cost of Debt</t>
  </si>
  <si>
    <t>Pre-Tax Cost of Debt</t>
  </si>
  <si>
    <t>Tax Rate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</si>
  <si>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</si>
  <si>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</si>
  <si>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</si>
  <si>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</si>
  <si>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</si>
  <si>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</si>
  <si>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Current</t>
  </si>
  <si>
    <t>Target</t>
  </si>
  <si>
    <t>Total Capital</t>
  </si>
  <si>
    <t>Debt/Equity</t>
  </si>
  <si>
    <t>Levered Beta</t>
  </si>
  <si>
    <t>Comps Median Unlevered Beta</t>
  </si>
  <si>
    <t>Target Debt/Equity</t>
  </si>
  <si>
    <t xml:space="preserve">Regression Beta </t>
  </si>
  <si>
    <t>Date</t>
  </si>
  <si>
    <t>Jun 23, 2025</t>
  </si>
  <si>
    <t>Jun 30, 2025</t>
  </si>
  <si>
    <t>Jul 7, 2025</t>
  </si>
  <si>
    <t>Jul 14, 2025</t>
  </si>
  <si>
    <t>Jul 21, 2025</t>
  </si>
  <si>
    <t>Jul 28, 2025</t>
  </si>
  <si>
    <t>Aug 4, 2025</t>
  </si>
  <si>
    <t>Aug 11, 2025</t>
  </si>
  <si>
    <t>Aug 18, 2025</t>
  </si>
  <si>
    <t>Aug 25, 2025</t>
  </si>
  <si>
    <t>Sep 1, 2025</t>
  </si>
  <si>
    <t>Sep 8, 2025</t>
  </si>
  <si>
    <t>Sep 15, 2025</t>
  </si>
  <si>
    <t>Sep 22, 2025</t>
  </si>
  <si>
    <t>Sep 29, 2025</t>
  </si>
  <si>
    <t>Oct 6, 2025</t>
  </si>
  <si>
    <t>Oct 13, 2025</t>
  </si>
  <si>
    <t>Oct 20, 2025</t>
  </si>
  <si>
    <t>Oct 27, 2025</t>
  </si>
  <si>
    <t>Nov 3, 2025</t>
  </si>
  <si>
    <t>Nov 10, 2025</t>
  </si>
  <si>
    <t>Nov 17, 2025</t>
  </si>
  <si>
    <t>Nov 24, 2025</t>
  </si>
  <si>
    <t>Dec 1, 2025</t>
  </si>
  <si>
    <t>Dec 8, 2025</t>
  </si>
  <si>
    <t>Dec 15, 2025</t>
  </si>
  <si>
    <t>Dec 22, 2025</t>
  </si>
  <si>
    <t>Dec 29, 2025</t>
  </si>
  <si>
    <t>Jan 5, 2026</t>
  </si>
  <si>
    <t>Jan 12, 2026</t>
  </si>
  <si>
    <t>Jan 19, 2026</t>
  </si>
  <si>
    <t>Jan 26, 2026</t>
  </si>
  <si>
    <t>Feb 2, 2026</t>
  </si>
  <si>
    <t>Feb 9, 2026</t>
  </si>
  <si>
    <t>Feb 16, 2026</t>
  </si>
  <si>
    <t>Feb 23, 2026</t>
  </si>
  <si>
    <t>Mar 2, 2026</t>
  </si>
  <si>
    <t>Mar 9, 2026</t>
  </si>
  <si>
    <t>Mar 16, 2026</t>
  </si>
  <si>
    <t>Mar 23, 2026</t>
  </si>
  <si>
    <t>Mar 30, 2026</t>
  </si>
  <si>
    <t>Apr 6, 2026</t>
  </si>
  <si>
    <t>Apr 13, 2026</t>
  </si>
  <si>
    <t>Apr 20, 2026</t>
  </si>
  <si>
    <t>Apr 27, 2026</t>
  </si>
  <si>
    <t>May 4, 2026</t>
  </si>
  <si>
    <t>May 11, 2026</t>
  </si>
  <si>
    <t>May 18, 2026</t>
  </si>
  <si>
    <t>May 25, 2026</t>
  </si>
  <si>
    <t>Jun 1, 2026</t>
  </si>
  <si>
    <t>Jun 8, 2026</t>
  </si>
  <si>
    <t>Jun 15, 2026</t>
  </si>
  <si>
    <t>Jun 22, 2026</t>
  </si>
  <si>
    <t>Jun 23, 2026</t>
  </si>
  <si>
    <t>Closing Price</t>
  </si>
  <si>
    <t>Weekly Return</t>
  </si>
  <si>
    <t>-</t>
  </si>
  <si>
    <t>NIFTY 50</t>
  </si>
  <si>
    <t>Maruti Suzuki India Limited</t>
  </si>
  <si>
    <t>Beta 1</t>
  </si>
  <si>
    <t>Beta3</t>
  </si>
  <si>
    <t>Beta 2</t>
  </si>
  <si>
    <t>Using slope function</t>
  </si>
  <si>
    <t>Using Covarience function</t>
  </si>
  <si>
    <t>Beta Drifting</t>
  </si>
  <si>
    <t>Raw Beta Weight</t>
  </si>
  <si>
    <t>Market Beta</t>
  </si>
  <si>
    <t>Market Beta weight</t>
  </si>
  <si>
    <t xml:space="preserve">Levered Raw Beta </t>
  </si>
  <si>
    <t>Adjusted Beta</t>
  </si>
  <si>
    <t>Name</t>
  </si>
  <si>
    <t>CMP Rs.</t>
  </si>
  <si>
    <t>Mar Cap Rs.Cr.</t>
  </si>
  <si>
    <t>Debt Rs.Cr.</t>
  </si>
  <si>
    <t>Debt / Eq</t>
  </si>
  <si>
    <t>Annual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</si>
  <si>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</si>
  <si>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</si>
  <si>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</si>
  <si>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</si>
  <si>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</si>
  <si>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</si>
  <si>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</si>
  <si>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</si>
  <si>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</si>
  <si>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</si>
  <si>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</si>
  <si>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</si>
  <si>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Year</t>
  </si>
  <si>
    <t>Nifty 50 returns</t>
  </si>
  <si>
    <t>Return on Market</t>
  </si>
  <si>
    <t>Average Return</t>
  </si>
  <si>
    <t>Dividend Yield</t>
  </si>
  <si>
    <t>Total Market Returns</t>
  </si>
  <si>
    <t xml:space="preserve">Cost of Equity </t>
  </si>
  <si>
    <t xml:space="preserve">Equity Weight </t>
  </si>
  <si>
    <t>Debt Weight</t>
  </si>
  <si>
    <t>WACC</t>
  </si>
  <si>
    <t>1. Tax Rate considered as Marginal Tax Rate for the Country</t>
  </si>
  <si>
    <t>2. Levered Beta is based on 1 year Weekly Data</t>
  </si>
  <si>
    <t>3. Unlevered Beta = Levered Beta/(1+(1-Tax Rate)*Debt/Equity</t>
  </si>
  <si>
    <t>4. Levered Beta = Unlevered Beta*(1+(1-Tax Rate)*Debt/Equity</t>
  </si>
  <si>
    <t>Particulars</t>
  </si>
  <si>
    <t>Using Regression</t>
  </si>
  <si>
    <t>S.N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</si>
  <si>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</si>
  <si>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</si>
  <si>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</si>
  <si>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</si>
  <si>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</si>
  <si>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</si>
  <si>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</si>
  <si>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</si>
  <si>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</si>
  <si>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</si>
  <si>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</si>
  <si>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</si>
  <si>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</si>
  <si>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</si>
  <si>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</si>
  <si>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Computers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</si>
  <si>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</si>
  <si>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</si>
  <si>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</si>
  <si>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</si>
  <si>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</si>
  <si>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</si>
  <si>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</si>
  <si>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</si>
  <si>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</si>
  <si>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</si>
  <si>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</si>
  <si>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</si>
  <si>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</si>
  <si>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</si>
  <si>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Calculation of ROIC</t>
  </si>
  <si>
    <t>Current Assest</t>
  </si>
  <si>
    <t>Current Liabilities</t>
  </si>
  <si>
    <t>Total Current Liabilities</t>
  </si>
  <si>
    <t>Net Working Capital</t>
  </si>
  <si>
    <t>Net Non Current Assets</t>
  </si>
  <si>
    <t>Invested Capital</t>
  </si>
  <si>
    <t>EBIT</t>
  </si>
  <si>
    <t>ROIC</t>
  </si>
  <si>
    <t>Calculation of Reinvestment Capital</t>
  </si>
  <si>
    <t>Net Capex</t>
  </si>
  <si>
    <t>Free Cash Flow</t>
  </si>
  <si>
    <t>CFO/OP</t>
  </si>
  <si>
    <t>Change in Working Capital</t>
  </si>
  <si>
    <t xml:space="preserve">Marginal Tax Rate 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</si>
  <si>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</si>
  <si>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</si>
  <si>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</si>
  <si>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</si>
  <si>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</si>
  <si>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</si>
  <si>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</si>
  <si>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</si>
  <si>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Less: Reinvestment Rate</t>
  </si>
  <si>
    <t>Free Cash Flow to Firm</t>
  </si>
  <si>
    <t>Mid Year Covention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</si>
  <si>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</si>
  <si>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</si>
  <si>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</si>
  <si>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</si>
  <si>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</si>
  <si>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</si>
  <si>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Growth Rate</t>
  </si>
  <si>
    <t>Terminal Value</t>
  </si>
  <si>
    <t>Calculation of Equity Value</t>
  </si>
  <si>
    <t>PV of Terminal Value</t>
  </si>
  <si>
    <t>Value of Operating Assets</t>
  </si>
  <si>
    <t>Add: Cash</t>
  </si>
  <si>
    <t>Less: Debt</t>
  </si>
  <si>
    <t>Value of Equity</t>
  </si>
  <si>
    <t>No of Shares</t>
  </si>
  <si>
    <t>Equity Value per Shares</t>
  </si>
  <si>
    <t>Share Price</t>
  </si>
  <si>
    <t>Discount/Premium</t>
  </si>
  <si>
    <r>
      <t xml:space="preserve">1.30% </t>
    </r>
    <r>
      <rPr>
        <vertAlign val="superscript"/>
        <sz val="11"/>
        <color rgb="FF3333FF"/>
        <rFont val="Calibri"/>
        <family val="2"/>
      </rPr>
      <t>1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</si>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</sst>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&quot;₹&quot;\ \(#,##0.0\);\-"/>
    <numFmt numFmtId="167" formatCode="0.00&quot;x&quot;"/>
    <numFmt numFmtId="168" formatCode="0&quot; days &quot;"/>
    <numFmt numFmtId="169" formatCode="0&quot;A&quot;"/>
    <numFmt numFmtId="170" formatCode="0&quot;E&quot;"/>
    <numFmt numFmtId="171" formatCode="#,##0.0;\-#,##0.0"/>
    <numFmt numFmtId="172" formatCode="0.0"/>
    <numFmt numFmtId="173" formatCode="#,##0.0"/>
    <numFmt numFmtId="174" formatCode="\2\3\-0\6\-\20\2\5"/>
    <numFmt numFmtId="175" formatCode="&quot;₹&quot;\ #,##0.00"/>
    <numFmt numFmtId="176" formatCode="#,##0.0;\(#,##0.0\);\-"/>
    <numFmt numFmtId="177" formatCode="0.000"/>
    <numFmt numFmtId="178" formatCode="_ * #,##0.0_ ;_ * \-#,##0.0_ ;_ * &quot;-&quot;??_ ;_ @_ 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</font>
    <font>
      <b/>
      <i/>
      <sz val="11"/>
      <color theme="1" tint="0.34998626667073579"/>
      <name val="Calibri"/>
      <family val="2"/>
    </font>
    <font>
      <b/>
      <sz val="11"/>
      <color theme="0" tint="-4.9989318521683403E-2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9"/>
      <color theme="1"/>
      <name val="Calibri"/>
      <family val="2"/>
    </font>
    <font>
      <sz val="11"/>
      <color theme="0" tint="-4.9989318521683403E-2"/>
      <name val="Calibri"/>
      <family val="2"/>
    </font>
    <font>
      <b/>
      <sz val="14"/>
      <color theme="0" tint="-4.9989318521683403E-2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rgb="FF3333FF"/>
      <name val="Calibri"/>
      <family val="2"/>
    </font>
    <font>
      <vertAlign val="superscript"/>
      <sz val="11"/>
      <color rgb="FF3333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dotted">
        <color theme="4" tint="-0.24994659260841701"/>
      </top>
      <bottom style="dotted">
        <color theme="4" tint="-0.2499465926084170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tted">
        <color auto="1"/>
      </top>
      <bottom style="dotted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theme="4" tint="-0.24994659260841701"/>
      </top>
      <bottom style="thin">
        <color indexed="64"/>
      </bottom>
      <diagonal/>
    </border>
    <border>
      <left/>
      <right/>
      <top style="dotted">
        <color theme="4" tint="-0.24994659260841701"/>
      </top>
      <bottom style="thin">
        <color indexed="64"/>
      </bottom>
      <diagonal/>
    </border>
    <border>
      <left/>
      <right style="thin">
        <color indexed="64"/>
      </right>
      <top style="dotted">
        <color theme="4" tint="-0.2499465926084170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theme="4" tint="-0.24994659260841701"/>
      </top>
      <bottom style="thick">
        <color theme="4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4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17" fontId="0" fillId="0" borderId="0" xfId="0" applyNumberFormat="1"/>
    <xf numFmtId="3" fontId="0" fillId="0" borderId="0" xfId="0" applyNumberFormat="1"/>
    <xf numFmtId="0" fontId="3" fillId="0" borderId="0" xfId="0" applyFont="1"/>
    <xf numFmtId="17" fontId="3" fillId="0" borderId="0" xfId="0" applyNumberFormat="1" applyFont="1"/>
    <xf numFmtId="0" fontId="2" fillId="4" borderId="0" xfId="0" applyFont="1" applyFill="1" applyAlignment="1">
      <alignment horizontal="left"/>
    </xf>
    <xf numFmtId="17" fontId="2" fillId="4" borderId="0" xfId="0" applyNumberFormat="1" applyFont="1" applyFill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0" fillId="0" borderId="0" xfId="0" applyNumberFormat="1"/>
    <xf numFmtId="10" fontId="0" fillId="0" borderId="0" xfId="4" applyNumberFormat="1" applyFont="1"/>
    <xf numFmtId="0" fontId="10" fillId="0" borderId="0" xfId="0" applyFont="1"/>
    <xf numFmtId="10" fontId="10" fillId="0" borderId="0" xfId="4" applyNumberFormat="1" applyFont="1"/>
    <xf numFmtId="166" fontId="3" fillId="0" borderId="0" xfId="0" applyNumberFormat="1" applyFont="1"/>
    <xf numFmtId="0" fontId="3" fillId="0" borderId="1" xfId="0" applyFont="1" applyBorder="1"/>
    <xf numFmtId="166" fontId="3" fillId="0" borderId="1" xfId="0" applyNumberFormat="1" applyFont="1" applyBorder="1"/>
    <xf numFmtId="0" fontId="11" fillId="0" borderId="0" xfId="0" applyFont="1"/>
    <xf numFmtId="0" fontId="0" fillId="0" borderId="2" xfId="0" applyBorder="1"/>
    <xf numFmtId="10" fontId="0" fillId="0" borderId="2" xfId="4" applyNumberFormat="1" applyFont="1" applyBorder="1"/>
    <xf numFmtId="10" fontId="0" fillId="0" borderId="0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0" fontId="2" fillId="4" borderId="0" xfId="0" applyFont="1" applyFill="1" applyAlignment="1">
      <alignment horizontal="right"/>
    </xf>
    <xf numFmtId="167" fontId="0" fillId="0" borderId="0" xfId="0" applyNumberFormat="1"/>
    <xf numFmtId="168" fontId="0" fillId="0" borderId="2" xfId="0" applyNumberFormat="1" applyBorder="1"/>
    <xf numFmtId="168" fontId="0" fillId="0" borderId="0" xfId="0" applyNumberFormat="1"/>
    <xf numFmtId="168" fontId="0" fillId="0" borderId="3" xfId="0" applyNumberFormat="1" applyBorder="1"/>
    <xf numFmtId="0" fontId="0" fillId="0" borderId="4" xfId="0" applyBorder="1"/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Continuous"/>
    </xf>
    <xf numFmtId="169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0" fontId="0" fillId="6" borderId="0" xfId="0" applyNumberFormat="1" applyFill="1" applyAlignment="1">
      <alignment horizontal="right"/>
    </xf>
    <xf numFmtId="0" fontId="0" fillId="0" borderId="7" xfId="0" applyBorder="1"/>
    <xf numFmtId="0" fontId="0" fillId="0" borderId="8" xfId="0" applyBorder="1"/>
    <xf numFmtId="0" fontId="2" fillId="4" borderId="9" xfId="0" applyFont="1" applyFill="1" applyBorder="1" applyAlignment="1">
      <alignment horizontal="left"/>
    </xf>
    <xf numFmtId="0" fontId="0" fillId="0" borderId="10" xfId="0" applyBorder="1"/>
    <xf numFmtId="0" fontId="0" fillId="0" borderId="9" xfId="0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170" fontId="0" fillId="6" borderId="12" xfId="0" applyNumberFormat="1" applyFill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2" fillId="4" borderId="10" xfId="0" applyFont="1" applyFill="1" applyBorder="1" applyAlignment="1">
      <alignment horizontal="right"/>
    </xf>
    <xf numFmtId="10" fontId="0" fillId="0" borderId="10" xfId="4" applyNumberFormat="1" applyFont="1" applyBorder="1"/>
    <xf numFmtId="10" fontId="0" fillId="6" borderId="10" xfId="4" applyNumberFormat="1" applyFont="1" applyFill="1" applyBorder="1"/>
    <xf numFmtId="10" fontId="0" fillId="6" borderId="13" xfId="4" applyNumberFormat="1" applyFont="1" applyFill="1" applyBorder="1"/>
    <xf numFmtId="171" fontId="0" fillId="0" borderId="0" xfId="4" applyNumberFormat="1" applyFont="1" applyBorder="1"/>
    <xf numFmtId="170" fontId="0" fillId="0" borderId="0" xfId="0" applyNumberFormat="1" applyAlignment="1">
      <alignment horizontal="right"/>
    </xf>
    <xf numFmtId="171" fontId="0" fillId="0" borderId="0" xfId="4" applyNumberFormat="1" applyFont="1" applyFill="1" applyBorder="1"/>
    <xf numFmtId="0" fontId="0" fillId="0" borderId="11" xfId="0" applyBorder="1" applyAlignment="1">
      <alignment horizontal="left"/>
    </xf>
    <xf numFmtId="170" fontId="0" fillId="0" borderId="12" xfId="0" applyNumberFormat="1" applyBorder="1" applyAlignment="1">
      <alignment horizontal="right"/>
    </xf>
    <xf numFmtId="171" fontId="0" fillId="0" borderId="12" xfId="4" applyNumberFormat="1" applyFont="1" applyFill="1" applyBorder="1"/>
    <xf numFmtId="0" fontId="0" fillId="0" borderId="0" xfId="0" applyAlignment="1">
      <alignment wrapText="1"/>
    </xf>
    <xf numFmtId="0" fontId="0" fillId="0" borderId="6" xfId="0" applyBorder="1"/>
    <xf numFmtId="17" fontId="0" fillId="0" borderId="7" xfId="0" applyNumberFormat="1" applyBorder="1"/>
    <xf numFmtId="0" fontId="0" fillId="0" borderId="9" xfId="0" applyBorder="1"/>
    <xf numFmtId="0" fontId="13" fillId="0" borderId="14" xfId="0" applyFont="1" applyBorder="1" applyAlignment="1">
      <alignment horizontal="centerContinuous"/>
    </xf>
    <xf numFmtId="0" fontId="0" fillId="0" borderId="15" xfId="0" applyBorder="1"/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0" fillId="0" borderId="11" xfId="0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4" fillId="0" borderId="14" xfId="0" applyFont="1" applyBorder="1" applyAlignment="1">
      <alignment horizontal="centerContinuous"/>
    </xf>
    <xf numFmtId="0" fontId="14" fillId="0" borderId="5" xfId="0" applyFont="1" applyBorder="1" applyAlignment="1">
      <alignment horizontal="centerContinuous"/>
    </xf>
    <xf numFmtId="0" fontId="3" fillId="0" borderId="15" xfId="0" applyFont="1" applyBorder="1"/>
    <xf numFmtId="0" fontId="3" fillId="0" borderId="4" xfId="0" applyFont="1" applyBorder="1"/>
    <xf numFmtId="0" fontId="14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17" xfId="0" applyBorder="1"/>
    <xf numFmtId="0" fontId="2" fillId="4" borderId="0" xfId="0" applyFont="1" applyFill="1"/>
    <xf numFmtId="169" fontId="2" fillId="4" borderId="0" xfId="0" applyNumberFormat="1" applyFont="1" applyFill="1"/>
    <xf numFmtId="170" fontId="2" fillId="4" borderId="0" xfId="0" applyNumberFormat="1" applyFont="1" applyFill="1"/>
    <xf numFmtId="172" fontId="0" fillId="0" borderId="0" xfId="0" applyNumberFormat="1"/>
    <xf numFmtId="166" fontId="0" fillId="7" borderId="0" xfId="0" applyNumberFormat="1" applyFill="1"/>
    <xf numFmtId="0" fontId="0" fillId="7" borderId="0" xfId="0" applyFill="1"/>
    <xf numFmtId="166" fontId="3" fillId="7" borderId="1" xfId="0" applyNumberFormat="1" applyFont="1" applyFill="1" applyBorder="1"/>
    <xf numFmtId="0" fontId="15" fillId="0" borderId="0" xfId="0" applyFont="1"/>
    <xf numFmtId="0" fontId="11" fillId="0" borderId="1" xfId="0" applyFont="1" applyBorder="1"/>
    <xf numFmtId="170" fontId="0" fillId="7" borderId="12" xfId="0" applyNumberFormat="1" applyFill="1" applyBorder="1" applyAlignment="1">
      <alignment horizontal="right"/>
    </xf>
    <xf numFmtId="172" fontId="0" fillId="0" borderId="10" xfId="0" applyNumberFormat="1" applyBorder="1"/>
    <xf numFmtId="170" fontId="0" fillId="7" borderId="0" xfId="0" applyNumberFormat="1" applyFill="1" applyAlignment="1">
      <alignment horizontal="right"/>
    </xf>
    <xf numFmtId="166" fontId="3" fillId="8" borderId="1" xfId="0" applyNumberFormat="1" applyFont="1" applyFill="1" applyBorder="1"/>
    <xf numFmtId="171" fontId="0" fillId="8" borderId="10" xfId="0" applyNumberFormat="1" applyFill="1" applyBorder="1" applyAlignment="1">
      <alignment horizontal="right"/>
    </xf>
    <xf numFmtId="171" fontId="0" fillId="8" borderId="13" xfId="0" applyNumberFormat="1" applyFill="1" applyBorder="1" applyAlignment="1">
      <alignment horizontal="right"/>
    </xf>
    <xf numFmtId="171" fontId="0" fillId="8" borderId="0" xfId="0" applyNumberFormat="1" applyFill="1" applyAlignment="1">
      <alignment horizontal="right"/>
    </xf>
    <xf numFmtId="171" fontId="0" fillId="8" borderId="12" xfId="0" applyNumberFormat="1" applyFill="1" applyBorder="1" applyAlignment="1">
      <alignment horizontal="right"/>
    </xf>
    <xf numFmtId="0" fontId="16" fillId="4" borderId="0" xfId="0" applyFont="1" applyFill="1"/>
    <xf numFmtId="0" fontId="17" fillId="4" borderId="0" xfId="0" applyFont="1" applyFill="1"/>
    <xf numFmtId="0" fontId="13" fillId="0" borderId="0" xfId="0" applyFont="1"/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3" fillId="0" borderId="12" xfId="0" applyFont="1" applyBorder="1" applyAlignment="1">
      <alignment horizontal="right"/>
    </xf>
    <xf numFmtId="0" fontId="0" fillId="7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4" fontId="0" fillId="0" borderId="9" xfId="0" applyNumberFormat="1" applyBorder="1" applyAlignment="1">
      <alignment horizontal="left"/>
    </xf>
    <xf numFmtId="173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10" fontId="0" fillId="0" borderId="10" xfId="4" applyNumberFormat="1" applyFont="1" applyBorder="1" applyAlignment="1">
      <alignment horizontal="right"/>
    </xf>
    <xf numFmtId="174" fontId="0" fillId="0" borderId="11" xfId="0" applyNumberFormat="1" applyBorder="1" applyAlignment="1">
      <alignment horizontal="left"/>
    </xf>
    <xf numFmtId="173" fontId="0" fillId="0" borderId="12" xfId="0" applyNumberFormat="1" applyBorder="1" applyAlignment="1">
      <alignment horizontal="right"/>
    </xf>
    <xf numFmtId="10" fontId="0" fillId="0" borderId="13" xfId="4" applyNumberFormat="1" applyFont="1" applyBorder="1" applyAlignment="1">
      <alignment horizontal="right"/>
    </xf>
    <xf numFmtId="173" fontId="0" fillId="0" borderId="0" xfId="0" applyNumberFormat="1"/>
    <xf numFmtId="173" fontId="0" fillId="0" borderId="12" xfId="0" applyNumberFormat="1" applyBorder="1"/>
    <xf numFmtId="10" fontId="0" fillId="0" borderId="13" xfId="4" applyNumberFormat="1" applyFont="1" applyBorder="1"/>
    <xf numFmtId="2" fontId="0" fillId="0" borderId="0" xfId="0" applyNumberFormat="1"/>
    <xf numFmtId="0" fontId="0" fillId="8" borderId="6" xfId="0" applyFill="1" applyBorder="1"/>
    <xf numFmtId="2" fontId="0" fillId="8" borderId="8" xfId="0" applyNumberFormat="1" applyFill="1" applyBorder="1"/>
    <xf numFmtId="0" fontId="0" fillId="8" borderId="9" xfId="0" applyFill="1" applyBorder="1"/>
    <xf numFmtId="0" fontId="0" fillId="8" borderId="10" xfId="0" applyFill="1" applyBorder="1"/>
    <xf numFmtId="2" fontId="0" fillId="8" borderId="10" xfId="0" applyNumberFormat="1" applyFill="1" applyBorder="1"/>
    <xf numFmtId="0" fontId="0" fillId="8" borderId="11" xfId="0" applyFill="1" applyBorder="1"/>
    <xf numFmtId="2" fontId="0" fillId="8" borderId="13" xfId="0" applyNumberFormat="1" applyFill="1" applyBorder="1"/>
    <xf numFmtId="0" fontId="0" fillId="8" borderId="4" xfId="0" applyFill="1" applyBorder="1"/>
    <xf numFmtId="0" fontId="20" fillId="0" borderId="0" xfId="0" applyFont="1"/>
    <xf numFmtId="0" fontId="20" fillId="0" borderId="0" xfId="0" applyFont="1" applyAlignment="1">
      <alignment horizontal="right"/>
    </xf>
    <xf numFmtId="10" fontId="0" fillId="0" borderId="0" xfId="0" applyNumberFormat="1"/>
    <xf numFmtId="2" fontId="0" fillId="0" borderId="2" xfId="0" applyNumberFormat="1" applyBorder="1"/>
    <xf numFmtId="0" fontId="0" fillId="7" borderId="18" xfId="0" applyFill="1" applyBorder="1"/>
    <xf numFmtId="2" fontId="0" fillId="7" borderId="18" xfId="0" applyNumberFormat="1" applyFill="1" applyBorder="1"/>
    <xf numFmtId="10" fontId="20" fillId="0" borderId="0" xfId="0" applyNumberFormat="1" applyFont="1"/>
    <xf numFmtId="171" fontId="0" fillId="0" borderId="7" xfId="0" applyNumberFormat="1" applyBorder="1"/>
    <xf numFmtId="171" fontId="0" fillId="0" borderId="12" xfId="0" applyNumberFormat="1" applyBorder="1"/>
    <xf numFmtId="10" fontId="0" fillId="0" borderId="7" xfId="0" applyNumberFormat="1" applyBorder="1"/>
    <xf numFmtId="10" fontId="0" fillId="0" borderId="12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171" fontId="20" fillId="0" borderId="0" xfId="0" applyNumberFormat="1" applyFont="1"/>
    <xf numFmtId="2" fontId="20" fillId="0" borderId="0" xfId="0" applyNumberFormat="1" applyFont="1"/>
    <xf numFmtId="10" fontId="0" fillId="7" borderId="0" xfId="4" applyNumberFormat="1" applyFont="1" applyFill="1"/>
    <xf numFmtId="2" fontId="0" fillId="7" borderId="0" xfId="0" applyNumberFormat="1" applyFill="1"/>
    <xf numFmtId="10" fontId="0" fillId="0" borderId="2" xfId="0" applyNumberFormat="1" applyBorder="1"/>
    <xf numFmtId="10" fontId="20" fillId="0" borderId="0" xfId="4" applyNumberFormat="1" applyFont="1"/>
    <xf numFmtId="10" fontId="20" fillId="0" borderId="2" xfId="0" applyNumberFormat="1" applyFont="1" applyBorder="1"/>
    <xf numFmtId="10" fontId="0" fillId="7" borderId="2" xfId="0" applyNumberFormat="1" applyFill="1" applyBorder="1"/>
    <xf numFmtId="0" fontId="19" fillId="4" borderId="0" xfId="0" applyFont="1" applyFill="1"/>
    <xf numFmtId="0" fontId="4" fillId="4" borderId="0" xfId="0" applyFont="1" applyFill="1"/>
    <xf numFmtId="10" fontId="0" fillId="7" borderId="0" xfId="0" applyNumberFormat="1" applyFill="1"/>
    <xf numFmtId="0" fontId="3" fillId="7" borderId="2" xfId="0" applyFont="1" applyFill="1" applyBorder="1"/>
    <xf numFmtId="43" fontId="0" fillId="0" borderId="0" xfId="0" applyNumberFormat="1"/>
    <xf numFmtId="43" fontId="3" fillId="0" borderId="0" xfId="0" applyNumberFormat="1" applyFont="1"/>
    <xf numFmtId="10" fontId="3" fillId="0" borderId="0" xfId="4" applyNumberFormat="1" applyFont="1"/>
    <xf numFmtId="0" fontId="3" fillId="0" borderId="19" xfId="0" applyFont="1" applyBorder="1"/>
    <xf numFmtId="17" fontId="3" fillId="0" borderId="19" xfId="0" applyNumberFormat="1" applyFont="1" applyBorder="1"/>
    <xf numFmtId="43" fontId="3" fillId="0" borderId="0" xfId="1" applyFont="1" applyBorder="1"/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10" fontId="0" fillId="0" borderId="8" xfId="0" applyNumberFormat="1" applyBorder="1"/>
    <xf numFmtId="0" fontId="3" fillId="0" borderId="22" xfId="0" applyFont="1" applyBorder="1"/>
    <xf numFmtId="0" fontId="0" fillId="0" borderId="23" xfId="0" applyBorder="1"/>
    <xf numFmtId="10" fontId="0" fillId="0" borderId="24" xfId="0" applyNumberFormat="1" applyBorder="1"/>
    <xf numFmtId="17" fontId="2" fillId="4" borderId="0" xfId="0" applyNumberFormat="1" applyFont="1" applyFill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176" fontId="0" fillId="0" borderId="25" xfId="0" applyNumberFormat="1" applyBorder="1"/>
    <xf numFmtId="176" fontId="0" fillId="0" borderId="0" xfId="0" applyNumberFormat="1"/>
    <xf numFmtId="176" fontId="3" fillId="0" borderId="27" xfId="0" applyNumberFormat="1" applyFont="1" applyBorder="1"/>
    <xf numFmtId="176" fontId="3" fillId="0" borderId="0" xfId="0" applyNumberFormat="1" applyFont="1"/>
    <xf numFmtId="176" fontId="3" fillId="0" borderId="28" xfId="0" applyNumberFormat="1" applyFont="1" applyBorder="1"/>
    <xf numFmtId="176" fontId="3" fillId="0" borderId="26" xfId="0" applyNumberFormat="1" applyFont="1" applyBorder="1"/>
    <xf numFmtId="17" fontId="19" fillId="4" borderId="0" xfId="0" applyNumberFormat="1" applyFont="1" applyFill="1"/>
    <xf numFmtId="0" fontId="0" fillId="0" borderId="26" xfId="0" applyBorder="1"/>
    <xf numFmtId="0" fontId="0" fillId="0" borderId="27" xfId="0" applyBorder="1"/>
    <xf numFmtId="176" fontId="0" fillId="0" borderId="26" xfId="0" applyNumberFormat="1" applyBorder="1"/>
    <xf numFmtId="176" fontId="0" fillId="0" borderId="27" xfId="0" applyNumberFormat="1" applyBorder="1"/>
    <xf numFmtId="176" fontId="3" fillId="0" borderId="7" xfId="0" applyNumberFormat="1" applyFont="1" applyBorder="1"/>
    <xf numFmtId="173" fontId="0" fillId="0" borderId="27" xfId="0" applyNumberFormat="1" applyBorder="1"/>
    <xf numFmtId="0" fontId="3" fillId="0" borderId="25" xfId="0" applyFont="1" applyBorder="1"/>
    <xf numFmtId="0" fontId="0" fillId="0" borderId="25" xfId="0" applyBorder="1"/>
    <xf numFmtId="0" fontId="3" fillId="0" borderId="29" xfId="0" applyFont="1" applyBorder="1"/>
    <xf numFmtId="0" fontId="0" fillId="0" borderId="29" xfId="0" applyBorder="1"/>
    <xf numFmtId="10" fontId="3" fillId="0" borderId="29" xfId="4" applyNumberFormat="1" applyFont="1" applyBorder="1"/>
    <xf numFmtId="9" fontId="0" fillId="0" borderId="0" xfId="0" applyNumberFormat="1"/>
    <xf numFmtId="3" fontId="3" fillId="0" borderId="0" xfId="0" applyNumberFormat="1" applyFont="1"/>
    <xf numFmtId="10" fontId="0" fillId="0" borderId="25" xfId="0" applyNumberFormat="1" applyBorder="1"/>
    <xf numFmtId="10" fontId="0" fillId="0" borderId="27" xfId="0" applyNumberFormat="1" applyBorder="1"/>
    <xf numFmtId="173" fontId="3" fillId="0" borderId="25" xfId="0" applyNumberFormat="1" applyFont="1" applyBorder="1"/>
    <xf numFmtId="3" fontId="0" fillId="0" borderId="25" xfId="0" applyNumberFormat="1" applyBorder="1"/>
    <xf numFmtId="173" fontId="0" fillId="0" borderId="25" xfId="0" applyNumberFormat="1" applyBorder="1"/>
    <xf numFmtId="10" fontId="20" fillId="0" borderId="25" xfId="0" applyNumberFormat="1" applyFont="1" applyBorder="1"/>
    <xf numFmtId="10" fontId="0" fillId="0" borderId="25" xfId="4" applyNumberFormat="1" applyFont="1" applyBorder="1"/>
    <xf numFmtId="0" fontId="3" fillId="7" borderId="25" xfId="0" applyFont="1" applyFill="1" applyBorder="1"/>
    <xf numFmtId="10" fontId="3" fillId="7" borderId="25" xfId="0" applyNumberFormat="1" applyFont="1" applyFill="1" applyBorder="1"/>
    <xf numFmtId="177" fontId="0" fillId="0" borderId="0" xfId="0" applyNumberFormat="1"/>
    <xf numFmtId="0" fontId="3" fillId="0" borderId="30" xfId="0" applyFont="1" applyBorder="1"/>
    <xf numFmtId="43" fontId="3" fillId="0" borderId="30" xfId="0" applyNumberFormat="1" applyFont="1" applyBorder="1"/>
    <xf numFmtId="10" fontId="20" fillId="7" borderId="0" xfId="0" applyNumberFormat="1" applyFont="1" applyFill="1"/>
    <xf numFmtId="0" fontId="0" fillId="0" borderId="30" xfId="0" applyBorder="1"/>
    <xf numFmtId="178" fontId="20" fillId="0" borderId="0" xfId="0" applyNumberFormat="1" applyFont="1"/>
    <xf numFmtId="10" fontId="20" fillId="0" borderId="10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75" fontId="2" fillId="4" borderId="6" xfId="0" applyNumberFormat="1" applyFont="1" applyFill="1" applyBorder="1" applyAlignment="1">
      <alignment horizontal="center"/>
    </xf>
    <xf numFmtId="175" fontId="2" fillId="4" borderId="7" xfId="0" applyNumberFormat="1" applyFont="1" applyFill="1" applyBorder="1" applyAlignment="1">
      <alignment horizontal="center"/>
    </xf>
    <xf numFmtId="175" fontId="2" fillId="4" borderId="8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43" fontId="5" fillId="0" borderId="0" xfId="3" applyNumberFormat="1" applyBorder="1" applyAlignment="1" applyProtection="1">
      <alignment horizontal="center"/>
    </xf>
    <xf numFmtId="43" fontId="8" fillId="2" borderId="0" xfId="2" applyNumberFormat="1" applyFont="1" applyBorder="1" applyAlignment="1">
      <alignment horizontal="center"/>
    </xf>
  </cellXfs>
  <cellStyles count="5">
    <cellStyle name="Accent6" xfId="2" builtinId="49"/>
    <cellStyle name="Comma" xfId="1" builtinId="3"/>
    <cellStyle name="Hyperlink" xfId="3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'IS-Forecasting'!$C$4:$C$18</c:f>
              <c:numCache>
                <c:formatCode>0"A"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 formatCode="0&quot;E&quot;">
                  <c:v>2027</c:v>
                </c:pt>
                <c:pt idx="11" formatCode="0&quot;E&quot;">
                  <c:v>2028</c:v>
                </c:pt>
                <c:pt idx="12" formatCode="0&quot;E&quot;">
                  <c:v>2029</c:v>
                </c:pt>
                <c:pt idx="13" formatCode="0&quot;E&quot;">
                  <c:v>2030</c:v>
                </c:pt>
                <c:pt idx="14" formatCode="0&quot;E&quot;">
                  <c:v>2031</c:v>
                </c:pt>
              </c:numCache>
            </c:numRef>
          </c:xVal>
          <c:yVal>
            <c:numRef>
              <c:f>'IS-Forecasting'!$D$4:$D$18</c:f>
              <c:numCache>
                <c:formatCode>#,##0.0;\-#,##0.0</c:formatCode>
                <c:ptCount val="15"/>
                <c:pt idx="0">
                  <c:v>68085</c:v>
                </c:pt>
                <c:pt idx="1">
                  <c:v>79809</c:v>
                </c:pt>
                <c:pt idx="2">
                  <c:v>86068</c:v>
                </c:pt>
                <c:pt idx="3">
                  <c:v>75660</c:v>
                </c:pt>
                <c:pt idx="4">
                  <c:v>70372</c:v>
                </c:pt>
                <c:pt idx="5">
                  <c:v>88330</c:v>
                </c:pt>
                <c:pt idx="6">
                  <c:v>117571</c:v>
                </c:pt>
                <c:pt idx="7">
                  <c:v>141858</c:v>
                </c:pt>
                <c:pt idx="8">
                  <c:v>152913</c:v>
                </c:pt>
                <c:pt idx="9">
                  <c:v>183316</c:v>
                </c:pt>
                <c:pt idx="10">
                  <c:v>172113.13333333336</c:v>
                </c:pt>
                <c:pt idx="11">
                  <c:v>184061.30303030304</c:v>
                </c:pt>
                <c:pt idx="12">
                  <c:v>196009.47272727272</c:v>
                </c:pt>
                <c:pt idx="13">
                  <c:v>207957.64242424245</c:v>
                </c:pt>
                <c:pt idx="14">
                  <c:v>219905.81212121213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35-42B6-8CD2-D6A47A566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050520"/>
        <c:axId val="713048720"/>
      </c:scatterChart>
      <c:valAx>
        <c:axId val="713050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48720"/>
        <c:crosses val="autoZero"/>
        <c:crossBetween val="midCat"/>
        <c:majorUnit val="2"/>
      </c:valAx>
      <c:valAx>
        <c:axId val="7130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-#,##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50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249117</xdr:colOff>
      <xdr:row>1</xdr:row>
      <xdr:rowOff>18772</xdr:rowOff>
    </xdr:from>
    <xdr:to>
      <xdr:col>40</xdr:col>
      <xdr:colOff>43963</xdr:colOff>
      <xdr:row>22</xdr:row>
      <xdr:rowOff>29308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51C077-1AE9-0D23-0270-1071824A6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7794-D57A-4655-BD1A-68BAF2275A2B}">
  <sheetPr>
    <tabColor rgb="FF0070C0"/>
  </sheetPr>
  <dimension ref="A1"/>
  <sheetViews>
    <sheetView workbookViewId="0">
      <selection activeCell="G24" sqref="G2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C96C-6368-49B0-B42B-18CFEAFC1AD0}">
  <dimension ref="A2:N104"/>
  <sheetViews>
    <sheetView showGridLines="0" zoomScale="70" zoomScaleNormal="70" workbookViewId="0">
      <pane ySplit="3" topLeftCell="A40" activePane="bottomLeft" state="frozen"/>
      <selection pane="bottomLeft" activeCell="O63" sqref="O63"/>
    </sheetView>
  </sheetViews>
  <sheetFormatPr defaultRowHeight="14.4" outlineLevelRow="1" x14ac:dyDescent="0.3"/>
  <cols>
    <col min="1" max="1" width="1.88671875" customWidth="1"/>
    <col min="2" max="2" width="35.6640625" customWidth="1"/>
    <col min="3" max="13" width="14.5546875" customWidth="1"/>
  </cols>
  <sheetData>
    <row r="2" spans="1:14" x14ac:dyDescent="0.3">
      <c r="B2" s="209" t="str">
        <f>"Historical Financial Statement"&amp;" - "&amp;'Data Sheet'!B1</f>
        <v>Historical Financial Statement - MARUTI SUZUKI INDIA LTD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1:14" x14ac:dyDescent="0.3">
      <c r="B3" s="12" t="s">
        <v>76</v>
      </c>
      <c r="C3" s="13">
        <f>'Data Sheet'!B16</f>
        <v>42825</v>
      </c>
      <c r="D3" s="13">
        <f>'Data Sheet'!C16</f>
        <v>43190</v>
      </c>
      <c r="E3" s="13">
        <f>'Data Sheet'!D16</f>
        <v>43555</v>
      </c>
      <c r="F3" s="13">
        <f>'Data Sheet'!E16</f>
        <v>43921</v>
      </c>
      <c r="G3" s="13">
        <f>'Data Sheet'!F16</f>
        <v>44286</v>
      </c>
      <c r="H3" s="13">
        <f>'Data Sheet'!G16</f>
        <v>44651</v>
      </c>
      <c r="I3" s="13">
        <f>'Data Sheet'!H16</f>
        <v>45016</v>
      </c>
      <c r="J3" s="13">
        <f>'Data Sheet'!I16</f>
        <v>45382</v>
      </c>
      <c r="K3" s="13">
        <f>'Data Sheet'!J16</f>
        <v>45747</v>
      </c>
      <c r="L3" s="13">
        <f>'Data Sheet'!K16</f>
        <v>46112</v>
      </c>
      <c r="M3" s="13" t="s">
        <v>77</v>
      </c>
      <c r="N3" s="8"/>
    </row>
    <row r="4" spans="1:14" x14ac:dyDescent="0.3">
      <c r="B4" s="10"/>
    </row>
    <row r="5" spans="1:14" x14ac:dyDescent="0.3">
      <c r="A5" t="s">
        <v>145</v>
      </c>
      <c r="B5" s="14" t="s">
        <v>78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4" outlineLevel="1" x14ac:dyDescent="0.3">
      <c r="B6" t="s">
        <v>11</v>
      </c>
      <c r="C6" s="16">
        <f>IFERROR('Data Sheet'!B17,0)</f>
        <v>68085</v>
      </c>
      <c r="D6" s="16">
        <f>IFERROR('Data Sheet'!C17,0)</f>
        <v>79809.399999999994</v>
      </c>
      <c r="E6" s="16">
        <f>IFERROR('Data Sheet'!D17,0)</f>
        <v>86068.5</v>
      </c>
      <c r="F6" s="16">
        <f>IFERROR('Data Sheet'!E17,0)</f>
        <v>75660</v>
      </c>
      <c r="G6" s="16">
        <f>IFERROR('Data Sheet'!F17,0)</f>
        <v>70372</v>
      </c>
      <c r="H6" s="16">
        <f>IFERROR('Data Sheet'!G17,0)</f>
        <v>88329.8</v>
      </c>
      <c r="I6" s="16">
        <f>IFERROR('Data Sheet'!H17,0)</f>
        <v>117571.3</v>
      </c>
      <c r="J6" s="16">
        <f>IFERROR('Data Sheet'!I17,0)</f>
        <v>141858.20000000001</v>
      </c>
      <c r="K6" s="16">
        <f>IFERROR('Data Sheet'!J17,0)</f>
        <v>152913</v>
      </c>
      <c r="L6" s="16">
        <f>IFERROR('Data Sheet'!K17,0)</f>
        <v>183316</v>
      </c>
      <c r="M6" s="16">
        <f>IFERROR(SUM('Data Sheet'!H42:K42),0)</f>
        <v>183316</v>
      </c>
    </row>
    <row r="7" spans="1:14" outlineLevel="1" x14ac:dyDescent="0.3">
      <c r="B7" s="18" t="s">
        <v>79</v>
      </c>
      <c r="C7" s="18"/>
      <c r="D7" s="19">
        <f>IFERROR(D6/C6-1,0)</f>
        <v>0.17220239406624072</v>
      </c>
      <c r="E7" s="19">
        <f t="shared" ref="E7:M7" si="0">IFERROR(E6/D6-1,0)</f>
        <v>7.8425598989592782E-2</v>
      </c>
      <c r="F7" s="19">
        <f t="shared" si="0"/>
        <v>-0.12093274542951249</v>
      </c>
      <c r="G7" s="19">
        <f t="shared" si="0"/>
        <v>-6.9891620407084298E-2</v>
      </c>
      <c r="H7" s="19">
        <f t="shared" si="0"/>
        <v>0.25518387995225389</v>
      </c>
      <c r="I7" s="19">
        <f t="shared" si="0"/>
        <v>0.3310490910202446</v>
      </c>
      <c r="J7" s="19">
        <f t="shared" si="0"/>
        <v>0.20657167182807368</v>
      </c>
      <c r="K7" s="19">
        <f t="shared" si="0"/>
        <v>7.7928522989858751E-2</v>
      </c>
      <c r="L7" s="19">
        <f t="shared" si="0"/>
        <v>0.19882547592421829</v>
      </c>
      <c r="M7" s="19">
        <f t="shared" si="0"/>
        <v>0</v>
      </c>
    </row>
    <row r="8" spans="1:14" outlineLevel="1" x14ac:dyDescent="0.3"/>
    <row r="9" spans="1:14" outlineLevel="1" x14ac:dyDescent="0.3">
      <c r="B9" t="s">
        <v>82</v>
      </c>
      <c r="C9" s="16">
        <f>IFERROR(SUM('Data Sheet'!B18,'Data Sheet'!B20:B22)-1*'Data Sheet'!B19,0)</f>
        <v>50004</v>
      </c>
      <c r="D9" s="16">
        <f>IFERROR(SUM('Data Sheet'!C18,'Data Sheet'!C20:C22)-1*'Data Sheet'!C19,0)</f>
        <v>58985.000000000007</v>
      </c>
      <c r="E9" s="16">
        <f>IFERROR(SUM('Data Sheet'!D18,'Data Sheet'!D20:D22)-1*'Data Sheet'!D19,0)</f>
        <v>64182.2</v>
      </c>
      <c r="F9" s="16">
        <f>IFERROR(SUM('Data Sheet'!E18,'Data Sheet'!E20:E22)-1*'Data Sheet'!E19,0)</f>
        <v>57657.1</v>
      </c>
      <c r="G9" s="16">
        <f>IFERROR(SUM('Data Sheet'!F18,'Data Sheet'!F20:F22)-1*'Data Sheet'!F19,0)</f>
        <v>55415.6</v>
      </c>
      <c r="H9" s="16">
        <f>IFERROR(SUM('Data Sheet'!G18,'Data Sheet'!G20:G22)-1*'Data Sheet'!G19,0)</f>
        <v>71578.799999999988</v>
      </c>
      <c r="I9" s="16">
        <f>IFERROR(SUM('Data Sheet'!H18,'Data Sheet'!H20:H22)-1*'Data Sheet'!H19,0)</f>
        <v>92796.1</v>
      </c>
      <c r="J9" s="16">
        <f>IFERROR(SUM('Data Sheet'!I18,'Data Sheet'!I20:I22)-1*'Data Sheet'!I19,0)</f>
        <v>108015.2</v>
      </c>
      <c r="K9" s="16">
        <f>IFERROR(SUM('Data Sheet'!J18,'Data Sheet'!J20:J22)-1*'Data Sheet'!J19,0)</f>
        <v>117563.8</v>
      </c>
      <c r="L9" s="16">
        <f>IFERROR(SUM('Data Sheet'!K18,'Data Sheet'!K20:K22)-1*'Data Sheet'!K19,0)</f>
        <v>141625.20000000001</v>
      </c>
      <c r="M9" s="16">
        <f>IFERROR(SUM('Data Sheet'!H43:K43),0)</f>
        <v>161876</v>
      </c>
    </row>
    <row r="10" spans="1:14" outlineLevel="1" x14ac:dyDescent="0.3">
      <c r="B10" s="18" t="s">
        <v>83</v>
      </c>
      <c r="C10" s="19">
        <f>IFERROR(C9/C6,0)</f>
        <v>0.7344348975545274</v>
      </c>
      <c r="D10" s="19">
        <f t="shared" ref="D10:M10" si="1">IFERROR(D9/D6,0)</f>
        <v>0.7390733422378819</v>
      </c>
      <c r="E10" s="19">
        <f t="shared" si="1"/>
        <v>0.74571068393198436</v>
      </c>
      <c r="F10" s="19">
        <f t="shared" si="1"/>
        <v>0.76205524715833994</v>
      </c>
      <c r="G10" s="19">
        <f t="shared" si="1"/>
        <v>0.78746660603649177</v>
      </c>
      <c r="H10" s="19">
        <f t="shared" si="1"/>
        <v>0.81035845207393187</v>
      </c>
      <c r="I10" s="19">
        <f t="shared" si="1"/>
        <v>0.78927510370302956</v>
      </c>
      <c r="J10" s="19">
        <f t="shared" si="1"/>
        <v>0.76143078087837002</v>
      </c>
      <c r="K10" s="19">
        <f t="shared" si="1"/>
        <v>0.76882802639409342</v>
      </c>
      <c r="L10" s="19">
        <f t="shared" si="1"/>
        <v>0.77257413428178667</v>
      </c>
      <c r="M10" s="19">
        <f t="shared" si="1"/>
        <v>0.88304348774793251</v>
      </c>
    </row>
    <row r="11" spans="1:14" outlineLevel="1" x14ac:dyDescent="0.3"/>
    <row r="12" spans="1:14" outlineLevel="1" x14ac:dyDescent="0.3">
      <c r="B12" s="21" t="s">
        <v>84</v>
      </c>
      <c r="C12" s="22">
        <f>IFERROR(C6-C9,0)</f>
        <v>18081</v>
      </c>
      <c r="D12" s="22">
        <f t="shared" ref="D12:M12" si="2">IFERROR(D6-D9,0)</f>
        <v>20824.399999999987</v>
      </c>
      <c r="E12" s="22">
        <f t="shared" si="2"/>
        <v>21886.300000000003</v>
      </c>
      <c r="F12" s="22">
        <f t="shared" si="2"/>
        <v>18002.900000000001</v>
      </c>
      <c r="G12" s="22">
        <f t="shared" si="2"/>
        <v>14956.400000000001</v>
      </c>
      <c r="H12" s="22">
        <f t="shared" si="2"/>
        <v>16751.000000000015</v>
      </c>
      <c r="I12" s="22">
        <f t="shared" si="2"/>
        <v>24775.199999999997</v>
      </c>
      <c r="J12" s="22">
        <f t="shared" si="2"/>
        <v>33843.000000000015</v>
      </c>
      <c r="K12" s="22">
        <f t="shared" si="2"/>
        <v>35349.199999999997</v>
      </c>
      <c r="L12" s="22">
        <f t="shared" si="2"/>
        <v>41690.799999999988</v>
      </c>
      <c r="M12" s="22">
        <f t="shared" si="2"/>
        <v>21440</v>
      </c>
    </row>
    <row r="13" spans="1:14" outlineLevel="1" x14ac:dyDescent="0.3">
      <c r="B13" s="19" t="s">
        <v>85</v>
      </c>
      <c r="C13" s="19">
        <f>IFERROR(C12/C6,0)</f>
        <v>0.26556510244547255</v>
      </c>
      <c r="D13" s="19">
        <f t="shared" ref="D13:M13" si="3">IFERROR(D12/D6,0)</f>
        <v>0.2609266577621181</v>
      </c>
      <c r="E13" s="19">
        <f t="shared" si="3"/>
        <v>0.25428931606801564</v>
      </c>
      <c r="F13" s="19">
        <f t="shared" si="3"/>
        <v>0.23794475284166008</v>
      </c>
      <c r="G13" s="19">
        <f t="shared" si="3"/>
        <v>0.21253339396350823</v>
      </c>
      <c r="H13" s="19">
        <f t="shared" si="3"/>
        <v>0.18964154792606813</v>
      </c>
      <c r="I13" s="19">
        <f t="shared" si="3"/>
        <v>0.21072489629697042</v>
      </c>
      <c r="J13" s="19">
        <f t="shared" si="3"/>
        <v>0.23856921912162998</v>
      </c>
      <c r="K13" s="19">
        <f t="shared" si="3"/>
        <v>0.23117197360590661</v>
      </c>
      <c r="L13" s="19">
        <f t="shared" si="3"/>
        <v>0.2274258657182133</v>
      </c>
      <c r="M13" s="19">
        <f t="shared" si="3"/>
        <v>0.11695651225206746</v>
      </c>
    </row>
    <row r="14" spans="1:14" outlineLevel="1" x14ac:dyDescent="0.3"/>
    <row r="15" spans="1:14" outlineLevel="1" x14ac:dyDescent="0.3">
      <c r="B15" t="s">
        <v>86</v>
      </c>
      <c r="C15" s="16">
        <f>IFERROR(SUM('Data Sheet'!B23:B24),0)</f>
        <v>7659.7000000000007</v>
      </c>
      <c r="D15" s="16">
        <f>IFERROR(SUM('Data Sheet'!C23:C24),0)</f>
        <v>8706.5</v>
      </c>
      <c r="E15" s="16">
        <f>IFERROR(SUM('Data Sheet'!D23:D24),0)</f>
        <v>10830</v>
      </c>
      <c r="F15" s="16">
        <f>IFERROR(SUM('Data Sheet'!E23:E24),0)</f>
        <v>10647.9</v>
      </c>
      <c r="G15" s="16">
        <f>IFERROR(SUM('Data Sheet'!F23:F24),0)</f>
        <v>9545.7999999999993</v>
      </c>
      <c r="H15" s="16">
        <f>IFERROR(SUM('Data Sheet'!G23:G24),0)</f>
        <v>10999</v>
      </c>
      <c r="I15" s="16">
        <f>IFERROR(SUM('Data Sheet'!H23:H24),0)</f>
        <v>13746</v>
      </c>
      <c r="J15" s="16">
        <f>IFERROR(SUM('Data Sheet'!I23:I24),0)</f>
        <v>15216.7</v>
      </c>
      <c r="K15" s="16">
        <f>IFERROR(SUM('Data Sheet'!J23:J24),0)</f>
        <v>15125.599999999999</v>
      </c>
      <c r="L15" s="16">
        <f>IFERROR(SUM('Data Sheet'!K23:K24),0)</f>
        <v>20234.599999999999</v>
      </c>
      <c r="M15" s="16">
        <f>IFERROR(SUM('Data Sheet'!L23:L24),0)</f>
        <v>0</v>
      </c>
    </row>
    <row r="16" spans="1:14" outlineLevel="1" x14ac:dyDescent="0.3">
      <c r="B16" s="19" t="s">
        <v>87</v>
      </c>
      <c r="C16" s="19">
        <f>IFERROR(C15/C6,0)</f>
        <v>0.11250201953440553</v>
      </c>
      <c r="D16" s="19">
        <f t="shared" ref="D16:M16" si="4">IFERROR(D15/D6,0)</f>
        <v>0.10909115968795656</v>
      </c>
      <c r="E16" s="19">
        <f t="shared" si="4"/>
        <v>0.12583000749403092</v>
      </c>
      <c r="F16" s="19">
        <f t="shared" si="4"/>
        <v>0.14073354480570974</v>
      </c>
      <c r="G16" s="19">
        <f t="shared" si="4"/>
        <v>0.13564770079008695</v>
      </c>
      <c r="H16" s="19">
        <f t="shared" si="4"/>
        <v>0.12452196201055589</v>
      </c>
      <c r="I16" s="19">
        <f t="shared" si="4"/>
        <v>0.1169162882438146</v>
      </c>
      <c r="J16" s="19">
        <f t="shared" si="4"/>
        <v>0.10726697504973276</v>
      </c>
      <c r="K16" s="19">
        <f t="shared" si="4"/>
        <v>9.8916377286430837E-2</v>
      </c>
      <c r="L16" s="19">
        <f t="shared" si="4"/>
        <v>0.11038098147461213</v>
      </c>
      <c r="M16" s="19">
        <f t="shared" si="4"/>
        <v>0</v>
      </c>
    </row>
    <row r="17" spans="2:13" outlineLevel="1" x14ac:dyDescent="0.3"/>
    <row r="18" spans="2:13" outlineLevel="1" x14ac:dyDescent="0.3">
      <c r="B18" s="21" t="s">
        <v>88</v>
      </c>
      <c r="C18" s="22">
        <f>IFERROR(C12-C15,0)</f>
        <v>10421.299999999999</v>
      </c>
      <c r="D18" s="22">
        <f t="shared" ref="D18:L18" si="5">IFERROR(D12-D15,0)</f>
        <v>12117.899999999987</v>
      </c>
      <c r="E18" s="22">
        <f t="shared" si="5"/>
        <v>11056.300000000003</v>
      </c>
      <c r="F18" s="22">
        <f t="shared" si="5"/>
        <v>7355.0000000000018</v>
      </c>
      <c r="G18" s="22">
        <f t="shared" si="5"/>
        <v>5410.6000000000022</v>
      </c>
      <c r="H18" s="22">
        <f t="shared" si="5"/>
        <v>5752.0000000000146</v>
      </c>
      <c r="I18" s="22">
        <f t="shared" si="5"/>
        <v>11029.199999999997</v>
      </c>
      <c r="J18" s="22">
        <f t="shared" si="5"/>
        <v>18626.300000000014</v>
      </c>
      <c r="K18" s="22">
        <f t="shared" si="5"/>
        <v>20223.599999999999</v>
      </c>
      <c r="L18" s="22">
        <f t="shared" si="5"/>
        <v>21456.19999999999</v>
      </c>
      <c r="M18" s="22">
        <f>IFERROR(SUM('Data Sheet'!H50:K50,'Data Sheet'!H45:K45),0)</f>
        <v>28181.699999999997</v>
      </c>
    </row>
    <row r="19" spans="2:13" outlineLevel="1" x14ac:dyDescent="0.3">
      <c r="B19" s="19" t="s">
        <v>89</v>
      </c>
      <c r="C19" s="19">
        <f>IFERROR(C18/C6,0)</f>
        <v>0.15306308291106704</v>
      </c>
      <c r="D19" s="19">
        <f t="shared" ref="D19:M19" si="6">IFERROR(D18/D6,0)</f>
        <v>0.15183549807416152</v>
      </c>
      <c r="E19" s="19">
        <f t="shared" si="6"/>
        <v>0.12845930857398472</v>
      </c>
      <c r="F19" s="19">
        <f t="shared" si="6"/>
        <v>9.7211208035950333E-2</v>
      </c>
      <c r="G19" s="19">
        <f t="shared" si="6"/>
        <v>7.6885693173421282E-2</v>
      </c>
      <c r="H19" s="19">
        <f t="shared" si="6"/>
        <v>6.5119585915512257E-2</v>
      </c>
      <c r="I19" s="19">
        <f t="shared" si="6"/>
        <v>9.3808608053155801E-2</v>
      </c>
      <c r="J19" s="19">
        <f t="shared" si="6"/>
        <v>0.13130224407189722</v>
      </c>
      <c r="K19" s="19">
        <f t="shared" si="6"/>
        <v>0.13225559631947578</v>
      </c>
      <c r="L19" s="19">
        <f t="shared" si="6"/>
        <v>0.11704488424360115</v>
      </c>
      <c r="M19" s="19">
        <f t="shared" si="6"/>
        <v>0.15373289838311985</v>
      </c>
    </row>
    <row r="20" spans="2:13" outlineLevel="1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2:13" outlineLevel="1" x14ac:dyDescent="0.3">
      <c r="B21" s="16" t="s">
        <v>19</v>
      </c>
      <c r="C21" s="16">
        <f>IFERROR('Data Sheet'!B25,0)</f>
        <v>2399.1999999999998</v>
      </c>
      <c r="D21" s="16">
        <f>IFERROR('Data Sheet'!C25,0)</f>
        <v>2154.6</v>
      </c>
      <c r="E21" s="16">
        <f>IFERROR('Data Sheet'!D25,0)</f>
        <v>2664.2</v>
      </c>
      <c r="F21" s="16">
        <f>IFERROR('Data Sheet'!E25,0)</f>
        <v>3410.4</v>
      </c>
      <c r="G21" s="16">
        <f>IFERROR('Data Sheet'!F25,0)</f>
        <v>3046.3</v>
      </c>
      <c r="H21" s="16">
        <f>IFERROR('Data Sheet'!G25,0)</f>
        <v>1860.8</v>
      </c>
      <c r="I21" s="16">
        <f>IFERROR('Data Sheet'!H25,0)</f>
        <v>2306.6</v>
      </c>
      <c r="J21" s="16">
        <f>IFERROR('Data Sheet'!I25,0)</f>
        <v>4247.6000000000004</v>
      </c>
      <c r="K21" s="16">
        <f>IFERROR('Data Sheet'!J25,0)</f>
        <v>5198.8</v>
      </c>
      <c r="L21" s="16">
        <f>IFERROR('Data Sheet'!K25,0)</f>
        <v>4642.7</v>
      </c>
      <c r="M21" s="16">
        <f>IFERROR(SUM('Data Sheet'!H44:K44),0)</f>
        <v>4658.8999999999996</v>
      </c>
    </row>
    <row r="22" spans="2:13" outlineLevel="1" x14ac:dyDescent="0.3">
      <c r="B22" s="19" t="s">
        <v>115</v>
      </c>
      <c r="C22" s="19">
        <f>IFERROR(C21/C6,0)</f>
        <v>3.5238305059851656E-2</v>
      </c>
      <c r="D22" s="19">
        <f t="shared" ref="D22:M22" si="7">IFERROR(D21/D6,0)</f>
        <v>2.6996819923467662E-2</v>
      </c>
      <c r="E22" s="19">
        <f t="shared" si="7"/>
        <v>3.0954414216583299E-2</v>
      </c>
      <c r="F22" s="19">
        <f t="shared" si="7"/>
        <v>4.5075337034099924E-2</v>
      </c>
      <c r="G22" s="19">
        <f t="shared" si="7"/>
        <v>4.328852384471097E-2</v>
      </c>
      <c r="H22" s="19">
        <f t="shared" si="7"/>
        <v>2.1066503037479988E-2</v>
      </c>
      <c r="I22" s="19">
        <f t="shared" si="7"/>
        <v>1.9618733483426652E-2</v>
      </c>
      <c r="J22" s="19">
        <f t="shared" si="7"/>
        <v>2.994257646015528E-2</v>
      </c>
      <c r="K22" s="19">
        <f t="shared" si="7"/>
        <v>3.3998417400744219E-2</v>
      </c>
      <c r="L22" s="19">
        <f t="shared" si="7"/>
        <v>2.5326212660106047E-2</v>
      </c>
      <c r="M22" s="19">
        <f t="shared" si="7"/>
        <v>2.5414584651639788E-2</v>
      </c>
    </row>
    <row r="23" spans="2:13" outlineLevel="1" x14ac:dyDescent="0.3">
      <c r="B23" s="19"/>
    </row>
    <row r="24" spans="2:13" outlineLevel="1" x14ac:dyDescent="0.3">
      <c r="B24" t="s">
        <v>21</v>
      </c>
      <c r="C24" s="16">
        <f>IFERROR('Data Sheet'!B27,0)</f>
        <v>89.4</v>
      </c>
      <c r="D24" s="16">
        <f>IFERROR('Data Sheet'!C27,0)</f>
        <v>345.8</v>
      </c>
      <c r="E24" s="16">
        <f>IFERROR('Data Sheet'!D27,0)</f>
        <v>75.900000000000006</v>
      </c>
      <c r="F24" s="16">
        <f>IFERROR('Data Sheet'!E27,0)</f>
        <v>134.19999999999999</v>
      </c>
      <c r="G24" s="16">
        <f>IFERROR('Data Sheet'!F27,0)</f>
        <v>101.8</v>
      </c>
      <c r="H24" s="16">
        <f>IFERROR('Data Sheet'!G27,0)</f>
        <v>126.6</v>
      </c>
      <c r="I24" s="16">
        <f>IFERROR('Data Sheet'!H27,0)</f>
        <v>187</v>
      </c>
      <c r="J24" s="16">
        <f>IFERROR('Data Sheet'!I27,0)</f>
        <v>193.6</v>
      </c>
      <c r="K24" s="16">
        <f>IFERROR('Data Sheet'!J27,0)</f>
        <v>194.2</v>
      </c>
      <c r="L24" s="16">
        <f>IFERROR('Data Sheet'!K27,0)</f>
        <v>238.7</v>
      </c>
      <c r="M24" s="16">
        <f>IFERROR(SUM('Data Sheet'!H46:K46),0)</f>
        <v>238.7</v>
      </c>
    </row>
    <row r="25" spans="2:13" outlineLevel="1" x14ac:dyDescent="0.3">
      <c r="B25" s="19" t="s">
        <v>90</v>
      </c>
      <c r="C25" s="19">
        <f t="shared" ref="C25:M25" si="8">IFERROR(C24/C6,0)</f>
        <v>1.313064551663362E-3</v>
      </c>
      <c r="D25" s="19">
        <f t="shared" si="8"/>
        <v>4.3328229506799957E-3</v>
      </c>
      <c r="E25" s="19">
        <f t="shared" si="8"/>
        <v>8.8185573119085381E-4</v>
      </c>
      <c r="F25" s="19">
        <f t="shared" si="8"/>
        <v>1.7737245572297118E-3</v>
      </c>
      <c r="G25" s="19">
        <f t="shared" si="8"/>
        <v>1.4465980787813333E-3</v>
      </c>
      <c r="H25" s="19">
        <f t="shared" si="8"/>
        <v>1.4332648777649218E-3</v>
      </c>
      <c r="I25" s="19">
        <f t="shared" si="8"/>
        <v>1.5905242180702262E-3</v>
      </c>
      <c r="J25" s="19">
        <f t="shared" si="8"/>
        <v>1.3647431026193762E-3</v>
      </c>
      <c r="K25" s="19">
        <f t="shared" si="8"/>
        <v>1.2700032044365096E-3</v>
      </c>
      <c r="L25" s="19">
        <f t="shared" si="8"/>
        <v>1.3021231098212921E-3</v>
      </c>
      <c r="M25" s="19">
        <f t="shared" si="8"/>
        <v>1.3021231098212921E-3</v>
      </c>
    </row>
    <row r="26" spans="2:13" outlineLevel="1" x14ac:dyDescent="0.3"/>
    <row r="27" spans="2:13" outlineLevel="1" x14ac:dyDescent="0.3">
      <c r="B27" t="s">
        <v>20</v>
      </c>
      <c r="C27" s="16">
        <f>IFERROR('Data Sheet'!B26,0)</f>
        <v>2603.9</v>
      </c>
      <c r="D27" s="16">
        <f>IFERROR('Data Sheet'!C26,0)</f>
        <v>2759.8</v>
      </c>
      <c r="E27" s="16">
        <f>IFERROR('Data Sheet'!D26,0)</f>
        <v>3020.8</v>
      </c>
      <c r="F27" s="16">
        <f>IFERROR('Data Sheet'!E26,0)</f>
        <v>3528.4</v>
      </c>
      <c r="G27" s="16">
        <f>IFERROR('Data Sheet'!F26,0)</f>
        <v>3034.1</v>
      </c>
      <c r="H27" s="16">
        <f>IFERROR('Data Sheet'!G26,0)</f>
        <v>2789</v>
      </c>
      <c r="I27" s="16">
        <f>IFERROR('Data Sheet'!H26,0)</f>
        <v>2825.7</v>
      </c>
      <c r="J27" s="16">
        <f>IFERROR('Data Sheet'!I26,0)</f>
        <v>5255.8</v>
      </c>
      <c r="K27" s="16">
        <f>IFERROR('Data Sheet'!J26,0)</f>
        <v>5608.2</v>
      </c>
      <c r="L27" s="16">
        <f>IFERROR('Data Sheet'!K26,0)</f>
        <v>6741.7</v>
      </c>
      <c r="M27" s="16">
        <f>IFERROR(SUM('Data Sheet'!H45:K45),0)</f>
        <v>6741.7000000000007</v>
      </c>
    </row>
    <row r="28" spans="2:13" outlineLevel="1" x14ac:dyDescent="0.3">
      <c r="B28" s="19" t="s">
        <v>91</v>
      </c>
      <c r="C28" s="19">
        <f t="shared" ref="C28:M28" si="9">IFERROR(C27/C6,0)</f>
        <v>3.8244841007564076E-2</v>
      </c>
      <c r="D28" s="19">
        <f t="shared" si="9"/>
        <v>3.4579886579776321E-2</v>
      </c>
      <c r="E28" s="19">
        <f t="shared" si="9"/>
        <v>3.5097625728344288E-2</v>
      </c>
      <c r="F28" s="19">
        <f t="shared" si="9"/>
        <v>4.663494581020354E-2</v>
      </c>
      <c r="G28" s="19">
        <f t="shared" si="9"/>
        <v>4.3115159438413E-2</v>
      </c>
      <c r="H28" s="19">
        <f t="shared" si="9"/>
        <v>3.1574847899576361E-2</v>
      </c>
      <c r="I28" s="19">
        <f t="shared" si="9"/>
        <v>2.4033926647064375E-2</v>
      </c>
      <c r="J28" s="19">
        <f t="shared" si="9"/>
        <v>3.7049673547246476E-2</v>
      </c>
      <c r="K28" s="19">
        <f t="shared" si="9"/>
        <v>3.6675756802887913E-2</v>
      </c>
      <c r="L28" s="19">
        <f t="shared" si="9"/>
        <v>3.6776386131052392E-2</v>
      </c>
      <c r="M28" s="19">
        <f t="shared" si="9"/>
        <v>3.6776386131052392E-2</v>
      </c>
    </row>
    <row r="29" spans="2:13" outlineLevel="1" x14ac:dyDescent="0.3"/>
    <row r="30" spans="2:13" outlineLevel="1" x14ac:dyDescent="0.3">
      <c r="B30" s="21" t="s">
        <v>92</v>
      </c>
      <c r="C30" s="22">
        <f>IFERROR(SUM(C18,C21)-SUM(C24,C27),0)</f>
        <v>10127.200000000001</v>
      </c>
      <c r="D30" s="22">
        <f t="shared" ref="D30:M30" si="10">IFERROR(SUM(D18,D21)-SUM(D24,D27),0)</f>
        <v>11166.899999999987</v>
      </c>
      <c r="E30" s="22">
        <f t="shared" si="10"/>
        <v>10623.800000000003</v>
      </c>
      <c r="F30" s="22">
        <f t="shared" si="10"/>
        <v>7102.8000000000011</v>
      </c>
      <c r="G30" s="22">
        <f t="shared" si="10"/>
        <v>5321.0000000000018</v>
      </c>
      <c r="H30" s="22">
        <f t="shared" si="10"/>
        <v>4697.2000000000153</v>
      </c>
      <c r="I30" s="22">
        <f t="shared" si="10"/>
        <v>10323.099999999999</v>
      </c>
      <c r="J30" s="22">
        <f t="shared" si="10"/>
        <v>17424.500000000015</v>
      </c>
      <c r="K30" s="22">
        <f t="shared" si="10"/>
        <v>19620</v>
      </c>
      <c r="L30" s="22">
        <f t="shared" si="10"/>
        <v>19118.499999999993</v>
      </c>
      <c r="M30" s="22">
        <f t="shared" si="10"/>
        <v>25860.199999999997</v>
      </c>
    </row>
    <row r="31" spans="2:13" outlineLevel="1" x14ac:dyDescent="0.3">
      <c r="B31" s="19" t="s">
        <v>93</v>
      </c>
      <c r="C31" s="19">
        <f t="shared" ref="C31:M31" si="11">IFERROR(C30/C6,0)</f>
        <v>0.14874348241169127</v>
      </c>
      <c r="D31" s="19">
        <f t="shared" si="11"/>
        <v>0.13991960846717288</v>
      </c>
      <c r="E31" s="19">
        <f t="shared" si="11"/>
        <v>0.12343424133103287</v>
      </c>
      <c r="F31" s="19">
        <f t="shared" si="11"/>
        <v>9.3877874702616979E-2</v>
      </c>
      <c r="G31" s="19">
        <f t="shared" si="11"/>
        <v>7.5612459500937895E-2</v>
      </c>
      <c r="H31" s="19">
        <f t="shared" si="11"/>
        <v>5.3177976175650968E-2</v>
      </c>
      <c r="I31" s="19">
        <f t="shared" si="11"/>
        <v>8.7802890671447864E-2</v>
      </c>
      <c r="J31" s="19">
        <f t="shared" si="11"/>
        <v>0.12283040388218668</v>
      </c>
      <c r="K31" s="19">
        <f t="shared" si="11"/>
        <v>0.12830825371289556</v>
      </c>
      <c r="L31" s="19">
        <f t="shared" si="11"/>
        <v>0.10429258766283354</v>
      </c>
      <c r="M31" s="19">
        <f t="shared" si="11"/>
        <v>0.14106897379388594</v>
      </c>
    </row>
    <row r="32" spans="2:13" outlineLevel="1" x14ac:dyDescent="0.3"/>
    <row r="33" spans="2:14" outlineLevel="1" x14ac:dyDescent="0.3">
      <c r="B33" t="s">
        <v>23</v>
      </c>
      <c r="C33" s="16">
        <f>IFERROR('Data Sheet'!B29,0)</f>
        <v>2616.1999999999998</v>
      </c>
      <c r="D33" s="16">
        <f>IFERROR('Data Sheet'!C29,0)</f>
        <v>3286.2</v>
      </c>
      <c r="E33" s="16">
        <f>IFERROR('Data Sheet'!D29,0)</f>
        <v>2973.2</v>
      </c>
      <c r="F33" s="16">
        <f>IFERROR('Data Sheet'!E29,0)</f>
        <v>1425.2</v>
      </c>
      <c r="G33" s="16">
        <f>IFERROR('Data Sheet'!F29,0)</f>
        <v>931.9</v>
      </c>
      <c r="H33" s="16">
        <f>IFERROR('Data Sheet'!G29,0)</f>
        <v>817.7</v>
      </c>
      <c r="I33" s="16">
        <f>IFERROR('Data Sheet'!H29,0)</f>
        <v>2112.1</v>
      </c>
      <c r="J33" s="16">
        <f>IFERROR('Data Sheet'!I29,0)</f>
        <v>3936.3</v>
      </c>
      <c r="K33" s="16">
        <f>IFERROR('Data Sheet'!J29,0)</f>
        <v>5119.8</v>
      </c>
      <c r="L33" s="16">
        <f>IFERROR('Data Sheet'!K29,0)</f>
        <v>4439</v>
      </c>
      <c r="M33" s="16">
        <f>IFERROR(SUM('Data Sheet'!H48:K48),0)</f>
        <v>4439</v>
      </c>
      <c r="N33" s="134"/>
    </row>
    <row r="34" spans="2:14" outlineLevel="1" x14ac:dyDescent="0.3">
      <c r="B34" s="19" t="s">
        <v>94</v>
      </c>
      <c r="C34" s="19">
        <f>IFERROR(C33/C30,0)</f>
        <v>0.25833399162651077</v>
      </c>
      <c r="D34" s="19">
        <f t="shared" ref="D34:M34" si="12">IFERROR(D33/D30,0)</f>
        <v>0.29428041802111632</v>
      </c>
      <c r="E34" s="19">
        <f t="shared" si="12"/>
        <v>0.27986219620098263</v>
      </c>
      <c r="F34" s="19">
        <f t="shared" si="12"/>
        <v>0.20065326350171761</v>
      </c>
      <c r="G34" s="19">
        <f t="shared" si="12"/>
        <v>0.17513625258410068</v>
      </c>
      <c r="H34" s="19">
        <f t="shared" si="12"/>
        <v>0.17408243208720034</v>
      </c>
      <c r="I34" s="19">
        <f t="shared" si="12"/>
        <v>0.20459939359300988</v>
      </c>
      <c r="J34" s="19">
        <f t="shared" si="12"/>
        <v>0.22590605182358156</v>
      </c>
      <c r="K34" s="19">
        <f t="shared" si="12"/>
        <v>0.26094801223241593</v>
      </c>
      <c r="L34" s="19">
        <f t="shared" si="12"/>
        <v>0.23218348719826354</v>
      </c>
      <c r="M34" s="19">
        <f t="shared" si="12"/>
        <v>0.17165373817681226</v>
      </c>
    </row>
    <row r="35" spans="2:14" outlineLevel="1" x14ac:dyDescent="0.3"/>
    <row r="36" spans="2:14" outlineLevel="1" x14ac:dyDescent="0.3">
      <c r="B36" s="21" t="s">
        <v>95</v>
      </c>
      <c r="C36" s="22">
        <f>IFERROR(C30-C33,0)</f>
        <v>7511.0000000000009</v>
      </c>
      <c r="D36" s="22">
        <f t="shared" ref="D36:M36" si="13">IFERROR(D30-D33,0)</f>
        <v>7880.6999999999871</v>
      </c>
      <c r="E36" s="22">
        <f t="shared" si="13"/>
        <v>7650.6000000000031</v>
      </c>
      <c r="F36" s="22">
        <f t="shared" si="13"/>
        <v>5677.6000000000013</v>
      </c>
      <c r="G36" s="22">
        <f t="shared" si="13"/>
        <v>4389.1000000000022</v>
      </c>
      <c r="H36" s="22">
        <f t="shared" si="13"/>
        <v>3879.5000000000155</v>
      </c>
      <c r="I36" s="22">
        <f t="shared" si="13"/>
        <v>8210.9999999999982</v>
      </c>
      <c r="J36" s="22">
        <f t="shared" si="13"/>
        <v>13488.200000000015</v>
      </c>
      <c r="K36" s="22">
        <f t="shared" si="13"/>
        <v>14500.2</v>
      </c>
      <c r="L36" s="22">
        <f t="shared" si="13"/>
        <v>14679.499999999993</v>
      </c>
      <c r="M36" s="22">
        <f t="shared" si="13"/>
        <v>21421.199999999997</v>
      </c>
    </row>
    <row r="37" spans="2:14" outlineLevel="1" x14ac:dyDescent="0.3">
      <c r="B37" s="19" t="s">
        <v>96</v>
      </c>
      <c r="C37" s="19">
        <f>IFERROR(C36/C6,0)</f>
        <v>0.11031798487185138</v>
      </c>
      <c r="D37" s="19">
        <f t="shared" ref="D37:M37" si="14">IFERROR(D36/D6,0)</f>
        <v>9.8744007598102326E-2</v>
      </c>
      <c r="E37" s="19">
        <f t="shared" si="14"/>
        <v>8.8889663465727922E-2</v>
      </c>
      <c r="F37" s="19">
        <f t="shared" si="14"/>
        <v>7.504097277293155E-2</v>
      </c>
      <c r="G37" s="19">
        <f t="shared" si="14"/>
        <v>6.2369976695276559E-2</v>
      </c>
      <c r="H37" s="19">
        <f t="shared" si="14"/>
        <v>4.392062474951846E-2</v>
      </c>
      <c r="I37" s="19">
        <f t="shared" si="14"/>
        <v>6.983847248435629E-2</v>
      </c>
      <c r="J37" s="19">
        <f t="shared" si="14"/>
        <v>9.5082272297265957E-2</v>
      </c>
      <c r="K37" s="19">
        <f t="shared" si="14"/>
        <v>9.4826469953502981E-2</v>
      </c>
      <c r="L37" s="19">
        <f t="shared" si="14"/>
        <v>8.0077570970346248E-2</v>
      </c>
      <c r="M37" s="19">
        <f t="shared" si="14"/>
        <v>0.11685395710139866</v>
      </c>
    </row>
    <row r="38" spans="2:14" outlineLevel="1" x14ac:dyDescent="0.3"/>
    <row r="39" spans="2:14" outlineLevel="1" x14ac:dyDescent="0.3">
      <c r="B39" t="s">
        <v>97</v>
      </c>
      <c r="C39">
        <f>IFERROR('Data Sheet'!B93,0)</f>
        <v>30.21</v>
      </c>
      <c r="D39">
        <f>IFERROR('Data Sheet'!C93,0)</f>
        <v>30.21</v>
      </c>
      <c r="E39">
        <f>IFERROR('Data Sheet'!D93,0)</f>
        <v>30.21</v>
      </c>
      <c r="F39">
        <f>IFERROR('Data Sheet'!E93,0)</f>
        <v>30.21</v>
      </c>
      <c r="G39">
        <f>IFERROR('Data Sheet'!F93,0)</f>
        <v>30.21</v>
      </c>
      <c r="H39">
        <f>IFERROR('Data Sheet'!G93,0)</f>
        <v>30.21</v>
      </c>
      <c r="I39">
        <f>IFERROR('Data Sheet'!H93,0)</f>
        <v>30.21</v>
      </c>
      <c r="J39">
        <f>IFERROR('Data Sheet'!I93,0)</f>
        <v>31.44</v>
      </c>
      <c r="K39">
        <f>IFERROR('Data Sheet'!J93,0)</f>
        <v>31.44</v>
      </c>
      <c r="L39">
        <f>IFERROR('Data Sheet'!K93,0)</f>
        <v>31.44</v>
      </c>
      <c r="M39">
        <f>IFERROR('Data Sheet'!L93,0)</f>
        <v>0</v>
      </c>
    </row>
    <row r="40" spans="2:14" outlineLevel="1" x14ac:dyDescent="0.3"/>
    <row r="41" spans="2:14" outlineLevel="1" x14ac:dyDescent="0.3">
      <c r="B41" t="s">
        <v>98</v>
      </c>
      <c r="C41" s="16">
        <f>IFERROR(C36/C39,0)</f>
        <v>248.62628268785173</v>
      </c>
      <c r="D41" s="16">
        <f t="shared" ref="D41:M41" si="15">IFERROR(D36/D39,0)</f>
        <v>260.86395233366392</v>
      </c>
      <c r="E41" s="16">
        <f t="shared" si="15"/>
        <v>253.2472691161868</v>
      </c>
      <c r="F41" s="16">
        <f t="shared" si="15"/>
        <v>187.93776895067862</v>
      </c>
      <c r="G41" s="16">
        <f t="shared" si="15"/>
        <v>145.28632903012254</v>
      </c>
      <c r="H41" s="16">
        <f t="shared" si="15"/>
        <v>128.41774246938149</v>
      </c>
      <c r="I41" s="16">
        <f t="shared" si="15"/>
        <v>271.79741807348552</v>
      </c>
      <c r="J41" s="16">
        <f t="shared" si="15"/>
        <v>429.01399491094196</v>
      </c>
      <c r="K41" s="16">
        <f t="shared" si="15"/>
        <v>461.20229007633588</v>
      </c>
      <c r="L41" s="16">
        <f t="shared" si="15"/>
        <v>466.90521628498703</v>
      </c>
      <c r="M41" s="16">
        <f t="shared" si="15"/>
        <v>0</v>
      </c>
    </row>
    <row r="42" spans="2:14" outlineLevel="1" x14ac:dyDescent="0.3">
      <c r="B42" s="19" t="s">
        <v>99</v>
      </c>
      <c r="C42" s="19"/>
      <c r="D42" s="19">
        <f>IFERROR(D41/C41-1,0)</f>
        <v>4.922114232458874E-2</v>
      </c>
      <c r="E42" s="19">
        <f t="shared" ref="E42:L42" si="16">IFERROR(E41/D41-1,0)</f>
        <v>-2.9197913890895988E-2</v>
      </c>
      <c r="F42" s="19">
        <f t="shared" si="16"/>
        <v>-0.25788827020103011</v>
      </c>
      <c r="G42" s="19">
        <f t="shared" si="16"/>
        <v>-0.22694448358461294</v>
      </c>
      <c r="H42" s="19">
        <f t="shared" si="16"/>
        <v>-0.11610580756874689</v>
      </c>
      <c r="I42" s="19">
        <f t="shared" si="16"/>
        <v>1.1165098595179703</v>
      </c>
      <c r="J42" s="19">
        <f t="shared" si="16"/>
        <v>0.57843292976002436</v>
      </c>
      <c r="K42" s="19">
        <f t="shared" si="16"/>
        <v>7.5028543467622333E-2</v>
      </c>
      <c r="L42" s="19">
        <f t="shared" si="16"/>
        <v>1.2365346684872769E-2</v>
      </c>
      <c r="M42" s="19"/>
    </row>
    <row r="43" spans="2:14" outlineLevel="1" x14ac:dyDescent="0.3"/>
    <row r="44" spans="2:14" outlineLevel="1" x14ac:dyDescent="0.3">
      <c r="B44" t="s">
        <v>100</v>
      </c>
      <c r="C44" s="16">
        <f>IFERROR('Data Sheet'!B31/HistoricalFS!C39,0)</f>
        <v>74.975173783515388</v>
      </c>
      <c r="D44" s="16">
        <f>IFERROR('Data Sheet'!C31/HistoricalFS!D39,0)</f>
        <v>79.973518702416413</v>
      </c>
      <c r="E44" s="16">
        <f>IFERROR('Data Sheet'!D31/HistoricalFS!E39,0)</f>
        <v>79.973518702416413</v>
      </c>
      <c r="F44" s="16">
        <f>IFERROR('Data Sheet'!E31/HistoricalFS!F39,0)</f>
        <v>59.98013902681231</v>
      </c>
      <c r="G44" s="16">
        <f>IFERROR('Data Sheet'!F31/HistoricalFS!G39,0)</f>
        <v>44.985104270109233</v>
      </c>
      <c r="H44" s="16">
        <f>IFERROR('Data Sheet'!G31/HistoricalFS!H39,0)</f>
        <v>59.98013902681231</v>
      </c>
      <c r="I44" s="16">
        <f>IFERROR('Data Sheet'!H31/HistoricalFS!I39,0)</f>
        <v>89.970208540218465</v>
      </c>
      <c r="J44" s="16">
        <f>IFERROR('Data Sheet'!I31/HistoricalFS!J39,0)</f>
        <v>125</v>
      </c>
      <c r="K44" s="16">
        <f>IFERROR('Data Sheet'!J31/HistoricalFS!K39,0)</f>
        <v>134.99999999999997</v>
      </c>
      <c r="L44" s="16">
        <f>IFERROR('Data Sheet'!K31/HistoricalFS!L39,0)</f>
        <v>140</v>
      </c>
      <c r="M44" s="16">
        <f>IFERROR('Data Sheet'!L31/HistoricalFS!M39,0)</f>
        <v>0</v>
      </c>
    </row>
    <row r="45" spans="2:14" outlineLevel="1" x14ac:dyDescent="0.3">
      <c r="B45" s="19" t="s">
        <v>101</v>
      </c>
      <c r="C45" s="19">
        <f>IFERROR(C44/C41,0)</f>
        <v>0.30155771535081877</v>
      </c>
      <c r="D45" s="19">
        <f t="shared" ref="D45:M45" si="17">IFERROR(D44/D41,0)</f>
        <v>0.30657175124037256</v>
      </c>
      <c r="E45" s="19">
        <f t="shared" si="17"/>
        <v>0.31579222544637009</v>
      </c>
      <c r="F45" s="19">
        <f t="shared" si="17"/>
        <v>0.31914893617021267</v>
      </c>
      <c r="G45" s="19">
        <f t="shared" si="17"/>
        <v>0.3096306759928002</v>
      </c>
      <c r="H45" s="19">
        <f t="shared" si="17"/>
        <v>0.46707049877561357</v>
      </c>
      <c r="I45" s="19">
        <f t="shared" si="17"/>
        <v>0.33101936426744621</v>
      </c>
      <c r="J45" s="19">
        <f t="shared" si="17"/>
        <v>0.29136578639106742</v>
      </c>
      <c r="K45" s="19">
        <f t="shared" si="17"/>
        <v>0.29271320395580747</v>
      </c>
      <c r="L45" s="19">
        <f t="shared" si="17"/>
        <v>0.29984672502469445</v>
      </c>
      <c r="M45" s="19">
        <f t="shared" si="17"/>
        <v>0</v>
      </c>
    </row>
    <row r="46" spans="2:14" outlineLevel="1" x14ac:dyDescent="0.3"/>
    <row r="47" spans="2:14" outlineLevel="1" x14ac:dyDescent="0.3">
      <c r="B47" t="s">
        <v>102</v>
      </c>
      <c r="C47" s="17">
        <f>IFERROR(IF(C41&gt;C44,1-C45),0)</f>
        <v>0.69844228464918123</v>
      </c>
      <c r="D47" s="17">
        <f t="shared" ref="D47:L47" si="18">IFERROR(IF(D41&gt;D44,1-D45),0)</f>
        <v>0.6934282487596275</v>
      </c>
      <c r="E47" s="17">
        <f t="shared" si="18"/>
        <v>0.68420777455362991</v>
      </c>
      <c r="F47" s="17">
        <f t="shared" si="18"/>
        <v>0.68085106382978733</v>
      </c>
      <c r="G47" s="17">
        <f t="shared" si="18"/>
        <v>0.69036932400719975</v>
      </c>
      <c r="H47" s="17">
        <f t="shared" si="18"/>
        <v>0.53292950122438643</v>
      </c>
      <c r="I47" s="17">
        <f t="shared" si="18"/>
        <v>0.66898063573255384</v>
      </c>
      <c r="J47" s="17">
        <f t="shared" si="18"/>
        <v>0.70863421360893253</v>
      </c>
      <c r="K47" s="17">
        <f t="shared" si="18"/>
        <v>0.70728679604419253</v>
      </c>
      <c r="L47" s="17">
        <f t="shared" si="18"/>
        <v>0.70015327497530555</v>
      </c>
      <c r="M47" s="17"/>
    </row>
    <row r="49" spans="1:13" x14ac:dyDescent="0.3">
      <c r="A49" t="s">
        <v>145</v>
      </c>
      <c r="B49" s="14" t="s">
        <v>103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outlineLevel="1" x14ac:dyDescent="0.3">
      <c r="B50" t="s">
        <v>30</v>
      </c>
      <c r="C50" s="16">
        <f>IFERROR('Data Sheet'!B57,0)</f>
        <v>151</v>
      </c>
      <c r="D50" s="16">
        <f>IFERROR('Data Sheet'!C57,0)</f>
        <v>151</v>
      </c>
      <c r="E50" s="16">
        <f>IFERROR('Data Sheet'!D57,0)</f>
        <v>151</v>
      </c>
      <c r="F50" s="16">
        <f>IFERROR('Data Sheet'!E57,0)</f>
        <v>151</v>
      </c>
      <c r="G50" s="16">
        <f>IFERROR('Data Sheet'!F57,0)</f>
        <v>151</v>
      </c>
      <c r="H50" s="16">
        <f>IFERROR('Data Sheet'!G57,0)</f>
        <v>151</v>
      </c>
      <c r="I50" s="16">
        <f>IFERROR('Data Sheet'!H57,0)</f>
        <v>151</v>
      </c>
      <c r="J50" s="16">
        <f>IFERROR('Data Sheet'!I57,0)</f>
        <v>157.19999999999999</v>
      </c>
      <c r="K50" s="16">
        <f>IFERROR('Data Sheet'!J57,0)</f>
        <v>157.19999999999999</v>
      </c>
      <c r="L50" s="16">
        <f>IFERROR('Data Sheet'!K57,0)</f>
        <v>157.19999999999999</v>
      </c>
    </row>
    <row r="51" spans="1:13" outlineLevel="1" x14ac:dyDescent="0.3">
      <c r="B51" t="s">
        <v>31</v>
      </c>
      <c r="C51" s="16">
        <f>IFERROR('Data Sheet'!B58,0)</f>
        <v>36924.1</v>
      </c>
      <c r="D51" s="16">
        <f>IFERROR('Data Sheet'!C58,0)</f>
        <v>42408.4</v>
      </c>
      <c r="E51" s="16">
        <f>IFERROR('Data Sheet'!D58,0)</f>
        <v>46941.1</v>
      </c>
      <c r="F51" s="16">
        <f>IFERROR('Data Sheet'!E58,0)</f>
        <v>49262</v>
      </c>
      <c r="G51" s="16">
        <f>IFERROR('Data Sheet'!F58,0)</f>
        <v>52349.599999999999</v>
      </c>
      <c r="H51" s="16">
        <f>IFERROR('Data Sheet'!G58,0)</f>
        <v>55182.5</v>
      </c>
      <c r="I51" s="16">
        <f>IFERROR('Data Sheet'!H58,0)</f>
        <v>61640.3</v>
      </c>
      <c r="J51" s="16">
        <f>IFERROR('Data Sheet'!I58,0)</f>
        <v>85478.8</v>
      </c>
      <c r="K51" s="16">
        <f>IFERROR('Data Sheet'!J58,0)</f>
        <v>96082.7</v>
      </c>
      <c r="L51" s="16">
        <f>IFERROR('Data Sheet'!K58,0)</f>
        <v>106999.1</v>
      </c>
    </row>
    <row r="52" spans="1:13" outlineLevel="1" x14ac:dyDescent="0.3">
      <c r="B52" t="s">
        <v>32</v>
      </c>
      <c r="C52" s="16">
        <f>IFERROR('Data Sheet'!B59,0)</f>
        <v>483.6</v>
      </c>
      <c r="D52" s="16">
        <f>IFERROR('Data Sheet'!C59,0)</f>
        <v>120.8</v>
      </c>
      <c r="E52" s="16">
        <f>IFERROR('Data Sheet'!D59,0)</f>
        <v>159.6</v>
      </c>
      <c r="F52" s="16">
        <f>IFERROR('Data Sheet'!E59,0)</f>
        <v>184.1</v>
      </c>
      <c r="G52" s="16">
        <f>IFERROR('Data Sheet'!F59,0)</f>
        <v>540.9</v>
      </c>
      <c r="H52" s="16">
        <f>IFERROR('Data Sheet'!G59,0)</f>
        <v>425.5</v>
      </c>
      <c r="I52" s="16">
        <f>IFERROR('Data Sheet'!H59,0)</f>
        <v>1247.3</v>
      </c>
      <c r="J52" s="16">
        <f>IFERROR('Data Sheet'!I59,0)</f>
        <v>118.6</v>
      </c>
      <c r="K52" s="16">
        <f>IFERROR('Data Sheet'!J59,0)</f>
        <v>87</v>
      </c>
      <c r="L52" s="16">
        <f>IFERROR('Data Sheet'!K59,0)</f>
        <v>102.5</v>
      </c>
    </row>
    <row r="53" spans="1:13" outlineLevel="1" x14ac:dyDescent="0.3">
      <c r="B53" t="s">
        <v>33</v>
      </c>
      <c r="C53" s="16">
        <f>IFERROR('Data Sheet'!B60,0)</f>
        <v>14401.8</v>
      </c>
      <c r="D53" s="16">
        <f>IFERROR('Data Sheet'!C60,0)</f>
        <v>17568.2</v>
      </c>
      <c r="E53" s="16">
        <f>IFERROR('Data Sheet'!D60,0)</f>
        <v>16717</v>
      </c>
      <c r="F53" s="16">
        <f>IFERROR('Data Sheet'!E60,0)</f>
        <v>14030.6</v>
      </c>
      <c r="G53" s="16">
        <f>IFERROR('Data Sheet'!F60,0)</f>
        <v>18334.599999999999</v>
      </c>
      <c r="H53" s="16">
        <f>IFERROR('Data Sheet'!G60,0)</f>
        <v>18896.5</v>
      </c>
      <c r="I53" s="16">
        <f>IFERROR('Data Sheet'!H60,0)</f>
        <v>21558.3</v>
      </c>
      <c r="J53" s="16">
        <f>IFERROR('Data Sheet'!I60,0)</f>
        <v>29549.5</v>
      </c>
      <c r="K53" s="16">
        <f>IFERROR('Data Sheet'!J60,0)</f>
        <v>35644.300000000003</v>
      </c>
      <c r="L53" s="16">
        <f>IFERROR('Data Sheet'!K60,0)</f>
        <v>41622.199999999997</v>
      </c>
    </row>
    <row r="54" spans="1:13" outlineLevel="1" x14ac:dyDescent="0.3">
      <c r="B54" s="21" t="s">
        <v>185</v>
      </c>
      <c r="C54" s="22">
        <f>IFERROR('Data Sheet'!B61,0)</f>
        <v>51960.5</v>
      </c>
      <c r="D54" s="22">
        <f>IFERROR('Data Sheet'!C61,0)</f>
        <v>60248.4</v>
      </c>
      <c r="E54" s="22">
        <f>IFERROR('Data Sheet'!D61,0)</f>
        <v>63968.7</v>
      </c>
      <c r="F54" s="22">
        <f>IFERROR('Data Sheet'!E61,0)</f>
        <v>63627.7</v>
      </c>
      <c r="G54" s="22">
        <f>IFERROR('Data Sheet'!F61,0)</f>
        <v>71376.100000000006</v>
      </c>
      <c r="H54" s="22">
        <f>IFERROR('Data Sheet'!G61,0)</f>
        <v>74655.5</v>
      </c>
      <c r="I54" s="22">
        <f>IFERROR('Data Sheet'!H61,0)</f>
        <v>84596.9</v>
      </c>
      <c r="J54" s="22">
        <f>IFERROR('Data Sheet'!I61,0)</f>
        <v>115304.1</v>
      </c>
      <c r="K54" s="22">
        <f>IFERROR('Data Sheet'!J61,0)</f>
        <v>131971.20000000001</v>
      </c>
      <c r="L54" s="22">
        <f>IFERROR('Data Sheet'!K61,0)</f>
        <v>148881</v>
      </c>
    </row>
    <row r="55" spans="1:13" outlineLevel="1" x14ac:dyDescent="0.3"/>
    <row r="56" spans="1:13" outlineLevel="1" x14ac:dyDescent="0.3">
      <c r="B56" t="s">
        <v>104</v>
      </c>
      <c r="C56" s="16">
        <f>IFERROR('Data Sheet'!B62,0)</f>
        <v>13310.7</v>
      </c>
      <c r="D56" s="16">
        <f>IFERROR('Data Sheet'!C62,0)</f>
        <v>13388.8</v>
      </c>
      <c r="E56" s="16">
        <f>IFERROR('Data Sheet'!D62,0)</f>
        <v>15437.3</v>
      </c>
      <c r="F56" s="16">
        <f>IFERROR('Data Sheet'!E62,0)</f>
        <v>15744.4</v>
      </c>
      <c r="G56" s="16">
        <f>IFERROR('Data Sheet'!F62,0)</f>
        <v>14988.7</v>
      </c>
      <c r="H56" s="16">
        <f>IFERROR('Data Sheet'!G62,0)</f>
        <v>13747.2</v>
      </c>
      <c r="I56" s="16">
        <f>IFERROR('Data Sheet'!H62,0)</f>
        <v>17830.400000000001</v>
      </c>
      <c r="J56" s="16">
        <f>IFERROR('Data Sheet'!I62,0)</f>
        <v>27864.799999999999</v>
      </c>
      <c r="K56" s="16">
        <f>IFERROR('Data Sheet'!J62,0)</f>
        <v>32982.699999999997</v>
      </c>
      <c r="L56" s="16">
        <f>IFERROR('Data Sheet'!K62,0)</f>
        <v>34955.4</v>
      </c>
    </row>
    <row r="57" spans="1:13" outlineLevel="1" x14ac:dyDescent="0.3">
      <c r="B57" t="s">
        <v>36</v>
      </c>
      <c r="C57" s="16">
        <f>IFERROR('Data Sheet'!B63,0)</f>
        <v>1252.3</v>
      </c>
      <c r="D57" s="16">
        <f>IFERROR('Data Sheet'!C63,0)</f>
        <v>2132.1</v>
      </c>
      <c r="E57" s="16">
        <f>IFERROR('Data Sheet'!D63,0)</f>
        <v>1606.9</v>
      </c>
      <c r="F57" s="16">
        <f>IFERROR('Data Sheet'!E63,0)</f>
        <v>1415.2</v>
      </c>
      <c r="G57" s="16">
        <f>IFERROR('Data Sheet'!F63,0)</f>
        <v>1496.8</v>
      </c>
      <c r="H57" s="16">
        <f>IFERROR('Data Sheet'!G63,0)</f>
        <v>2936.5</v>
      </c>
      <c r="I57" s="16">
        <f>IFERROR('Data Sheet'!H63,0)</f>
        <v>2904.1</v>
      </c>
      <c r="J57" s="16">
        <f>IFERROR('Data Sheet'!I63,0)</f>
        <v>7734.8</v>
      </c>
      <c r="K57" s="16">
        <f>IFERROR('Data Sheet'!J63,0)</f>
        <v>7929</v>
      </c>
      <c r="L57" s="16">
        <f>IFERROR('Data Sheet'!K63,0)</f>
        <v>9406.2000000000007</v>
      </c>
    </row>
    <row r="58" spans="1:13" outlineLevel="1" x14ac:dyDescent="0.3">
      <c r="B58" t="s">
        <v>37</v>
      </c>
      <c r="C58" s="16">
        <f>IFERROR('Data Sheet'!B64,0)</f>
        <v>29150.6</v>
      </c>
      <c r="D58" s="16">
        <f>IFERROR('Data Sheet'!C64,0)</f>
        <v>36123.1</v>
      </c>
      <c r="E58" s="16">
        <f>IFERROR('Data Sheet'!D64,0)</f>
        <v>37503.599999999999</v>
      </c>
      <c r="F58" s="16">
        <f>IFERROR('Data Sheet'!E64,0)</f>
        <v>37488</v>
      </c>
      <c r="G58" s="16">
        <f>IFERROR('Data Sheet'!F64,0)</f>
        <v>42944.800000000003</v>
      </c>
      <c r="H58" s="16">
        <f>IFERROR('Data Sheet'!G64,0)</f>
        <v>42034.7</v>
      </c>
      <c r="I58" s="16">
        <f>IFERROR('Data Sheet'!H64,0)</f>
        <v>49184.3</v>
      </c>
      <c r="J58" s="16">
        <f>IFERROR('Data Sheet'!I64,0)</f>
        <v>57296</v>
      </c>
      <c r="K58" s="16">
        <f>IFERROR('Data Sheet'!J64,0)</f>
        <v>66265.399999999994</v>
      </c>
      <c r="L58" s="16">
        <f>IFERROR('Data Sheet'!K64,0)</f>
        <v>76838.5</v>
      </c>
    </row>
    <row r="59" spans="1:13" outlineLevel="1" x14ac:dyDescent="0.3">
      <c r="B59" t="s">
        <v>38</v>
      </c>
      <c r="C59" s="16">
        <f>IFERROR('Data Sheet'!B65-SUM('Data Sheet'!B67:B69),0)</f>
        <v>3757.1000000000004</v>
      </c>
      <c r="D59" s="16">
        <f>IFERROR('Data Sheet'!C65-SUM('Data Sheet'!C67:C69),0)</f>
        <v>3904.7999999999993</v>
      </c>
      <c r="E59" s="16">
        <f>IFERROR('Data Sheet'!D65-SUM('Data Sheet'!D67:D69),0)</f>
        <v>3597.7</v>
      </c>
      <c r="F59" s="16">
        <f>IFERROR('Data Sheet'!E65-SUM('Data Sheet'!E67:E69),0)</f>
        <v>3759.5</v>
      </c>
      <c r="G59" s="16">
        <f>IFERROR('Data Sheet'!F65-SUM('Data Sheet'!F67:F69),0)</f>
        <v>4569.7999999999993</v>
      </c>
      <c r="H59" s="16">
        <f>IFERROR('Data Sheet'!G65-SUM('Data Sheet'!G67:G69),0)</f>
        <v>7328.1</v>
      </c>
      <c r="I59" s="16">
        <f>IFERROR('Data Sheet'!H65-SUM('Data Sheet'!H67:H69),0)</f>
        <v>7051.6</v>
      </c>
      <c r="J59" s="16">
        <f>IFERROR('Data Sheet'!I65-SUM('Data Sheet'!I67:I69),0)</f>
        <v>9666.1999999999989</v>
      </c>
      <c r="K59" s="16">
        <f>IFERROR('Data Sheet'!J65-SUM('Data Sheet'!J67:J69),0)</f>
        <v>10788.3</v>
      </c>
      <c r="L59" s="16">
        <f>IFERROR('Data Sheet'!K65-SUM('Data Sheet'!K67:K69),0)</f>
        <v>9438.3000000000029</v>
      </c>
    </row>
    <row r="60" spans="1:13" outlineLevel="1" x14ac:dyDescent="0.3">
      <c r="B60" s="21" t="s">
        <v>105</v>
      </c>
      <c r="C60" s="22">
        <f>IFERROR(SUM(C56:C59),0)</f>
        <v>47470.7</v>
      </c>
      <c r="D60" s="22">
        <f t="shared" ref="D60:L60" si="19">IFERROR(SUM(D56:D59),0)</f>
        <v>55548.800000000003</v>
      </c>
      <c r="E60" s="22">
        <f t="shared" si="19"/>
        <v>58145.5</v>
      </c>
      <c r="F60" s="22">
        <f t="shared" si="19"/>
        <v>58407.1</v>
      </c>
      <c r="G60" s="22">
        <f t="shared" si="19"/>
        <v>64000.100000000006</v>
      </c>
      <c r="H60" s="22">
        <f t="shared" si="19"/>
        <v>66046.5</v>
      </c>
      <c r="I60" s="22">
        <f t="shared" si="19"/>
        <v>76970.400000000009</v>
      </c>
      <c r="J60" s="22">
        <f t="shared" si="19"/>
        <v>102561.8</v>
      </c>
      <c r="K60" s="22">
        <f t="shared" si="19"/>
        <v>117965.4</v>
      </c>
      <c r="L60" s="22">
        <f t="shared" si="19"/>
        <v>130638.40000000001</v>
      </c>
    </row>
    <row r="61" spans="1:13" outlineLevel="1" x14ac:dyDescent="0.3"/>
    <row r="62" spans="1:13" outlineLevel="1" x14ac:dyDescent="0.3">
      <c r="B62" t="s">
        <v>39</v>
      </c>
      <c r="C62" s="16">
        <f>IFERROR('Data Sheet'!B67,0)</f>
        <v>1202.5999999999999</v>
      </c>
      <c r="D62" s="16">
        <f>IFERROR('Data Sheet'!C67,0)</f>
        <v>1465.4</v>
      </c>
      <c r="E62" s="16">
        <f>IFERROR('Data Sheet'!D67,0)</f>
        <v>2312.8000000000002</v>
      </c>
      <c r="F62" s="16">
        <f>IFERROR('Data Sheet'!E67,0)</f>
        <v>1977.7</v>
      </c>
      <c r="G62" s="16">
        <f>IFERROR('Data Sheet'!F67,0)</f>
        <v>1279.9000000000001</v>
      </c>
      <c r="H62" s="16">
        <f>IFERROR('Data Sheet'!G67,0)</f>
        <v>2034.5</v>
      </c>
      <c r="I62" s="16">
        <f>IFERROR('Data Sheet'!H67,0)</f>
        <v>3301.4</v>
      </c>
      <c r="J62" s="16">
        <f>IFERROR('Data Sheet'!I67,0)</f>
        <v>4596.8</v>
      </c>
      <c r="K62" s="16">
        <f>IFERROR('Data Sheet'!J67,0)</f>
        <v>6539.7</v>
      </c>
      <c r="L62" s="16">
        <f>IFERROR('Data Sheet'!K67,0)</f>
        <v>5342</v>
      </c>
    </row>
    <row r="63" spans="1:13" outlineLevel="1" x14ac:dyDescent="0.3">
      <c r="B63" t="s">
        <v>40</v>
      </c>
      <c r="C63" s="16">
        <f>IFERROR('Data Sheet'!B68,0)</f>
        <v>3263.7</v>
      </c>
      <c r="D63" s="16">
        <f>IFERROR('Data Sheet'!C68,0)</f>
        <v>3160.2</v>
      </c>
      <c r="E63" s="16">
        <f>IFERROR('Data Sheet'!D68,0)</f>
        <v>3322.6</v>
      </c>
      <c r="F63" s="16">
        <f>IFERROR('Data Sheet'!E68,0)</f>
        <v>3213.9</v>
      </c>
      <c r="G63" s="16">
        <f>IFERROR('Data Sheet'!F68,0)</f>
        <v>3049</v>
      </c>
      <c r="H63" s="16">
        <f>IFERROR('Data Sheet'!G68,0)</f>
        <v>3532.3</v>
      </c>
      <c r="I63" s="16">
        <f>IFERROR('Data Sheet'!H68,0)</f>
        <v>4283.5</v>
      </c>
      <c r="J63" s="16">
        <f>IFERROR('Data Sheet'!I68,0)</f>
        <v>5318.1</v>
      </c>
      <c r="K63" s="16">
        <f>IFERROR('Data Sheet'!J68,0)</f>
        <v>6913.2</v>
      </c>
      <c r="L63" s="16">
        <f>IFERROR('Data Sheet'!K68,0)</f>
        <v>11320.6</v>
      </c>
    </row>
    <row r="64" spans="1:13" outlineLevel="1" x14ac:dyDescent="0.3">
      <c r="B64" t="s">
        <v>41</v>
      </c>
      <c r="C64" s="16">
        <f>IFERROR('Data Sheet'!B69,0)</f>
        <v>23.5</v>
      </c>
      <c r="D64" s="16">
        <f>IFERROR('Data Sheet'!C69,0)</f>
        <v>74</v>
      </c>
      <c r="E64" s="16">
        <f>IFERROR('Data Sheet'!D69,0)</f>
        <v>187.8</v>
      </c>
      <c r="F64" s="16">
        <f>IFERROR('Data Sheet'!E69,0)</f>
        <v>29</v>
      </c>
      <c r="G64" s="16">
        <f>IFERROR('Data Sheet'!F69,0)</f>
        <v>3047.1</v>
      </c>
      <c r="H64" s="16">
        <f>IFERROR('Data Sheet'!G69,0)</f>
        <v>3042.2</v>
      </c>
      <c r="I64" s="16">
        <f>IFERROR('Data Sheet'!H69,0)</f>
        <v>41.6</v>
      </c>
      <c r="J64" s="16">
        <f>IFERROR('Data Sheet'!I69,0)</f>
        <v>2827.4</v>
      </c>
      <c r="K64" s="16">
        <f>IFERROR('Data Sheet'!J69,0)</f>
        <v>552.9</v>
      </c>
      <c r="L64" s="16">
        <f>IFERROR('Data Sheet'!K69,0)</f>
        <v>1580</v>
      </c>
    </row>
    <row r="65" spans="1:13" outlineLevel="1" x14ac:dyDescent="0.3">
      <c r="B65" s="21" t="s">
        <v>106</v>
      </c>
      <c r="C65" s="22">
        <f>IFERROR(SUM(C62:C64),0)</f>
        <v>4489.7999999999993</v>
      </c>
      <c r="D65" s="22">
        <f t="shared" ref="D65:L65" si="20">IFERROR(SUM(D62:D64),0)</f>
        <v>4699.6000000000004</v>
      </c>
      <c r="E65" s="22">
        <f t="shared" si="20"/>
        <v>5823.2</v>
      </c>
      <c r="F65" s="22">
        <f t="shared" si="20"/>
        <v>5220.6000000000004</v>
      </c>
      <c r="G65" s="22">
        <f t="shared" si="20"/>
        <v>7376</v>
      </c>
      <c r="H65" s="22">
        <f t="shared" si="20"/>
        <v>8609</v>
      </c>
      <c r="I65" s="22">
        <f t="shared" si="20"/>
        <v>7626.5</v>
      </c>
      <c r="J65" s="22">
        <f t="shared" si="20"/>
        <v>12742.300000000001</v>
      </c>
      <c r="K65" s="22">
        <f t="shared" si="20"/>
        <v>14005.8</v>
      </c>
      <c r="L65" s="22">
        <f t="shared" si="20"/>
        <v>18242.599999999999</v>
      </c>
    </row>
    <row r="66" spans="1:13" outlineLevel="1" x14ac:dyDescent="0.3"/>
    <row r="67" spans="1:13" outlineLevel="1" x14ac:dyDescent="0.3">
      <c r="B67" s="21" t="s">
        <v>107</v>
      </c>
      <c r="C67" s="22">
        <f>IFERROR(SUM(C65,C60),0)</f>
        <v>51960.5</v>
      </c>
      <c r="D67" s="22">
        <f t="shared" ref="D67:L67" si="21">IFERROR(SUM(D65,D60),0)</f>
        <v>60248.4</v>
      </c>
      <c r="E67" s="22">
        <f t="shared" si="21"/>
        <v>63968.7</v>
      </c>
      <c r="F67" s="22">
        <f t="shared" si="21"/>
        <v>63627.7</v>
      </c>
      <c r="G67" s="22">
        <f t="shared" si="21"/>
        <v>71376.100000000006</v>
      </c>
      <c r="H67" s="22">
        <f t="shared" si="21"/>
        <v>74655.5</v>
      </c>
      <c r="I67" s="22">
        <f t="shared" si="21"/>
        <v>84596.900000000009</v>
      </c>
      <c r="J67" s="22">
        <f t="shared" si="21"/>
        <v>115304.1</v>
      </c>
      <c r="K67" s="22">
        <f t="shared" si="21"/>
        <v>131971.19999999998</v>
      </c>
      <c r="L67" s="22">
        <f t="shared" si="21"/>
        <v>148881</v>
      </c>
    </row>
    <row r="68" spans="1:13" outlineLevel="1" x14ac:dyDescent="0.3"/>
    <row r="69" spans="1:13" outlineLevel="1" x14ac:dyDescent="0.3">
      <c r="B69" s="23" t="s">
        <v>108</v>
      </c>
      <c r="C69" s="23" t="b">
        <f>IFERROR(C67=C54,0)</f>
        <v>1</v>
      </c>
      <c r="D69" s="23" t="b">
        <f t="shared" ref="D69:L69" si="22">IFERROR(D67=D54,0)</f>
        <v>1</v>
      </c>
      <c r="E69" s="23" t="b">
        <f t="shared" si="22"/>
        <v>1</v>
      </c>
      <c r="F69" s="23" t="b">
        <f t="shared" si="22"/>
        <v>1</v>
      </c>
      <c r="G69" s="23" t="b">
        <f t="shared" si="22"/>
        <v>1</v>
      </c>
      <c r="H69" s="23" t="b">
        <f t="shared" si="22"/>
        <v>1</v>
      </c>
      <c r="I69" s="23" t="b">
        <f t="shared" si="22"/>
        <v>1</v>
      </c>
      <c r="J69" s="23" t="b">
        <f t="shared" si="22"/>
        <v>1</v>
      </c>
      <c r="K69" s="23" t="b">
        <f t="shared" si="22"/>
        <v>1</v>
      </c>
      <c r="L69" s="23" t="b">
        <f t="shared" si="22"/>
        <v>1</v>
      </c>
    </row>
    <row r="71" spans="1:13" x14ac:dyDescent="0.3">
      <c r="A71" t="s">
        <v>145</v>
      </c>
      <c r="B71" s="14" t="s">
        <v>109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outlineLevel="1" x14ac:dyDescent="0.3">
      <c r="B72" s="10" t="s">
        <v>110</v>
      </c>
    </row>
    <row r="73" spans="1:13" outlineLevel="1" x14ac:dyDescent="0.3">
      <c r="B73" t="s">
        <v>54</v>
      </c>
      <c r="C73" s="16">
        <f>IFERROR('Cashflow Data'!E5,0)</f>
        <v>10413</v>
      </c>
      <c r="D73" s="16">
        <f>IFERROR('Cashflow Data'!F5,0)</f>
        <v>12036</v>
      </c>
      <c r="E73" s="16">
        <f>IFERROR('Cashflow Data'!G5,0)</f>
        <v>11060</v>
      </c>
      <c r="F73" s="16">
        <f>IFERROR('Cashflow Data'!H5,0)</f>
        <v>7503</v>
      </c>
      <c r="G73" s="16">
        <f>IFERROR('Cashflow Data'!I5,0)</f>
        <v>5531</v>
      </c>
      <c r="H73" s="16">
        <f>IFERROR('Cashflow Data'!J5,0)</f>
        <v>5832</v>
      </c>
      <c r="I73" s="16">
        <f>IFERROR('Cashflow Data'!K5,0)</f>
        <v>11112</v>
      </c>
      <c r="J73" s="16">
        <f>IFERROR('Cashflow Data'!L5,0)</f>
        <v>18676</v>
      </c>
      <c r="K73" s="16">
        <f>IFERROR('Cashflow Data'!M5,0)</f>
        <v>20322</v>
      </c>
      <c r="L73" s="16">
        <f>IFERROR('Cashflow Data'!N5,0)</f>
        <v>21802</v>
      </c>
    </row>
    <row r="74" spans="1:13" outlineLevel="1" x14ac:dyDescent="0.3">
      <c r="B74" t="s">
        <v>39</v>
      </c>
      <c r="C74" s="16">
        <f>IFERROR('Cashflow Data'!E6,0)</f>
        <v>122</v>
      </c>
      <c r="D74" s="16">
        <f>IFERROR('Cashflow Data'!F6,0)</f>
        <v>-262</v>
      </c>
      <c r="E74" s="16">
        <f>IFERROR('Cashflow Data'!G6,0)</f>
        <v>-851</v>
      </c>
      <c r="F74" s="16">
        <f>IFERROR('Cashflow Data'!H6,0)</f>
        <v>340</v>
      </c>
      <c r="G74" s="16">
        <f>IFERROR('Cashflow Data'!I6,0)</f>
        <v>696</v>
      </c>
      <c r="H74" s="16">
        <f>IFERROR('Cashflow Data'!J6,0)</f>
        <v>-764</v>
      </c>
      <c r="I74" s="16">
        <f>IFERROR('Cashflow Data'!K6,0)</f>
        <v>-1258</v>
      </c>
      <c r="J74" s="16">
        <f>IFERROR('Cashflow Data'!L6,0)</f>
        <v>-1316</v>
      </c>
      <c r="K74" s="16">
        <f>IFERROR('Cashflow Data'!M6,0)</f>
        <v>-1969</v>
      </c>
      <c r="L74" s="16">
        <f>IFERROR('Cashflow Data'!N6,0)</f>
        <v>1236</v>
      </c>
    </row>
    <row r="75" spans="1:13" outlineLevel="1" x14ac:dyDescent="0.3">
      <c r="B75" t="s">
        <v>40</v>
      </c>
      <c r="C75" s="16">
        <f>IFERROR('Cashflow Data'!E7,0)</f>
        <v>-131</v>
      </c>
      <c r="D75" s="16">
        <f>IFERROR('Cashflow Data'!F7,0)</f>
        <v>104</v>
      </c>
      <c r="E75" s="16">
        <f>IFERROR('Cashflow Data'!G7,0)</f>
        <v>-162</v>
      </c>
      <c r="F75" s="16">
        <f>IFERROR('Cashflow Data'!H7,0)</f>
        <v>109</v>
      </c>
      <c r="G75" s="16">
        <f>IFERROR('Cashflow Data'!I7,0)</f>
        <v>165</v>
      </c>
      <c r="H75" s="16">
        <f>IFERROR('Cashflow Data'!J7,0)</f>
        <v>-483</v>
      </c>
      <c r="I75" s="16">
        <f>IFERROR('Cashflow Data'!K7,0)</f>
        <v>-751</v>
      </c>
      <c r="J75" s="16">
        <f>IFERROR('Cashflow Data'!L7,0)</f>
        <v>125</v>
      </c>
      <c r="K75" s="16">
        <f>IFERROR('Cashflow Data'!M7,0)</f>
        <v>-1595</v>
      </c>
      <c r="L75" s="16">
        <f>IFERROR('Cashflow Data'!N7,0)</f>
        <v>-4407</v>
      </c>
    </row>
    <row r="76" spans="1:13" outlineLevel="1" x14ac:dyDescent="0.3">
      <c r="B76" t="s">
        <v>55</v>
      </c>
      <c r="C76" s="16">
        <f>IFERROR('Cashflow Data'!E8,0)</f>
        <v>979</v>
      </c>
      <c r="D76" s="16">
        <f>IFERROR('Cashflow Data'!F8,0)</f>
        <v>2128</v>
      </c>
      <c r="E76" s="16">
        <f>IFERROR('Cashflow Data'!G8,0)</f>
        <v>-858</v>
      </c>
      <c r="F76" s="16">
        <f>IFERROR('Cashflow Data'!H8,0)</f>
        <v>-2155</v>
      </c>
      <c r="G76" s="16">
        <f>IFERROR('Cashflow Data'!I8,0)</f>
        <v>2680</v>
      </c>
      <c r="H76" s="16">
        <f>IFERROR('Cashflow Data'!J8,0)</f>
        <v>-396</v>
      </c>
      <c r="I76" s="16">
        <f>IFERROR('Cashflow Data'!K8,0)</f>
        <v>2008</v>
      </c>
      <c r="J76" s="16">
        <f>IFERROR('Cashflow Data'!L8,0)</f>
        <v>3321</v>
      </c>
      <c r="K76" s="16">
        <f>IFERROR('Cashflow Data'!M8,0)</f>
        <v>3509</v>
      </c>
      <c r="L76" s="16">
        <f>IFERROR('Cashflow Data'!N8,0)</f>
        <v>5194</v>
      </c>
    </row>
    <row r="77" spans="1:13" outlineLevel="1" x14ac:dyDescent="0.3">
      <c r="B77" t="s">
        <v>56</v>
      </c>
      <c r="C77" s="16">
        <f>IFERROR('Cashflow Data'!E9,0)</f>
        <v>1</v>
      </c>
      <c r="D77" s="16">
        <f>IFERROR('Cashflow Data'!F9,0)</f>
        <v>0</v>
      </c>
      <c r="E77" s="16">
        <f>IFERROR('Cashflow Data'!G9,0)</f>
        <v>-13</v>
      </c>
      <c r="F77" s="16">
        <f>IFERROR('Cashflow Data'!H9,0)</f>
        <v>-1</v>
      </c>
      <c r="G77" s="16">
        <f>IFERROR('Cashflow Data'!I9,0)</f>
        <v>-6</v>
      </c>
      <c r="H77" s="16">
        <f>IFERROR('Cashflow Data'!J9,0)</f>
        <v>-8</v>
      </c>
      <c r="I77" s="16">
        <f>IFERROR('Cashflow Data'!K9,0)</f>
        <v>1</v>
      </c>
      <c r="J77" s="16">
        <f>IFERROR('Cashflow Data'!L9,0)</f>
        <v>-3</v>
      </c>
      <c r="K77" s="16">
        <f>IFERROR('Cashflow Data'!M9,0)</f>
        <v>-10</v>
      </c>
      <c r="L77" s="16">
        <f>IFERROR('Cashflow Data'!N9,0)</f>
        <v>-1</v>
      </c>
    </row>
    <row r="78" spans="1:13" outlineLevel="1" x14ac:dyDescent="0.3">
      <c r="B78" t="s">
        <v>57</v>
      </c>
      <c r="C78" s="16">
        <f>IFERROR('Cashflow Data'!E10,0)</f>
        <v>1222</v>
      </c>
      <c r="D78" s="16">
        <f>IFERROR('Cashflow Data'!F10,0)</f>
        <v>839</v>
      </c>
      <c r="E78" s="16">
        <f>IFERROR('Cashflow Data'!G10,0)</f>
        <v>569</v>
      </c>
      <c r="F78" s="16">
        <f>IFERROR('Cashflow Data'!H10,0)</f>
        <v>-863</v>
      </c>
      <c r="G78" s="16">
        <f>IFERROR('Cashflow Data'!I10,0)</f>
        <v>801</v>
      </c>
      <c r="H78" s="16">
        <f>IFERROR('Cashflow Data'!J10,0)</f>
        <v>-1162</v>
      </c>
      <c r="I78" s="16">
        <f>IFERROR('Cashflow Data'!K10,0)</f>
        <v>374</v>
      </c>
      <c r="J78" s="16">
        <f>IFERROR('Cashflow Data'!L10,0)</f>
        <v>-406</v>
      </c>
      <c r="K78" s="16">
        <f>IFERROR('Cashflow Data'!M10,0)</f>
        <v>-313</v>
      </c>
      <c r="L78" s="16">
        <f>IFERROR('Cashflow Data'!N10,0)</f>
        <v>-387</v>
      </c>
    </row>
    <row r="79" spans="1:13" outlineLevel="1" x14ac:dyDescent="0.3">
      <c r="B79" t="s">
        <v>58</v>
      </c>
      <c r="C79" s="16">
        <f>IFERROR('Cashflow Data'!E11,0)</f>
        <v>2192</v>
      </c>
      <c r="D79" s="16">
        <f>IFERROR('Cashflow Data'!F11,0)</f>
        <v>2808</v>
      </c>
      <c r="E79" s="16">
        <f>IFERROR('Cashflow Data'!G11,0)</f>
        <v>-1315</v>
      </c>
      <c r="F79" s="16">
        <f>IFERROR('Cashflow Data'!H11,0)</f>
        <v>-2570</v>
      </c>
      <c r="G79" s="16">
        <f>IFERROR('Cashflow Data'!I11,0)</f>
        <v>4336</v>
      </c>
      <c r="H79" s="16">
        <f>IFERROR('Cashflow Data'!J11,0)</f>
        <v>-2813</v>
      </c>
      <c r="I79" s="16">
        <f>IFERROR('Cashflow Data'!K11,0)</f>
        <v>373</v>
      </c>
      <c r="J79" s="16">
        <f>IFERROR('Cashflow Data'!L11,0)</f>
        <v>1722</v>
      </c>
      <c r="K79" s="16">
        <f>IFERROR('Cashflow Data'!M11,0)</f>
        <v>-378</v>
      </c>
      <c r="L79" s="16">
        <f>IFERROR('Cashflow Data'!N11,0)</f>
        <v>1635</v>
      </c>
    </row>
    <row r="80" spans="1:13" outlineLevel="1" x14ac:dyDescent="0.3">
      <c r="B80" t="s">
        <v>59</v>
      </c>
      <c r="C80" s="16">
        <f>IFERROR('Cashflow Data'!E12,0)</f>
        <v>-2323</v>
      </c>
      <c r="D80" s="16">
        <f>IFERROR('Cashflow Data'!F12,0)</f>
        <v>-3056</v>
      </c>
      <c r="E80" s="16">
        <f>IFERROR('Cashflow Data'!G12,0)</f>
        <v>-3144</v>
      </c>
      <c r="F80" s="16">
        <f>IFERROR('Cashflow Data'!H12,0)</f>
        <v>-1438</v>
      </c>
      <c r="G80" s="16">
        <f>IFERROR('Cashflow Data'!I12,0)</f>
        <v>-1011</v>
      </c>
      <c r="H80" s="16">
        <f>IFERROR('Cashflow Data'!J12,0)</f>
        <v>-1178</v>
      </c>
      <c r="I80" s="16">
        <f>IFERROR('Cashflow Data'!K12,0)</f>
        <v>-2233</v>
      </c>
      <c r="J80" s="16">
        <f>IFERROR('Cashflow Data'!L12,0)</f>
        <v>-3597</v>
      </c>
      <c r="K80" s="16">
        <f>IFERROR('Cashflow Data'!M12,0)</f>
        <v>-3807</v>
      </c>
      <c r="L80" s="16">
        <f>IFERROR('Cashflow Data'!N12,0)</f>
        <v>-4337</v>
      </c>
    </row>
    <row r="81" spans="2:12" outlineLevel="1" x14ac:dyDescent="0.3">
      <c r="B81" s="21" t="s">
        <v>46</v>
      </c>
      <c r="C81" s="22">
        <f>SUM(C73:C80)</f>
        <v>12475</v>
      </c>
      <c r="D81" s="22">
        <f t="shared" ref="D81:L81" si="23">SUM(D73:D80)</f>
        <v>14597</v>
      </c>
      <c r="E81" s="22">
        <f t="shared" si="23"/>
        <v>5286</v>
      </c>
      <c r="F81" s="22">
        <f t="shared" si="23"/>
        <v>925</v>
      </c>
      <c r="G81" s="22">
        <f t="shared" si="23"/>
        <v>13192</v>
      </c>
      <c r="H81" s="22">
        <f t="shared" si="23"/>
        <v>-972</v>
      </c>
      <c r="I81" s="22">
        <f t="shared" si="23"/>
        <v>9626</v>
      </c>
      <c r="J81" s="22">
        <f t="shared" si="23"/>
        <v>18522</v>
      </c>
      <c r="K81" s="22">
        <f t="shared" si="23"/>
        <v>15759</v>
      </c>
      <c r="L81" s="22">
        <f t="shared" si="23"/>
        <v>20735</v>
      </c>
    </row>
    <row r="82" spans="2:12" outlineLevel="1" x14ac:dyDescent="0.3">
      <c r="B82" s="10"/>
    </row>
    <row r="83" spans="2:12" outlineLevel="1" x14ac:dyDescent="0.3">
      <c r="B83" s="10" t="s">
        <v>111</v>
      </c>
    </row>
    <row r="84" spans="2:12" outlineLevel="1" x14ac:dyDescent="0.3">
      <c r="B84" t="s">
        <v>61</v>
      </c>
      <c r="C84" s="16">
        <f>IFERROR('Cashflow Data'!E14,0)</f>
        <v>-3391</v>
      </c>
      <c r="D84" s="16">
        <f>IFERROR('Cashflow Data'!F14,0)</f>
        <v>-3912</v>
      </c>
      <c r="E84" s="16">
        <f>IFERROR('Cashflow Data'!G14,0)</f>
        <v>-4872</v>
      </c>
      <c r="F84" s="16">
        <f>IFERROR('Cashflow Data'!H14,0)</f>
        <v>-3437</v>
      </c>
      <c r="G84" s="16">
        <f>IFERROR('Cashflow Data'!I14,0)</f>
        <v>-2370</v>
      </c>
      <c r="H84" s="16">
        <f>IFERROR('Cashflow Data'!J14,0)</f>
        <v>-3459</v>
      </c>
      <c r="I84" s="16">
        <f>IFERROR('Cashflow Data'!K14,0)</f>
        <v>-6347</v>
      </c>
      <c r="J84" s="16">
        <f>IFERROR('Cashflow Data'!L14,0)</f>
        <v>-9200</v>
      </c>
      <c r="K84" s="16">
        <f>IFERROR('Cashflow Data'!M14,0)</f>
        <v>-10641</v>
      </c>
      <c r="L84" s="16">
        <f>IFERROR('Cashflow Data'!N14,0)</f>
        <v>-10398</v>
      </c>
    </row>
    <row r="85" spans="2:12" outlineLevel="1" x14ac:dyDescent="0.3">
      <c r="B85" t="s">
        <v>62</v>
      </c>
      <c r="C85" s="16">
        <f>IFERROR('Cashflow Data'!E15,0)</f>
        <v>16</v>
      </c>
      <c r="D85" s="16">
        <f>IFERROR('Cashflow Data'!F15,0)</f>
        <v>26</v>
      </c>
      <c r="E85" s="16">
        <f>IFERROR('Cashflow Data'!G15,0)</f>
        <v>170</v>
      </c>
      <c r="F85" s="16">
        <f>IFERROR('Cashflow Data'!H15,0)</f>
        <v>37</v>
      </c>
      <c r="G85" s="16">
        <f>IFERROR('Cashflow Data'!I15,0)</f>
        <v>42</v>
      </c>
      <c r="H85" s="16">
        <f>IFERROR('Cashflow Data'!J15,0)</f>
        <v>136</v>
      </c>
      <c r="I85" s="16">
        <f>IFERROR('Cashflow Data'!K15,0)</f>
        <v>100</v>
      </c>
      <c r="J85" s="16">
        <f>IFERROR('Cashflow Data'!L15,0)</f>
        <v>45</v>
      </c>
      <c r="K85" s="16">
        <f>IFERROR('Cashflow Data'!M15,0)</f>
        <v>38</v>
      </c>
      <c r="L85" s="16">
        <f>IFERROR('Cashflow Data'!N15,0)</f>
        <v>52</v>
      </c>
    </row>
    <row r="86" spans="2:12" outlineLevel="1" x14ac:dyDescent="0.3">
      <c r="B86" t="s">
        <v>63</v>
      </c>
      <c r="C86" s="16">
        <f>IFERROR('Cashflow Data'!E16,0)</f>
        <v>-17716</v>
      </c>
      <c r="D86" s="16">
        <f>IFERROR('Cashflow Data'!F16,0)</f>
        <v>-47069</v>
      </c>
      <c r="E86" s="16">
        <f>IFERROR('Cashflow Data'!G16,0)</f>
        <v>-52957</v>
      </c>
      <c r="F86" s="16">
        <f>IFERROR('Cashflow Data'!H16,0)</f>
        <v>-44205</v>
      </c>
      <c r="G86" s="16">
        <f>IFERROR('Cashflow Data'!I16,0)</f>
        <v>-44869</v>
      </c>
      <c r="H86" s="16">
        <f>IFERROR('Cashflow Data'!J16,0)</f>
        <v>-60525</v>
      </c>
      <c r="I86" s="16">
        <f>IFERROR('Cashflow Data'!K16,0)</f>
        <v>-66597</v>
      </c>
      <c r="J86" s="16">
        <f>IFERROR('Cashflow Data'!L16,0)</f>
        <v>-65736</v>
      </c>
      <c r="K86" s="16">
        <f>IFERROR('Cashflow Data'!M16,0)</f>
        <v>-73882</v>
      </c>
      <c r="L86" s="16">
        <f>IFERROR('Cashflow Data'!N16,0)</f>
        <v>-108034</v>
      </c>
    </row>
    <row r="87" spans="2:12" outlineLevel="1" x14ac:dyDescent="0.3">
      <c r="B87" t="s">
        <v>64</v>
      </c>
      <c r="C87" s="16">
        <f>IFERROR('Cashflow Data'!E17,0)</f>
        <v>11839</v>
      </c>
      <c r="D87" s="16">
        <f>IFERROR('Cashflow Data'!F17,0)</f>
        <v>42564</v>
      </c>
      <c r="E87" s="16">
        <f>IFERROR('Cashflow Data'!G17,0)</f>
        <v>53986</v>
      </c>
      <c r="F87" s="16">
        <f>IFERROR('Cashflow Data'!H17,0)</f>
        <v>46969</v>
      </c>
      <c r="G87" s="16">
        <f>IFERROR('Cashflow Data'!I17,0)</f>
        <v>42920</v>
      </c>
      <c r="H87" s="16">
        <f>IFERROR('Cashflow Data'!J17,0)</f>
        <v>63579</v>
      </c>
      <c r="I87" s="16">
        <f>IFERROR('Cashflow Data'!K17,0)</f>
        <v>61605</v>
      </c>
      <c r="J87" s="16">
        <f>IFERROR('Cashflow Data'!L17,0)</f>
        <v>61933</v>
      </c>
      <c r="K87" s="16">
        <f>IFERROR('Cashflow Data'!M17,0)</f>
        <v>69795</v>
      </c>
      <c r="L87" s="16">
        <f>IFERROR('Cashflow Data'!N17,0)</f>
        <v>101969</v>
      </c>
    </row>
    <row r="88" spans="2:12" outlineLevel="1" x14ac:dyDescent="0.3">
      <c r="B88" t="s">
        <v>65</v>
      </c>
      <c r="C88" s="16">
        <f>IFERROR('Cashflow Data'!E18,0)</f>
        <v>36</v>
      </c>
      <c r="D88" s="16">
        <f>IFERROR('Cashflow Data'!F18,0)</f>
        <v>68</v>
      </c>
      <c r="E88" s="16">
        <f>IFERROR('Cashflow Data'!G18,0)</f>
        <v>124</v>
      </c>
      <c r="F88" s="16">
        <f>IFERROR('Cashflow Data'!H18,0)</f>
        <v>96</v>
      </c>
      <c r="G88" s="16">
        <f>IFERROR('Cashflow Data'!I18,0)</f>
        <v>67</v>
      </c>
      <c r="H88" s="16">
        <f>IFERROR('Cashflow Data'!J18,0)</f>
        <v>174</v>
      </c>
      <c r="I88" s="16">
        <f>IFERROR('Cashflow Data'!K18,0)</f>
        <v>194</v>
      </c>
      <c r="J88" s="16">
        <f>IFERROR('Cashflow Data'!L18,0)</f>
        <v>372</v>
      </c>
      <c r="K88" s="16">
        <f>IFERROR('Cashflow Data'!M18,0)</f>
        <v>444</v>
      </c>
      <c r="L88" s="16">
        <f>IFERROR('Cashflow Data'!N18,0)</f>
        <v>354</v>
      </c>
    </row>
    <row r="89" spans="2:12" outlineLevel="1" x14ac:dyDescent="0.3">
      <c r="B89" t="s">
        <v>81</v>
      </c>
      <c r="C89" s="16">
        <f>IFERROR('Cashflow Data'!E19,0)</f>
        <v>13</v>
      </c>
      <c r="D89" s="16">
        <f>IFERROR('Cashflow Data'!F19,0)</f>
        <v>20</v>
      </c>
      <c r="E89" s="16">
        <f>IFERROR('Cashflow Data'!G19,0)</f>
        <v>9</v>
      </c>
      <c r="F89" s="16">
        <f>IFERROR('Cashflow Data'!H19,0)</f>
        <v>4</v>
      </c>
      <c r="G89" s="16">
        <f>IFERROR('Cashflow Data'!I19,0)</f>
        <v>3</v>
      </c>
      <c r="H89" s="16">
        <f>IFERROR('Cashflow Data'!J19,0)</f>
        <v>3</v>
      </c>
      <c r="I89" s="16">
        <f>IFERROR('Cashflow Data'!K19,0)</f>
        <v>6</v>
      </c>
      <c r="J89" s="16">
        <f>IFERROR('Cashflow Data'!L19,0)</f>
        <v>6</v>
      </c>
      <c r="K89" s="16">
        <f>IFERROR('Cashflow Data'!M19,0)</f>
        <v>9</v>
      </c>
      <c r="L89" s="16">
        <f>IFERROR('Cashflow Data'!N19,0)</f>
        <v>11</v>
      </c>
    </row>
    <row r="90" spans="2:12" outlineLevel="1" x14ac:dyDescent="0.3">
      <c r="B90" t="s">
        <v>66</v>
      </c>
      <c r="C90" s="16">
        <f>IFERROR('Cashflow Data'!E20,0)</f>
        <v>22</v>
      </c>
      <c r="D90" s="16">
        <f>IFERROR('Cashflow Data'!F20,0)</f>
        <v>0</v>
      </c>
      <c r="E90" s="16">
        <f>IFERROR('Cashflow Data'!G20,0)</f>
        <v>0</v>
      </c>
      <c r="F90" s="16">
        <f>IFERROR('Cashflow Data'!H20,0)</f>
        <v>0</v>
      </c>
      <c r="G90" s="16">
        <f>IFERROR('Cashflow Data'!I20,0)</f>
        <v>0</v>
      </c>
      <c r="H90" s="16">
        <f>IFERROR('Cashflow Data'!J20,0)</f>
        <v>0</v>
      </c>
      <c r="I90" s="16">
        <f>IFERROR('Cashflow Data'!K20,0)</f>
        <v>0</v>
      </c>
      <c r="J90" s="16">
        <f>IFERROR('Cashflow Data'!L20,0)</f>
        <v>0</v>
      </c>
      <c r="K90" s="16">
        <f>IFERROR('Cashflow Data'!M20,0)</f>
        <v>0</v>
      </c>
      <c r="L90" s="16">
        <f>IFERROR('Cashflow Data'!N20,0)</f>
        <v>0</v>
      </c>
    </row>
    <row r="91" spans="2:12" outlineLevel="1" x14ac:dyDescent="0.3">
      <c r="B91" t="s">
        <v>67</v>
      </c>
      <c r="C91" s="16">
        <f>IFERROR('Cashflow Data'!E21,0)</f>
        <v>0</v>
      </c>
      <c r="D91" s="16">
        <f>IFERROR('Cashflow Data'!F21,0)</f>
        <v>0</v>
      </c>
      <c r="E91" s="16">
        <f>IFERROR('Cashflow Data'!G21,0)</f>
        <v>0</v>
      </c>
      <c r="F91" s="16">
        <f>IFERROR('Cashflow Data'!H21,0)</f>
        <v>-15</v>
      </c>
      <c r="G91" s="16">
        <f>IFERROR('Cashflow Data'!I21,0)</f>
        <v>-65</v>
      </c>
      <c r="H91" s="16">
        <f>IFERROR('Cashflow Data'!J21,0)</f>
        <v>-146</v>
      </c>
      <c r="I91" s="16">
        <f>IFERROR('Cashflow Data'!K21,0)</f>
        <v>0</v>
      </c>
      <c r="J91" s="16">
        <f>IFERROR('Cashflow Data'!L21,0)</f>
        <v>-80</v>
      </c>
      <c r="K91" s="16">
        <f>IFERROR('Cashflow Data'!M21,0)</f>
        <v>-18</v>
      </c>
      <c r="L91" s="16">
        <f>IFERROR('Cashflow Data'!N21,0)</f>
        <v>0</v>
      </c>
    </row>
    <row r="92" spans="2:12" outlineLevel="1" x14ac:dyDescent="0.3">
      <c r="B92" t="s">
        <v>68</v>
      </c>
      <c r="C92" s="16">
        <f>IFERROR('Cashflow Data'!E22,0)</f>
        <v>7</v>
      </c>
      <c r="D92" s="16">
        <f>IFERROR('Cashflow Data'!F22,0)</f>
        <v>0</v>
      </c>
      <c r="E92" s="16">
        <f>IFERROR('Cashflow Data'!G22,0)</f>
        <v>0</v>
      </c>
      <c r="F92" s="16">
        <f>IFERROR('Cashflow Data'!H22,0)</f>
        <v>-5</v>
      </c>
      <c r="G92" s="16">
        <f>IFERROR('Cashflow Data'!I22,0)</f>
        <v>-3019</v>
      </c>
      <c r="H92" s="16">
        <f>IFERROR('Cashflow Data'!J22,0)</f>
        <v>-1</v>
      </c>
      <c r="I92" s="16">
        <f>IFERROR('Cashflow Data'!K22,0)</f>
        <v>3003</v>
      </c>
      <c r="J92" s="16">
        <f>IFERROR('Cashflow Data'!L22,0)</f>
        <v>795</v>
      </c>
      <c r="K92" s="16">
        <f>IFERROR('Cashflow Data'!M22,0)</f>
        <v>-201</v>
      </c>
      <c r="L92" s="16">
        <f>IFERROR('Cashflow Data'!N22,0)</f>
        <v>1311</v>
      </c>
    </row>
    <row r="93" spans="2:12" outlineLevel="1" x14ac:dyDescent="0.3">
      <c r="B93" s="21" t="s">
        <v>112</v>
      </c>
      <c r="C93" s="22">
        <f>SUM(C84:C92)</f>
        <v>-9174</v>
      </c>
      <c r="D93" s="22">
        <f t="shared" ref="D93:L93" si="24">SUM(D84:D92)</f>
        <v>-8303</v>
      </c>
      <c r="E93" s="22">
        <f t="shared" si="24"/>
        <v>-3540</v>
      </c>
      <c r="F93" s="22">
        <f t="shared" si="24"/>
        <v>-556</v>
      </c>
      <c r="G93" s="22">
        <f t="shared" si="24"/>
        <v>-7291</v>
      </c>
      <c r="H93" s="22">
        <f t="shared" si="24"/>
        <v>-239</v>
      </c>
      <c r="I93" s="22">
        <f t="shared" si="24"/>
        <v>-8036</v>
      </c>
      <c r="J93" s="22">
        <f t="shared" si="24"/>
        <v>-11865</v>
      </c>
      <c r="K93" s="22">
        <f t="shared" si="24"/>
        <v>-14456</v>
      </c>
      <c r="L93" s="22">
        <f t="shared" si="24"/>
        <v>-14735</v>
      </c>
    </row>
    <row r="94" spans="2:12" outlineLevel="1" x14ac:dyDescent="0.3"/>
    <row r="95" spans="2:12" outlineLevel="1" x14ac:dyDescent="0.3">
      <c r="B95" s="10" t="s">
        <v>113</v>
      </c>
    </row>
    <row r="96" spans="2:12" outlineLevel="1" x14ac:dyDescent="0.3">
      <c r="B96" t="s">
        <v>70</v>
      </c>
      <c r="C96" s="16">
        <f>IFERROR('Cashflow Data'!E24,0)</f>
        <v>484</v>
      </c>
      <c r="D96" s="16">
        <f>IFERROR('Cashflow Data'!F24,0)</f>
        <v>10</v>
      </c>
      <c r="E96" s="16">
        <f>IFERROR('Cashflow Data'!G24,0)</f>
        <v>39</v>
      </c>
      <c r="F96" s="16">
        <f>IFERROR('Cashflow Data'!H24,0)</f>
        <v>0</v>
      </c>
      <c r="G96" s="16">
        <f>IFERROR('Cashflow Data'!I24,0)</f>
        <v>380</v>
      </c>
      <c r="H96" s="16">
        <f>IFERROR('Cashflow Data'!J24,0)</f>
        <v>0</v>
      </c>
      <c r="I96" s="16">
        <f>IFERROR('Cashflow Data'!K24,0)</f>
        <v>831</v>
      </c>
      <c r="J96" s="16">
        <f>IFERROR('Cashflow Data'!L24,0)</f>
        <v>0</v>
      </c>
      <c r="K96" s="16">
        <f>IFERROR('Cashflow Data'!M24,0)</f>
        <v>0</v>
      </c>
      <c r="L96" s="16">
        <f>IFERROR('Cashflow Data'!N24,0)</f>
        <v>0</v>
      </c>
    </row>
    <row r="97" spans="2:12" outlineLevel="1" x14ac:dyDescent="0.3">
      <c r="B97" t="s">
        <v>71</v>
      </c>
      <c r="C97" s="16">
        <f>IFERROR('Cashflow Data'!E25,0)</f>
        <v>-231</v>
      </c>
      <c r="D97" s="16">
        <f>IFERROR('Cashflow Data'!F25,0)</f>
        <v>-373</v>
      </c>
      <c r="E97" s="16">
        <f>IFERROR('Cashflow Data'!G25,0)</f>
        <v>0</v>
      </c>
      <c r="F97" s="16">
        <f>IFERROR('Cashflow Data'!H25,0)</f>
        <v>-46</v>
      </c>
      <c r="G97" s="16">
        <f>IFERROR('Cashflow Data'!I25,0)</f>
        <v>0</v>
      </c>
      <c r="H97" s="16">
        <f>IFERROR('Cashflow Data'!J25,0)</f>
        <v>-110</v>
      </c>
      <c r="I97" s="16">
        <f>IFERROR('Cashflow Data'!K25,0)</f>
        <v>0</v>
      </c>
      <c r="J97" s="16">
        <f>IFERROR('Cashflow Data'!L25,0)</f>
        <v>-1183</v>
      </c>
      <c r="K97" s="16">
        <f>IFERROR('Cashflow Data'!M25,0)</f>
        <v>-33</v>
      </c>
      <c r="L97" s="16">
        <f>IFERROR('Cashflow Data'!N25,0)</f>
        <v>0</v>
      </c>
    </row>
    <row r="98" spans="2:12" outlineLevel="1" x14ac:dyDescent="0.3">
      <c r="B98" t="s">
        <v>72</v>
      </c>
      <c r="C98" s="16">
        <f>IFERROR('Cashflow Data'!E26,0)</f>
        <v>-110</v>
      </c>
      <c r="D98" s="16">
        <f>IFERROR('Cashflow Data'!F26,0)</f>
        <v>-346</v>
      </c>
      <c r="E98" s="16">
        <f>IFERROR('Cashflow Data'!G26,0)</f>
        <v>-73</v>
      </c>
      <c r="F98" s="16">
        <f>IFERROR('Cashflow Data'!H26,0)</f>
        <v>-136</v>
      </c>
      <c r="G98" s="16">
        <f>IFERROR('Cashflow Data'!I26,0)</f>
        <v>-102</v>
      </c>
      <c r="H98" s="16">
        <f>IFERROR('Cashflow Data'!J26,0)</f>
        <v>-130</v>
      </c>
      <c r="I98" s="16">
        <f>IFERROR('Cashflow Data'!K26,0)</f>
        <v>-186</v>
      </c>
      <c r="J98" s="16">
        <f>IFERROR('Cashflow Data'!L26,0)</f>
        <v>-147</v>
      </c>
      <c r="K98" s="16">
        <f>IFERROR('Cashflow Data'!M26,0)</f>
        <v>-167</v>
      </c>
      <c r="L98" s="16">
        <f>IFERROR('Cashflow Data'!N26,0)</f>
        <v>-204</v>
      </c>
    </row>
    <row r="99" spans="2:12" outlineLevel="1" x14ac:dyDescent="0.3">
      <c r="B99" t="s">
        <v>73</v>
      </c>
      <c r="C99" s="16">
        <f>IFERROR('Cashflow Data'!E27,0)</f>
        <v>-1057</v>
      </c>
      <c r="D99" s="16">
        <f>IFERROR('Cashflow Data'!F27,0)</f>
        <v>-2266</v>
      </c>
      <c r="E99" s="16">
        <f>IFERROR('Cashflow Data'!G27,0)</f>
        <v>-2417</v>
      </c>
      <c r="F99" s="16">
        <f>IFERROR('Cashflow Data'!H27,0)</f>
        <v>-2417</v>
      </c>
      <c r="G99" s="16">
        <f>IFERROR('Cashflow Data'!I27,0)</f>
        <v>-1812</v>
      </c>
      <c r="H99" s="16">
        <f>IFERROR('Cashflow Data'!J27,0)</f>
        <v>-1359</v>
      </c>
      <c r="I99" s="16">
        <f>IFERROR('Cashflow Data'!K27,0)</f>
        <v>-1812</v>
      </c>
      <c r="J99" s="16">
        <f>IFERROR('Cashflow Data'!L27,0)</f>
        <v>-2719</v>
      </c>
      <c r="K99" s="16">
        <f>IFERROR('Cashflow Data'!M27,0)</f>
        <v>-3930</v>
      </c>
      <c r="L99" s="16">
        <f>IFERROR('Cashflow Data'!N27,0)</f>
        <v>-4244</v>
      </c>
    </row>
    <row r="100" spans="2:12" outlineLevel="1" x14ac:dyDescent="0.3">
      <c r="B100" t="s">
        <v>74</v>
      </c>
      <c r="C100" s="16">
        <f>IFERROR('Cashflow Data'!E28,0)</f>
        <v>0</v>
      </c>
      <c r="D100" s="16">
        <f>IFERROR('Cashflow Data'!F28,0)</f>
        <v>0</v>
      </c>
      <c r="E100" s="16">
        <f>IFERROR('Cashflow Data'!G28,0)</f>
        <v>0</v>
      </c>
      <c r="F100" s="16">
        <f>IFERROR('Cashflow Data'!H28,0)</f>
        <v>-10</v>
      </c>
      <c r="G100" s="16">
        <f>IFERROR('Cashflow Data'!I28,0)</f>
        <v>-11</v>
      </c>
      <c r="H100" s="16">
        <f>IFERROR('Cashflow Data'!J28,0)</f>
        <v>-8</v>
      </c>
      <c r="I100" s="16">
        <f>IFERROR('Cashflow Data'!K28,0)</f>
        <v>-46</v>
      </c>
      <c r="J100" s="16">
        <f>IFERROR('Cashflow Data'!L28,0)</f>
        <v>-13</v>
      </c>
      <c r="K100" s="16">
        <f>IFERROR('Cashflow Data'!M28,0)</f>
        <v>-25</v>
      </c>
      <c r="L100" s="16">
        <f>IFERROR('Cashflow Data'!N28,0)</f>
        <v>-36</v>
      </c>
    </row>
    <row r="101" spans="2:12" outlineLevel="1" x14ac:dyDescent="0.3">
      <c r="B101" t="s">
        <v>75</v>
      </c>
      <c r="C101" s="16">
        <f>IFERROR('Cashflow Data'!E29,0)</f>
        <v>-215</v>
      </c>
      <c r="D101" s="16">
        <f>IFERROR('Cashflow Data'!F29,0)</f>
        <v>-461</v>
      </c>
      <c r="E101" s="16">
        <f>IFERROR('Cashflow Data'!G29,0)</f>
        <v>-497</v>
      </c>
      <c r="F101" s="16">
        <f>IFERROR('Cashflow Data'!H29,0)</f>
        <v>-497</v>
      </c>
      <c r="G101" s="16">
        <f>IFERROR('Cashflow Data'!I29,0)</f>
        <v>0</v>
      </c>
      <c r="H101" s="16">
        <f>IFERROR('Cashflow Data'!J29,0)</f>
        <v>0</v>
      </c>
      <c r="I101" s="16">
        <f>IFERROR('Cashflow Data'!K29,0)</f>
        <v>0</v>
      </c>
      <c r="J101" s="16">
        <f>IFERROR('Cashflow Data'!L29,0)</f>
        <v>0</v>
      </c>
      <c r="K101" s="16">
        <f>IFERROR('Cashflow Data'!M29,0)</f>
        <v>0</v>
      </c>
      <c r="L101" s="16">
        <f>IFERROR('Cashflow Data'!N29,0)</f>
        <v>0</v>
      </c>
    </row>
    <row r="102" spans="2:12" outlineLevel="1" x14ac:dyDescent="0.3">
      <c r="B102" s="21" t="s">
        <v>114</v>
      </c>
      <c r="C102" s="22">
        <f>SUM(C96:C101)</f>
        <v>-1129</v>
      </c>
      <c r="D102" s="22">
        <f t="shared" ref="D102:L102" si="25">SUM(D96:D101)</f>
        <v>-3436</v>
      </c>
      <c r="E102" s="22">
        <f t="shared" si="25"/>
        <v>-2948</v>
      </c>
      <c r="F102" s="22">
        <f t="shared" si="25"/>
        <v>-3106</v>
      </c>
      <c r="G102" s="22">
        <f t="shared" si="25"/>
        <v>-1545</v>
      </c>
      <c r="H102" s="22">
        <f t="shared" si="25"/>
        <v>-1607</v>
      </c>
      <c r="I102" s="22">
        <f t="shared" si="25"/>
        <v>-1213</v>
      </c>
      <c r="J102" s="22">
        <f t="shared" si="25"/>
        <v>-4062</v>
      </c>
      <c r="K102" s="22">
        <f t="shared" si="25"/>
        <v>-4155</v>
      </c>
      <c r="L102" s="22">
        <f t="shared" si="25"/>
        <v>-4484</v>
      </c>
    </row>
    <row r="103" spans="2:12" outlineLevel="1" x14ac:dyDescent="0.3"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2:12" outlineLevel="1" x14ac:dyDescent="0.3">
      <c r="B104" s="21" t="s">
        <v>49</v>
      </c>
      <c r="C104" s="22">
        <f>SUM(C102,C93,C81)</f>
        <v>2172</v>
      </c>
      <c r="D104" s="22">
        <f t="shared" ref="D104:L104" si="26">SUM(D102,D93,D81)</f>
        <v>2858</v>
      </c>
      <c r="E104" s="22">
        <f t="shared" si="26"/>
        <v>-1202</v>
      </c>
      <c r="F104" s="22">
        <f t="shared" si="26"/>
        <v>-2737</v>
      </c>
      <c r="G104" s="22">
        <f t="shared" si="26"/>
        <v>4356</v>
      </c>
      <c r="H104" s="22">
        <f t="shared" si="26"/>
        <v>-2818</v>
      </c>
      <c r="I104" s="22">
        <f t="shared" si="26"/>
        <v>377</v>
      </c>
      <c r="J104" s="22">
        <f t="shared" si="26"/>
        <v>2595</v>
      </c>
      <c r="K104" s="22">
        <f t="shared" si="26"/>
        <v>-2852</v>
      </c>
      <c r="L104" s="22">
        <f t="shared" si="26"/>
        <v>1516</v>
      </c>
    </row>
  </sheetData>
  <mergeCells count="1">
    <mergeCell ref="B2:M2"/>
  </mergeCells>
  <pageMargins left="0.7" right="0.7" top="0.75" bottom="0.75" header="0.3" footer="0.3"/>
  <ignoredErrors>
    <ignoredError sqref="M6 M9 C15:L15 M18 M24 M27 M21 M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E575-D644-43AB-A873-2455974D39B9}">
  <dimension ref="B2:P40"/>
  <sheetViews>
    <sheetView showGridLines="0" tabSelected="1" topLeftCell="A3" zoomScale="70" zoomScaleNormal="70" workbookViewId="0">
      <selection activeCell="U17" sqref="U17"/>
    </sheetView>
  </sheetViews>
  <sheetFormatPr defaultRowHeight="14.4" x14ac:dyDescent="0.3"/>
  <cols>
    <col min="1" max="1" width="1.88671875" customWidth="1"/>
    <col min="2" max="2" width="24.5546875" customWidth="1"/>
    <col min="3" max="12" width="12.21875" customWidth="1"/>
    <col min="13" max="13" width="17.33203125" customWidth="1"/>
    <col min="14" max="15" width="12.21875" customWidth="1"/>
  </cols>
  <sheetData>
    <row r="2" spans="2:16" x14ac:dyDescent="0.3">
      <c r="B2" s="209" t="str">
        <f>"Ratio Analysis"&amp;" - "&amp;'Data Sheet'!B1</f>
        <v>Ratio Analysis - MARUTI SUZUKI INDIA LTD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</row>
    <row r="3" spans="2:16" x14ac:dyDescent="0.3">
      <c r="B3" s="12" t="s">
        <v>76</v>
      </c>
      <c r="C3" s="13">
        <f>HistoricalFS!C3</f>
        <v>42825</v>
      </c>
      <c r="D3" s="13">
        <f>HistoricalFS!D3</f>
        <v>43190</v>
      </c>
      <c r="E3" s="13">
        <f>HistoricalFS!E3</f>
        <v>43555</v>
      </c>
      <c r="F3" s="13">
        <f>HistoricalFS!F3</f>
        <v>43921</v>
      </c>
      <c r="G3" s="13">
        <f>HistoricalFS!G3</f>
        <v>44286</v>
      </c>
      <c r="H3" s="13">
        <f>HistoricalFS!H3</f>
        <v>44651</v>
      </c>
      <c r="I3" s="13">
        <f>HistoricalFS!I3</f>
        <v>45016</v>
      </c>
      <c r="J3" s="13">
        <f>HistoricalFS!J3</f>
        <v>45382</v>
      </c>
      <c r="K3" s="13">
        <f>HistoricalFS!K3</f>
        <v>45747</v>
      </c>
      <c r="L3" s="13">
        <f>HistoricalFS!L3</f>
        <v>46112</v>
      </c>
      <c r="M3" s="13" t="s">
        <v>144</v>
      </c>
      <c r="N3" s="31" t="s">
        <v>116</v>
      </c>
      <c r="O3" s="13" t="s">
        <v>117</v>
      </c>
      <c r="P3" s="8"/>
    </row>
    <row r="5" spans="2:16" x14ac:dyDescent="0.3">
      <c r="B5" s="24" t="s">
        <v>79</v>
      </c>
      <c r="C5" s="24"/>
      <c r="D5" s="25">
        <f>IFERROR(HistoricalFS!D6/HistoricalFS!C6-1,0)</f>
        <v>0.17220239406624072</v>
      </c>
      <c r="E5" s="25">
        <f>IFERROR(HistoricalFS!E6/HistoricalFS!D6-1,0)</f>
        <v>7.8425598989592782E-2</v>
      </c>
      <c r="F5" s="25">
        <f>IFERROR(HistoricalFS!F6/HistoricalFS!E6-1,0)</f>
        <v>-0.12093274542951249</v>
      </c>
      <c r="G5" s="25">
        <f>IFERROR(HistoricalFS!G6/HistoricalFS!F6-1,0)</f>
        <v>-6.9891620407084298E-2</v>
      </c>
      <c r="H5" s="25">
        <f>IFERROR(HistoricalFS!H6/HistoricalFS!G6-1,0)</f>
        <v>0.25518387995225389</v>
      </c>
      <c r="I5" s="25">
        <f>IFERROR(HistoricalFS!I6/HistoricalFS!H6-1,0)</f>
        <v>0.3310490910202446</v>
      </c>
      <c r="J5" s="25">
        <f>IFERROR(HistoricalFS!J6/HistoricalFS!I6-1,0)</f>
        <v>0.20657167182807368</v>
      </c>
      <c r="K5" s="25">
        <f>IFERROR(HistoricalFS!K6/HistoricalFS!J6-1,0)</f>
        <v>7.7928522989858751E-2</v>
      </c>
      <c r="L5" s="25">
        <f>IFERROR(HistoricalFS!L6/HistoricalFS!K6-1,0)</f>
        <v>0.19882547592421829</v>
      </c>
      <c r="M5" s="25"/>
      <c r="N5" s="25">
        <f>IFERROR(AVERAGE(D5:L5),0)</f>
        <v>0.12548469654820954</v>
      </c>
      <c r="O5" s="25">
        <f>IFERROR(MEDIAN(D5:L5),0)</f>
        <v>0.17220239406624072</v>
      </c>
    </row>
    <row r="6" spans="2:16" x14ac:dyDescent="0.3">
      <c r="B6" t="s">
        <v>118</v>
      </c>
      <c r="D6" s="26">
        <f>IFERROR(HistoricalFS!D18/HistoricalFS!C18-1,0)</f>
        <v>0.16280118603245164</v>
      </c>
      <c r="E6" s="26">
        <f>IFERROR(HistoricalFS!E18/HistoricalFS!D18-1,0)</f>
        <v>-8.7605938322645405E-2</v>
      </c>
      <c r="F6" s="26">
        <f>IFERROR(HistoricalFS!F18/HistoricalFS!E18-1,0)</f>
        <v>-0.33476841257925349</v>
      </c>
      <c r="G6" s="26">
        <f>IFERROR(HistoricalFS!G18/HistoricalFS!F18-1,0)</f>
        <v>-0.26436437797416712</v>
      </c>
      <c r="H6" s="26">
        <f>IFERROR(HistoricalFS!H18/HistoricalFS!G18-1,0)</f>
        <v>6.3098362473665182E-2</v>
      </c>
      <c r="I6" s="26">
        <f>IFERROR(HistoricalFS!I18/HistoricalFS!H18-1,0)</f>
        <v>0.91745479833100996</v>
      </c>
      <c r="J6" s="26">
        <f>IFERROR(HistoricalFS!J18/HistoricalFS!I18-1,0)</f>
        <v>0.68881695861894054</v>
      </c>
      <c r="K6" s="26">
        <f>IFERROR(HistoricalFS!K18/HistoricalFS!J18-1,0)</f>
        <v>8.5755088235451193E-2</v>
      </c>
      <c r="L6" s="26">
        <f>IFERROR(HistoricalFS!L18/HistoricalFS!K18-1,0)</f>
        <v>6.0948594711129234E-2</v>
      </c>
      <c r="M6" s="26"/>
      <c r="N6" s="26">
        <f>IFERROR(AVERAGE(D6:L6),0)</f>
        <v>0.14357069550295354</v>
      </c>
      <c r="O6" s="26">
        <f t="shared" ref="O6:O9" si="0">IFERROR(MEDIAN(D6:L6),0)</f>
        <v>6.3098362473665182E-2</v>
      </c>
    </row>
    <row r="7" spans="2:16" x14ac:dyDescent="0.3">
      <c r="B7" t="s">
        <v>119</v>
      </c>
      <c r="D7" s="26">
        <f>IFERROR(SUM(HistoricalFS!D24,HistoricalFS!D30)/SUM(HistoricalFS!C24,HistoricalFS!C30)-1,0)</f>
        <v>0.12686216549536899</v>
      </c>
      <c r="E7" s="26">
        <f>IFERROR(SUM(HistoricalFS!E24,HistoricalFS!E30)/SUM(HistoricalFS!D24,HistoricalFS!D30)-1,0)</f>
        <v>-7.0617665708303412E-2</v>
      </c>
      <c r="F7" s="26">
        <f>IFERROR(SUM(HistoricalFS!F24,HistoricalFS!F30)/SUM(HistoricalFS!E24,HistoricalFS!E30)-1,0)</f>
        <v>-0.3236258960531605</v>
      </c>
      <c r="G7" s="26">
        <f>IFERROR(SUM(HistoricalFS!G24,HistoricalFS!G30)/SUM(HistoricalFS!F24,HistoricalFS!F30)-1,0)</f>
        <v>-0.2506839850766891</v>
      </c>
      <c r="H7" s="26">
        <f>IFERROR(SUM(HistoricalFS!H24,HistoricalFS!H30)/SUM(HistoricalFS!G24,HistoricalFS!G30)-1,0)</f>
        <v>-0.11045954119642731</v>
      </c>
      <c r="I7" s="26">
        <f>IFERROR(SUM(HistoricalFS!I24,HistoricalFS!I30)/SUM(HistoricalFS!H24,HistoricalFS!H30)-1,0)</f>
        <v>1.1788009453128168</v>
      </c>
      <c r="J7" s="26">
        <f>IFERROR(SUM(HistoricalFS!J24,HistoricalFS!J30)/SUM(HistoricalFS!I24,HistoricalFS!I30)-1,0)</f>
        <v>0.67630184298912632</v>
      </c>
      <c r="K7" s="26">
        <f>IFERROR(SUM(HistoricalFS!K24,HistoricalFS!K30)/SUM(HistoricalFS!J24,HistoricalFS!J30)-1,0)</f>
        <v>0.12465021767386864</v>
      </c>
      <c r="L7" s="26">
        <f>IFERROR(SUM(HistoricalFS!L24,HistoricalFS!L30)/SUM(HistoricalFS!K24,HistoricalFS!K30)-1,0)</f>
        <v>-2.3064267040809439E-2</v>
      </c>
      <c r="M7" s="26"/>
      <c r="N7" s="26">
        <f>IFERROR(AVERAGE(D7:L7),0)</f>
        <v>0.1475737573773101</v>
      </c>
      <c r="O7" s="26">
        <f t="shared" si="0"/>
        <v>-2.3064267040809439E-2</v>
      </c>
    </row>
    <row r="8" spans="2:16" x14ac:dyDescent="0.3">
      <c r="B8" t="s">
        <v>120</v>
      </c>
      <c r="D8" s="26">
        <f>IFERROR(HistoricalFS!D36/HistoricalFS!C36-1,0)</f>
        <v>4.922114232458874E-2</v>
      </c>
      <c r="E8" s="26">
        <f>IFERROR(HistoricalFS!E36/HistoricalFS!D36-1,0)</f>
        <v>-2.9197913890895988E-2</v>
      </c>
      <c r="F8" s="26">
        <f>IFERROR(HistoricalFS!F36/HistoricalFS!E36-1,0)</f>
        <v>-0.25788827020103011</v>
      </c>
      <c r="G8" s="26">
        <f>IFERROR(HistoricalFS!G36/HistoricalFS!F36-1,0)</f>
        <v>-0.22694448358461305</v>
      </c>
      <c r="H8" s="26">
        <f>IFERROR(HistoricalFS!H36/HistoricalFS!G36-1,0)</f>
        <v>-0.11610580756874678</v>
      </c>
      <c r="I8" s="26">
        <f>IFERROR(HistoricalFS!I36/HistoricalFS!H36-1,0)</f>
        <v>1.1165098595179703</v>
      </c>
      <c r="J8" s="26">
        <f>IFERROR(HistoricalFS!J36/HistoricalFS!I36-1,0)</f>
        <v>0.64269881865790013</v>
      </c>
      <c r="K8" s="26">
        <f>IFERROR(HistoricalFS!K36/HistoricalFS!J36-1,0)</f>
        <v>7.5028543467622333E-2</v>
      </c>
      <c r="L8" s="26">
        <f>IFERROR(HistoricalFS!L36/HistoricalFS!K36-1,0)</f>
        <v>1.2365346684872769E-2</v>
      </c>
      <c r="M8" s="26"/>
      <c r="N8" s="26">
        <f t="shared" ref="N8" si="1">IFERROR(AVERAGE(D8:L8),0)</f>
        <v>0.14063191504529649</v>
      </c>
      <c r="O8" s="26">
        <f t="shared" si="0"/>
        <v>1.2365346684872769E-2</v>
      </c>
    </row>
    <row r="9" spans="2:16" x14ac:dyDescent="0.3">
      <c r="B9" s="27" t="s">
        <v>121</v>
      </c>
      <c r="C9" s="27"/>
      <c r="D9" s="28">
        <f>IFERROR(HistoricalFS!D44/HistoricalFS!C44-1,0)</f>
        <v>6.6666666666666652E-2</v>
      </c>
      <c r="E9" s="28">
        <f>IFERROR(HistoricalFS!E44/HistoricalFS!D44-1,0)</f>
        <v>0</v>
      </c>
      <c r="F9" s="28">
        <f>IFERROR(HistoricalFS!F44/HistoricalFS!E44-1,0)</f>
        <v>-0.25</v>
      </c>
      <c r="G9" s="28">
        <f>IFERROR(HistoricalFS!G44/HistoricalFS!F44-1,0)</f>
        <v>-0.25</v>
      </c>
      <c r="H9" s="28">
        <f>IFERROR(HistoricalFS!H44/HistoricalFS!G44-1,0)</f>
        <v>0.33333333333333326</v>
      </c>
      <c r="I9" s="28">
        <f>IFERROR(HistoricalFS!I44/HistoricalFS!H44-1,0)</f>
        <v>0.5</v>
      </c>
      <c r="J9" s="28">
        <f>IFERROR(HistoricalFS!J44/HistoricalFS!I44-1,0)</f>
        <v>0.38934878587196486</v>
      </c>
      <c r="K9" s="28">
        <f>IFERROR(HistoricalFS!K44/HistoricalFS!J44-1,0)</f>
        <v>7.9999999999999849E-2</v>
      </c>
      <c r="L9" s="28">
        <f>IFERROR(HistoricalFS!L44/HistoricalFS!K44-1,0)</f>
        <v>3.7037037037037202E-2</v>
      </c>
      <c r="M9" s="28"/>
      <c r="N9" s="28">
        <f>IFERROR(AVERAGE(D9:L9),0)</f>
        <v>0.10070953587877798</v>
      </c>
      <c r="O9" s="28">
        <f t="shared" si="0"/>
        <v>6.6666666666666652E-2</v>
      </c>
    </row>
    <row r="11" spans="2:16" x14ac:dyDescent="0.3">
      <c r="B11" s="24" t="s">
        <v>85</v>
      </c>
      <c r="C11" s="25">
        <f>IFERROR(HistoricalFS!C13,0)</f>
        <v>0.26556510244547255</v>
      </c>
      <c r="D11" s="25">
        <f>IFERROR(HistoricalFS!D13,0)</f>
        <v>0.2609266577621181</v>
      </c>
      <c r="E11" s="25">
        <f>IFERROR(HistoricalFS!E13,0)</f>
        <v>0.25428931606801564</v>
      </c>
      <c r="F11" s="25">
        <f>IFERROR(HistoricalFS!F13,0)</f>
        <v>0.23794475284166008</v>
      </c>
      <c r="G11" s="25">
        <f>IFERROR(HistoricalFS!G13,0)</f>
        <v>0.21253339396350823</v>
      </c>
      <c r="H11" s="25">
        <f>IFERROR(HistoricalFS!H13,0)</f>
        <v>0.18964154792606813</v>
      </c>
      <c r="I11" s="25">
        <f>IFERROR(HistoricalFS!I13,0)</f>
        <v>0.21072489629697042</v>
      </c>
      <c r="J11" s="25">
        <f>IFERROR(HistoricalFS!J13,0)</f>
        <v>0.23856921912162998</v>
      </c>
      <c r="K11" s="25">
        <f>IFERROR(HistoricalFS!K13,0)</f>
        <v>0.23117197360590661</v>
      </c>
      <c r="L11" s="25">
        <f>IFERROR(HistoricalFS!L13,0)</f>
        <v>0.2274258657182133</v>
      </c>
      <c r="M11" s="25"/>
      <c r="N11" s="25">
        <f>IFERROR(AVERAGE(C11:L11),0)</f>
        <v>0.2328792725749563</v>
      </c>
      <c r="O11" s="25">
        <f>IFERROR(MEDIAN(C11:L11),0)</f>
        <v>0.23455836322378334</v>
      </c>
    </row>
    <row r="12" spans="2:16" x14ac:dyDescent="0.3">
      <c r="B12" t="s">
        <v>89</v>
      </c>
      <c r="C12" s="26">
        <f>IFERROR(HistoricalFS!C19,0)</f>
        <v>0.15306308291106704</v>
      </c>
      <c r="D12" s="26">
        <f>IFERROR(HistoricalFS!D19,0)</f>
        <v>0.15183549807416152</v>
      </c>
      <c r="E12" s="26">
        <f>IFERROR(HistoricalFS!E19,0)</f>
        <v>0.12845930857398472</v>
      </c>
      <c r="F12" s="26">
        <f>IFERROR(HistoricalFS!F19,0)</f>
        <v>9.7211208035950333E-2</v>
      </c>
      <c r="G12" s="26">
        <f>IFERROR(HistoricalFS!G19,0)</f>
        <v>7.6885693173421282E-2</v>
      </c>
      <c r="H12" s="26">
        <f>IFERROR(HistoricalFS!H19,0)</f>
        <v>6.5119585915512257E-2</v>
      </c>
      <c r="I12" s="26">
        <f>IFERROR(HistoricalFS!I19,0)</f>
        <v>9.3808608053155801E-2</v>
      </c>
      <c r="J12" s="26">
        <f>IFERROR(HistoricalFS!J19,0)</f>
        <v>0.13130224407189722</v>
      </c>
      <c r="K12" s="26">
        <f>IFERROR(HistoricalFS!K19,0)</f>
        <v>0.13225559631947578</v>
      </c>
      <c r="L12" s="26">
        <f>IFERROR(HistoricalFS!L19,0)</f>
        <v>0.11704488424360115</v>
      </c>
      <c r="M12" s="26"/>
      <c r="N12" s="26">
        <f t="shared" ref="N12:N15" si="2">IFERROR(AVERAGE(C12:L12),0)</f>
        <v>0.11469857093722272</v>
      </c>
      <c r="O12" s="26">
        <f>IFERROR(MEDIAN(C12:L12),0)</f>
        <v>0.12275209640879294</v>
      </c>
    </row>
    <row r="13" spans="2:16" x14ac:dyDescent="0.3">
      <c r="B13" t="s">
        <v>122</v>
      </c>
      <c r="C13" s="26">
        <f>IFERROR(SUM(HistoricalFS!C30,HistoricalFS!C24)/HistoricalFS!C6,0)</f>
        <v>0.15005654696335463</v>
      </c>
      <c r="D13" s="26">
        <f>IFERROR(SUM(HistoricalFS!D30,HistoricalFS!D24)/HistoricalFS!D6,0)</f>
        <v>0.14425243141785288</v>
      </c>
      <c r="E13" s="26">
        <f>IFERROR(SUM(HistoricalFS!E30,HistoricalFS!E24)/HistoricalFS!E6,0)</f>
        <v>0.12431609706222373</v>
      </c>
      <c r="F13" s="26">
        <f>IFERROR(SUM(HistoricalFS!F30,HistoricalFS!F24)/HistoricalFS!F6,0)</f>
        <v>9.565159925984669E-2</v>
      </c>
      <c r="G13" s="26">
        <f>IFERROR(SUM(HistoricalFS!G30,HistoricalFS!G24)/HistoricalFS!G6,0)</f>
        <v>7.7059057579719231E-2</v>
      </c>
      <c r="H13" s="26">
        <f>IFERROR(SUM(HistoricalFS!H30,HistoricalFS!H24)/HistoricalFS!H6,0)</f>
        <v>5.4611241053415895E-2</v>
      </c>
      <c r="I13" s="26">
        <f>IFERROR(SUM(HistoricalFS!I30,HistoricalFS!I24)/HistoricalFS!I6,0)</f>
        <v>8.9393414889518089E-2</v>
      </c>
      <c r="J13" s="26">
        <f>IFERROR(SUM(HistoricalFS!J30,HistoricalFS!J24)/HistoricalFS!J6,0)</f>
        <v>0.12419514698480603</v>
      </c>
      <c r="K13" s="26">
        <f>IFERROR(SUM(HistoricalFS!K30,HistoricalFS!K24)/HistoricalFS!K6,0)</f>
        <v>0.12957825691733207</v>
      </c>
      <c r="L13" s="26">
        <f>IFERROR(SUM(HistoricalFS!L30,HistoricalFS!L24)/HistoricalFS!L6,0)</f>
        <v>0.10559471077265484</v>
      </c>
      <c r="M13" s="26"/>
      <c r="N13" s="26">
        <f t="shared" si="2"/>
        <v>0.10947085029007242</v>
      </c>
      <c r="O13" s="26">
        <f>IFERROR(MEDIAN(C13:L13),0)</f>
        <v>0.11489492887873043</v>
      </c>
    </row>
    <row r="14" spans="2:16" x14ac:dyDescent="0.3">
      <c r="B14" t="s">
        <v>123</v>
      </c>
      <c r="C14" s="26">
        <f>IFERROR(HistoricalFS!C31,0)</f>
        <v>0.14874348241169127</v>
      </c>
      <c r="D14" s="26">
        <f>IFERROR(HistoricalFS!D31,0)</f>
        <v>0.13991960846717288</v>
      </c>
      <c r="E14" s="26">
        <f>IFERROR(HistoricalFS!E31,0)</f>
        <v>0.12343424133103287</v>
      </c>
      <c r="F14" s="26">
        <f>IFERROR(HistoricalFS!F31,0)</f>
        <v>9.3877874702616979E-2</v>
      </c>
      <c r="G14" s="26">
        <f>IFERROR(HistoricalFS!G31,0)</f>
        <v>7.5612459500937895E-2</v>
      </c>
      <c r="H14" s="26">
        <f>IFERROR(HistoricalFS!H31,0)</f>
        <v>5.3177976175650968E-2</v>
      </c>
      <c r="I14" s="26">
        <f>IFERROR(HistoricalFS!I31,0)</f>
        <v>8.7802890671447864E-2</v>
      </c>
      <c r="J14" s="26">
        <f>IFERROR(HistoricalFS!J31,0)</f>
        <v>0.12283040388218668</v>
      </c>
      <c r="K14" s="26">
        <f>IFERROR(HistoricalFS!K31,0)</f>
        <v>0.12830825371289556</v>
      </c>
      <c r="L14" s="26">
        <f>IFERROR(HistoricalFS!L31,0)</f>
        <v>0.10429258766283354</v>
      </c>
      <c r="M14" s="26"/>
      <c r="N14" s="26">
        <f>IFERROR(AVERAGE(C14:L14),0)</f>
        <v>0.10779997785184665</v>
      </c>
      <c r="O14" s="26">
        <f>IFERROR(MEDIAN(C14:L14),0)</f>
        <v>0.11356149577251011</v>
      </c>
    </row>
    <row r="15" spans="2:16" x14ac:dyDescent="0.3">
      <c r="B15" s="27" t="s">
        <v>124</v>
      </c>
      <c r="C15" s="28">
        <f>IFERROR(HistoricalFS!C37,0)</f>
        <v>0.11031798487185138</v>
      </c>
      <c r="D15" s="28">
        <f>IFERROR(HistoricalFS!D37,0)</f>
        <v>9.8744007598102326E-2</v>
      </c>
      <c r="E15" s="28">
        <f>IFERROR(HistoricalFS!E37,0)</f>
        <v>8.8889663465727922E-2</v>
      </c>
      <c r="F15" s="28">
        <f>IFERROR(HistoricalFS!F37,0)</f>
        <v>7.504097277293155E-2</v>
      </c>
      <c r="G15" s="28">
        <f>IFERROR(HistoricalFS!G37,0)</f>
        <v>6.2369976695276559E-2</v>
      </c>
      <c r="H15" s="28">
        <f>IFERROR(HistoricalFS!H37,0)</f>
        <v>4.392062474951846E-2</v>
      </c>
      <c r="I15" s="28">
        <f>IFERROR(HistoricalFS!I37,0)</f>
        <v>6.983847248435629E-2</v>
      </c>
      <c r="J15" s="28">
        <f>IFERROR(HistoricalFS!J37,0)</f>
        <v>9.5082272297265957E-2</v>
      </c>
      <c r="K15" s="28">
        <f>IFERROR(HistoricalFS!K37,0)</f>
        <v>9.4826469953502981E-2</v>
      </c>
      <c r="L15" s="28">
        <f>IFERROR(HistoricalFS!L37,0)</f>
        <v>8.0077570970346248E-2</v>
      </c>
      <c r="M15" s="28"/>
      <c r="N15" s="28">
        <f t="shared" si="2"/>
        <v>8.1910801585887968E-2</v>
      </c>
      <c r="O15" s="28">
        <f>IFERROR(MEDIAN(C15:L15),0)</f>
        <v>8.4483617218037085E-2</v>
      </c>
    </row>
    <row r="17" spans="2:15" x14ac:dyDescent="0.3">
      <c r="B17" s="24" t="s">
        <v>125</v>
      </c>
      <c r="C17" s="25">
        <f>IFERROR(HistoricalFS!C16,0)</f>
        <v>0.11250201953440553</v>
      </c>
      <c r="D17" s="25">
        <f>IFERROR(HistoricalFS!D16,0)</f>
        <v>0.10909115968795656</v>
      </c>
      <c r="E17" s="25">
        <f>IFERROR(HistoricalFS!E16,0)</f>
        <v>0.12583000749403092</v>
      </c>
      <c r="F17" s="25">
        <f>IFERROR(HistoricalFS!F16,0)</f>
        <v>0.14073354480570974</v>
      </c>
      <c r="G17" s="25">
        <f>IFERROR(HistoricalFS!G16,0)</f>
        <v>0.13564770079008695</v>
      </c>
      <c r="H17" s="25">
        <f>IFERROR(HistoricalFS!H16,0)</f>
        <v>0.12452196201055589</v>
      </c>
      <c r="I17" s="25">
        <f>IFERROR(HistoricalFS!I16,0)</f>
        <v>0.1169162882438146</v>
      </c>
      <c r="J17" s="25">
        <f>IFERROR(HistoricalFS!J16,0)</f>
        <v>0.10726697504973276</v>
      </c>
      <c r="K17" s="25">
        <f>IFERROR(HistoricalFS!K16,0)</f>
        <v>9.8916377286430837E-2</v>
      </c>
      <c r="L17" s="25">
        <f>IFERROR(HistoricalFS!L16,0)</f>
        <v>0.11038098147461213</v>
      </c>
      <c r="M17" s="24"/>
      <c r="N17" s="25">
        <f>IFERROR(AVERAGE(C17:L17),0)</f>
        <v>0.1181807016377336</v>
      </c>
      <c r="O17" s="25">
        <f>IFERROR(MEDIAN(C17:L17),0)</f>
        <v>0.11470915388911007</v>
      </c>
    </row>
    <row r="18" spans="2:15" x14ac:dyDescent="0.3">
      <c r="B18" t="s">
        <v>91</v>
      </c>
      <c r="C18" s="26">
        <f>IFERROR(HistoricalFS!C28,0)</f>
        <v>3.8244841007564076E-2</v>
      </c>
      <c r="D18" s="26">
        <f>IFERROR(HistoricalFS!D28,0)</f>
        <v>3.4579886579776321E-2</v>
      </c>
      <c r="E18" s="26">
        <f>IFERROR(HistoricalFS!E28,0)</f>
        <v>3.5097625728344288E-2</v>
      </c>
      <c r="F18" s="26">
        <f>IFERROR(HistoricalFS!F28,0)</f>
        <v>4.663494581020354E-2</v>
      </c>
      <c r="G18" s="26">
        <f>IFERROR(HistoricalFS!G28,0)</f>
        <v>4.3115159438413E-2</v>
      </c>
      <c r="H18" s="26">
        <f>IFERROR(HistoricalFS!H28,0)</f>
        <v>3.1574847899576361E-2</v>
      </c>
      <c r="I18" s="26">
        <f>IFERROR(HistoricalFS!I28,0)</f>
        <v>2.4033926647064375E-2</v>
      </c>
      <c r="J18" s="26">
        <f>IFERROR(HistoricalFS!J28,0)</f>
        <v>3.7049673547246476E-2</v>
      </c>
      <c r="K18" s="26">
        <f>IFERROR(HistoricalFS!K28,0)</f>
        <v>3.6675756802887913E-2</v>
      </c>
      <c r="L18" s="26">
        <f>IFERROR(HistoricalFS!L28,0)</f>
        <v>3.6776386131052392E-2</v>
      </c>
      <c r="N18" s="26">
        <f>IFERROR(AVERAGE(C18:L18),0)</f>
        <v>3.6378304959212876E-2</v>
      </c>
      <c r="O18" s="26">
        <f t="shared" ref="O18:O19" si="3">IFERROR(MEDIAN(C18:L18),0)</f>
        <v>3.6726071466970156E-2</v>
      </c>
    </row>
    <row r="19" spans="2:15" x14ac:dyDescent="0.3">
      <c r="B19" s="27" t="s">
        <v>126</v>
      </c>
      <c r="C19" s="28">
        <f>IFERROR('Ratio Analysis'!C13,0)</f>
        <v>0.15005654696335463</v>
      </c>
      <c r="D19" s="28">
        <f>IFERROR('Ratio Analysis'!D13,0)</f>
        <v>0.14425243141785288</v>
      </c>
      <c r="E19" s="28">
        <f>IFERROR('Ratio Analysis'!E13,0)</f>
        <v>0.12431609706222373</v>
      </c>
      <c r="F19" s="28">
        <f>IFERROR('Ratio Analysis'!F13,0)</f>
        <v>9.565159925984669E-2</v>
      </c>
      <c r="G19" s="28">
        <f>IFERROR('Ratio Analysis'!G13,0)</f>
        <v>7.7059057579719231E-2</v>
      </c>
      <c r="H19" s="28">
        <f>IFERROR('Ratio Analysis'!H13,0)</f>
        <v>5.4611241053415895E-2</v>
      </c>
      <c r="I19" s="28">
        <f>IFERROR('Ratio Analysis'!I13,0)</f>
        <v>8.9393414889518089E-2</v>
      </c>
      <c r="J19" s="28">
        <f>IFERROR('Ratio Analysis'!J13,0)</f>
        <v>0.12419514698480603</v>
      </c>
      <c r="K19" s="28">
        <f>IFERROR('Ratio Analysis'!K13,0)</f>
        <v>0.12957825691733207</v>
      </c>
      <c r="L19" s="28">
        <f>IFERROR('Ratio Analysis'!L13,0)</f>
        <v>0.10559471077265484</v>
      </c>
      <c r="M19" s="27"/>
      <c r="N19" s="28">
        <f t="shared" ref="N19" si="4">IFERROR(AVERAGE(C19:L19),0)</f>
        <v>0.10947085029007242</v>
      </c>
      <c r="O19" s="28">
        <f t="shared" si="3"/>
        <v>0.11489492887873043</v>
      </c>
    </row>
    <row r="21" spans="2:15" x14ac:dyDescent="0.3">
      <c r="B21" s="24" t="s">
        <v>127</v>
      </c>
      <c r="C21" s="25">
        <f>IFERROR(SUM(HistoricalFS!C30,HistoricalFS!C24)/(SUM(HistoricalFS!C50:C52)),0)</f>
        <v>0.27201686959346305</v>
      </c>
      <c r="D21" s="25">
        <f>IFERROR(SUM(HistoricalFS!D30,HistoricalFS!D24)/(SUM(HistoricalFS!D50:D52)),0)</f>
        <v>0.26974334703211289</v>
      </c>
      <c r="E21" s="25">
        <f>IFERROR(SUM(HistoricalFS!E30,HistoricalFS!E24)/(SUM(HistoricalFS!E50:E52)),0)</f>
        <v>0.22644053018198293</v>
      </c>
      <c r="F21" s="25">
        <f>IFERROR(SUM(HistoricalFS!F30,HistoricalFS!F24)/(SUM(HistoricalFS!F50:F52)),0)</f>
        <v>0.14591578943123693</v>
      </c>
      <c r="G21" s="25">
        <f>IFERROR(SUM(HistoricalFS!G30,HistoricalFS!G24)/(SUM(HistoricalFS!G50:G52)),0)</f>
        <v>0.10223692768869662</v>
      </c>
      <c r="H21" s="25">
        <f>IFERROR(SUM(HistoricalFS!H30,HistoricalFS!H24)/(SUM(HistoricalFS!H50:H52)),0)</f>
        <v>8.6511594540791908E-2</v>
      </c>
      <c r="I21" s="25">
        <f>IFERROR(SUM(HistoricalFS!I30,HistoricalFS!I24)/(SUM(HistoricalFS!I50:I52)),0)</f>
        <v>0.16672483208700697</v>
      </c>
      <c r="J21" s="25">
        <f>IFERROR(SUM(HistoricalFS!J30,HistoricalFS!J24)/(SUM(HistoricalFS!J50:J52)),0)</f>
        <v>0.205447871017998</v>
      </c>
      <c r="K21" s="25">
        <f>IFERROR(SUM(HistoricalFS!K30,HistoricalFS!K24)/(SUM(HistoricalFS!K50:K52)),0)</f>
        <v>0.20569747391434792</v>
      </c>
      <c r="L21" s="25">
        <f>IFERROR(SUM(HistoricalFS!L30,HistoricalFS!L24)/(SUM(HistoricalFS!L50:L52)),0)</f>
        <v>0.18047190533550619</v>
      </c>
      <c r="M21" s="24"/>
      <c r="N21" s="25">
        <f>IFERROR(AVERAGE(C21:L21),0)</f>
        <v>0.18612071408231434</v>
      </c>
      <c r="O21" s="25">
        <f>IFERROR(MEDIAN(C21:L21),0)</f>
        <v>0.19295988817675208</v>
      </c>
    </row>
    <row r="22" spans="2:15" x14ac:dyDescent="0.3">
      <c r="B22" t="s">
        <v>128</v>
      </c>
      <c r="C22" s="26">
        <f>IFERROR(HistoricalFS!C47,0)</f>
        <v>0.69844228464918123</v>
      </c>
      <c r="D22" s="26">
        <f>IFERROR(HistoricalFS!D47,0)</f>
        <v>0.6934282487596275</v>
      </c>
      <c r="E22" s="26">
        <f>IFERROR(HistoricalFS!E47,0)</f>
        <v>0.68420777455362991</v>
      </c>
      <c r="F22" s="26">
        <f>IFERROR(HistoricalFS!F47,0)</f>
        <v>0.68085106382978733</v>
      </c>
      <c r="G22" s="26">
        <f>IFERROR(HistoricalFS!G47,0)</f>
        <v>0.69036932400719975</v>
      </c>
      <c r="H22" s="26">
        <f>IFERROR(HistoricalFS!H47,0)</f>
        <v>0.53292950122438643</v>
      </c>
      <c r="I22" s="26">
        <f>IFERROR(HistoricalFS!I47,0)</f>
        <v>0.66898063573255384</v>
      </c>
      <c r="J22" s="26">
        <f>IFERROR(HistoricalFS!J47,0)</f>
        <v>0.70863421360893253</v>
      </c>
      <c r="K22" s="26">
        <f>IFERROR(HistoricalFS!K47,0)</f>
        <v>0.70728679604419253</v>
      </c>
      <c r="L22" s="26">
        <f>IFERROR(HistoricalFS!L47,0)</f>
        <v>0.70015327497530555</v>
      </c>
      <c r="N22" s="26">
        <f t="shared" ref="N22:N25" si="5">IFERROR(AVERAGE(C22:L22),0)</f>
        <v>0.6765283117384796</v>
      </c>
      <c r="O22" s="26">
        <f t="shared" ref="O22:O40" si="6">IFERROR(MEDIAN(C22:L22),0)</f>
        <v>0.69189878638341362</v>
      </c>
    </row>
    <row r="23" spans="2:15" x14ac:dyDescent="0.3">
      <c r="B23" t="s">
        <v>129</v>
      </c>
      <c r="C23" s="26">
        <f>IFERROR(HistoricalFS!C36/SUM(HistoricalFS!C50:C51),0)</f>
        <v>0.20258879949076339</v>
      </c>
      <c r="D23" s="26">
        <f>IFERROR(HistoricalFS!D36/SUM(HistoricalFS!D50:D51),0)</f>
        <v>0.18516943377961123</v>
      </c>
      <c r="E23" s="26">
        <f>IFERROR(HistoricalFS!E36/SUM(HistoricalFS!E50:E51),0)</f>
        <v>0.16246037021071483</v>
      </c>
      <c r="F23" s="26">
        <f>IFERROR(HistoricalFS!F36/SUM(HistoricalFS!F50:F51),0)</f>
        <v>0.11490093700038453</v>
      </c>
      <c r="G23" s="26">
        <f>IFERROR(HistoricalFS!G36/SUM(HistoricalFS!G50:G51),0)</f>
        <v>8.3600949322483978E-2</v>
      </c>
      <c r="H23" s="26">
        <f>IFERROR(HistoricalFS!H36/SUM(HistoricalFS!H50:H51),0)</f>
        <v>7.0111234604715328E-2</v>
      </c>
      <c r="I23" s="26">
        <f>IFERROR(HistoricalFS!I36/SUM(HistoricalFS!I50:I51),0)</f>
        <v>0.13288278446965832</v>
      </c>
      <c r="J23" s="26">
        <f>IFERROR(HistoricalFS!J36/SUM(HistoricalFS!J50:J51),0)</f>
        <v>0.15750618898594068</v>
      </c>
      <c r="K23" s="26">
        <f>IFERROR(HistoricalFS!K36/SUM(HistoricalFS!K50:K51),0)</f>
        <v>0.15066723884792069</v>
      </c>
      <c r="L23" s="26">
        <f>IFERROR(HistoricalFS!L36/SUM(HistoricalFS!L50:L51),0)</f>
        <v>0.13699147880245952</v>
      </c>
      <c r="N23" s="26">
        <f t="shared" si="5"/>
        <v>0.13968794155146524</v>
      </c>
      <c r="O23" s="26">
        <f t="shared" si="6"/>
        <v>0.1438293588251901</v>
      </c>
    </row>
    <row r="24" spans="2:15" x14ac:dyDescent="0.3">
      <c r="B24" t="s">
        <v>130</v>
      </c>
      <c r="C24" s="26">
        <f>IFERROR(C23*C22,0)</f>
        <v>0.14149658396066367</v>
      </c>
      <c r="D24" s="26">
        <f t="shared" ref="D24:L24" si="7">IFERROR(D23*D22,0)</f>
        <v>0.12840171618960763</v>
      </c>
      <c r="E24" s="26">
        <f t="shared" si="7"/>
        <v>0.11115664835503203</v>
      </c>
      <c r="F24" s="26">
        <f t="shared" si="7"/>
        <v>7.8230425191751177E-2</v>
      </c>
      <c r="G24" s="26">
        <f t="shared" si="7"/>
        <v>5.7715530870123426E-2</v>
      </c>
      <c r="H24" s="26">
        <f t="shared" si="7"/>
        <v>3.7364345288116885E-2</v>
      </c>
      <c r="I24" s="26">
        <f t="shared" si="7"/>
        <v>8.8896009632423958E-2</v>
      </c>
      <c r="J24" s="26">
        <f t="shared" si="7"/>
        <v>0.11161427437059199</v>
      </c>
      <c r="K24" s="26">
        <f t="shared" si="7"/>
        <v>0.10656494863357092</v>
      </c>
      <c r="L24" s="26">
        <f t="shared" si="7"/>
        <v>9.5915032527252184E-2</v>
      </c>
      <c r="N24" s="26">
        <f t="shared" si="5"/>
        <v>9.5735551501913374E-2</v>
      </c>
      <c r="O24" s="26">
        <f t="shared" si="6"/>
        <v>0.10123999058041155</v>
      </c>
    </row>
    <row r="25" spans="2:15" x14ac:dyDescent="0.3">
      <c r="B25" s="27" t="s">
        <v>131</v>
      </c>
      <c r="C25" s="29">
        <f>IFERROR(SUM(HistoricalFS!C30,HistoricalFS!C24)/HistoricalFS!C24,0)</f>
        <v>114.27964205816555</v>
      </c>
      <c r="D25" s="29">
        <f>IFERROR(SUM(HistoricalFS!D30,HistoricalFS!D24)/HistoricalFS!D24,0)</f>
        <v>33.292943898207014</v>
      </c>
      <c r="E25" s="29">
        <f>IFERROR(SUM(HistoricalFS!E30,HistoricalFS!E24)/HistoricalFS!E24,0)</f>
        <v>140.97101449275365</v>
      </c>
      <c r="F25" s="29">
        <f>IFERROR(SUM(HistoricalFS!F30,HistoricalFS!F24)/HistoricalFS!F24,0)</f>
        <v>53.926974664679591</v>
      </c>
      <c r="G25" s="29">
        <f>IFERROR(SUM(HistoricalFS!G30,HistoricalFS!G24)/HistoricalFS!G24,0)</f>
        <v>53.269155206286861</v>
      </c>
      <c r="H25" s="29">
        <f>IFERROR(SUM(HistoricalFS!H30,HistoricalFS!H24)/HistoricalFS!H24,0)</f>
        <v>38.102685624012764</v>
      </c>
      <c r="I25" s="29">
        <f>IFERROR(SUM(HistoricalFS!I30,HistoricalFS!I24)/HistoricalFS!I24,0)</f>
        <v>56.203743315508014</v>
      </c>
      <c r="J25" s="29">
        <f>IFERROR(SUM(HistoricalFS!J30,HistoricalFS!J24)/HistoricalFS!J24,0)</f>
        <v>91.002582644628163</v>
      </c>
      <c r="K25" s="29">
        <f>IFERROR(SUM(HistoricalFS!K30,HistoricalFS!K24)/HistoricalFS!K24,0)</f>
        <v>102.02986611740475</v>
      </c>
      <c r="L25" s="29">
        <f>IFERROR(SUM(HistoricalFS!L30,HistoricalFS!L24)/HistoricalFS!L24,0)</f>
        <v>81.094260578131525</v>
      </c>
      <c r="M25" s="27"/>
      <c r="N25" s="29">
        <f t="shared" si="5"/>
        <v>76.417286859977793</v>
      </c>
      <c r="O25" s="29">
        <f t="shared" si="6"/>
        <v>68.649001946819766</v>
      </c>
    </row>
    <row r="27" spans="2:15" x14ac:dyDescent="0.3">
      <c r="B27" s="24" t="s">
        <v>132</v>
      </c>
      <c r="C27" s="30">
        <f>IFERROR(HistoricalFS!C6/HistoricalFS!C62,0)</f>
        <v>56.614834525195413</v>
      </c>
      <c r="D27" s="30">
        <f>IFERROR(HistoricalFS!D6/HistoricalFS!D62,0)</f>
        <v>54.462535826395516</v>
      </c>
      <c r="E27" s="30">
        <f>IFERROR(HistoricalFS!E6/HistoricalFS!E62,0)</f>
        <v>37.213983050847453</v>
      </c>
      <c r="F27" s="30">
        <f>IFERROR(HistoricalFS!F6/HistoricalFS!F62,0)</f>
        <v>38.256560651261566</v>
      </c>
      <c r="G27" s="30">
        <f>IFERROR(HistoricalFS!G6/HistoricalFS!G62,0)</f>
        <v>54.98242050160168</v>
      </c>
      <c r="H27" s="30">
        <f>IFERROR(HistoricalFS!H6/HistoricalFS!H62,0)</f>
        <v>43.415974440894573</v>
      </c>
      <c r="I27" s="30">
        <f>IFERROR(HistoricalFS!I6/HistoricalFS!I62,0)</f>
        <v>35.612558308596356</v>
      </c>
      <c r="J27" s="30">
        <f>IFERROR(HistoricalFS!J6/HistoricalFS!J62,0)</f>
        <v>30.860207100591719</v>
      </c>
      <c r="K27" s="30">
        <f>IFERROR(HistoricalFS!K6/HistoricalFS!K62,0)</f>
        <v>23.382265241524841</v>
      </c>
      <c r="L27" s="30">
        <f>IFERROR(HistoricalFS!L6/HistoricalFS!L62,0)</f>
        <v>34.315986521901912</v>
      </c>
      <c r="M27" s="24"/>
      <c r="N27" s="30">
        <f>IFERROR(AVERAGE(C27:L27),0)</f>
        <v>40.911732616881103</v>
      </c>
      <c r="O27" s="30">
        <f t="shared" si="6"/>
        <v>37.735271851054506</v>
      </c>
    </row>
    <row r="28" spans="2:15" x14ac:dyDescent="0.3">
      <c r="B28" t="s">
        <v>133</v>
      </c>
      <c r="C28" s="32">
        <f>IFERROR(HistoricalFS!C6/HistoricalFS!C53,0)</f>
        <v>4.7275340582427203</v>
      </c>
      <c r="D28" s="32">
        <f>IFERROR(HistoricalFS!D6/HistoricalFS!D53,0)</f>
        <v>4.5428330733939726</v>
      </c>
      <c r="E28" s="32">
        <f>IFERROR(HistoricalFS!E6/HistoricalFS!E53,0)</f>
        <v>5.1485613447388889</v>
      </c>
      <c r="F28" s="32">
        <f>IFERROR(HistoricalFS!F6/HistoricalFS!F53,0)</f>
        <v>5.3924992516357104</v>
      </c>
      <c r="G28" s="32">
        <f>IFERROR(HistoricalFS!G6/HistoricalFS!G53,0)</f>
        <v>3.8382075420243695</v>
      </c>
      <c r="H28" s="32">
        <f>IFERROR(HistoricalFS!H6/HistoricalFS!H53,0)</f>
        <v>4.6744000211679415</v>
      </c>
      <c r="I28" s="32">
        <f>IFERROR(HistoricalFS!I6/HistoricalFS!I53,0)</f>
        <v>5.4536443040499485</v>
      </c>
      <c r="J28" s="32">
        <f>IFERROR(HistoricalFS!J6/HistoricalFS!J53,0)</f>
        <v>4.8006971353153185</v>
      </c>
      <c r="K28" s="32">
        <f>IFERROR(HistoricalFS!K6/HistoricalFS!K53,0)</f>
        <v>4.2899706264395707</v>
      </c>
      <c r="L28" s="32">
        <f>IFERROR(HistoricalFS!L6/HistoricalFS!L53,0)</f>
        <v>4.4042842521538992</v>
      </c>
      <c r="N28" s="32">
        <f t="shared" ref="N28:N31" si="8">IFERROR(AVERAGE(C28:L28),0)</f>
        <v>4.7272631609162339</v>
      </c>
      <c r="O28" s="32">
        <f t="shared" si="6"/>
        <v>4.7009670397053309</v>
      </c>
    </row>
    <row r="29" spans="2:15" x14ac:dyDescent="0.3">
      <c r="B29" t="s">
        <v>134</v>
      </c>
      <c r="C29" s="32">
        <f>IFERROR(HistoricalFS!C6/HistoricalFS!C63,0)</f>
        <v>20.861292398198366</v>
      </c>
      <c r="D29" s="32">
        <f>IFERROR(HistoricalFS!D6/HistoricalFS!D63,0)</f>
        <v>25.254540851844819</v>
      </c>
      <c r="E29" s="32">
        <f>IFERROR(HistoricalFS!E6/HistoricalFS!E63,0)</f>
        <v>25.903960753626677</v>
      </c>
      <c r="F29" s="32">
        <f>IFERROR(HistoricalFS!F6/HistoricalFS!F63,0)</f>
        <v>23.541491645664145</v>
      </c>
      <c r="G29" s="32">
        <f>IFERROR(HistoricalFS!G6/HistoricalFS!G63,0)</f>
        <v>23.080354214496555</v>
      </c>
      <c r="H29" s="32">
        <f>IFERROR(HistoricalFS!H6/HistoricalFS!H63,0)</f>
        <v>25.006313167058291</v>
      </c>
      <c r="I29" s="32">
        <f>IFERROR(HistoricalFS!I6/HistoricalFS!I63,0)</f>
        <v>27.447484533675734</v>
      </c>
      <c r="J29" s="32">
        <f>IFERROR(HistoricalFS!J6/HistoricalFS!J63,0)</f>
        <v>26.674601831481169</v>
      </c>
      <c r="K29" s="32">
        <f>IFERROR(HistoricalFS!K6/HistoricalFS!K63,0)</f>
        <v>22.118989758722446</v>
      </c>
      <c r="L29" s="32">
        <f>IFERROR(HistoricalFS!L6/HistoricalFS!L63,0)</f>
        <v>16.193134639506738</v>
      </c>
      <c r="N29" s="32">
        <f t="shared" si="8"/>
        <v>23.608216379427496</v>
      </c>
      <c r="O29" s="32">
        <f t="shared" si="6"/>
        <v>24.273902406361216</v>
      </c>
    </row>
    <row r="30" spans="2:15" x14ac:dyDescent="0.3">
      <c r="B30" t="s">
        <v>135</v>
      </c>
      <c r="C30" s="32">
        <f>IFERROR(HistoricalFS!C6/HistoricalFS!C56,0)</f>
        <v>5.1150578106335498</v>
      </c>
      <c r="D30" s="32">
        <f>IFERROR(HistoricalFS!D6/HistoricalFS!D56,0)</f>
        <v>5.9609076242829824</v>
      </c>
      <c r="E30" s="32">
        <f>IFERROR(HistoricalFS!E6/HistoricalFS!E56,0)</f>
        <v>5.5753596807731922</v>
      </c>
      <c r="F30" s="32">
        <f>IFERROR(HistoricalFS!F6/HistoricalFS!F56,0)</f>
        <v>4.8055181524859636</v>
      </c>
      <c r="G30" s="32">
        <f>IFERROR(HistoricalFS!G6/HistoricalFS!G56,0)</f>
        <v>4.6950035693555812</v>
      </c>
      <c r="H30" s="32">
        <f>IFERROR(HistoricalFS!H6/HistoricalFS!H56,0)</f>
        <v>6.4252938780260704</v>
      </c>
      <c r="I30" s="32">
        <f>IFERROR(HistoricalFS!I6/HistoricalFS!I56,0)</f>
        <v>6.5938677763819094</v>
      </c>
      <c r="J30" s="32">
        <f>IFERROR(HistoricalFS!J6/HistoricalFS!J56,0)</f>
        <v>5.0909462834831043</v>
      </c>
      <c r="K30" s="32">
        <f>IFERROR(HistoricalFS!K6/HistoricalFS!K56,0)</f>
        <v>4.6361577433017915</v>
      </c>
      <c r="L30" s="32">
        <f>IFERROR(HistoricalFS!L6/HistoricalFS!L56,0)</f>
        <v>5.2442827145448199</v>
      </c>
      <c r="N30" s="32">
        <f t="shared" si="8"/>
        <v>5.4142395233268967</v>
      </c>
      <c r="O30" s="32">
        <f t="shared" si="6"/>
        <v>5.1796702625891848</v>
      </c>
    </row>
    <row r="31" spans="2:15" x14ac:dyDescent="0.3">
      <c r="B31" s="27" t="s">
        <v>136</v>
      </c>
      <c r="C31" s="29">
        <f>IFERROR(HistoricalFS!C6/SUM(HistoricalFS!C50:C51),0)</f>
        <v>1.8364077237822691</v>
      </c>
      <c r="D31" s="29">
        <f>IFERROR(HistoricalFS!D6/SUM(HistoricalFS!D50:D51),0)</f>
        <v>1.8752473014187228</v>
      </c>
      <c r="E31" s="29">
        <f>IFERROR(HistoricalFS!E6/SUM(HistoricalFS!E50:E51),0)</f>
        <v>1.8276632386323821</v>
      </c>
      <c r="F31" s="29">
        <f>IFERROR(HistoricalFS!F6/SUM(HistoricalFS!F50:F51),0)</f>
        <v>1.5311760063141278</v>
      </c>
      <c r="G31" s="29">
        <f>IFERROR(HistoricalFS!G6/SUM(HistoricalFS!G50:G51),0)</f>
        <v>1.3404037287192909</v>
      </c>
      <c r="H31" s="29">
        <f>IFERROR(HistoricalFS!H6/SUM(HistoricalFS!H50:H51),0)</f>
        <v>1.5963168785636188</v>
      </c>
      <c r="I31" s="29">
        <f>IFERROR(HistoricalFS!I6/SUM(HistoricalFS!I50:I51),0)</f>
        <v>1.9027160781533969</v>
      </c>
      <c r="J31" s="29">
        <f>IFERROR(HistoricalFS!J6/SUM(HistoricalFS!J50:J51),0)</f>
        <v>1.6565252931010324</v>
      </c>
      <c r="K31" s="29">
        <f>IFERROR(HistoricalFS!K6/SUM(HistoricalFS!K50:K51),0)</f>
        <v>1.5888732220212201</v>
      </c>
      <c r="L31" s="29">
        <f>IFERROR(HistoricalFS!L6/SUM(HistoricalFS!L50:L51),0)</f>
        <v>1.7107346931538323</v>
      </c>
      <c r="M31" s="27"/>
      <c r="N31" s="29">
        <f t="shared" si="8"/>
        <v>1.6866064163859893</v>
      </c>
      <c r="O31" s="29">
        <f t="shared" si="6"/>
        <v>1.6836299931274323</v>
      </c>
    </row>
    <row r="33" spans="2:15" x14ac:dyDescent="0.3">
      <c r="B33" s="24" t="s">
        <v>137</v>
      </c>
      <c r="C33" s="33">
        <f>IFERROR(365/C27,0)</f>
        <v>6.4470735110523609</v>
      </c>
      <c r="D33" s="33">
        <f t="shared" ref="D33:L33" si="9">IFERROR(365/D27,0)</f>
        <v>6.7018546687482941</v>
      </c>
      <c r="E33" s="33">
        <f t="shared" si="9"/>
        <v>9.8081411898662125</v>
      </c>
      <c r="F33" s="33">
        <f t="shared" si="9"/>
        <v>9.5408472112080354</v>
      </c>
      <c r="G33" s="33">
        <f t="shared" si="9"/>
        <v>6.6384854771784241</v>
      </c>
      <c r="H33" s="33">
        <f t="shared" si="9"/>
        <v>8.4070438289229674</v>
      </c>
      <c r="I33" s="33">
        <f t="shared" si="9"/>
        <v>10.249193468133804</v>
      </c>
      <c r="J33" s="33">
        <f t="shared" si="9"/>
        <v>11.827529180547899</v>
      </c>
      <c r="K33" s="33">
        <f t="shared" si="9"/>
        <v>15.610121441604049</v>
      </c>
      <c r="L33" s="33">
        <f t="shared" si="9"/>
        <v>10.636441990879137</v>
      </c>
      <c r="M33" s="24"/>
      <c r="N33" s="33">
        <f>IFERROR(AVERAGE(C33:L33),0)</f>
        <v>9.5866731968141181</v>
      </c>
      <c r="O33" s="33">
        <f t="shared" si="6"/>
        <v>9.6744942005371239</v>
      </c>
    </row>
    <row r="34" spans="2:15" x14ac:dyDescent="0.3">
      <c r="B34" t="s">
        <v>138</v>
      </c>
      <c r="C34" s="34">
        <f t="shared" ref="C34:L35" si="10">IFERROR(365/C28,0)</f>
        <v>77.207270323859873</v>
      </c>
      <c r="D34" s="34">
        <f t="shared" si="10"/>
        <v>80.346337649449822</v>
      </c>
      <c r="E34" s="34">
        <f t="shared" si="10"/>
        <v>70.893590570301555</v>
      </c>
      <c r="F34" s="34">
        <f t="shared" si="10"/>
        <v>67.686611155167853</v>
      </c>
      <c r="G34" s="34">
        <f t="shared" si="10"/>
        <v>95.09647302904564</v>
      </c>
      <c r="H34" s="34">
        <f t="shared" si="10"/>
        <v>78.084887546445245</v>
      </c>
      <c r="I34" s="34">
        <f t="shared" si="10"/>
        <v>66.927723857778219</v>
      </c>
      <c r="J34" s="34">
        <f t="shared" si="10"/>
        <v>76.030624243082173</v>
      </c>
      <c r="K34" s="34">
        <f t="shared" si="10"/>
        <v>85.082167637807117</v>
      </c>
      <c r="L34" s="34">
        <f t="shared" si="10"/>
        <v>82.873851709616176</v>
      </c>
      <c r="N34" s="34">
        <f t="shared" ref="N34:N36" si="11">IFERROR(AVERAGE(C34:L34),0)</f>
        <v>78.022953772255363</v>
      </c>
      <c r="O34" s="34">
        <f t="shared" si="6"/>
        <v>77.646078935152559</v>
      </c>
    </row>
    <row r="35" spans="2:15" x14ac:dyDescent="0.3">
      <c r="B35" t="s">
        <v>139</v>
      </c>
      <c r="C35" s="34">
        <f t="shared" si="10"/>
        <v>17.496519057061025</v>
      </c>
      <c r="D35" s="34">
        <f t="shared" si="10"/>
        <v>14.452846406563639</v>
      </c>
      <c r="E35" s="34">
        <f t="shared" si="10"/>
        <v>14.090509303636058</v>
      </c>
      <c r="F35" s="34">
        <f t="shared" si="10"/>
        <v>15.504540047581285</v>
      </c>
      <c r="G35" s="34">
        <f t="shared" si="10"/>
        <v>15.814315352697095</v>
      </c>
      <c r="H35" s="34">
        <f t="shared" si="10"/>
        <v>14.596314041240895</v>
      </c>
      <c r="I35" s="34">
        <f t="shared" si="10"/>
        <v>13.298122075710653</v>
      </c>
      <c r="J35" s="34">
        <f t="shared" si="10"/>
        <v>13.683428240313214</v>
      </c>
      <c r="K35" s="34">
        <f t="shared" si="10"/>
        <v>16.501657805418766</v>
      </c>
      <c r="L35" s="34">
        <f t="shared" si="10"/>
        <v>22.540416548473676</v>
      </c>
      <c r="N35" s="34">
        <f t="shared" si="11"/>
        <v>15.797866887869631</v>
      </c>
      <c r="O35" s="34">
        <f>IFERROR(MEDIAN(C35:L35),0)</f>
        <v>15.050427044411091</v>
      </c>
    </row>
    <row r="36" spans="2:15" x14ac:dyDescent="0.3">
      <c r="B36" s="27" t="s">
        <v>140</v>
      </c>
      <c r="C36" s="35">
        <f>SUM(C33+C35-C34)</f>
        <v>-53.263677755746485</v>
      </c>
      <c r="D36" s="35">
        <f t="shared" ref="D36:L36" si="12">SUM(D33+D35-D34)</f>
        <v>-59.191636574137888</v>
      </c>
      <c r="E36" s="35">
        <f t="shared" si="12"/>
        <v>-46.994940076799281</v>
      </c>
      <c r="F36" s="35">
        <f t="shared" si="12"/>
        <v>-42.641223896378534</v>
      </c>
      <c r="G36" s="35">
        <f t="shared" si="12"/>
        <v>-72.643672199170112</v>
      </c>
      <c r="H36" s="35">
        <f t="shared" si="12"/>
        <v>-55.081529676281384</v>
      </c>
      <c r="I36" s="35">
        <f t="shared" si="12"/>
        <v>-43.380408313933764</v>
      </c>
      <c r="J36" s="35">
        <f t="shared" si="12"/>
        <v>-50.519666822221062</v>
      </c>
      <c r="K36" s="35">
        <f t="shared" si="12"/>
        <v>-52.970388390784301</v>
      </c>
      <c r="L36" s="35">
        <f t="shared" si="12"/>
        <v>-49.696993170263362</v>
      </c>
      <c r="M36" s="27"/>
      <c r="N36" s="35">
        <f t="shared" si="11"/>
        <v>-52.638413687571607</v>
      </c>
      <c r="O36" s="35">
        <f t="shared" si="6"/>
        <v>-51.745027606502681</v>
      </c>
    </row>
    <row r="38" spans="2:15" x14ac:dyDescent="0.3">
      <c r="B38" s="24" t="s">
        <v>141</v>
      </c>
      <c r="C38" s="25">
        <f>IFERROR(HistoricalFS!C81/HistoricalFS!C6,0)</f>
        <v>0.18322684879195122</v>
      </c>
      <c r="D38" s="25">
        <f>IFERROR(HistoricalFS!D81/HistoricalFS!D6,0)</f>
        <v>0.1828982550927585</v>
      </c>
      <c r="E38" s="25">
        <f>IFERROR(HistoricalFS!E81/HistoricalFS!E6,0)</f>
        <v>6.1416197563568552E-2</v>
      </c>
      <c r="F38" s="25">
        <f>IFERROR(HistoricalFS!F81/HistoricalFS!F6,0)</f>
        <v>1.2225746761829236E-2</v>
      </c>
      <c r="G38" s="25">
        <f>IFERROR(HistoricalFS!G81/HistoricalFS!G6,0)</f>
        <v>0.18746092195759678</v>
      </c>
      <c r="H38" s="25">
        <f>IFERROR(HistoricalFS!H81/HistoricalFS!H6,0)</f>
        <v>-1.1004213753455798E-2</v>
      </c>
      <c r="I38" s="25">
        <f>IFERROR(HistoricalFS!I81/HistoricalFS!I6,0)</f>
        <v>8.1873722583657743E-2</v>
      </c>
      <c r="J38" s="25">
        <f>IFERROR(HistoricalFS!J81/HistoricalFS!J6,0)</f>
        <v>0.13056700282394673</v>
      </c>
      <c r="K38" s="25">
        <f>IFERROR(HistoricalFS!K81/HistoricalFS!K6,0)</f>
        <v>0.1030586019501285</v>
      </c>
      <c r="L38" s="25">
        <f>IFERROR(HistoricalFS!L81/HistoricalFS!L6,0)</f>
        <v>0.11311069410198782</v>
      </c>
      <c r="M38" s="24"/>
      <c r="N38" s="25">
        <f t="shared" ref="N38:N40" si="13">IFERROR(AVERAGE(C38:L38),0)</f>
        <v>0.10448337778739694</v>
      </c>
      <c r="O38" s="25">
        <f t="shared" si="6"/>
        <v>0.10808464802605816</v>
      </c>
    </row>
    <row r="39" spans="2:15" x14ac:dyDescent="0.3">
      <c r="B39" t="s">
        <v>142</v>
      </c>
      <c r="C39" s="26">
        <f>IFERROR(HistoricalFS!C81/HistoricalFS!C67,0)</f>
        <v>0.24008621933969074</v>
      </c>
      <c r="D39" s="26">
        <f>IFERROR(HistoricalFS!D81/HistoricalFS!D67,0)</f>
        <v>0.24228029292064188</v>
      </c>
      <c r="E39" s="26">
        <f>IFERROR(HistoricalFS!E81/HistoricalFS!E67,0)</f>
        <v>8.2634163270474473E-2</v>
      </c>
      <c r="F39" s="26">
        <f>IFERROR(HistoricalFS!F81/HistoricalFS!F67,0)</f>
        <v>1.4537693488842124E-2</v>
      </c>
      <c r="G39" s="26">
        <f>IFERROR(HistoricalFS!G81/HistoricalFS!G67,0)</f>
        <v>0.18482377154257515</v>
      </c>
      <c r="H39" s="26">
        <f>IFERROR(HistoricalFS!H81/HistoricalFS!H67,0)</f>
        <v>-1.3019804301089672E-2</v>
      </c>
      <c r="I39" s="26">
        <f>IFERROR(HistoricalFS!I81/HistoricalFS!I67,0)</f>
        <v>0.11378667539827109</v>
      </c>
      <c r="J39" s="26">
        <f>IFERROR(HistoricalFS!J81/HistoricalFS!J67,0)</f>
        <v>0.16063609186490332</v>
      </c>
      <c r="K39" s="26">
        <f>IFERROR(HistoricalFS!K81/HistoricalFS!K67,0)</f>
        <v>0.11941241725467376</v>
      </c>
      <c r="L39" s="26">
        <f>IFERROR(HistoricalFS!L81/HistoricalFS!L67,0)</f>
        <v>0.13927230472659372</v>
      </c>
      <c r="N39" s="26">
        <f t="shared" si="13"/>
        <v>0.12844498255055767</v>
      </c>
      <c r="O39" s="26">
        <f t="shared" si="6"/>
        <v>0.12934236099063373</v>
      </c>
    </row>
    <row r="40" spans="2:15" x14ac:dyDescent="0.3">
      <c r="B40" s="27" t="s">
        <v>143</v>
      </c>
      <c r="C40" s="28" t="s">
        <v>405</v>
      </c>
      <c r="D40" s="28">
        <f>IFERROR(HistoricalFS!D81/HistoricalFS!D52,0)</f>
        <v>120.83609271523179</v>
      </c>
      <c r="E40" s="28">
        <f>IFERROR(HistoricalFS!E81/HistoricalFS!E52,0)</f>
        <v>33.120300751879704</v>
      </c>
      <c r="F40" s="28">
        <f>IFERROR(HistoricalFS!F81/HistoricalFS!F52,0)</f>
        <v>5.0244432373709937</v>
      </c>
      <c r="G40" s="28">
        <f>IFERROR(HistoricalFS!G81/HistoricalFS!G52,0)</f>
        <v>24.38898132741727</v>
      </c>
      <c r="H40" s="28">
        <f>IFERROR(HistoricalFS!H81/HistoricalFS!H52,0)</f>
        <v>-2.2843713278495885</v>
      </c>
      <c r="I40" s="28">
        <f>IFERROR(HistoricalFS!I81/HistoricalFS!I52,0)</f>
        <v>7.7174697346267944</v>
      </c>
      <c r="J40" s="28">
        <f>IFERROR(HistoricalFS!J81/HistoricalFS!J52,0)</f>
        <v>156.17200674536258</v>
      </c>
      <c r="K40" s="28">
        <f>IFERROR(HistoricalFS!K81/HistoricalFS!K52,0)</f>
        <v>181.13793103448276</v>
      </c>
      <c r="L40" s="28">
        <f>IFERROR(HistoricalFS!L81/HistoricalFS!L52,0)</f>
        <v>202.29268292682926</v>
      </c>
      <c r="M40" s="27"/>
      <c r="N40" s="28">
        <f t="shared" si="13"/>
        <v>80.933948571705727</v>
      </c>
      <c r="O40" s="28">
        <f t="shared" si="6"/>
        <v>33.120300751879704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0539DDD5-5DBE-4CD1-9DAA-88792452D432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high="1" xr2:uid="{A7469F42-C477-4341-A37F-605BC0C4998C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</x14:sparklines>
        </x14:sparklineGroup>
        <x14:sparklineGroup displayEmptyCellsAs="gap" markers="1" high="1" xr2:uid="{1B3988BE-0FF5-4223-AC55-FD32814EAAC7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high="1" xr2:uid="{E264E3C0-B11B-4CAA-B8C3-0EFB3197F6C9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high="1" xr2:uid="{A6A26971-7D01-4CE4-B3BE-605DC1787999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markers="1" high="1" xr2:uid="{05ED6EFB-8D35-489A-9BC8-8B897F87717F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high="1" xr2:uid="{7CC2481E-E8B1-464A-9585-2B2548C66A35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3A0C-34E9-4099-93E9-1B8E4739DD9C}">
  <dimension ref="B2:M43"/>
  <sheetViews>
    <sheetView showGridLines="0" workbookViewId="0">
      <selection activeCell="K12" sqref="K12"/>
    </sheetView>
  </sheetViews>
  <sheetFormatPr defaultRowHeight="14.4" x14ac:dyDescent="0.3"/>
  <cols>
    <col min="1" max="1" width="1.88671875" customWidth="1"/>
    <col min="2" max="2" width="21.44140625" customWidth="1"/>
    <col min="3" max="12" width="11" customWidth="1"/>
  </cols>
  <sheetData>
    <row r="2" spans="2:13" x14ac:dyDescent="0.3">
      <c r="B2" s="210" t="str">
        <f>"Common Size Income Statement"&amp;" - "&amp;'Data Sheet'!B1</f>
        <v>Common Size Income Statement - MARUTI SUZUKI INDIA LTD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</row>
    <row r="4" spans="2:13" x14ac:dyDescent="0.3">
      <c r="B4" s="160" t="s">
        <v>327</v>
      </c>
      <c r="C4" s="161">
        <f>'Data Sheet'!B16</f>
        <v>42825</v>
      </c>
      <c r="D4" s="161">
        <f>'Data Sheet'!C16</f>
        <v>43190</v>
      </c>
      <c r="E4" s="161">
        <f>'Data Sheet'!D16</f>
        <v>43555</v>
      </c>
      <c r="F4" s="161">
        <f>'Data Sheet'!E16</f>
        <v>43921</v>
      </c>
      <c r="G4" s="161">
        <f>'Data Sheet'!F16</f>
        <v>44286</v>
      </c>
      <c r="H4" s="161">
        <f>'Data Sheet'!G16</f>
        <v>44651</v>
      </c>
      <c r="I4" s="161">
        <f>'Data Sheet'!H16</f>
        <v>45016</v>
      </c>
      <c r="J4" s="161">
        <f>'Data Sheet'!I16</f>
        <v>45382</v>
      </c>
      <c r="K4" s="161">
        <f>'Data Sheet'!J16</f>
        <v>45747</v>
      </c>
      <c r="L4" s="161">
        <f>'Data Sheet'!K16</f>
        <v>46112</v>
      </c>
      <c r="M4" s="8"/>
    </row>
    <row r="6" spans="2:13" x14ac:dyDescent="0.3">
      <c r="B6" s="158" t="str">
        <f>'Data Sheet'!A17</f>
        <v>Sales</v>
      </c>
      <c r="C6" s="159">
        <f>'Data Sheet'!B17/'Data Sheet'!B$17</f>
        <v>1</v>
      </c>
      <c r="D6" s="159">
        <f>'Data Sheet'!C17/'Data Sheet'!C$17</f>
        <v>1</v>
      </c>
      <c r="E6" s="159">
        <f>'Data Sheet'!D17/'Data Sheet'!D$17</f>
        <v>1</v>
      </c>
      <c r="F6" s="159">
        <f>'Data Sheet'!E17/'Data Sheet'!E$17</f>
        <v>1</v>
      </c>
      <c r="G6" s="159">
        <f>'Data Sheet'!F17/'Data Sheet'!F$17</f>
        <v>1</v>
      </c>
      <c r="H6" s="159">
        <f>'Data Sheet'!G17/'Data Sheet'!G$17</f>
        <v>1</v>
      </c>
      <c r="I6" s="159">
        <f>'Data Sheet'!H17/'Data Sheet'!H$17</f>
        <v>1</v>
      </c>
      <c r="J6" s="159">
        <f>'Data Sheet'!I17/'Data Sheet'!I$17</f>
        <v>1</v>
      </c>
      <c r="K6" s="159">
        <f>'Data Sheet'!J17/'Data Sheet'!J$17</f>
        <v>1</v>
      </c>
      <c r="L6" s="159">
        <f>'Data Sheet'!K17/'Data Sheet'!K$17</f>
        <v>1</v>
      </c>
    </row>
    <row r="7" spans="2:13" x14ac:dyDescent="0.3">
      <c r="B7" s="157" t="str">
        <f>'Data Sheet'!A18</f>
        <v>Raw Material Cost</v>
      </c>
      <c r="C7" s="17">
        <f>'Data Sheet'!B18/'Data Sheet'!B$17</f>
        <v>0.69209811265330101</v>
      </c>
      <c r="D7" s="17">
        <f>'Data Sheet'!C18/'Data Sheet'!C$17</f>
        <v>0.68845649760554528</v>
      </c>
      <c r="E7" s="17">
        <f>'Data Sheet'!D18/'Data Sheet'!D$17</f>
        <v>0.68952752749263668</v>
      </c>
      <c r="F7" s="17">
        <f>'Data Sheet'!E18/'Data Sheet'!E$17</f>
        <v>0.70581549035157287</v>
      </c>
      <c r="G7" s="17">
        <f>'Data Sheet'!F18/'Data Sheet'!F$17</f>
        <v>0.71833257545614737</v>
      </c>
      <c r="H7" s="17">
        <f>'Data Sheet'!G18/'Data Sheet'!G$17</f>
        <v>0.7487518368659275</v>
      </c>
      <c r="I7" s="17">
        <f>'Data Sheet'!H18/'Data Sheet'!H$17</f>
        <v>0.73703956662893066</v>
      </c>
      <c r="J7" s="17">
        <f>'Data Sheet'!I18/'Data Sheet'!I$17</f>
        <v>0.70577167904287519</v>
      </c>
      <c r="K7" s="17">
        <f>'Data Sheet'!J18/'Data Sheet'!J$17</f>
        <v>0.71098140772857765</v>
      </c>
      <c r="L7" s="17">
        <f>'Data Sheet'!K18/'Data Sheet'!K$17</f>
        <v>0.73560409347792888</v>
      </c>
    </row>
    <row r="8" spans="2:13" x14ac:dyDescent="0.3">
      <c r="B8" s="157" t="str">
        <f>'Data Sheet'!A19</f>
        <v>Change in Inventory</v>
      </c>
      <c r="C8" s="17">
        <f>'Data Sheet'!B19/'Data Sheet'!B$17</f>
        <v>5.5709774546522728E-3</v>
      </c>
      <c r="D8" s="17">
        <f>'Data Sheet'!C19/'Data Sheet'!C$17</f>
        <v>-5.1121797682979696E-4</v>
      </c>
      <c r="E8" s="17">
        <f>'Data Sheet'!D19/'Data Sheet'!D$17</f>
        <v>-2.4585068869563196E-3</v>
      </c>
      <c r="F8" s="17">
        <f>'Data Sheet'!E19/'Data Sheet'!E$17</f>
        <v>3.154903515728258E-3</v>
      </c>
      <c r="G8" s="17">
        <f>'Data Sheet'!F19/'Data Sheet'!F$17</f>
        <v>-3.8879099641903033E-3</v>
      </c>
      <c r="H8" s="17">
        <f>'Data Sheet'!G19/'Data Sheet'!G$17</f>
        <v>1.0540044243279164E-3</v>
      </c>
      <c r="I8" s="17">
        <f>'Data Sheet'!H19/'Data Sheet'!H$17</f>
        <v>3.4353622014896491E-3</v>
      </c>
      <c r="J8" s="17">
        <f>'Data Sheet'!I19/'Data Sheet'!I$17</f>
        <v>2.6688622864240487E-3</v>
      </c>
      <c r="K8" s="17">
        <f>'Data Sheet'!J19/'Data Sheet'!J$17</f>
        <v>8.0274404399887523E-3</v>
      </c>
      <c r="L8" s="17">
        <f>'Data Sheet'!K19/'Data Sheet'!K$17</f>
        <v>1.2396626590150341E-2</v>
      </c>
    </row>
    <row r="9" spans="2:13" x14ac:dyDescent="0.3">
      <c r="B9" s="157" t="str">
        <f>'Data Sheet'!A20</f>
        <v>Power and Fuel</v>
      </c>
      <c r="C9" s="17">
        <f>'Data Sheet'!B20/'Data Sheet'!B$17</f>
        <v>7.6169494014834398E-3</v>
      </c>
      <c r="D9" s="17">
        <f>'Data Sheet'!C20/'Data Sheet'!C$17</f>
        <v>8.4376025881663062E-3</v>
      </c>
      <c r="E9" s="17">
        <f>'Data Sheet'!D20/'Data Sheet'!D$17</f>
        <v>1.0030382776509408E-2</v>
      </c>
      <c r="F9" s="17">
        <f>'Data Sheet'!E20/'Data Sheet'!E$17</f>
        <v>9.2453079566481629E-3</v>
      </c>
      <c r="G9" s="17">
        <f>'Data Sheet'!F20/'Data Sheet'!F$17</f>
        <v>6.7725800034104475E-3</v>
      </c>
      <c r="H9" s="17">
        <f>'Data Sheet'!G20/'Data Sheet'!G$17</f>
        <v>7.1425498529375129E-3</v>
      </c>
      <c r="I9" s="17">
        <f>'Data Sheet'!H20/'Data Sheet'!H$17</f>
        <v>6.7193269105640576E-3</v>
      </c>
      <c r="J9" s="17">
        <f>'Data Sheet'!I20/'Data Sheet'!I$17</f>
        <v>7.2847392678040464E-3</v>
      </c>
      <c r="K9" s="17">
        <f>'Data Sheet'!J20/'Data Sheet'!J$17</f>
        <v>6.8836527960343457E-3</v>
      </c>
      <c r="L9" s="17">
        <f>'Data Sheet'!K20/'Data Sheet'!K$17</f>
        <v>0</v>
      </c>
    </row>
    <row r="10" spans="2:13" x14ac:dyDescent="0.3">
      <c r="B10" s="157" t="str">
        <f>'Data Sheet'!A21</f>
        <v>Other Mfr. Exp</v>
      </c>
      <c r="C10" s="17">
        <f>'Data Sheet'!B21/'Data Sheet'!B$17</f>
        <v>5.6238525372695894E-3</v>
      </c>
      <c r="D10" s="17">
        <f>'Data Sheet'!C21/'Data Sheet'!C$17</f>
        <v>5.790044781692383E-3</v>
      </c>
      <c r="E10" s="17">
        <f>'Data Sheet'!D21/'Data Sheet'!D$17</f>
        <v>5.5269930346177757E-3</v>
      </c>
      <c r="F10" s="17">
        <f>'Data Sheet'!E21/'Data Sheet'!E$17</f>
        <v>4.9973565952947403E-3</v>
      </c>
      <c r="G10" s="17">
        <f>'Data Sheet'!F21/'Data Sheet'!F$17</f>
        <v>9.7098277724094809E-3</v>
      </c>
      <c r="H10" s="17">
        <f>'Data Sheet'!G21/'Data Sheet'!G$17</f>
        <v>9.6513294494043906E-3</v>
      </c>
      <c r="I10" s="17">
        <f>'Data Sheet'!H21/'Data Sheet'!H$17</f>
        <v>9.5320881881887851E-3</v>
      </c>
      <c r="J10" s="17">
        <f>'Data Sheet'!I21/'Data Sheet'!I$17</f>
        <v>6.6214008072850205E-3</v>
      </c>
      <c r="K10" s="17">
        <f>'Data Sheet'!J21/'Data Sheet'!J$17</f>
        <v>1.3042710560907183E-2</v>
      </c>
      <c r="L10" s="17">
        <f>'Data Sheet'!K21/'Data Sheet'!K$17</f>
        <v>0</v>
      </c>
    </row>
    <row r="11" spans="2:13" x14ac:dyDescent="0.3">
      <c r="B11" s="157" t="str">
        <f>'Data Sheet'!A22</f>
        <v>Employee Cost</v>
      </c>
      <c r="C11" s="17">
        <f>'Data Sheet'!B22/'Data Sheet'!B$17</f>
        <v>3.4666960417125657E-2</v>
      </c>
      <c r="D11" s="17">
        <f>'Data Sheet'!C22/'Data Sheet'!C$17</f>
        <v>3.5877979285648058E-2</v>
      </c>
      <c r="E11" s="17">
        <f>'Data Sheet'!D22/'Data Sheet'!D$17</f>
        <v>3.8167273741264225E-2</v>
      </c>
      <c r="F11" s="17">
        <f>'Data Sheet'!E22/'Data Sheet'!E$17</f>
        <v>4.5151995770552469E-2</v>
      </c>
      <c r="G11" s="17">
        <f>'Data Sheet'!F22/'Data Sheet'!F$17</f>
        <v>4.876371284033422E-2</v>
      </c>
      <c r="H11" s="17">
        <f>'Data Sheet'!G22/'Data Sheet'!G$17</f>
        <v>4.5866740329990559E-2</v>
      </c>
      <c r="I11" s="17">
        <f>'Data Sheet'!H22/'Data Sheet'!H$17</f>
        <v>3.9419484176835676E-2</v>
      </c>
      <c r="J11" s="17">
        <f>'Data Sheet'!I22/'Data Sheet'!I$17</f>
        <v>4.4421824046829858E-2</v>
      </c>
      <c r="K11" s="17">
        <f>'Data Sheet'!J22/'Data Sheet'!J$17</f>
        <v>4.594769574856291E-2</v>
      </c>
      <c r="L11" s="17">
        <f>'Data Sheet'!K22/'Data Sheet'!K$17</f>
        <v>4.9366667394008162E-2</v>
      </c>
    </row>
    <row r="12" spans="2:13" x14ac:dyDescent="0.3">
      <c r="B12" s="157" t="str">
        <f>'Data Sheet'!A23</f>
        <v>Selling and admin</v>
      </c>
      <c r="C12" s="17">
        <f>'Data Sheet'!B23/'Data Sheet'!B$17</f>
        <v>8.9759858999779688E-2</v>
      </c>
      <c r="D12" s="17">
        <f>'Data Sheet'!C23/'Data Sheet'!C$17</f>
        <v>8.4642911737213916E-2</v>
      </c>
      <c r="E12" s="17">
        <f>'Data Sheet'!D23/'Data Sheet'!D$17</f>
        <v>9.7483980782748614E-2</v>
      </c>
      <c r="F12" s="17">
        <f>'Data Sheet'!E23/'Data Sheet'!E$17</f>
        <v>0.11176711604546655</v>
      </c>
      <c r="G12" s="17">
        <f>'Data Sheet'!F23/'Data Sheet'!F$17</f>
        <v>0.1126016029102484</v>
      </c>
      <c r="H12" s="17">
        <f>'Data Sheet'!G23/'Data Sheet'!G$17</f>
        <v>0.10323922390857898</v>
      </c>
      <c r="I12" s="17">
        <f>'Data Sheet'!H23/'Data Sheet'!H$17</f>
        <v>9.9471554707653995E-2</v>
      </c>
      <c r="J12" s="17">
        <f>'Data Sheet'!I23/'Data Sheet'!I$17</f>
        <v>8.5173786217504516E-2</v>
      </c>
      <c r="K12" s="17">
        <f>'Data Sheet'!J23/'Data Sheet'!J$17</f>
        <v>7.5358537207431672E-2</v>
      </c>
      <c r="L12" s="17">
        <f>'Data Sheet'!K23/'Data Sheet'!K$17</f>
        <v>0</v>
      </c>
    </row>
    <row r="13" spans="2:13" x14ac:dyDescent="0.3">
      <c r="B13" s="157" t="str">
        <f>'Data Sheet'!A24</f>
        <v>Other Expenses</v>
      </c>
      <c r="C13" s="17">
        <f>'Data Sheet'!B24/'Data Sheet'!B$17</f>
        <v>2.2742160534625838E-2</v>
      </c>
      <c r="D13" s="17">
        <f>'Data Sheet'!C24/'Data Sheet'!C$17</f>
        <v>2.4448247950742647E-2</v>
      </c>
      <c r="E13" s="17">
        <f>'Data Sheet'!D24/'Data Sheet'!D$17</f>
        <v>2.834602671128229E-2</v>
      </c>
      <c r="F13" s="17">
        <f>'Data Sheet'!E24/'Data Sheet'!E$17</f>
        <v>2.8966428760243194E-2</v>
      </c>
      <c r="G13" s="17">
        <f>'Data Sheet'!F24/'Data Sheet'!F$17</f>
        <v>2.3046097879838572E-2</v>
      </c>
      <c r="H13" s="17">
        <f>'Data Sheet'!G24/'Data Sheet'!G$17</f>
        <v>2.1282738101976909E-2</v>
      </c>
      <c r="I13" s="17">
        <f>'Data Sheet'!H24/'Data Sheet'!H$17</f>
        <v>1.7444733536160609E-2</v>
      </c>
      <c r="J13" s="17">
        <f>'Data Sheet'!I24/'Data Sheet'!I$17</f>
        <v>2.2093188832228237E-2</v>
      </c>
      <c r="K13" s="17">
        <f>'Data Sheet'!J24/'Data Sheet'!J$17</f>
        <v>2.3557840078999172E-2</v>
      </c>
      <c r="L13" s="17">
        <f>'Data Sheet'!K24/'Data Sheet'!K$17</f>
        <v>0.11038098147461213</v>
      </c>
    </row>
    <row r="14" spans="2:13" x14ac:dyDescent="0.3">
      <c r="B14" s="157" t="str">
        <f>'Data Sheet'!A25</f>
        <v>Other Income</v>
      </c>
      <c r="C14" s="17">
        <f>'Data Sheet'!B25/'Data Sheet'!B$17</f>
        <v>3.5238305059851656E-2</v>
      </c>
      <c r="D14" s="17">
        <f>'Data Sheet'!C25/'Data Sheet'!C$17</f>
        <v>2.6996819923467662E-2</v>
      </c>
      <c r="E14" s="17">
        <f>'Data Sheet'!D25/'Data Sheet'!D$17</f>
        <v>3.0954414216583299E-2</v>
      </c>
      <c r="F14" s="17">
        <f>'Data Sheet'!E25/'Data Sheet'!E$17</f>
        <v>4.5075337034099924E-2</v>
      </c>
      <c r="G14" s="17">
        <f>'Data Sheet'!F25/'Data Sheet'!F$17</f>
        <v>4.328852384471097E-2</v>
      </c>
      <c r="H14" s="17">
        <f>'Data Sheet'!G25/'Data Sheet'!G$17</f>
        <v>2.1066503037479988E-2</v>
      </c>
      <c r="I14" s="17">
        <f>'Data Sheet'!H25/'Data Sheet'!H$17</f>
        <v>1.9618733483426652E-2</v>
      </c>
      <c r="J14" s="17">
        <f>'Data Sheet'!I25/'Data Sheet'!I$17</f>
        <v>2.994257646015528E-2</v>
      </c>
      <c r="K14" s="17">
        <f>'Data Sheet'!J25/'Data Sheet'!J$17</f>
        <v>3.3998417400744219E-2</v>
      </c>
      <c r="L14" s="17">
        <f>'Data Sheet'!K25/'Data Sheet'!K$17</f>
        <v>2.5326212660106047E-2</v>
      </c>
    </row>
    <row r="15" spans="2:13" x14ac:dyDescent="0.3">
      <c r="B15" s="157" t="str">
        <f>'Data Sheet'!A26</f>
        <v>Depreciation</v>
      </c>
      <c r="C15" s="17">
        <f>'Data Sheet'!B26/'Data Sheet'!B$17</f>
        <v>3.8244841007564076E-2</v>
      </c>
      <c r="D15" s="17">
        <f>'Data Sheet'!C26/'Data Sheet'!C$17</f>
        <v>3.4579886579776321E-2</v>
      </c>
      <c r="E15" s="17">
        <f>'Data Sheet'!D26/'Data Sheet'!D$17</f>
        <v>3.5097625728344288E-2</v>
      </c>
      <c r="F15" s="17">
        <f>'Data Sheet'!E26/'Data Sheet'!E$17</f>
        <v>4.663494581020354E-2</v>
      </c>
      <c r="G15" s="17">
        <f>'Data Sheet'!F26/'Data Sheet'!F$17</f>
        <v>4.3115159438413E-2</v>
      </c>
      <c r="H15" s="17">
        <f>'Data Sheet'!G26/'Data Sheet'!G$17</f>
        <v>3.1574847899576361E-2</v>
      </c>
      <c r="I15" s="17">
        <f>'Data Sheet'!H26/'Data Sheet'!H$17</f>
        <v>2.4033926647064375E-2</v>
      </c>
      <c r="J15" s="17">
        <f>'Data Sheet'!I26/'Data Sheet'!I$17</f>
        <v>3.7049673547246476E-2</v>
      </c>
      <c r="K15" s="17">
        <f>'Data Sheet'!J26/'Data Sheet'!J$17</f>
        <v>3.6675756802887913E-2</v>
      </c>
      <c r="L15" s="17">
        <f>'Data Sheet'!K26/'Data Sheet'!K$17</f>
        <v>3.6776386131052392E-2</v>
      </c>
    </row>
    <row r="16" spans="2:13" x14ac:dyDescent="0.3">
      <c r="B16" s="157" t="str">
        <f>'Data Sheet'!A27</f>
        <v>Interest</v>
      </c>
      <c r="C16" s="17">
        <f>'Data Sheet'!B27/'Data Sheet'!B$17</f>
        <v>1.313064551663362E-3</v>
      </c>
      <c r="D16" s="17">
        <f>'Data Sheet'!C27/'Data Sheet'!C$17</f>
        <v>4.3328229506799957E-3</v>
      </c>
      <c r="E16" s="17">
        <f>'Data Sheet'!D27/'Data Sheet'!D$17</f>
        <v>8.8185573119085381E-4</v>
      </c>
      <c r="F16" s="17">
        <f>'Data Sheet'!E27/'Data Sheet'!E$17</f>
        <v>1.7737245572297118E-3</v>
      </c>
      <c r="G16" s="17">
        <f>'Data Sheet'!F27/'Data Sheet'!F$17</f>
        <v>1.4465980787813333E-3</v>
      </c>
      <c r="H16" s="17">
        <f>'Data Sheet'!G27/'Data Sheet'!G$17</f>
        <v>1.4332648777649218E-3</v>
      </c>
      <c r="I16" s="17">
        <f>'Data Sheet'!H27/'Data Sheet'!H$17</f>
        <v>1.5905242180702262E-3</v>
      </c>
      <c r="J16" s="17">
        <f>'Data Sheet'!I27/'Data Sheet'!I$17</f>
        <v>1.3647431026193762E-3</v>
      </c>
      <c r="K16" s="17">
        <f>'Data Sheet'!J27/'Data Sheet'!J$17</f>
        <v>1.2700032044365096E-3</v>
      </c>
      <c r="L16" s="17">
        <f>'Data Sheet'!K27/'Data Sheet'!K$17</f>
        <v>1.3021231098212921E-3</v>
      </c>
    </row>
    <row r="17" spans="2:12" x14ac:dyDescent="0.3">
      <c r="B17" s="157" t="str">
        <f>'Data Sheet'!A28</f>
        <v>Profit before tax</v>
      </c>
      <c r="C17" s="17">
        <f>'Data Sheet'!B28/'Data Sheet'!B$17</f>
        <v>0.14874348241169127</v>
      </c>
      <c r="D17" s="17">
        <f>'Data Sheet'!C28/'Data Sheet'!C$17</f>
        <v>0.13991960846717305</v>
      </c>
      <c r="E17" s="17">
        <f>'Data Sheet'!D28/'Data Sheet'!D$17</f>
        <v>0.12343424133103283</v>
      </c>
      <c r="F17" s="17">
        <f>'Data Sheet'!E28/'Data Sheet'!E$17</f>
        <v>9.3877874702616979E-2</v>
      </c>
      <c r="G17" s="17">
        <f>'Data Sheet'!F28/'Data Sheet'!F$17</f>
        <v>7.5612459500937867E-2</v>
      </c>
      <c r="H17" s="17">
        <f>'Data Sheet'!G28/'Data Sheet'!G$17</f>
        <v>5.3177976175650794E-2</v>
      </c>
      <c r="I17" s="17">
        <f>'Data Sheet'!H28/'Data Sheet'!H$17</f>
        <v>8.7802890671447878E-2</v>
      </c>
      <c r="J17" s="17">
        <f>'Data Sheet'!I28/'Data Sheet'!I$17</f>
        <v>0.12283040388218656</v>
      </c>
      <c r="K17" s="17">
        <f>'Data Sheet'!J28/'Data Sheet'!J$17</f>
        <v>0.12830825371289556</v>
      </c>
      <c r="L17" s="17">
        <f>'Data Sheet'!K28/'Data Sheet'!K$17</f>
        <v>0.10429258766283357</v>
      </c>
    </row>
    <row r="18" spans="2:12" x14ac:dyDescent="0.3">
      <c r="B18" s="157" t="str">
        <f>'Data Sheet'!A29</f>
        <v>Tax</v>
      </c>
      <c r="C18" s="17">
        <f>'Data Sheet'!B29/'Data Sheet'!B$17</f>
        <v>3.8425497539839905E-2</v>
      </c>
      <c r="D18" s="17">
        <f>'Data Sheet'!C29/'Data Sheet'!C$17</f>
        <v>4.1175600869070558E-2</v>
      </c>
      <c r="E18" s="17">
        <f>'Data Sheet'!D29/'Data Sheet'!D$17</f>
        <v>3.454457786530496E-2</v>
      </c>
      <c r="F18" s="17">
        <f>'Data Sheet'!E29/'Data Sheet'!E$17</f>
        <v>1.8836901929685436E-2</v>
      </c>
      <c r="G18" s="17">
        <f>'Data Sheet'!F29/'Data Sheet'!F$17</f>
        <v>1.3242482805661343E-2</v>
      </c>
      <c r="H18" s="17">
        <f>'Data Sheet'!G29/'Data Sheet'!G$17</f>
        <v>9.2573514261325169E-3</v>
      </c>
      <c r="I18" s="17">
        <f>'Data Sheet'!H29/'Data Sheet'!H$17</f>
        <v>1.7964418187091578E-2</v>
      </c>
      <c r="J18" s="17">
        <f>'Data Sheet'!I29/'Data Sheet'!I$17</f>
        <v>2.7748131584920715E-2</v>
      </c>
      <c r="K18" s="17">
        <f>'Data Sheet'!J29/'Data Sheet'!J$17</f>
        <v>3.3481783759392598E-2</v>
      </c>
      <c r="L18" s="17">
        <f>'Data Sheet'!K29/'Data Sheet'!K$17</f>
        <v>2.4215016692487289E-2</v>
      </c>
    </row>
    <row r="19" spans="2:12" x14ac:dyDescent="0.3">
      <c r="B19" s="157" t="str">
        <f>'Data Sheet'!A30</f>
        <v>Net profit</v>
      </c>
      <c r="C19" s="17">
        <f>'Data Sheet'!B30/'Data Sheet'!B$17</f>
        <v>0.11030182859660717</v>
      </c>
      <c r="D19" s="17">
        <f>'Data Sheet'!C30/'Data Sheet'!C$17</f>
        <v>9.8735236701441187E-2</v>
      </c>
      <c r="E19" s="17">
        <f>'Data Sheet'!D30/'Data Sheet'!D$17</f>
        <v>8.8872235486850595E-2</v>
      </c>
      <c r="F19" s="17">
        <f>'Data Sheet'!E30/'Data Sheet'!E$17</f>
        <v>7.501982553528945E-2</v>
      </c>
      <c r="G19" s="17">
        <f>'Data Sheet'!F30/'Data Sheet'!F$17</f>
        <v>6.2369976695276538E-2</v>
      </c>
      <c r="H19" s="17">
        <f>'Data Sheet'!G30/'Data Sheet'!G$17</f>
        <v>4.3920624749518279E-2</v>
      </c>
      <c r="I19" s="17">
        <f>'Data Sheet'!H30/'Data Sheet'!H$17</f>
        <v>6.9838472484356304E-2</v>
      </c>
      <c r="J19" s="17">
        <f>'Data Sheet'!I30/'Data Sheet'!I$17</f>
        <v>9.508227229726586E-2</v>
      </c>
      <c r="K19" s="17">
        <f>'Data Sheet'!J30/'Data Sheet'!J$17</f>
        <v>9.4826469953502981E-2</v>
      </c>
      <c r="L19" s="17">
        <f>'Data Sheet'!K30/'Data Sheet'!K$17</f>
        <v>8.007757097034629E-2</v>
      </c>
    </row>
    <row r="20" spans="2:12" x14ac:dyDescent="0.3">
      <c r="B20" s="157" t="str">
        <f>'Data Sheet'!A31</f>
        <v>Dividend Amount</v>
      </c>
      <c r="C20" s="17">
        <f>'Data Sheet'!B31/'Data Sheet'!B$17</f>
        <v>3.3267239480061689E-2</v>
      </c>
      <c r="D20" s="17">
        <f>'Data Sheet'!C31/'Data Sheet'!C$17</f>
        <v>3.0272123333842882E-2</v>
      </c>
      <c r="E20" s="17">
        <f>'Data Sheet'!D31/'Data Sheet'!D$17</f>
        <v>2.8070664645021118E-2</v>
      </c>
      <c r="F20" s="17">
        <f>'Data Sheet'!E31/'Data Sheet'!E$17</f>
        <v>2.3949246629659002E-2</v>
      </c>
      <c r="G20" s="17">
        <f>'Data Sheet'!F31/'Data Sheet'!F$17</f>
        <v>1.9311658045813675E-2</v>
      </c>
      <c r="H20" s="17">
        <f>'Data Sheet'!G31/'Data Sheet'!G$17</f>
        <v>2.0514028108294141E-2</v>
      </c>
      <c r="I20" s="17">
        <f>'Data Sheet'!H31/'Data Sheet'!H$17</f>
        <v>2.3117886763181151E-2</v>
      </c>
      <c r="J20" s="17">
        <f>'Data Sheet'!I31/'Data Sheet'!I$17</f>
        <v>2.7703721039742502E-2</v>
      </c>
      <c r="K20" s="17">
        <f>'Data Sheet'!J31/'Data Sheet'!J$17</f>
        <v>2.7756959839908966E-2</v>
      </c>
      <c r="L20" s="17">
        <f>'Data Sheet'!K31/'Data Sheet'!K$17</f>
        <v>2.4010997403390869E-2</v>
      </c>
    </row>
    <row r="21" spans="2:12" x14ac:dyDescent="0.3">
      <c r="B21" s="157" t="str">
        <f>'Data Sheet'!A32</f>
        <v>EBITDA</v>
      </c>
      <c r="C21" s="17">
        <f>'Data Sheet'!B32/'Data Sheet'!B$17</f>
        <v>0.15304692663582284</v>
      </c>
      <c r="D21" s="17">
        <f>'Data Sheet'!C32/'Data Sheet'!C$17</f>
        <v>0.1518267271775004</v>
      </c>
      <c r="E21" s="17">
        <f>'Data Sheet'!D32/'Data Sheet'!D$17</f>
        <v>0.12844188059510739</v>
      </c>
      <c r="F21" s="17">
        <f>'Data Sheet'!E32/'Data Sheet'!E$17</f>
        <v>9.719006079830822E-2</v>
      </c>
      <c r="G21" s="17">
        <f>'Data Sheet'!F32/'Data Sheet'!F$17</f>
        <v>7.6885693173421241E-2</v>
      </c>
      <c r="H21" s="17">
        <f>'Data Sheet'!G32/'Data Sheet'!G$17</f>
        <v>6.511958591551209E-2</v>
      </c>
      <c r="I21" s="17">
        <f>'Data Sheet'!H32/'Data Sheet'!H$17</f>
        <v>9.3808608053155815E-2</v>
      </c>
      <c r="J21" s="17">
        <f>'Data Sheet'!I32/'Data Sheet'!I$17</f>
        <v>0.13130224407189711</v>
      </c>
      <c r="K21" s="17">
        <f>'Data Sheet'!J32/'Data Sheet'!J$17</f>
        <v>0.13225559631947578</v>
      </c>
      <c r="L21" s="17">
        <f>'Data Sheet'!K32/'Data Sheet'!K$17</f>
        <v>0.11704488424360121</v>
      </c>
    </row>
    <row r="22" spans="2:12" x14ac:dyDescent="0.3">
      <c r="B22" s="157"/>
    </row>
    <row r="23" spans="2:12" x14ac:dyDescent="0.3">
      <c r="B23" s="210" t="str">
        <f>"Common Size Balance Sheet"&amp;" - "&amp;'Data Sheet'!B1</f>
        <v>Common Size Balance Sheet - MARUTI SUZUKI INDIA LTD</v>
      </c>
      <c r="C23" s="210"/>
      <c r="D23" s="210"/>
      <c r="E23" s="210"/>
      <c r="F23" s="210"/>
      <c r="G23" s="210"/>
      <c r="H23" s="210"/>
      <c r="I23" s="210"/>
      <c r="J23" s="210"/>
      <c r="K23" s="210"/>
      <c r="L23" s="210"/>
    </row>
    <row r="24" spans="2:12" x14ac:dyDescent="0.3">
      <c r="B24" s="157"/>
    </row>
    <row r="25" spans="2:12" x14ac:dyDescent="0.3">
      <c r="B25" s="160" t="s">
        <v>327</v>
      </c>
      <c r="C25" s="161">
        <f>'Data Sheet'!B16</f>
        <v>42825</v>
      </c>
      <c r="D25" s="161">
        <f>'Data Sheet'!C16</f>
        <v>43190</v>
      </c>
      <c r="E25" s="161">
        <f>'Data Sheet'!D16</f>
        <v>43555</v>
      </c>
      <c r="F25" s="161">
        <f>'Data Sheet'!E16</f>
        <v>43921</v>
      </c>
      <c r="G25" s="161">
        <f>'Data Sheet'!F16</f>
        <v>44286</v>
      </c>
      <c r="H25" s="161">
        <f>'Data Sheet'!G16</f>
        <v>44651</v>
      </c>
      <c r="I25" s="161">
        <f>'Data Sheet'!H16</f>
        <v>45016</v>
      </c>
      <c r="J25" s="161">
        <f>'Data Sheet'!I16</f>
        <v>45382</v>
      </c>
      <c r="K25" s="161">
        <f>'Data Sheet'!J16</f>
        <v>45747</v>
      </c>
      <c r="L25" s="161">
        <f>'Data Sheet'!K16</f>
        <v>46112</v>
      </c>
    </row>
    <row r="26" spans="2:12" x14ac:dyDescent="0.3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2:12" x14ac:dyDescent="0.3">
      <c r="B27" s="158" t="s">
        <v>185</v>
      </c>
      <c r="C27" s="159">
        <f>'Data Sheet'!B61/'Data Sheet'!B$61</f>
        <v>1</v>
      </c>
      <c r="D27" s="159">
        <f>'Data Sheet'!C61/'Data Sheet'!C$61</f>
        <v>1</v>
      </c>
      <c r="E27" s="159">
        <f>'Data Sheet'!D61/'Data Sheet'!D$61</f>
        <v>1</v>
      </c>
      <c r="F27" s="159">
        <f>'Data Sheet'!E61/'Data Sheet'!E$61</f>
        <v>1</v>
      </c>
      <c r="G27" s="159">
        <f>'Data Sheet'!F61/'Data Sheet'!F$61</f>
        <v>1</v>
      </c>
      <c r="H27" s="159">
        <f>'Data Sheet'!G61/'Data Sheet'!G$61</f>
        <v>1</v>
      </c>
      <c r="I27" s="159">
        <f>'Data Sheet'!H61/'Data Sheet'!H$61</f>
        <v>1</v>
      </c>
      <c r="J27" s="159">
        <f>'Data Sheet'!I61/'Data Sheet'!I$61</f>
        <v>1</v>
      </c>
      <c r="K27" s="159">
        <f>'Data Sheet'!J61/'Data Sheet'!J$61</f>
        <v>1</v>
      </c>
      <c r="L27" s="159">
        <f>'Data Sheet'!K61/'Data Sheet'!K$61</f>
        <v>1</v>
      </c>
    </row>
    <row r="28" spans="2:12" x14ac:dyDescent="0.3">
      <c r="B28" s="157" t="str">
        <f>'Data Sheet'!A57</f>
        <v>Equity Share Capital</v>
      </c>
      <c r="C28" s="17">
        <f>'Data Sheet'!B57/'Data Sheet'!B$61</f>
        <v>2.9060536368972585E-3</v>
      </c>
      <c r="D28" s="17">
        <f>'Data Sheet'!C57/'Data Sheet'!C$61</f>
        <v>2.5062906234854369E-3</v>
      </c>
      <c r="E28" s="17">
        <f>'Data Sheet'!D57/'Data Sheet'!D$61</f>
        <v>2.3605294464323959E-3</v>
      </c>
      <c r="F28" s="17">
        <f>'Data Sheet'!E57/'Data Sheet'!E$61</f>
        <v>2.3731802343947683E-3</v>
      </c>
      <c r="G28" s="17">
        <f>'Data Sheet'!F57/'Data Sheet'!F$61</f>
        <v>2.1155540860315985E-3</v>
      </c>
      <c r="H28" s="17">
        <f>'Data Sheet'!G57/'Data Sheet'!G$61</f>
        <v>2.0226239192022021E-3</v>
      </c>
      <c r="I28" s="17">
        <f>'Data Sheet'!H57/'Data Sheet'!H$61</f>
        <v>1.78493538179295E-3</v>
      </c>
      <c r="J28" s="17">
        <f>'Data Sheet'!I57/'Data Sheet'!I$61</f>
        <v>1.3633513465696361E-3</v>
      </c>
      <c r="K28" s="17">
        <f>'Data Sheet'!J57/'Data Sheet'!J$61</f>
        <v>1.1911689823234158E-3</v>
      </c>
      <c r="L28" s="17">
        <f>'Data Sheet'!K57/'Data Sheet'!K$61</f>
        <v>1.0558768412356177E-3</v>
      </c>
    </row>
    <row r="29" spans="2:12" x14ac:dyDescent="0.3">
      <c r="B29" s="157" t="str">
        <f>'Data Sheet'!A58</f>
        <v>Reserves</v>
      </c>
      <c r="C29" s="17">
        <f>'Data Sheet'!B58/'Data Sheet'!B$61</f>
        <v>0.7106186430076693</v>
      </c>
      <c r="D29" s="17">
        <f>'Data Sheet'!C58/'Data Sheet'!C$61</f>
        <v>0.70389255150344243</v>
      </c>
      <c r="E29" s="17">
        <f>'Data Sheet'!D58/'Data Sheet'!D$61</f>
        <v>0.73381356819819699</v>
      </c>
      <c r="F29" s="17">
        <f>'Data Sheet'!E58/'Data Sheet'!E$61</f>
        <v>0.77422254772685484</v>
      </c>
      <c r="G29" s="17">
        <f>'Data Sheet'!F58/'Data Sheet'!F$61</f>
        <v>0.73343318001403823</v>
      </c>
      <c r="H29" s="17">
        <f>'Data Sheet'!G58/'Data Sheet'!G$61</f>
        <v>0.73916188358526835</v>
      </c>
      <c r="I29" s="17">
        <f>'Data Sheet'!H58/'Data Sheet'!H$61</f>
        <v>0.72863544645252964</v>
      </c>
      <c r="J29" s="17">
        <f>'Data Sheet'!I58/'Data Sheet'!I$61</f>
        <v>0.74133356923127625</v>
      </c>
      <c r="K29" s="17">
        <f>'Data Sheet'!J58/'Data Sheet'!J$61</f>
        <v>0.72805809146237954</v>
      </c>
      <c r="L29" s="17">
        <f>'Data Sheet'!K58/'Data Sheet'!K$61</f>
        <v>0.71868875141891853</v>
      </c>
    </row>
    <row r="30" spans="2:12" x14ac:dyDescent="0.3">
      <c r="B30" s="157" t="str">
        <f>'Data Sheet'!A59</f>
        <v>Borrowings</v>
      </c>
      <c r="C30" s="17">
        <f>'Data Sheet'!B59/'Data Sheet'!B$61</f>
        <v>9.307069793400756E-3</v>
      </c>
      <c r="D30" s="17">
        <f>'Data Sheet'!C59/'Data Sheet'!C$61</f>
        <v>2.0050324987883495E-3</v>
      </c>
      <c r="E30" s="17">
        <f>'Data Sheet'!D59/'Data Sheet'!D$61</f>
        <v>2.4949701963616583E-3</v>
      </c>
      <c r="F30" s="17">
        <f>'Data Sheet'!E59/'Data Sheet'!E$61</f>
        <v>2.8933939149144161E-3</v>
      </c>
      <c r="G30" s="17">
        <f>'Data Sheet'!F59/'Data Sheet'!F$61</f>
        <v>7.5781669214204745E-3</v>
      </c>
      <c r="H30" s="17">
        <f>'Data Sheet'!G59/'Data Sheet'!G$61</f>
        <v>5.6995130968247485E-3</v>
      </c>
      <c r="I30" s="17">
        <f>'Data Sheet'!H59/'Data Sheet'!H$61</f>
        <v>1.474403908417448E-2</v>
      </c>
      <c r="J30" s="17">
        <f>'Data Sheet'!I59/'Data Sheet'!I$61</f>
        <v>1.0285844128699673E-3</v>
      </c>
      <c r="K30" s="17">
        <f>'Data Sheet'!J59/'Data Sheet'!J$61</f>
        <v>6.5923474212555456E-4</v>
      </c>
      <c r="L30" s="17">
        <f>'Data Sheet'!K59/'Data Sheet'!K$61</f>
        <v>6.8846931441889829E-4</v>
      </c>
    </row>
    <row r="31" spans="2:12" x14ac:dyDescent="0.3">
      <c r="B31" s="157" t="str">
        <f>'Data Sheet'!A60</f>
        <v>Other Liabilities</v>
      </c>
      <c r="C31" s="17">
        <f>'Data Sheet'!B60/'Data Sheet'!B$61</f>
        <v>0.27716823356203268</v>
      </c>
      <c r="D31" s="17">
        <f>'Data Sheet'!C60/'Data Sheet'!C$61</f>
        <v>0.29159612537428381</v>
      </c>
      <c r="E31" s="17">
        <f>'Data Sheet'!D60/'Data Sheet'!D$61</f>
        <v>0.26133093215900904</v>
      </c>
      <c r="F31" s="17">
        <f>'Data Sheet'!E60/'Data Sheet'!E$61</f>
        <v>0.22051087812383602</v>
      </c>
      <c r="G31" s="17">
        <f>'Data Sheet'!F60/'Data Sheet'!F$61</f>
        <v>0.25687309897850957</v>
      </c>
      <c r="H31" s="17">
        <f>'Data Sheet'!G60/'Data Sheet'!G$61</f>
        <v>0.25311597939870473</v>
      </c>
      <c r="I31" s="17">
        <f>'Data Sheet'!H60/'Data Sheet'!H$61</f>
        <v>0.25483557908150301</v>
      </c>
      <c r="J31" s="17">
        <f>'Data Sheet'!I60/'Data Sheet'!I$61</f>
        <v>0.25627449500928412</v>
      </c>
      <c r="K31" s="17">
        <f>'Data Sheet'!J60/'Data Sheet'!J$61</f>
        <v>0.27009150481317135</v>
      </c>
      <c r="L31" s="17">
        <f>'Data Sheet'!K60/'Data Sheet'!K$61</f>
        <v>0.27956690242542698</v>
      </c>
    </row>
    <row r="32" spans="2:12" x14ac:dyDescent="0.3">
      <c r="B32" s="157"/>
    </row>
    <row r="33" spans="2:12" x14ac:dyDescent="0.3">
      <c r="B33" s="158" t="s">
        <v>107</v>
      </c>
      <c r="C33" s="159">
        <f>'Data Sheet'!B75/'Data Sheet'!B$75</f>
        <v>1</v>
      </c>
      <c r="D33" s="159">
        <f>'Data Sheet'!C75/'Data Sheet'!C$75</f>
        <v>1</v>
      </c>
      <c r="E33" s="159">
        <f>'Data Sheet'!D75/'Data Sheet'!D$75</f>
        <v>1</v>
      </c>
      <c r="F33" s="159">
        <f>'Data Sheet'!E75/'Data Sheet'!E$75</f>
        <v>1</v>
      </c>
      <c r="G33" s="159">
        <f>'Data Sheet'!F75/'Data Sheet'!F$75</f>
        <v>1</v>
      </c>
      <c r="H33" s="159">
        <f>'Data Sheet'!G75/'Data Sheet'!G$75</f>
        <v>1</v>
      </c>
      <c r="I33" s="159">
        <f>'Data Sheet'!H75/'Data Sheet'!H$75</f>
        <v>1</v>
      </c>
      <c r="J33" s="159">
        <f>'Data Sheet'!I75/'Data Sheet'!I$75</f>
        <v>1</v>
      </c>
      <c r="K33" s="159">
        <f>'Data Sheet'!J75/'Data Sheet'!J$75</f>
        <v>1</v>
      </c>
      <c r="L33" s="159">
        <f>'Data Sheet'!K75/'Data Sheet'!K$75</f>
        <v>1</v>
      </c>
    </row>
    <row r="34" spans="2:12" x14ac:dyDescent="0.3">
      <c r="B34" s="157" t="str">
        <f>'Data Sheet'!A62</f>
        <v>Net Block</v>
      </c>
      <c r="C34" s="17">
        <f>'Data Sheet'!B62/'Data Sheet'!B$75</f>
        <v>0.25616959036190956</v>
      </c>
      <c r="D34" s="17">
        <f>'Data Sheet'!C62/'Data Sheet'!C$75</f>
        <v>0.22222664834252862</v>
      </c>
      <c r="E34" s="17">
        <f>'Data Sheet'!D62/'Data Sheet'!D$75</f>
        <v>0.24132583591662798</v>
      </c>
      <c r="F34" s="17">
        <f>'Data Sheet'!E62/'Data Sheet'!E$75</f>
        <v>0.24744568796294697</v>
      </c>
      <c r="G34" s="17">
        <f>'Data Sheet'!F62/'Data Sheet'!F$75</f>
        <v>0.2099960631079591</v>
      </c>
      <c r="H34" s="17">
        <f>'Data Sheet'!G62/'Data Sheet'!G$75</f>
        <v>0.18414182478183122</v>
      </c>
      <c r="I34" s="17">
        <f>'Data Sheet'!H62/'Data Sheet'!H$75</f>
        <v>0.21076895252662925</v>
      </c>
      <c r="J34" s="17">
        <f>'Data Sheet'!I62/'Data Sheet'!I$75</f>
        <v>0.24166356616980661</v>
      </c>
      <c r="K34" s="17">
        <f>'Data Sheet'!J62/'Data Sheet'!J$75</f>
        <v>0.24992346815062677</v>
      </c>
      <c r="L34" s="17">
        <f>'Data Sheet'!K62/'Data Sheet'!K$75</f>
        <v>0.23478751486086205</v>
      </c>
    </row>
    <row r="35" spans="2:12" x14ac:dyDescent="0.3">
      <c r="B35" s="157" t="str">
        <f>'Data Sheet'!A63</f>
        <v>Capital Work in Progress</v>
      </c>
      <c r="C35" s="17">
        <f>'Data Sheet'!B63/'Data Sheet'!B$75</f>
        <v>2.4100999797923423E-2</v>
      </c>
      <c r="D35" s="17">
        <f>'Data Sheet'!C63/'Data Sheet'!C$75</f>
        <v>3.5388491644591395E-2</v>
      </c>
      <c r="E35" s="17">
        <f>'Data Sheet'!D63/'Data Sheet'!D$75</f>
        <v>2.5120097797829255E-2</v>
      </c>
      <c r="F35" s="17">
        <f>'Data Sheet'!E63/'Data Sheet'!E$75</f>
        <v>2.2241885216658784E-2</v>
      </c>
      <c r="G35" s="17">
        <f>'Data Sheet'!F63/'Data Sheet'!F$75</f>
        <v>2.0970605006437725E-2</v>
      </c>
      <c r="H35" s="17">
        <f>'Data Sheet'!G63/'Data Sheet'!G$75</f>
        <v>3.93340075413064E-2</v>
      </c>
      <c r="I35" s="17">
        <f>'Data Sheet'!H63/'Data Sheet'!H$75</f>
        <v>3.4328681074602026E-2</v>
      </c>
      <c r="J35" s="17">
        <f>'Data Sheet'!I63/'Data Sheet'!I$75</f>
        <v>6.7081742973580299E-2</v>
      </c>
      <c r="K35" s="17">
        <f>'Data Sheet'!J63/'Data Sheet'!J$75</f>
        <v>6.0081290463373821E-2</v>
      </c>
      <c r="L35" s="17">
        <f>'Data Sheet'!K63/'Data Sheet'!K$75</f>
        <v>6.3179317710117477E-2</v>
      </c>
    </row>
    <row r="36" spans="2:12" x14ac:dyDescent="0.3">
      <c r="B36" s="157" t="str">
        <f>'Data Sheet'!A64</f>
        <v>Investments</v>
      </c>
      <c r="C36" s="17">
        <f>'Data Sheet'!B64/'Data Sheet'!B$75</f>
        <v>0.56101461687243193</v>
      </c>
      <c r="D36" s="17">
        <f>'Data Sheet'!C64/'Data Sheet'!C$75</f>
        <v>0.59956944914719734</v>
      </c>
      <c r="E36" s="17">
        <f>'Data Sheet'!D64/'Data Sheet'!D$75</f>
        <v>0.58628047779617221</v>
      </c>
      <c r="F36" s="17">
        <f>'Data Sheet'!E64/'Data Sheet'!E$75</f>
        <v>0.58917735514563629</v>
      </c>
      <c r="G36" s="17">
        <f>'Data Sheet'!F64/'Data Sheet'!F$75</f>
        <v>0.60166918618417087</v>
      </c>
      <c r="H36" s="17">
        <f>'Data Sheet'!G64/'Data Sheet'!G$75</f>
        <v>0.56304893812244239</v>
      </c>
      <c r="I36" s="17">
        <f>'Data Sheet'!H64/'Data Sheet'!H$75</f>
        <v>0.58139600860078799</v>
      </c>
      <c r="J36" s="17">
        <f>'Data Sheet'!I64/'Data Sheet'!I$75</f>
        <v>0.49691207858176767</v>
      </c>
      <c r="K36" s="17">
        <f>'Data Sheet'!J64/'Data Sheet'!J$75</f>
        <v>0.50212015954996236</v>
      </c>
      <c r="L36" s="17">
        <f>'Data Sheet'!K64/'Data Sheet'!K$75</f>
        <v>0.51610682357050264</v>
      </c>
    </row>
    <row r="37" spans="2:12" x14ac:dyDescent="0.3">
      <c r="B37" s="157" t="str">
        <f>'Data Sheet'!A65</f>
        <v>Other Assets</v>
      </c>
      <c r="C37" s="17">
        <f>'Data Sheet'!B74/'Data Sheet'!B$75</f>
        <v>7.2306848471435037E-2</v>
      </c>
      <c r="D37" s="17">
        <f>'Data Sheet'!C74/'Data Sheet'!C$75</f>
        <v>6.4811679646264456E-2</v>
      </c>
      <c r="E37" s="17">
        <f>'Data Sheet'!D74/'Data Sheet'!D$75</f>
        <v>5.6241568141919406E-2</v>
      </c>
      <c r="F37" s="17">
        <f>'Data Sheet'!E74/'Data Sheet'!E$75</f>
        <v>5.9085901266272396E-2</v>
      </c>
      <c r="G37" s="17">
        <f>'Data Sheet'!F74/'Data Sheet'!F$75</f>
        <v>6.402423220097482E-2</v>
      </c>
      <c r="H37" s="17">
        <f>'Data Sheet'!G74/'Data Sheet'!G$75</f>
        <v>9.8158876439110324E-2</v>
      </c>
      <c r="I37" s="17">
        <f>'Data Sheet'!H74/'Data Sheet'!H$75</f>
        <v>8.3355300253318984E-2</v>
      </c>
      <c r="J37" s="17">
        <f>'Data Sheet'!I74/'Data Sheet'!I$75</f>
        <v>8.3832231464449208E-2</v>
      </c>
      <c r="K37" s="17">
        <f>'Data Sheet'!J74/'Data Sheet'!J$75</f>
        <v>8.1747381246817477E-2</v>
      </c>
      <c r="L37" s="17">
        <f>'Data Sheet'!K74/'Data Sheet'!K$75</f>
        <v>6.3394926149072092E-2</v>
      </c>
    </row>
    <row r="38" spans="2:12" x14ac:dyDescent="0.3">
      <c r="B38" s="157" t="str">
        <f>'Data Sheet'!A67</f>
        <v>Receivables</v>
      </c>
      <c r="C38" s="17">
        <f>'Data Sheet'!B67/'Data Sheet'!B$75</f>
        <v>2.3144503998229423E-2</v>
      </c>
      <c r="D38" s="17">
        <f>'Data Sheet'!C67/'Data Sheet'!C$75</f>
        <v>2.4322637613612981E-2</v>
      </c>
      <c r="E38" s="17">
        <f>'Data Sheet'!D67/'Data Sheet'!D$75</f>
        <v>3.6155182143767194E-2</v>
      </c>
      <c r="F38" s="17">
        <f>'Data Sheet'!E67/'Data Sheet'!E$75</f>
        <v>3.108237450041413E-2</v>
      </c>
      <c r="G38" s="17">
        <f>'Data Sheet'!F67/'Data Sheet'!F$75</f>
        <v>1.7931772680210883E-2</v>
      </c>
      <c r="H38" s="17">
        <f>'Data Sheet'!G67/'Data Sheet'!G$75</f>
        <v>2.7251843467661459E-2</v>
      </c>
      <c r="I38" s="17">
        <f>'Data Sheet'!H67/'Data Sheet'!H$75</f>
        <v>3.9025070658617517E-2</v>
      </c>
      <c r="J38" s="17">
        <f>'Data Sheet'!I67/'Data Sheet'!I$75</f>
        <v>3.9866752353125347E-2</v>
      </c>
      <c r="K38" s="17">
        <f>'Data Sheet'!J67/'Data Sheet'!J$75</f>
        <v>4.9553993598603324E-2</v>
      </c>
      <c r="L38" s="17">
        <f>'Data Sheet'!K67/'Data Sheet'!K$75</f>
        <v>3.588100563537322E-2</v>
      </c>
    </row>
    <row r="39" spans="2:12" x14ac:dyDescent="0.3">
      <c r="B39" s="157" t="str">
        <f>'Data Sheet'!A68</f>
        <v>Inventory</v>
      </c>
      <c r="C39" s="17">
        <f>'Data Sheet'!B68/'Data Sheet'!B$75</f>
        <v>6.281117387246081E-2</v>
      </c>
      <c r="D39" s="17">
        <f>'Data Sheet'!C68/'Data Sheet'!C$75</f>
        <v>5.245284522078595E-2</v>
      </c>
      <c r="E39" s="17">
        <f>'Data Sheet'!D68/'Data Sheet'!D$75</f>
        <v>5.1941027408717075E-2</v>
      </c>
      <c r="F39" s="17">
        <f>'Data Sheet'!E68/'Data Sheet'!E$75</f>
        <v>5.0511019571664546E-2</v>
      </c>
      <c r="G39" s="17">
        <f>'Data Sheet'!F68/'Data Sheet'!F$75</f>
        <v>4.2717380187485721E-2</v>
      </c>
      <c r="H39" s="17">
        <f>'Data Sheet'!G68/'Data Sheet'!G$75</f>
        <v>4.7314665362900257E-2</v>
      </c>
      <c r="I39" s="17">
        <f>'Data Sheet'!H68/'Data Sheet'!H$75</f>
        <v>5.0634243098742392E-2</v>
      </c>
      <c r="J39" s="17">
        <f>'Data Sheet'!I68/'Data Sheet'!I$75</f>
        <v>4.6122384199694548E-2</v>
      </c>
      <c r="K39" s="17">
        <f>'Data Sheet'!J68/'Data Sheet'!J$75</f>
        <v>5.238415654324579E-2</v>
      </c>
      <c r="L39" s="17">
        <f>'Data Sheet'!K68/'Data Sheet'!K$75</f>
        <v>7.6037909471322732E-2</v>
      </c>
    </row>
    <row r="40" spans="2:12" x14ac:dyDescent="0.3">
      <c r="B40" s="157" t="str">
        <f>'Data Sheet'!A69</f>
        <v>Cash &amp; Bank</v>
      </c>
      <c r="C40" s="17">
        <f>'Data Sheet'!B69/'Data Sheet'!B$75</f>
        <v>4.5226662560983824E-4</v>
      </c>
      <c r="D40" s="17">
        <f>'Data Sheet'!C69/'Data Sheet'!C$75</f>
        <v>1.2282483850193533E-3</v>
      </c>
      <c r="E40" s="17">
        <f>'Data Sheet'!D69/'Data Sheet'!D$75</f>
        <v>2.935810794966914E-3</v>
      </c>
      <c r="F40" s="17">
        <f>'Data Sheet'!E69/'Data Sheet'!E$75</f>
        <v>4.5577633640694226E-4</v>
      </c>
      <c r="G40" s="17">
        <f>'Data Sheet'!F69/'Data Sheet'!F$75</f>
        <v>4.2690760632760824E-2</v>
      </c>
      <c r="H40" s="17">
        <f>'Data Sheet'!G69/'Data Sheet'!G$75</f>
        <v>4.0749844284747941E-2</v>
      </c>
      <c r="I40" s="17">
        <f>'Data Sheet'!H69/'Data Sheet'!H$75</f>
        <v>4.917437873018988E-4</v>
      </c>
      <c r="J40" s="17">
        <f>'Data Sheet'!I69/'Data Sheet'!I$75</f>
        <v>2.452124425757627E-2</v>
      </c>
      <c r="K40" s="17">
        <f>'Data Sheet'!J69/'Data Sheet'!J$75</f>
        <v>4.1895504473703346E-3</v>
      </c>
      <c r="L40" s="17">
        <f>'Data Sheet'!K69/'Data Sheet'!K$75</f>
        <v>1.0612502602749848E-2</v>
      </c>
    </row>
    <row r="42" spans="2:12" x14ac:dyDescent="0.3">
      <c r="B42" s="157"/>
    </row>
    <row r="43" spans="2:12" x14ac:dyDescent="0.3">
      <c r="B43" s="157"/>
    </row>
  </sheetData>
  <mergeCells count="2">
    <mergeCell ref="B2:L2"/>
    <mergeCell ref="B23:L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1579-AA95-4EEC-B2F3-EC3996366CC4}">
  <dimension ref="B1:AE56"/>
  <sheetViews>
    <sheetView showGridLines="0" topLeftCell="A2" zoomScale="65" zoomScaleNormal="72" workbookViewId="0">
      <selection activeCell="H28" sqref="H28"/>
    </sheetView>
  </sheetViews>
  <sheetFormatPr defaultRowHeight="14.4" x14ac:dyDescent="0.3"/>
  <cols>
    <col min="1" max="1" width="1.88671875" customWidth="1"/>
    <col min="2" max="2" width="12.33203125" customWidth="1"/>
    <col min="3" max="3" width="7.77734375" customWidth="1"/>
    <col min="4" max="4" width="10.88671875" customWidth="1"/>
    <col min="5" max="5" width="11.88671875" bestFit="1" customWidth="1"/>
    <col min="6" max="6" width="9.109375" customWidth="1"/>
    <col min="7" max="7" width="12.44140625" customWidth="1"/>
    <col min="8" max="8" width="7.77734375" customWidth="1"/>
    <col min="9" max="9" width="13.33203125" customWidth="1"/>
    <col min="10" max="10" width="15.109375" customWidth="1"/>
    <col min="11" max="11" width="2.77734375" style="62" customWidth="1"/>
    <col min="12" max="12" width="12.44140625" bestFit="1" customWidth="1"/>
    <col min="13" max="13" width="7.77734375" customWidth="1"/>
    <col min="14" max="14" width="14.5546875" bestFit="1" customWidth="1"/>
    <col min="15" max="15" width="12.77734375" customWidth="1"/>
    <col min="16" max="16" width="13.44140625" customWidth="1"/>
    <col min="17" max="17" width="2.77734375" customWidth="1"/>
    <col min="18" max="18" width="11.6640625" customWidth="1"/>
    <col min="19" max="19" width="10.6640625" customWidth="1"/>
    <col min="20" max="20" width="12.21875" customWidth="1"/>
    <col min="21" max="21" width="14.33203125" customWidth="1"/>
    <col min="22" max="22" width="2.77734375" customWidth="1"/>
    <col min="24" max="24" width="10.88671875" customWidth="1"/>
    <col min="25" max="25" width="11.6640625" customWidth="1"/>
    <col min="26" max="26" width="10.77734375" customWidth="1"/>
    <col min="27" max="27" width="11.6640625" customWidth="1"/>
  </cols>
  <sheetData>
    <row r="1" spans="2:27" x14ac:dyDescent="0.3">
      <c r="G1" s="8"/>
      <c r="H1" s="8"/>
      <c r="I1" s="8"/>
      <c r="J1" s="8"/>
      <c r="L1" s="8"/>
      <c r="M1" s="8"/>
      <c r="N1" s="8"/>
      <c r="O1" s="8"/>
      <c r="P1" s="8"/>
      <c r="Q1" s="8"/>
      <c r="R1" s="8"/>
    </row>
    <row r="2" spans="2:27" x14ac:dyDescent="0.3">
      <c r="B2" s="211" t="str">
        <f>"Sales Forecasting"&amp;" - "&amp;'Data Sheet'!B1</f>
        <v>Sales Forecasting - MARUTI SUZUKI INDIA LTD</v>
      </c>
      <c r="C2" s="212"/>
      <c r="D2" s="212"/>
      <c r="E2" s="213"/>
      <c r="G2" s="211" t="str">
        <f>"EBITDA Forecasting"&amp;" - "&amp;'Data Sheet'!B1</f>
        <v>EBITDA Forecasting - MARUTI SUZUKI INDIA LTD</v>
      </c>
      <c r="H2" s="212"/>
      <c r="I2" s="212"/>
      <c r="J2" s="213"/>
      <c r="L2" s="211" t="str">
        <f>"COGS % Sales Forecasting"&amp;" - "&amp;'Data Sheet'!B1</f>
        <v>COGS % Sales Forecasting - MARUTI SUZUKI INDIA LTD</v>
      </c>
      <c r="M2" s="212"/>
      <c r="N2" s="212"/>
      <c r="O2" s="212"/>
      <c r="P2" s="213"/>
      <c r="R2" s="211" t="str">
        <f>"EBT Forecasting"&amp;" - "&amp;'Data Sheet'!B1</f>
        <v>EBT Forecasting - MARUTI SUZUKI INDIA LTD</v>
      </c>
      <c r="S2" s="212"/>
      <c r="T2" s="212"/>
      <c r="U2" s="213"/>
      <c r="W2" s="211" t="str">
        <f>"Net Profit Forecasting"&amp;" - "&amp;'Data Sheet'!B1</f>
        <v>Net Profit Forecasting - MARUTI SUZUKI INDIA LTD</v>
      </c>
      <c r="X2" s="212"/>
      <c r="Y2" s="212"/>
      <c r="Z2" s="212"/>
      <c r="AA2" s="213"/>
    </row>
    <row r="3" spans="2:27" x14ac:dyDescent="0.3">
      <c r="B3" s="44" t="s">
        <v>146</v>
      </c>
      <c r="C3" s="31" t="s">
        <v>76</v>
      </c>
      <c r="D3" s="31" t="s">
        <v>11</v>
      </c>
      <c r="E3" s="52" t="s">
        <v>79</v>
      </c>
      <c r="G3" s="44" t="s">
        <v>146</v>
      </c>
      <c r="H3" s="31" t="s">
        <v>76</v>
      </c>
      <c r="I3" s="31" t="s">
        <v>88</v>
      </c>
      <c r="J3" s="52" t="s">
        <v>118</v>
      </c>
      <c r="L3" s="44" t="s">
        <v>146</v>
      </c>
      <c r="M3" s="31" t="s">
        <v>76</v>
      </c>
      <c r="N3" s="31" t="s">
        <v>11</v>
      </c>
      <c r="O3" s="31" t="s">
        <v>82</v>
      </c>
      <c r="P3" s="52" t="s">
        <v>83</v>
      </c>
      <c r="R3" s="44" t="s">
        <v>146</v>
      </c>
      <c r="S3" s="31" t="s">
        <v>76</v>
      </c>
      <c r="T3" s="31" t="s">
        <v>173</v>
      </c>
      <c r="U3" s="52" t="s">
        <v>174</v>
      </c>
      <c r="W3" s="44" t="s">
        <v>146</v>
      </c>
      <c r="X3" s="31" t="s">
        <v>76</v>
      </c>
      <c r="Y3" s="31" t="s">
        <v>11</v>
      </c>
      <c r="Z3" s="31" t="s">
        <v>95</v>
      </c>
      <c r="AA3" s="52" t="s">
        <v>96</v>
      </c>
    </row>
    <row r="4" spans="2:27" x14ac:dyDescent="0.3">
      <c r="B4" s="46">
        <v>1</v>
      </c>
      <c r="C4" s="39">
        <v>2017</v>
      </c>
      <c r="D4" s="40">
        <v>68085</v>
      </c>
      <c r="E4" s="45"/>
      <c r="G4" s="46">
        <v>1</v>
      </c>
      <c r="H4" s="39">
        <v>2017</v>
      </c>
      <c r="I4" s="40">
        <v>10421.299999999999</v>
      </c>
      <c r="J4" s="45"/>
      <c r="L4" s="46">
        <v>1</v>
      </c>
      <c r="M4" s="39">
        <v>2017</v>
      </c>
      <c r="N4" s="56">
        <v>68085</v>
      </c>
      <c r="O4" s="40">
        <v>50004</v>
      </c>
      <c r="P4" s="53">
        <f t="shared" ref="P4:P18" si="0">O4/N4</f>
        <v>0.7344348975545274</v>
      </c>
      <c r="R4" s="46">
        <v>1</v>
      </c>
      <c r="S4" s="39">
        <v>2017</v>
      </c>
      <c r="T4" s="40">
        <v>10127.200000000001</v>
      </c>
      <c r="U4" s="45"/>
      <c r="W4" s="46">
        <v>1</v>
      </c>
      <c r="X4" s="39">
        <v>2017</v>
      </c>
      <c r="Y4" s="56">
        <v>68085</v>
      </c>
      <c r="Z4" s="40">
        <v>7511.0000000000009</v>
      </c>
      <c r="AA4" s="53">
        <f>Z4/Y4</f>
        <v>0.11031798487185138</v>
      </c>
    </row>
    <row r="5" spans="2:27" x14ac:dyDescent="0.3">
      <c r="B5" s="46">
        <f>B4+1</f>
        <v>2</v>
      </c>
      <c r="C5" s="39">
        <f>C4+1</f>
        <v>2018</v>
      </c>
      <c r="D5" s="40">
        <v>79809</v>
      </c>
      <c r="E5" s="53">
        <f>D5/D4-1</f>
        <v>0.17219651905706113</v>
      </c>
      <c r="G5" s="46">
        <f>G4+1</f>
        <v>2</v>
      </c>
      <c r="H5" s="39">
        <f>H4+1</f>
        <v>2018</v>
      </c>
      <c r="I5" s="40">
        <v>12117.899999999987</v>
      </c>
      <c r="J5" s="53">
        <f>I5/I4-1</f>
        <v>0.16280118603245164</v>
      </c>
      <c r="L5" s="46">
        <f t="shared" ref="L5:L18" si="1">L4+1</f>
        <v>2</v>
      </c>
      <c r="M5" s="39">
        <f t="shared" ref="M5:M18" si="2">M4+1</f>
        <v>2018</v>
      </c>
      <c r="N5" s="56">
        <v>79809</v>
      </c>
      <c r="O5" s="40">
        <v>58985.000000000007</v>
      </c>
      <c r="P5" s="53">
        <f t="shared" si="0"/>
        <v>0.73907704644839567</v>
      </c>
      <c r="R5" s="46">
        <f>R4+1</f>
        <v>2</v>
      </c>
      <c r="S5" s="39">
        <f>S4+1</f>
        <v>2018</v>
      </c>
      <c r="T5" s="40">
        <v>11166.899999999987</v>
      </c>
      <c r="U5" s="53">
        <f>T5/T4-1</f>
        <v>0.10266411248913676</v>
      </c>
      <c r="W5" s="46">
        <f t="shared" ref="W5:W18" si="3">W4+1</f>
        <v>2</v>
      </c>
      <c r="X5" s="39">
        <f t="shared" ref="X5:X18" si="4">X4+1</f>
        <v>2018</v>
      </c>
      <c r="Y5" s="56">
        <v>79809</v>
      </c>
      <c r="Z5" s="40">
        <v>7880.6999999999871</v>
      </c>
      <c r="AA5" s="53">
        <f t="shared" ref="AA5:AA18" si="5">Z5/Y5</f>
        <v>9.8744502499717918E-2</v>
      </c>
    </row>
    <row r="6" spans="2:27" x14ac:dyDescent="0.3">
      <c r="B6" s="46">
        <f t="shared" ref="B6:B18" si="6">B5+1</f>
        <v>3</v>
      </c>
      <c r="C6" s="39">
        <f t="shared" ref="C6:C18" si="7">C5+1</f>
        <v>2019</v>
      </c>
      <c r="D6" s="40">
        <v>86068</v>
      </c>
      <c r="E6" s="53">
        <f t="shared" ref="E6:E18" si="8">D6/D5-1</f>
        <v>7.8424739064516524E-2</v>
      </c>
      <c r="G6" s="46">
        <f t="shared" ref="G6:G18" si="9">G5+1</f>
        <v>3</v>
      </c>
      <c r="H6" s="39">
        <f t="shared" ref="H6:H18" si="10">H5+1</f>
        <v>2019</v>
      </c>
      <c r="I6" s="40">
        <v>11056.300000000003</v>
      </c>
      <c r="J6" s="53">
        <f t="shared" ref="J6:J18" si="11">I6/I5-1</f>
        <v>-8.7605938322645405E-2</v>
      </c>
      <c r="L6" s="46">
        <f t="shared" si="1"/>
        <v>3</v>
      </c>
      <c r="M6" s="39">
        <f t="shared" si="2"/>
        <v>2019</v>
      </c>
      <c r="N6" s="56">
        <v>86068</v>
      </c>
      <c r="O6" s="40">
        <v>64182.2</v>
      </c>
      <c r="P6" s="53">
        <f t="shared" si="0"/>
        <v>0.74571501603383372</v>
      </c>
      <c r="R6" s="46">
        <f t="shared" ref="R6:R18" si="12">R5+1</f>
        <v>3</v>
      </c>
      <c r="S6" s="39">
        <f t="shared" ref="S6:S18" si="13">S5+1</f>
        <v>2019</v>
      </c>
      <c r="T6" s="40">
        <v>10623.800000000003</v>
      </c>
      <c r="U6" s="53">
        <f t="shared" ref="U6:U18" si="14">T6/T5-1</f>
        <v>-4.8634804645871665E-2</v>
      </c>
      <c r="W6" s="46">
        <f t="shared" si="3"/>
        <v>3</v>
      </c>
      <c r="X6" s="39">
        <f t="shared" si="4"/>
        <v>2019</v>
      </c>
      <c r="Y6" s="56">
        <v>86068</v>
      </c>
      <c r="Z6" s="40">
        <v>7650.6000000000031</v>
      </c>
      <c r="AA6" s="53">
        <f t="shared" si="5"/>
        <v>8.8890179857786897E-2</v>
      </c>
    </row>
    <row r="7" spans="2:27" x14ac:dyDescent="0.3">
      <c r="B7" s="46">
        <f t="shared" si="6"/>
        <v>4</v>
      </c>
      <c r="C7" s="39">
        <f t="shared" si="7"/>
        <v>2020</v>
      </c>
      <c r="D7" s="40">
        <v>75660</v>
      </c>
      <c r="E7" s="53">
        <f t="shared" si="8"/>
        <v>-0.1209276386113306</v>
      </c>
      <c r="G7" s="46">
        <f t="shared" si="9"/>
        <v>4</v>
      </c>
      <c r="H7" s="39">
        <f t="shared" si="10"/>
        <v>2020</v>
      </c>
      <c r="I7" s="40">
        <v>7355.0000000000018</v>
      </c>
      <c r="J7" s="53">
        <f t="shared" si="11"/>
        <v>-0.33476841257925349</v>
      </c>
      <c r="L7" s="46">
        <f t="shared" si="1"/>
        <v>4</v>
      </c>
      <c r="M7" s="39">
        <f t="shared" si="2"/>
        <v>2020</v>
      </c>
      <c r="N7" s="56">
        <v>75660</v>
      </c>
      <c r="O7" s="40">
        <v>57657.1</v>
      </c>
      <c r="P7" s="53">
        <f t="shared" si="0"/>
        <v>0.76205524715833994</v>
      </c>
      <c r="R7" s="46">
        <f t="shared" si="12"/>
        <v>4</v>
      </c>
      <c r="S7" s="39">
        <f t="shared" si="13"/>
        <v>2020</v>
      </c>
      <c r="T7" s="40">
        <v>7102.8000000000011</v>
      </c>
      <c r="U7" s="53">
        <f t="shared" si="14"/>
        <v>-0.33142566689884978</v>
      </c>
      <c r="W7" s="46">
        <f t="shared" si="3"/>
        <v>4</v>
      </c>
      <c r="X7" s="39">
        <f t="shared" si="4"/>
        <v>2020</v>
      </c>
      <c r="Y7" s="56">
        <v>75660</v>
      </c>
      <c r="Z7" s="40">
        <v>5677.6000000000013</v>
      </c>
      <c r="AA7" s="53">
        <f t="shared" si="5"/>
        <v>7.504097277293155E-2</v>
      </c>
    </row>
    <row r="8" spans="2:27" x14ac:dyDescent="0.3">
      <c r="B8" s="46">
        <f t="shared" si="6"/>
        <v>5</v>
      </c>
      <c r="C8" s="39">
        <f t="shared" si="7"/>
        <v>2021</v>
      </c>
      <c r="D8" s="40">
        <v>70372</v>
      </c>
      <c r="E8" s="53">
        <f t="shared" si="8"/>
        <v>-6.9891620407084298E-2</v>
      </c>
      <c r="G8" s="46">
        <f t="shared" si="9"/>
        <v>5</v>
      </c>
      <c r="H8" s="39">
        <f t="shared" si="10"/>
        <v>2021</v>
      </c>
      <c r="I8" s="40">
        <v>5410.6000000000022</v>
      </c>
      <c r="J8" s="53">
        <f t="shared" si="11"/>
        <v>-0.26436437797416712</v>
      </c>
      <c r="L8" s="46">
        <f t="shared" si="1"/>
        <v>5</v>
      </c>
      <c r="M8" s="39">
        <f t="shared" si="2"/>
        <v>2021</v>
      </c>
      <c r="N8" s="56">
        <v>70372</v>
      </c>
      <c r="O8" s="40">
        <v>55415.6</v>
      </c>
      <c r="P8" s="53">
        <f t="shared" si="0"/>
        <v>0.78746660603649177</v>
      </c>
      <c r="R8" s="46">
        <f t="shared" si="12"/>
        <v>5</v>
      </c>
      <c r="S8" s="39">
        <f t="shared" si="13"/>
        <v>2021</v>
      </c>
      <c r="T8" s="40">
        <v>5321.0000000000018</v>
      </c>
      <c r="U8" s="53">
        <f t="shared" si="14"/>
        <v>-0.2508588162414821</v>
      </c>
      <c r="W8" s="46">
        <f t="shared" si="3"/>
        <v>5</v>
      </c>
      <c r="X8" s="39">
        <f t="shared" si="4"/>
        <v>2021</v>
      </c>
      <c r="Y8" s="56">
        <v>70372</v>
      </c>
      <c r="Z8" s="40">
        <v>4389.1000000000022</v>
      </c>
      <c r="AA8" s="53">
        <f t="shared" si="5"/>
        <v>6.2369976695276559E-2</v>
      </c>
    </row>
    <row r="9" spans="2:27" x14ac:dyDescent="0.3">
      <c r="B9" s="46">
        <f t="shared" si="6"/>
        <v>6</v>
      </c>
      <c r="C9" s="39">
        <f t="shared" si="7"/>
        <v>2022</v>
      </c>
      <c r="D9" s="40">
        <v>88330</v>
      </c>
      <c r="E9" s="53">
        <f t="shared" si="8"/>
        <v>0.25518672199170123</v>
      </c>
      <c r="G9" s="46">
        <f t="shared" si="9"/>
        <v>6</v>
      </c>
      <c r="H9" s="39">
        <f t="shared" si="10"/>
        <v>2022</v>
      </c>
      <c r="I9" s="40">
        <v>5752.0000000000146</v>
      </c>
      <c r="J9" s="53">
        <f t="shared" si="11"/>
        <v>6.3098362473665182E-2</v>
      </c>
      <c r="L9" s="46">
        <f t="shared" si="1"/>
        <v>6</v>
      </c>
      <c r="M9" s="39">
        <f t="shared" si="2"/>
        <v>2022</v>
      </c>
      <c r="N9" s="56">
        <v>88330</v>
      </c>
      <c r="O9" s="40">
        <v>71578.799999999988</v>
      </c>
      <c r="P9" s="53">
        <f t="shared" si="0"/>
        <v>0.81035661723083874</v>
      </c>
      <c r="R9" s="46">
        <f t="shared" si="12"/>
        <v>6</v>
      </c>
      <c r="S9" s="39">
        <f t="shared" si="13"/>
        <v>2022</v>
      </c>
      <c r="T9" s="40">
        <v>4697.2000000000153</v>
      </c>
      <c r="U9" s="53">
        <f t="shared" si="14"/>
        <v>-0.1172336027062556</v>
      </c>
      <c r="W9" s="46">
        <f t="shared" si="3"/>
        <v>6</v>
      </c>
      <c r="X9" s="39">
        <f t="shared" si="4"/>
        <v>2022</v>
      </c>
      <c r="Y9" s="56">
        <v>88330</v>
      </c>
      <c r="Z9" s="40">
        <v>3879.5000000000155</v>
      </c>
      <c r="AA9" s="53">
        <f t="shared" si="5"/>
        <v>4.3920525302841788E-2</v>
      </c>
    </row>
    <row r="10" spans="2:27" x14ac:dyDescent="0.3">
      <c r="B10" s="46">
        <f t="shared" si="6"/>
        <v>7</v>
      </c>
      <c r="C10" s="39">
        <f t="shared" si="7"/>
        <v>2023</v>
      </c>
      <c r="D10" s="40">
        <v>117571</v>
      </c>
      <c r="E10" s="53">
        <f t="shared" si="8"/>
        <v>0.33104268085588129</v>
      </c>
      <c r="G10" s="46">
        <f t="shared" si="9"/>
        <v>7</v>
      </c>
      <c r="H10" s="39">
        <f t="shared" si="10"/>
        <v>2023</v>
      </c>
      <c r="I10" s="40">
        <v>11029.199999999997</v>
      </c>
      <c r="J10" s="53">
        <f t="shared" si="11"/>
        <v>0.91745479833100996</v>
      </c>
      <c r="L10" s="46">
        <f t="shared" si="1"/>
        <v>7</v>
      </c>
      <c r="M10" s="39">
        <f t="shared" si="2"/>
        <v>2023</v>
      </c>
      <c r="N10" s="56">
        <v>117571</v>
      </c>
      <c r="O10" s="40">
        <v>92796.1</v>
      </c>
      <c r="P10" s="53">
        <f t="shared" si="0"/>
        <v>0.78927711765656505</v>
      </c>
      <c r="R10" s="46">
        <f t="shared" si="12"/>
        <v>7</v>
      </c>
      <c r="S10" s="39">
        <f t="shared" si="13"/>
        <v>2023</v>
      </c>
      <c r="T10" s="40">
        <v>10323.099999999999</v>
      </c>
      <c r="U10" s="53">
        <f t="shared" si="14"/>
        <v>1.1977135314655465</v>
      </c>
      <c r="W10" s="46">
        <f t="shared" si="3"/>
        <v>7</v>
      </c>
      <c r="X10" s="39">
        <f t="shared" si="4"/>
        <v>2023</v>
      </c>
      <c r="Y10" s="56">
        <v>117571</v>
      </c>
      <c r="Z10" s="40">
        <v>8210.9999999999982</v>
      </c>
      <c r="AA10" s="53">
        <f t="shared" si="5"/>
        <v>6.9838650687669562E-2</v>
      </c>
    </row>
    <row r="11" spans="2:27" x14ac:dyDescent="0.3">
      <c r="B11" s="46">
        <f t="shared" si="6"/>
        <v>8</v>
      </c>
      <c r="C11" s="39">
        <f t="shared" si="7"/>
        <v>2024</v>
      </c>
      <c r="D11" s="40">
        <v>141858</v>
      </c>
      <c r="E11" s="53">
        <f t="shared" si="8"/>
        <v>0.20657304947648658</v>
      </c>
      <c r="G11" s="46">
        <f t="shared" si="9"/>
        <v>8</v>
      </c>
      <c r="H11" s="39">
        <f t="shared" si="10"/>
        <v>2024</v>
      </c>
      <c r="I11" s="40">
        <v>18626.300000000014</v>
      </c>
      <c r="J11" s="53">
        <f t="shared" si="11"/>
        <v>0.68881695861894054</v>
      </c>
      <c r="L11" s="46">
        <f t="shared" si="1"/>
        <v>8</v>
      </c>
      <c r="M11" s="39">
        <f t="shared" si="2"/>
        <v>2024</v>
      </c>
      <c r="N11" s="56">
        <v>141858</v>
      </c>
      <c r="O11" s="40">
        <v>108015.2</v>
      </c>
      <c r="P11" s="53">
        <f t="shared" si="0"/>
        <v>0.76143185438960082</v>
      </c>
      <c r="R11" s="46">
        <f t="shared" si="12"/>
        <v>8</v>
      </c>
      <c r="S11" s="39">
        <f t="shared" si="13"/>
        <v>2024</v>
      </c>
      <c r="T11" s="40">
        <v>17424.500000000015</v>
      </c>
      <c r="U11" s="53">
        <f t="shared" si="14"/>
        <v>0.68791351435131087</v>
      </c>
      <c r="W11" s="46">
        <f t="shared" si="3"/>
        <v>8</v>
      </c>
      <c r="X11" s="39">
        <f t="shared" si="4"/>
        <v>2024</v>
      </c>
      <c r="Y11" s="56">
        <v>141858</v>
      </c>
      <c r="Z11" s="40">
        <v>13488.200000000015</v>
      </c>
      <c r="AA11" s="53">
        <f t="shared" si="5"/>
        <v>9.5082406350012097E-2</v>
      </c>
    </row>
    <row r="12" spans="2:27" x14ac:dyDescent="0.3">
      <c r="B12" s="46">
        <f t="shared" si="6"/>
        <v>9</v>
      </c>
      <c r="C12" s="39">
        <f t="shared" si="7"/>
        <v>2025</v>
      </c>
      <c r="D12" s="40">
        <v>152913</v>
      </c>
      <c r="E12" s="53">
        <f t="shared" si="8"/>
        <v>7.7930042718775017E-2</v>
      </c>
      <c r="G12" s="46">
        <f t="shared" si="9"/>
        <v>9</v>
      </c>
      <c r="H12" s="39">
        <f t="shared" si="10"/>
        <v>2025</v>
      </c>
      <c r="I12" s="40">
        <v>20223.599999999999</v>
      </c>
      <c r="J12" s="53">
        <f t="shared" si="11"/>
        <v>8.5755088235451193E-2</v>
      </c>
      <c r="L12" s="46">
        <f t="shared" si="1"/>
        <v>9</v>
      </c>
      <c r="M12" s="39">
        <f t="shared" si="2"/>
        <v>2025</v>
      </c>
      <c r="N12" s="56">
        <v>152913</v>
      </c>
      <c r="O12" s="40">
        <v>117563.8</v>
      </c>
      <c r="P12" s="53">
        <f t="shared" si="0"/>
        <v>0.76882802639409342</v>
      </c>
      <c r="R12" s="46">
        <f t="shared" si="12"/>
        <v>9</v>
      </c>
      <c r="S12" s="39">
        <f t="shared" si="13"/>
        <v>2025</v>
      </c>
      <c r="T12" s="40">
        <v>19620</v>
      </c>
      <c r="U12" s="53">
        <f t="shared" si="14"/>
        <v>0.12600074607592671</v>
      </c>
      <c r="W12" s="46">
        <f t="shared" si="3"/>
        <v>9</v>
      </c>
      <c r="X12" s="39">
        <f t="shared" si="4"/>
        <v>2025</v>
      </c>
      <c r="Y12" s="56">
        <v>152913</v>
      </c>
      <c r="Z12" s="40">
        <v>14500.2</v>
      </c>
      <c r="AA12" s="53">
        <f t="shared" si="5"/>
        <v>9.4826469953502981E-2</v>
      </c>
    </row>
    <row r="13" spans="2:27" x14ac:dyDescent="0.3">
      <c r="B13" s="46">
        <f t="shared" si="6"/>
        <v>10</v>
      </c>
      <c r="C13" s="39">
        <f t="shared" si="7"/>
        <v>2026</v>
      </c>
      <c r="D13" s="40">
        <v>183316</v>
      </c>
      <c r="E13" s="53">
        <f t="shared" si="8"/>
        <v>0.19882547592421829</v>
      </c>
      <c r="G13" s="46">
        <f t="shared" si="9"/>
        <v>10</v>
      </c>
      <c r="H13" s="39">
        <f t="shared" si="10"/>
        <v>2026</v>
      </c>
      <c r="I13" s="40">
        <v>21456.19999999999</v>
      </c>
      <c r="J13" s="53">
        <f t="shared" si="11"/>
        <v>6.0948594711129234E-2</v>
      </c>
      <c r="L13" s="46">
        <f t="shared" si="1"/>
        <v>10</v>
      </c>
      <c r="M13" s="39">
        <f t="shared" si="2"/>
        <v>2026</v>
      </c>
      <c r="N13" s="56">
        <v>183316</v>
      </c>
      <c r="O13" s="40">
        <v>141625.20000000001</v>
      </c>
      <c r="P13" s="53">
        <f t="shared" si="0"/>
        <v>0.77257413428178667</v>
      </c>
      <c r="R13" s="46">
        <f t="shared" si="12"/>
        <v>10</v>
      </c>
      <c r="S13" s="39">
        <f t="shared" si="13"/>
        <v>2026</v>
      </c>
      <c r="T13" s="40">
        <v>19118.499999999993</v>
      </c>
      <c r="U13" s="53">
        <f t="shared" si="14"/>
        <v>-2.5560652395515193E-2</v>
      </c>
      <c r="W13" s="46">
        <f t="shared" si="3"/>
        <v>10</v>
      </c>
      <c r="X13" s="39">
        <f t="shared" si="4"/>
        <v>2026</v>
      </c>
      <c r="Y13" s="56">
        <v>183316</v>
      </c>
      <c r="Z13" s="40">
        <v>14679.499999999993</v>
      </c>
      <c r="AA13" s="53">
        <f t="shared" si="5"/>
        <v>8.0077570970346248E-2</v>
      </c>
    </row>
    <row r="14" spans="2:27" x14ac:dyDescent="0.3">
      <c r="B14" s="47">
        <f t="shared" si="6"/>
        <v>11</v>
      </c>
      <c r="C14" s="41">
        <f t="shared" si="7"/>
        <v>2027</v>
      </c>
      <c r="D14" s="102">
        <f>$C$36+B14*$C$37</f>
        <v>172113.13333333336</v>
      </c>
      <c r="E14" s="54">
        <f t="shared" si="8"/>
        <v>-6.1112323346934505E-2</v>
      </c>
      <c r="G14" s="47">
        <f t="shared" si="9"/>
        <v>11</v>
      </c>
      <c r="H14" s="41">
        <f t="shared" si="10"/>
        <v>2027</v>
      </c>
      <c r="I14" s="102">
        <f>$C$55+G14*$C$56</f>
        <v>19187.10666666667</v>
      </c>
      <c r="J14" s="54">
        <f>I14/I13-1</f>
        <v>-0.10575466920206378</v>
      </c>
      <c r="L14" s="46">
        <f t="shared" si="1"/>
        <v>11</v>
      </c>
      <c r="M14" s="57">
        <f t="shared" si="2"/>
        <v>2027</v>
      </c>
      <c r="N14" s="58">
        <v>172113.13333333336</v>
      </c>
      <c r="O14" s="102">
        <f>$M$36+L14*$M$37</f>
        <v>134295.22000000003</v>
      </c>
      <c r="P14" s="54">
        <f t="shared" si="0"/>
        <v>0.78027293675439069</v>
      </c>
      <c r="R14" s="47">
        <f t="shared" si="12"/>
        <v>11</v>
      </c>
      <c r="S14" s="41">
        <f t="shared" si="13"/>
        <v>2027</v>
      </c>
      <c r="T14" s="102">
        <f>$M$55+R14*$M$56</f>
        <v>17656.966666666674</v>
      </c>
      <c r="U14" s="54">
        <f t="shared" si="14"/>
        <v>-7.6446025228617209E-2</v>
      </c>
      <c r="W14" s="46">
        <f t="shared" si="3"/>
        <v>11</v>
      </c>
      <c r="X14" s="57">
        <f t="shared" si="4"/>
        <v>2027</v>
      </c>
      <c r="Y14" s="58">
        <v>172113.13333333336</v>
      </c>
      <c r="Z14" s="102">
        <f>$X$36+$X$37*W14</f>
        <v>13691.126666666672</v>
      </c>
      <c r="AA14" s="54">
        <f t="shared" si="5"/>
        <v>7.9547251284717013E-2</v>
      </c>
    </row>
    <row r="15" spans="2:27" x14ac:dyDescent="0.3">
      <c r="B15" s="47">
        <f t="shared" si="6"/>
        <v>12</v>
      </c>
      <c r="C15" s="41">
        <f t="shared" si="7"/>
        <v>2028</v>
      </c>
      <c r="D15" s="102">
        <f t="shared" ref="D15:D18" si="15">$C$36+B15*$C$37</f>
        <v>184061.30303030304</v>
      </c>
      <c r="E15" s="54">
        <f t="shared" si="8"/>
        <v>6.9420441459452809E-2</v>
      </c>
      <c r="G15" s="47">
        <f t="shared" si="9"/>
        <v>12</v>
      </c>
      <c r="H15" s="41">
        <f t="shared" si="10"/>
        <v>2028</v>
      </c>
      <c r="I15" s="102">
        <f t="shared" ref="I15:I18" si="16">$C$55+G15*$C$56</f>
        <v>20431.155151515155</v>
      </c>
      <c r="J15" s="54">
        <f t="shared" si="11"/>
        <v>6.4837732257450931E-2</v>
      </c>
      <c r="L15" s="46">
        <f t="shared" si="1"/>
        <v>12</v>
      </c>
      <c r="M15" s="57">
        <f t="shared" si="2"/>
        <v>2028</v>
      </c>
      <c r="N15" s="58">
        <v>184061.30303030304</v>
      </c>
      <c r="O15" s="102">
        <f t="shared" ref="O15:O18" si="17">$M$36+L15*$M$37</f>
        <v>143843.02363636365</v>
      </c>
      <c r="P15" s="54">
        <f t="shared" si="0"/>
        <v>0.78149519354799946</v>
      </c>
      <c r="R15" s="47">
        <f t="shared" si="12"/>
        <v>12</v>
      </c>
      <c r="S15" s="41">
        <f t="shared" si="13"/>
        <v>2028</v>
      </c>
      <c r="T15" s="102">
        <f t="shared" ref="T15:T18" si="18">$M$55+R15*$M$56</f>
        <v>18766.869696969705</v>
      </c>
      <c r="U15" s="54">
        <f t="shared" si="14"/>
        <v>6.2859213094530908E-2</v>
      </c>
      <c r="W15" s="46">
        <f t="shared" si="3"/>
        <v>12</v>
      </c>
      <c r="X15" s="57">
        <f t="shared" si="4"/>
        <v>2028</v>
      </c>
      <c r="Y15" s="58">
        <v>184061.30303030304</v>
      </c>
      <c r="Z15" s="102">
        <f t="shared" ref="Z15:Z18" si="19">$X$36+$X$37*W15</f>
        <v>14582.833333333339</v>
      </c>
      <c r="AA15" s="54">
        <f t="shared" si="5"/>
        <v>7.9228132656066694E-2</v>
      </c>
    </row>
    <row r="16" spans="2:27" x14ac:dyDescent="0.3">
      <c r="B16" s="47">
        <f t="shared" si="6"/>
        <v>13</v>
      </c>
      <c r="C16" s="41">
        <f t="shared" si="7"/>
        <v>2029</v>
      </c>
      <c r="D16" s="102">
        <f t="shared" si="15"/>
        <v>196009.47272727272</v>
      </c>
      <c r="E16" s="54">
        <f t="shared" si="8"/>
        <v>6.4914077539712789E-2</v>
      </c>
      <c r="G16" s="47">
        <f t="shared" si="9"/>
        <v>13</v>
      </c>
      <c r="H16" s="41">
        <f t="shared" si="10"/>
        <v>2029</v>
      </c>
      <c r="I16" s="102">
        <f t="shared" si="16"/>
        <v>21675.20363636364</v>
      </c>
      <c r="J16" s="54">
        <f t="shared" si="11"/>
        <v>6.0889777186985405E-2</v>
      </c>
      <c r="L16" s="46">
        <f t="shared" si="1"/>
        <v>13</v>
      </c>
      <c r="M16" s="57">
        <f t="shared" si="2"/>
        <v>2029</v>
      </c>
      <c r="N16" s="58">
        <v>196009.47272727272</v>
      </c>
      <c r="O16" s="102">
        <f t="shared" si="17"/>
        <v>153390.8272727273</v>
      </c>
      <c r="P16" s="54">
        <f t="shared" si="0"/>
        <v>0.78256843987410274</v>
      </c>
      <c r="R16" s="47">
        <f t="shared" si="12"/>
        <v>13</v>
      </c>
      <c r="S16" s="41">
        <f t="shared" si="13"/>
        <v>2029</v>
      </c>
      <c r="T16" s="102">
        <f t="shared" si="18"/>
        <v>19876.772727272735</v>
      </c>
      <c r="U16" s="54">
        <f t="shared" si="14"/>
        <v>5.9141617553951864E-2</v>
      </c>
      <c r="W16" s="46">
        <f t="shared" si="3"/>
        <v>13</v>
      </c>
      <c r="X16" s="57">
        <f t="shared" si="4"/>
        <v>2029</v>
      </c>
      <c r="Y16" s="58">
        <v>196009.47272727272</v>
      </c>
      <c r="Z16" s="102">
        <f t="shared" si="19"/>
        <v>15474.540000000006</v>
      </c>
      <c r="AA16" s="54">
        <f t="shared" si="5"/>
        <v>7.8947919121905186E-2</v>
      </c>
    </row>
    <row r="17" spans="2:31" x14ac:dyDescent="0.3">
      <c r="B17" s="47">
        <f t="shared" si="6"/>
        <v>14</v>
      </c>
      <c r="C17" s="41">
        <f t="shared" si="7"/>
        <v>2030</v>
      </c>
      <c r="D17" s="102">
        <f t="shared" si="15"/>
        <v>207957.64242424245</v>
      </c>
      <c r="E17" s="54">
        <f t="shared" si="8"/>
        <v>6.0957103402825785E-2</v>
      </c>
      <c r="G17" s="47">
        <f t="shared" si="9"/>
        <v>14</v>
      </c>
      <c r="H17" s="41">
        <f t="shared" si="10"/>
        <v>2030</v>
      </c>
      <c r="I17" s="102">
        <f t="shared" si="16"/>
        <v>22919.252121212125</v>
      </c>
      <c r="J17" s="54">
        <f t="shared" si="11"/>
        <v>5.7395007941765996E-2</v>
      </c>
      <c r="L17" s="46">
        <f t="shared" si="1"/>
        <v>14</v>
      </c>
      <c r="M17" s="57">
        <f t="shared" si="2"/>
        <v>2030</v>
      </c>
      <c r="N17" s="58">
        <v>207957.64242424245</v>
      </c>
      <c r="O17" s="102">
        <f t="shared" si="17"/>
        <v>162938.63090909095</v>
      </c>
      <c r="P17" s="54">
        <f t="shared" si="0"/>
        <v>0.7835183598431511</v>
      </c>
      <c r="R17" s="47">
        <f t="shared" si="12"/>
        <v>14</v>
      </c>
      <c r="S17" s="41">
        <f t="shared" si="13"/>
        <v>2030</v>
      </c>
      <c r="T17" s="102">
        <f t="shared" si="18"/>
        <v>20986.675757575766</v>
      </c>
      <c r="U17" s="54">
        <f t="shared" si="14"/>
        <v>5.5839197113731753E-2</v>
      </c>
      <c r="W17" s="46">
        <f t="shared" si="3"/>
        <v>14</v>
      </c>
      <c r="X17" s="57">
        <f t="shared" si="4"/>
        <v>2030</v>
      </c>
      <c r="Y17" s="58">
        <v>207957.64242424245</v>
      </c>
      <c r="Z17" s="102">
        <f t="shared" si="19"/>
        <v>16366.246666666675</v>
      </c>
      <c r="AA17" s="54">
        <f t="shared" si="5"/>
        <v>7.8699904826189715E-2</v>
      </c>
    </row>
    <row r="18" spans="2:31" x14ac:dyDescent="0.3">
      <c r="B18" s="48">
        <f t="shared" si="6"/>
        <v>15</v>
      </c>
      <c r="C18" s="49">
        <f t="shared" si="7"/>
        <v>2031</v>
      </c>
      <c r="D18" s="103">
        <f t="shared" si="15"/>
        <v>219905.81212121213</v>
      </c>
      <c r="E18" s="55">
        <f t="shared" si="8"/>
        <v>5.7454823769327534E-2</v>
      </c>
      <c r="G18" s="48">
        <f t="shared" si="9"/>
        <v>15</v>
      </c>
      <c r="H18" s="49">
        <f t="shared" si="10"/>
        <v>2031</v>
      </c>
      <c r="I18" s="103">
        <f t="shared" si="16"/>
        <v>24163.300606060609</v>
      </c>
      <c r="J18" s="55">
        <f t="shared" si="11"/>
        <v>5.4279628247428713E-2</v>
      </c>
      <c r="L18" s="59">
        <f t="shared" si="1"/>
        <v>15</v>
      </c>
      <c r="M18" s="60">
        <f t="shared" si="2"/>
        <v>2031</v>
      </c>
      <c r="N18" s="61">
        <v>219905.81212121213</v>
      </c>
      <c r="O18" s="103">
        <f t="shared" si="17"/>
        <v>172486.43454545457</v>
      </c>
      <c r="P18" s="55">
        <f t="shared" si="0"/>
        <v>0.78436505557379266</v>
      </c>
      <c r="R18" s="48">
        <f t="shared" si="12"/>
        <v>15</v>
      </c>
      <c r="S18" s="49">
        <f t="shared" si="13"/>
        <v>2031</v>
      </c>
      <c r="T18" s="103">
        <f t="shared" si="18"/>
        <v>22096.578787878796</v>
      </c>
      <c r="U18" s="55">
        <f t="shared" si="14"/>
        <v>5.2886080822132087E-2</v>
      </c>
      <c r="W18" s="59">
        <f t="shared" si="3"/>
        <v>15</v>
      </c>
      <c r="X18" s="60">
        <f t="shared" si="4"/>
        <v>2031</v>
      </c>
      <c r="Y18" s="61">
        <v>219905.81212121213</v>
      </c>
      <c r="Z18" s="103">
        <f t="shared" si="19"/>
        <v>17257.953333333342</v>
      </c>
      <c r="AA18" s="55">
        <f t="shared" si="5"/>
        <v>7.8478841313301684E-2</v>
      </c>
    </row>
    <row r="20" spans="2:31" x14ac:dyDescent="0.3">
      <c r="B20" s="63" t="s">
        <v>148</v>
      </c>
      <c r="C20" s="42"/>
      <c r="D20" s="64" t="s">
        <v>171</v>
      </c>
      <c r="E20" s="42"/>
      <c r="F20" s="42"/>
      <c r="G20" s="42"/>
      <c r="H20" s="42"/>
      <c r="I20" s="42"/>
      <c r="J20" s="43"/>
      <c r="L20" s="63" t="s">
        <v>148</v>
      </c>
      <c r="M20" s="42"/>
      <c r="N20" s="42"/>
      <c r="O20" s="42"/>
      <c r="P20" s="42"/>
      <c r="Q20" s="42"/>
      <c r="R20" s="42"/>
      <c r="S20" s="42"/>
      <c r="T20" s="43"/>
      <c r="W20" s="63" t="s">
        <v>148</v>
      </c>
      <c r="X20" s="42"/>
      <c r="Y20" s="42"/>
      <c r="Z20" s="42"/>
      <c r="AA20" s="42"/>
      <c r="AB20" s="42"/>
      <c r="AC20" s="42"/>
      <c r="AD20" s="42"/>
      <c r="AE20" s="43"/>
    </row>
    <row r="21" spans="2:31" ht="15" thickBot="1" x14ac:dyDescent="0.35">
      <c r="B21" s="65"/>
      <c r="J21" s="45"/>
      <c r="L21" s="65"/>
      <c r="O21" s="214" t="s">
        <v>176</v>
      </c>
      <c r="P21" s="214"/>
      <c r="T21" s="45"/>
      <c r="W21" s="65"/>
      <c r="Z21" s="214" t="s">
        <v>178</v>
      </c>
      <c r="AA21" s="214"/>
      <c r="AE21" s="45"/>
    </row>
    <row r="22" spans="2:31" x14ac:dyDescent="0.3">
      <c r="B22" s="66" t="s">
        <v>149</v>
      </c>
      <c r="C22" s="38"/>
      <c r="E22" s="214" t="s">
        <v>147</v>
      </c>
      <c r="F22" s="214"/>
      <c r="I22" s="90"/>
      <c r="J22" s="45"/>
      <c r="L22" s="66" t="s">
        <v>149</v>
      </c>
      <c r="M22" s="38"/>
      <c r="T22" s="45"/>
      <c r="W22" s="66" t="s">
        <v>149</v>
      </c>
      <c r="X22" s="38"/>
      <c r="AE22" s="45"/>
    </row>
    <row r="23" spans="2:31" x14ac:dyDescent="0.3">
      <c r="B23" s="65" t="s">
        <v>150</v>
      </c>
      <c r="C23">
        <v>0.89755432058604712</v>
      </c>
      <c r="I23" s="90"/>
      <c r="J23" s="45"/>
      <c r="L23" s="65" t="s">
        <v>150</v>
      </c>
      <c r="M23">
        <v>0.9196860027317062</v>
      </c>
      <c r="T23" s="45"/>
      <c r="W23" s="65" t="s">
        <v>150</v>
      </c>
      <c r="X23">
        <v>0.66886435004657585</v>
      </c>
      <c r="AE23" s="45"/>
    </row>
    <row r="24" spans="2:31" x14ac:dyDescent="0.3">
      <c r="B24" s="65" t="s">
        <v>151</v>
      </c>
      <c r="C24">
        <v>0.80560375840268061</v>
      </c>
      <c r="I24" s="90"/>
      <c r="J24" s="45"/>
      <c r="L24" s="65" t="s">
        <v>151</v>
      </c>
      <c r="M24">
        <v>0.84582234362062392</v>
      </c>
      <c r="T24" s="45"/>
      <c r="W24" s="65" t="s">
        <v>151</v>
      </c>
      <c r="X24">
        <v>0.4473795187632284</v>
      </c>
      <c r="AE24" s="45"/>
    </row>
    <row r="25" spans="2:31" x14ac:dyDescent="0.3">
      <c r="B25" s="65" t="s">
        <v>152</v>
      </c>
      <c r="C25">
        <v>0.7813042282030157</v>
      </c>
      <c r="I25" s="90"/>
      <c r="J25" s="45"/>
      <c r="L25" s="65" t="s">
        <v>152</v>
      </c>
      <c r="M25">
        <v>0.82655013657320187</v>
      </c>
      <c r="T25" s="45"/>
      <c r="W25" s="65" t="s">
        <v>152</v>
      </c>
      <c r="X25">
        <v>0.37830195860863192</v>
      </c>
      <c r="AE25" s="45"/>
    </row>
    <row r="26" spans="2:31" x14ac:dyDescent="0.3">
      <c r="B26" s="65" t="s">
        <v>153</v>
      </c>
      <c r="C26">
        <v>18848.055553638158</v>
      </c>
      <c r="I26" s="90"/>
      <c r="J26" s="45"/>
      <c r="L26" s="65" t="s">
        <v>153</v>
      </c>
      <c r="M26">
        <v>13090.5110762477</v>
      </c>
      <c r="T26" s="45"/>
      <c r="W26" s="65" t="s">
        <v>153</v>
      </c>
      <c r="X26">
        <v>3182.5807653799843</v>
      </c>
      <c r="AE26" s="45"/>
    </row>
    <row r="27" spans="2:31" ht="15" thickBot="1" x14ac:dyDescent="0.35">
      <c r="B27" s="67" t="s">
        <v>154</v>
      </c>
      <c r="C27" s="36">
        <v>10</v>
      </c>
      <c r="I27" s="90"/>
      <c r="J27" s="45"/>
      <c r="L27" s="67" t="s">
        <v>154</v>
      </c>
      <c r="M27" s="36">
        <v>10</v>
      </c>
      <c r="T27" s="45"/>
      <c r="W27" s="67" t="s">
        <v>154</v>
      </c>
      <c r="X27" s="36">
        <v>10</v>
      </c>
      <c r="AE27" s="45"/>
    </row>
    <row r="28" spans="2:31" x14ac:dyDescent="0.3">
      <c r="B28" s="65"/>
      <c r="J28" s="45"/>
      <c r="L28" s="65"/>
      <c r="T28" s="45"/>
      <c r="W28" s="65"/>
      <c r="AE28" s="45"/>
    </row>
    <row r="29" spans="2:31" ht="15" thickBot="1" x14ac:dyDescent="0.35">
      <c r="B29" s="65" t="s">
        <v>155</v>
      </c>
      <c r="J29" s="45"/>
      <c r="L29" s="65" t="s">
        <v>155</v>
      </c>
      <c r="T29" s="45"/>
      <c r="W29" s="65" t="s">
        <v>155</v>
      </c>
      <c r="AE29" s="45"/>
    </row>
    <row r="30" spans="2:31" x14ac:dyDescent="0.3">
      <c r="B30" s="68"/>
      <c r="C30" s="37" t="s">
        <v>159</v>
      </c>
      <c r="D30" s="37" t="s">
        <v>160</v>
      </c>
      <c r="E30" s="37" t="s">
        <v>161</v>
      </c>
      <c r="F30" s="37" t="s">
        <v>162</v>
      </c>
      <c r="G30" s="37" t="s">
        <v>163</v>
      </c>
      <c r="J30" s="45"/>
      <c r="L30" s="68"/>
      <c r="M30" s="37" t="s">
        <v>159</v>
      </c>
      <c r="N30" s="37" t="s">
        <v>160</v>
      </c>
      <c r="O30" s="37" t="s">
        <v>161</v>
      </c>
      <c r="P30" s="37" t="s">
        <v>162</v>
      </c>
      <c r="Q30" s="37" t="s">
        <v>163</v>
      </c>
      <c r="T30" s="45"/>
      <c r="W30" s="68"/>
      <c r="X30" s="37" t="s">
        <v>159</v>
      </c>
      <c r="Y30" s="37" t="s">
        <v>160</v>
      </c>
      <c r="Z30" s="37" t="s">
        <v>161</v>
      </c>
      <c r="AA30" s="37" t="s">
        <v>162</v>
      </c>
      <c r="AB30" s="37" t="s">
        <v>163</v>
      </c>
      <c r="AE30" s="45"/>
    </row>
    <row r="31" spans="2:31" x14ac:dyDescent="0.3">
      <c r="B31" s="65" t="s">
        <v>156</v>
      </c>
      <c r="C31">
        <v>1</v>
      </c>
      <c r="D31">
        <v>11777597626.375759</v>
      </c>
      <c r="E31">
        <v>11777597626.375759</v>
      </c>
      <c r="F31">
        <v>33.153059000860402</v>
      </c>
      <c r="G31">
        <v>4.2514531105517525E-4</v>
      </c>
      <c r="J31" s="45"/>
      <c r="L31" s="65" t="s">
        <v>156</v>
      </c>
      <c r="M31">
        <v>1</v>
      </c>
      <c r="N31">
        <v>7520745727.9810934</v>
      </c>
      <c r="O31">
        <v>7520745727.9810934</v>
      </c>
      <c r="P31">
        <v>43.888193061612377</v>
      </c>
      <c r="Q31">
        <v>1.6506689405629491E-4</v>
      </c>
      <c r="T31" s="45"/>
      <c r="W31" s="65" t="s">
        <v>156</v>
      </c>
      <c r="X31">
        <v>1</v>
      </c>
      <c r="Y31">
        <v>65599114.298666731</v>
      </c>
      <c r="Z31">
        <v>65599114.298666731</v>
      </c>
      <c r="AA31">
        <v>6.4764811866833076</v>
      </c>
      <c r="AB31">
        <v>3.444738973652961E-2</v>
      </c>
      <c r="AE31" s="45"/>
    </row>
    <row r="32" spans="2:31" x14ac:dyDescent="0.3">
      <c r="B32" s="65" t="s">
        <v>157</v>
      </c>
      <c r="C32">
        <v>8</v>
      </c>
      <c r="D32">
        <v>2841993585.2242417</v>
      </c>
      <c r="E32">
        <v>355249198.15303022</v>
      </c>
      <c r="J32" s="45"/>
      <c r="L32" s="65" t="s">
        <v>157</v>
      </c>
      <c r="M32">
        <v>8</v>
      </c>
      <c r="N32">
        <v>1370891841.8989098</v>
      </c>
      <c r="O32">
        <v>171361480.23736373</v>
      </c>
      <c r="T32" s="45"/>
      <c r="W32" s="65" t="s">
        <v>157</v>
      </c>
      <c r="X32">
        <v>8</v>
      </c>
      <c r="Y32">
        <v>81030562.625333175</v>
      </c>
      <c r="Z32">
        <v>10128820.328166647</v>
      </c>
      <c r="AE32" s="45"/>
    </row>
    <row r="33" spans="2:31" ht="15" thickBot="1" x14ac:dyDescent="0.35">
      <c r="B33" s="67" t="s">
        <v>34</v>
      </c>
      <c r="C33" s="36">
        <v>9</v>
      </c>
      <c r="D33" s="36">
        <v>14619591211.6</v>
      </c>
      <c r="E33" s="36"/>
      <c r="F33" s="36"/>
      <c r="G33" s="36"/>
      <c r="J33" s="45"/>
      <c r="L33" s="67" t="s">
        <v>34</v>
      </c>
      <c r="M33" s="36">
        <v>9</v>
      </c>
      <c r="N33" s="36">
        <v>8891637569.880003</v>
      </c>
      <c r="O33" s="36"/>
      <c r="P33" s="36"/>
      <c r="Q33" s="36"/>
      <c r="T33" s="45"/>
      <c r="W33" s="67" t="s">
        <v>34</v>
      </c>
      <c r="X33" s="36">
        <v>9</v>
      </c>
      <c r="Y33" s="36">
        <v>146629676.92399991</v>
      </c>
      <c r="Z33" s="36"/>
      <c r="AA33" s="36"/>
      <c r="AB33" s="36"/>
      <c r="AE33" s="45"/>
    </row>
    <row r="34" spans="2:31" ht="15" thickBot="1" x14ac:dyDescent="0.35">
      <c r="B34" s="65"/>
      <c r="J34" s="45"/>
      <c r="L34" s="65"/>
      <c r="T34" s="45"/>
      <c r="W34" s="65"/>
      <c r="AE34" s="45"/>
    </row>
    <row r="35" spans="2:31" x14ac:dyDescent="0.3">
      <c r="B35" s="68"/>
      <c r="C35" s="37" t="s">
        <v>164</v>
      </c>
      <c r="D35" s="37" t="s">
        <v>153</v>
      </c>
      <c r="E35" s="37" t="s">
        <v>165</v>
      </c>
      <c r="F35" s="37" t="s">
        <v>166</v>
      </c>
      <c r="G35" s="37" t="s">
        <v>167</v>
      </c>
      <c r="H35" s="37" t="s">
        <v>168</v>
      </c>
      <c r="I35" s="37" t="s">
        <v>169</v>
      </c>
      <c r="J35" s="69" t="s">
        <v>170</v>
      </c>
      <c r="L35" s="68"/>
      <c r="M35" s="37" t="s">
        <v>164</v>
      </c>
      <c r="N35" s="37" t="s">
        <v>153</v>
      </c>
      <c r="O35" s="37" t="s">
        <v>165</v>
      </c>
      <c r="P35" s="37" t="s">
        <v>166</v>
      </c>
      <c r="Q35" s="37" t="s">
        <v>167</v>
      </c>
      <c r="R35" s="37" t="s">
        <v>168</v>
      </c>
      <c r="S35" s="37" t="s">
        <v>169</v>
      </c>
      <c r="T35" s="69" t="s">
        <v>170</v>
      </c>
      <c r="W35" s="68"/>
      <c r="X35" s="37" t="s">
        <v>164</v>
      </c>
      <c r="Y35" s="37" t="s">
        <v>153</v>
      </c>
      <c r="Z35" s="37" t="s">
        <v>165</v>
      </c>
      <c r="AA35" s="37" t="s">
        <v>166</v>
      </c>
      <c r="AB35" s="37" t="s">
        <v>167</v>
      </c>
      <c r="AC35" s="37" t="s">
        <v>168</v>
      </c>
      <c r="AD35" s="37" t="s">
        <v>169</v>
      </c>
      <c r="AE35" s="69" t="s">
        <v>170</v>
      </c>
    </row>
    <row r="36" spans="2:31" x14ac:dyDescent="0.3">
      <c r="B36" s="65" t="s">
        <v>158</v>
      </c>
      <c r="C36">
        <v>40683.266666666648</v>
      </c>
      <c r="D36">
        <v>12875.673152813439</v>
      </c>
      <c r="E36">
        <v>3.1597001713092587</v>
      </c>
      <c r="F36">
        <v>1.3401022788708337E-2</v>
      </c>
      <c r="G36">
        <v>10991.911132741581</v>
      </c>
      <c r="H36">
        <v>70374.622200591723</v>
      </c>
      <c r="I36">
        <v>10991.911132741581</v>
      </c>
      <c r="J36" s="45">
        <v>70374.622200591723</v>
      </c>
      <c r="L36" s="65" t="s">
        <v>158</v>
      </c>
      <c r="M36">
        <v>29269.379999999983</v>
      </c>
      <c r="N36">
        <v>8942.5214999705986</v>
      </c>
      <c r="O36">
        <v>3.2730567100225834</v>
      </c>
      <c r="P36">
        <v>1.1304456439307697E-2</v>
      </c>
      <c r="Q36">
        <v>8647.8884419156093</v>
      </c>
      <c r="R36">
        <v>49890.871558084356</v>
      </c>
      <c r="S36">
        <v>8647.8884419156093</v>
      </c>
      <c r="T36" s="45">
        <v>49890.871558084356</v>
      </c>
      <c r="W36" s="65" t="s">
        <v>158</v>
      </c>
      <c r="X36">
        <v>3882.3533333333307</v>
      </c>
      <c r="Y36">
        <v>2174.1165607692478</v>
      </c>
      <c r="Z36">
        <v>1.7857153583153209</v>
      </c>
      <c r="AA36">
        <v>0.11196959455209911</v>
      </c>
      <c r="AB36">
        <v>-1131.1684462164167</v>
      </c>
      <c r="AC36">
        <v>8895.8751128830772</v>
      </c>
      <c r="AD36">
        <v>-1131.1684462164167</v>
      </c>
      <c r="AE36" s="45">
        <v>8895.8751128830772</v>
      </c>
    </row>
    <row r="37" spans="2:31" ht="15" thickBot="1" x14ac:dyDescent="0.35">
      <c r="B37" s="70" t="s">
        <v>172</v>
      </c>
      <c r="C37" s="50">
        <v>11948.169696969699</v>
      </c>
      <c r="D37" s="50">
        <v>2075.1026207644281</v>
      </c>
      <c r="E37" s="50">
        <v>5.757869310852791</v>
      </c>
      <c r="F37" s="50">
        <v>4.2514531105517563E-4</v>
      </c>
      <c r="G37" s="50">
        <v>7162.9744725139226</v>
      </c>
      <c r="H37" s="50">
        <v>16733.364921425476</v>
      </c>
      <c r="I37" s="50">
        <v>7162.9744725139226</v>
      </c>
      <c r="J37" s="51">
        <v>16733.364921425476</v>
      </c>
      <c r="L37" s="70" t="s">
        <v>172</v>
      </c>
      <c r="M37" s="50">
        <v>9547.8036363636402</v>
      </c>
      <c r="N37" s="50">
        <v>1441.2178361933995</v>
      </c>
      <c r="O37" s="50">
        <v>6.6248164549376307</v>
      </c>
      <c r="P37" s="50">
        <v>1.6506689405629458E-4</v>
      </c>
      <c r="Q37" s="50">
        <v>6224.3493463716586</v>
      </c>
      <c r="R37" s="50">
        <v>12871.257926355622</v>
      </c>
      <c r="S37" s="50">
        <v>6224.3493463716586</v>
      </c>
      <c r="T37" s="51">
        <v>12871.257926355622</v>
      </c>
      <c r="W37" s="67" t="s">
        <v>172</v>
      </c>
      <c r="X37" s="36">
        <v>891.70666666666739</v>
      </c>
      <c r="Y37" s="36">
        <v>350.39061022714822</v>
      </c>
      <c r="Z37" s="36">
        <v>2.5448931582059218</v>
      </c>
      <c r="AA37" s="36">
        <v>3.4447389736529554E-2</v>
      </c>
      <c r="AB37" s="36">
        <v>83.704470546152038</v>
      </c>
      <c r="AC37" s="36">
        <v>1699.7088627871826</v>
      </c>
      <c r="AD37" s="36">
        <v>83.704470546152038</v>
      </c>
      <c r="AE37" s="86">
        <v>1699.7088627871826</v>
      </c>
    </row>
    <row r="38" spans="2:31" x14ac:dyDescent="0.3">
      <c r="W38" s="65"/>
      <c r="AE38" s="45"/>
    </row>
    <row r="39" spans="2:31" x14ac:dyDescent="0.3">
      <c r="B39" s="71" t="s">
        <v>148</v>
      </c>
      <c r="C39" s="72"/>
      <c r="D39" s="72"/>
      <c r="E39" s="72"/>
      <c r="F39" s="72"/>
      <c r="G39" s="72"/>
      <c r="H39" s="72"/>
      <c r="I39" s="72"/>
      <c r="J39" s="73"/>
      <c r="L39" s="63" t="s">
        <v>148</v>
      </c>
      <c r="M39" s="42"/>
      <c r="N39" s="42"/>
      <c r="O39" s="42"/>
      <c r="P39" s="42"/>
      <c r="Q39" s="42"/>
      <c r="R39" s="42"/>
      <c r="S39" s="42"/>
      <c r="T39" s="43"/>
      <c r="W39" s="65"/>
      <c r="AE39" s="45"/>
    </row>
    <row r="40" spans="2:31" ht="15" thickBot="1" x14ac:dyDescent="0.35">
      <c r="B40" s="74"/>
      <c r="C40" s="10"/>
      <c r="D40" s="10"/>
      <c r="E40" s="10"/>
      <c r="F40" s="10"/>
      <c r="G40" s="10"/>
      <c r="H40" s="10"/>
      <c r="I40" s="10"/>
      <c r="J40" s="75"/>
      <c r="L40" s="65"/>
      <c r="O40" s="214" t="s">
        <v>177</v>
      </c>
      <c r="P40" s="214"/>
      <c r="T40" s="45"/>
      <c r="W40" s="70"/>
      <c r="X40" s="50"/>
      <c r="Y40" s="50"/>
      <c r="Z40" s="50"/>
      <c r="AA40" s="50"/>
      <c r="AB40" s="50"/>
      <c r="AC40" s="50"/>
      <c r="AD40" s="50"/>
      <c r="AE40" s="51"/>
    </row>
    <row r="41" spans="2:31" x14ac:dyDescent="0.3">
      <c r="B41" s="76" t="s">
        <v>149</v>
      </c>
      <c r="C41" s="77"/>
      <c r="D41" s="10"/>
      <c r="E41" s="214" t="s">
        <v>175</v>
      </c>
      <c r="F41" s="214"/>
      <c r="G41" s="10"/>
      <c r="H41" s="10"/>
      <c r="I41" s="10"/>
      <c r="J41" s="75"/>
      <c r="L41" s="66" t="s">
        <v>149</v>
      </c>
      <c r="M41" s="38"/>
      <c r="T41" s="45"/>
    </row>
    <row r="42" spans="2:31" x14ac:dyDescent="0.3">
      <c r="B42" s="74" t="s">
        <v>150</v>
      </c>
      <c r="C42" s="10">
        <v>0.64371106678724954</v>
      </c>
      <c r="D42" s="10"/>
      <c r="E42" s="10"/>
      <c r="F42" s="10"/>
      <c r="G42" s="10"/>
      <c r="H42" s="10"/>
      <c r="I42" s="10"/>
      <c r="J42" s="75"/>
      <c r="L42" s="65" t="s">
        <v>150</v>
      </c>
      <c r="M42">
        <v>0.61697074126958817</v>
      </c>
      <c r="T42" s="45"/>
    </row>
    <row r="43" spans="2:31" x14ac:dyDescent="0.3">
      <c r="B43" s="74" t="s">
        <v>151</v>
      </c>
      <c r="C43" s="10">
        <v>0.41436393750437889</v>
      </c>
      <c r="D43" s="10"/>
      <c r="E43" s="10"/>
      <c r="F43" s="10"/>
      <c r="G43" s="10"/>
      <c r="H43" s="10"/>
      <c r="I43" s="10"/>
      <c r="J43" s="75"/>
      <c r="L43" s="65" t="s">
        <v>151</v>
      </c>
      <c r="M43">
        <v>0.38065289558274512</v>
      </c>
      <c r="T43" s="45"/>
    </row>
    <row r="44" spans="2:31" x14ac:dyDescent="0.3">
      <c r="B44" s="74" t="s">
        <v>152</v>
      </c>
      <c r="C44" s="10">
        <v>0.34115942969242624</v>
      </c>
      <c r="D44" s="10"/>
      <c r="E44" s="10"/>
      <c r="F44" s="10"/>
      <c r="G44" s="10"/>
      <c r="H44" s="10"/>
      <c r="I44" s="10"/>
      <c r="J44" s="75"/>
      <c r="L44" s="65" t="s">
        <v>152</v>
      </c>
      <c r="M44">
        <v>0.30323450753058828</v>
      </c>
      <c r="T44" s="45"/>
    </row>
    <row r="45" spans="2:31" x14ac:dyDescent="0.3">
      <c r="B45" s="74" t="s">
        <v>153</v>
      </c>
      <c r="C45" s="10">
        <v>4749.4379460897835</v>
      </c>
      <c r="D45" s="10"/>
      <c r="E45" s="10"/>
      <c r="F45" s="10"/>
      <c r="G45" s="10"/>
      <c r="H45" s="10"/>
      <c r="I45" s="10"/>
      <c r="J45" s="75"/>
      <c r="L45" s="65" t="s">
        <v>153</v>
      </c>
      <c r="M45">
        <v>4546.4194896127074</v>
      </c>
      <c r="T45" s="45"/>
    </row>
    <row r="46" spans="2:31" ht="15" thickBot="1" x14ac:dyDescent="0.35">
      <c r="B46" s="78" t="s">
        <v>154</v>
      </c>
      <c r="C46" s="79">
        <v>10</v>
      </c>
      <c r="D46" s="10"/>
      <c r="E46" s="10"/>
      <c r="F46" s="10"/>
      <c r="G46" s="10"/>
      <c r="H46" s="10"/>
      <c r="I46" s="10"/>
      <c r="J46" s="75"/>
      <c r="L46" s="67" t="s">
        <v>154</v>
      </c>
      <c r="M46" s="36">
        <v>10</v>
      </c>
      <c r="T46" s="45"/>
    </row>
    <row r="47" spans="2:31" x14ac:dyDescent="0.3">
      <c r="B47" s="74"/>
      <c r="C47" s="10"/>
      <c r="D47" s="10"/>
      <c r="E47" s="10"/>
      <c r="F47" s="10"/>
      <c r="G47" s="10"/>
      <c r="H47" s="10"/>
      <c r="I47" s="10"/>
      <c r="J47" s="75"/>
      <c r="L47" s="65"/>
      <c r="T47" s="45"/>
    </row>
    <row r="48" spans="2:31" ht="15" thickBot="1" x14ac:dyDescent="0.35">
      <c r="B48" s="74" t="s">
        <v>155</v>
      </c>
      <c r="C48" s="10"/>
      <c r="D48" s="10"/>
      <c r="E48" s="10"/>
      <c r="F48" s="10"/>
      <c r="G48" s="10"/>
      <c r="H48" s="10"/>
      <c r="I48" s="10"/>
      <c r="J48" s="75"/>
      <c r="L48" s="65" t="s">
        <v>155</v>
      </c>
      <c r="T48" s="45"/>
    </row>
    <row r="49" spans="2:20" x14ac:dyDescent="0.3">
      <c r="B49" s="80"/>
      <c r="C49" s="81" t="s">
        <v>159</v>
      </c>
      <c r="D49" s="81" t="s">
        <v>160</v>
      </c>
      <c r="E49" s="81" t="s">
        <v>161</v>
      </c>
      <c r="F49" s="81" t="s">
        <v>162</v>
      </c>
      <c r="G49" s="81" t="s">
        <v>163</v>
      </c>
      <c r="H49" s="10"/>
      <c r="I49" s="10"/>
      <c r="J49" s="75"/>
      <c r="L49" s="68"/>
      <c r="M49" s="37" t="s">
        <v>159</v>
      </c>
      <c r="N49" s="37" t="s">
        <v>160</v>
      </c>
      <c r="O49" s="37" t="s">
        <v>161</v>
      </c>
      <c r="P49" s="37" t="s">
        <v>162</v>
      </c>
      <c r="Q49" s="37" t="s">
        <v>163</v>
      </c>
      <c r="T49" s="45"/>
    </row>
    <row r="50" spans="2:20" x14ac:dyDescent="0.3">
      <c r="B50" s="74" t="s">
        <v>156</v>
      </c>
      <c r="C50" s="10">
        <v>1</v>
      </c>
      <c r="D50" s="10">
        <v>127681672.19393942</v>
      </c>
      <c r="E50" s="10">
        <v>127681672.19393942</v>
      </c>
      <c r="F50" s="10">
        <v>5.6603609516615405</v>
      </c>
      <c r="G50" s="10">
        <v>4.4604722242779407E-2</v>
      </c>
      <c r="H50" s="10"/>
      <c r="I50" s="10"/>
      <c r="J50" s="75"/>
      <c r="L50" s="65" t="s">
        <v>156</v>
      </c>
      <c r="M50">
        <v>1</v>
      </c>
      <c r="N50">
        <v>101630490.77575767</v>
      </c>
      <c r="O50">
        <v>101630490.77575767</v>
      </c>
      <c r="P50">
        <v>4.9168279676179614</v>
      </c>
      <c r="Q50">
        <v>5.7415190968484173E-2</v>
      </c>
      <c r="T50" s="45"/>
    </row>
    <row r="51" spans="2:20" x14ac:dyDescent="0.3">
      <c r="B51" s="74" t="s">
        <v>157</v>
      </c>
      <c r="C51" s="10">
        <v>8</v>
      </c>
      <c r="D51" s="10">
        <v>180457286.4300603</v>
      </c>
      <c r="E51" s="10">
        <v>22557160.803757537</v>
      </c>
      <c r="F51" s="10"/>
      <c r="G51" s="10"/>
      <c r="H51" s="10"/>
      <c r="I51" s="10"/>
      <c r="J51" s="75"/>
      <c r="L51" s="65" t="s">
        <v>157</v>
      </c>
      <c r="M51">
        <v>8</v>
      </c>
      <c r="N51">
        <v>165359441.40424216</v>
      </c>
      <c r="O51">
        <v>20669930.17553027</v>
      </c>
      <c r="T51" s="45"/>
    </row>
    <row r="52" spans="2:20" ht="15" thickBot="1" x14ac:dyDescent="0.35">
      <c r="B52" s="78" t="s">
        <v>34</v>
      </c>
      <c r="C52" s="79">
        <v>9</v>
      </c>
      <c r="D52" s="79">
        <v>308138958.62399971</v>
      </c>
      <c r="E52" s="79"/>
      <c r="F52" s="79"/>
      <c r="G52" s="79"/>
      <c r="H52" s="10"/>
      <c r="I52" s="10"/>
      <c r="J52" s="75"/>
      <c r="L52" s="67" t="s">
        <v>34</v>
      </c>
      <c r="M52" s="36">
        <v>9</v>
      </c>
      <c r="N52" s="36">
        <v>266989932.17999983</v>
      </c>
      <c r="O52" s="36"/>
      <c r="P52" s="36"/>
      <c r="Q52" s="36"/>
      <c r="T52" s="45"/>
    </row>
    <row r="53" spans="2:20" ht="15" thickBot="1" x14ac:dyDescent="0.35">
      <c r="B53" s="74"/>
      <c r="C53" s="10"/>
      <c r="D53" s="10"/>
      <c r="E53" s="10"/>
      <c r="F53" s="10"/>
      <c r="G53" s="10"/>
      <c r="H53" s="10"/>
      <c r="I53" s="10"/>
      <c r="J53" s="75"/>
      <c r="L53" s="65"/>
      <c r="T53" s="45"/>
    </row>
    <row r="54" spans="2:20" x14ac:dyDescent="0.3">
      <c r="B54" s="80"/>
      <c r="C54" s="81" t="s">
        <v>164</v>
      </c>
      <c r="D54" s="81" t="s">
        <v>153</v>
      </c>
      <c r="E54" s="81" t="s">
        <v>165</v>
      </c>
      <c r="F54" s="81" t="s">
        <v>166</v>
      </c>
      <c r="G54" s="81" t="s">
        <v>167</v>
      </c>
      <c r="H54" s="81" t="s">
        <v>168</v>
      </c>
      <c r="I54" s="81" t="s">
        <v>169</v>
      </c>
      <c r="J54" s="82" t="s">
        <v>170</v>
      </c>
      <c r="L54" s="68"/>
      <c r="M54" s="37" t="s">
        <v>164</v>
      </c>
      <c r="N54" s="37" t="s">
        <v>153</v>
      </c>
      <c r="O54" s="37" t="s">
        <v>165</v>
      </c>
      <c r="P54" s="37" t="s">
        <v>166</v>
      </c>
      <c r="Q54" s="37" t="s">
        <v>167</v>
      </c>
      <c r="R54" s="37" t="s">
        <v>168</v>
      </c>
      <c r="S54" s="37" t="s">
        <v>169</v>
      </c>
      <c r="T54" s="69" t="s">
        <v>170</v>
      </c>
    </row>
    <row r="55" spans="2:20" x14ac:dyDescent="0.3">
      <c r="B55" s="74" t="s">
        <v>158</v>
      </c>
      <c r="C55" s="10">
        <v>5502.573333333331</v>
      </c>
      <c r="D55" s="10">
        <v>3244.4837866374855</v>
      </c>
      <c r="E55" s="10">
        <v>1.6959780646757621</v>
      </c>
      <c r="F55" s="10">
        <v>0.12833152417037624</v>
      </c>
      <c r="G55" s="10">
        <v>-1979.2196952555851</v>
      </c>
      <c r="H55" s="10">
        <v>12984.366361922246</v>
      </c>
      <c r="I55" s="10">
        <v>-1979.2196952555851</v>
      </c>
      <c r="J55" s="75">
        <v>12984.366361922246</v>
      </c>
      <c r="L55" s="65" t="s">
        <v>158</v>
      </c>
      <c r="M55">
        <v>5448.0333333333338</v>
      </c>
      <c r="N55">
        <v>3105.795778097372</v>
      </c>
      <c r="O55">
        <v>1.7541505374415924</v>
      </c>
      <c r="P55">
        <v>0.11748841365616924</v>
      </c>
      <c r="Q55">
        <v>-1713.9445740588499</v>
      </c>
      <c r="R55">
        <v>12610.011240725518</v>
      </c>
      <c r="S55">
        <v>-1713.9445740588499</v>
      </c>
      <c r="T55" s="45">
        <v>12610.011240725518</v>
      </c>
    </row>
    <row r="56" spans="2:20" x14ac:dyDescent="0.3">
      <c r="B56" s="83" t="s">
        <v>172</v>
      </c>
      <c r="C56" s="84">
        <v>1244.0484848484853</v>
      </c>
      <c r="D56" s="84">
        <v>522.89590833610168</v>
      </c>
      <c r="E56" s="84">
        <v>2.379151309114564</v>
      </c>
      <c r="F56" s="84">
        <v>4.4604722242779365E-2</v>
      </c>
      <c r="G56" s="84">
        <v>38.248357944095687</v>
      </c>
      <c r="H56" s="84">
        <v>2449.8486117528746</v>
      </c>
      <c r="I56" s="84">
        <v>38.248357944095687</v>
      </c>
      <c r="J56" s="85">
        <v>2449.8486117528746</v>
      </c>
      <c r="L56" s="70" t="s">
        <v>172</v>
      </c>
      <c r="M56" s="50">
        <v>1109.9030303030308</v>
      </c>
      <c r="N56" s="50">
        <v>500.54431191278735</v>
      </c>
      <c r="O56" s="50">
        <v>2.2173921546758391</v>
      </c>
      <c r="P56" s="50">
        <v>5.7415190968484173E-2</v>
      </c>
      <c r="Q56" s="50">
        <v>-44.35422282078116</v>
      </c>
      <c r="R56" s="50">
        <v>2264.1602834268429</v>
      </c>
      <c r="S56" s="50">
        <v>-44.35422282078116</v>
      </c>
      <c r="T56" s="51">
        <v>2264.1602834268429</v>
      </c>
    </row>
  </sheetData>
  <mergeCells count="10">
    <mergeCell ref="R2:U2"/>
    <mergeCell ref="W2:AA2"/>
    <mergeCell ref="E41:F41"/>
    <mergeCell ref="E22:F22"/>
    <mergeCell ref="O21:P21"/>
    <mergeCell ref="O40:P40"/>
    <mergeCell ref="Z21:AA21"/>
    <mergeCell ref="B2:E2"/>
    <mergeCell ref="G2:J2"/>
    <mergeCell ref="L2:P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C1E8-A56A-4E75-9A8D-930A84F383B6}">
  <dimension ref="B2:AE25"/>
  <sheetViews>
    <sheetView showGridLines="0" topLeftCell="B1" zoomScale="77" zoomScaleNormal="80" workbookViewId="0">
      <pane ySplit="2" topLeftCell="A4" activePane="bottomLeft" state="frozen"/>
      <selection pane="bottomLeft" activeCell="N19" sqref="N19"/>
    </sheetView>
  </sheetViews>
  <sheetFormatPr defaultRowHeight="14.4" x14ac:dyDescent="0.3"/>
  <cols>
    <col min="1" max="1" width="1.88671875" customWidth="1"/>
    <col min="2" max="2" width="33.21875" bestFit="1" customWidth="1"/>
    <col min="3" max="12" width="12.5546875" customWidth="1"/>
    <col min="13" max="17" width="11" bestFit="1" customWidth="1"/>
    <col min="18" max="18" width="3" customWidth="1"/>
    <col min="19" max="19" width="12.44140625" customWidth="1"/>
    <col min="20" max="20" width="13.77734375" customWidth="1"/>
    <col min="21" max="21" width="13.88671875" customWidth="1"/>
    <col min="22" max="22" width="3.44140625" customWidth="1"/>
    <col min="23" max="23" width="17.44140625" bestFit="1" customWidth="1"/>
    <col min="24" max="24" width="12" bestFit="1" customWidth="1"/>
    <col min="25" max="25" width="14.109375" bestFit="1" customWidth="1"/>
    <col min="26" max="27" width="12" bestFit="1" customWidth="1"/>
    <col min="28" max="28" width="13" bestFit="1" customWidth="1"/>
    <col min="29" max="29" width="12" bestFit="1" customWidth="1"/>
    <col min="30" max="30" width="12.109375" bestFit="1" customWidth="1"/>
    <col min="31" max="31" width="12.21875" bestFit="1" customWidth="1"/>
  </cols>
  <sheetData>
    <row r="2" spans="2:31" x14ac:dyDescent="0.3">
      <c r="B2" s="209" t="str">
        <f>"Balance Sheet Forcasting"&amp;" - "&amp;'Data Sheet'!B1</f>
        <v>Balance Sheet Forcasting - MARUTI SUZUKI INDIA LTD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</row>
    <row r="3" spans="2:31" x14ac:dyDescent="0.3">
      <c r="B3" s="12" t="s">
        <v>146</v>
      </c>
      <c r="C3" s="31">
        <v>1</v>
      </c>
      <c r="D3" s="31">
        <f>C3+1</f>
        <v>2</v>
      </c>
      <c r="E3" s="31">
        <f t="shared" ref="E3:Q3" si="0">D3+1</f>
        <v>3</v>
      </c>
      <c r="F3" s="31">
        <f t="shared" si="0"/>
        <v>4</v>
      </c>
      <c r="G3" s="31">
        <f t="shared" si="0"/>
        <v>5</v>
      </c>
      <c r="H3" s="31">
        <f t="shared" si="0"/>
        <v>6</v>
      </c>
      <c r="I3" s="31">
        <f t="shared" si="0"/>
        <v>7</v>
      </c>
      <c r="J3" s="31">
        <f t="shared" si="0"/>
        <v>8</v>
      </c>
      <c r="K3" s="31">
        <f t="shared" si="0"/>
        <v>9</v>
      </c>
      <c r="L3" s="31">
        <f t="shared" si="0"/>
        <v>10</v>
      </c>
      <c r="M3" s="31">
        <f t="shared" si="0"/>
        <v>11</v>
      </c>
      <c r="N3" s="31">
        <f t="shared" si="0"/>
        <v>12</v>
      </c>
      <c r="O3" s="31">
        <f t="shared" si="0"/>
        <v>13</v>
      </c>
      <c r="P3" s="31">
        <f t="shared" si="0"/>
        <v>14</v>
      </c>
      <c r="Q3" s="31">
        <f t="shared" si="0"/>
        <v>15</v>
      </c>
    </row>
    <row r="4" spans="2:31" x14ac:dyDescent="0.3">
      <c r="B4" s="87" t="s">
        <v>76</v>
      </c>
      <c r="C4" s="88">
        <v>2017</v>
      </c>
      <c r="D4" s="88">
        <f>C4+1</f>
        <v>2018</v>
      </c>
      <c r="E4" s="88">
        <f t="shared" ref="E4:Q4" si="1">D4+1</f>
        <v>2019</v>
      </c>
      <c r="F4" s="88">
        <f t="shared" si="1"/>
        <v>2020</v>
      </c>
      <c r="G4" s="88">
        <f t="shared" si="1"/>
        <v>2021</v>
      </c>
      <c r="H4" s="88">
        <f t="shared" si="1"/>
        <v>2022</v>
      </c>
      <c r="I4" s="88">
        <f t="shared" si="1"/>
        <v>2023</v>
      </c>
      <c r="J4" s="88">
        <f t="shared" si="1"/>
        <v>2024</v>
      </c>
      <c r="K4" s="88">
        <f t="shared" si="1"/>
        <v>2025</v>
      </c>
      <c r="L4" s="88">
        <f t="shared" si="1"/>
        <v>2026</v>
      </c>
      <c r="M4" s="89">
        <f t="shared" si="1"/>
        <v>2027</v>
      </c>
      <c r="N4" s="89">
        <f t="shared" si="1"/>
        <v>2028</v>
      </c>
      <c r="O4" s="89">
        <f t="shared" si="1"/>
        <v>2029</v>
      </c>
      <c r="P4" s="89">
        <f t="shared" si="1"/>
        <v>2030</v>
      </c>
      <c r="Q4" s="89">
        <f t="shared" si="1"/>
        <v>2031</v>
      </c>
      <c r="S4" s="94" t="s">
        <v>179</v>
      </c>
      <c r="T4" s="94"/>
      <c r="U4" s="94"/>
      <c r="V4" s="94"/>
      <c r="W4" s="94"/>
      <c r="X4" s="94"/>
      <c r="Y4" s="94"/>
    </row>
    <row r="5" spans="2:31" x14ac:dyDescent="0.3">
      <c r="B5" s="14" t="s">
        <v>103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S5" s="94" t="s">
        <v>180</v>
      </c>
      <c r="T5" s="94"/>
      <c r="U5" s="94"/>
      <c r="V5" s="94"/>
      <c r="W5" s="94"/>
      <c r="X5" s="94"/>
      <c r="Y5" s="94"/>
    </row>
    <row r="6" spans="2:31" x14ac:dyDescent="0.3">
      <c r="B6" t="s">
        <v>30</v>
      </c>
      <c r="C6" s="16">
        <v>151</v>
      </c>
      <c r="D6" s="16">
        <v>151</v>
      </c>
      <c r="E6" s="16">
        <v>151</v>
      </c>
      <c r="F6" s="16">
        <v>151</v>
      </c>
      <c r="G6" s="16">
        <v>151</v>
      </c>
      <c r="H6" s="16">
        <v>151</v>
      </c>
      <c r="I6" s="16">
        <v>151</v>
      </c>
      <c r="J6" s="16">
        <v>157.19999999999999</v>
      </c>
      <c r="K6" s="16">
        <v>157.19999999999999</v>
      </c>
      <c r="L6" s="16">
        <v>157.19999999999999</v>
      </c>
      <c r="M6" s="91">
        <f>FORECAST(M$3,$C$6:$L$6,$C$3:$L$3)</f>
        <v>157.19999999999999</v>
      </c>
      <c r="N6" s="91">
        <f>FORECAST(N$3,$C$6:$L$6,$C$3:$L$3)</f>
        <v>157.98909090909089</v>
      </c>
      <c r="O6" s="91">
        <f>FORECAST(O$3,$C$6:$L$6,$C$3:$L$3)</f>
        <v>158.77818181818182</v>
      </c>
      <c r="P6" s="91">
        <f>FORECAST(P$3,$C$6:$L$6,$C$3:$L$3)</f>
        <v>159.56727272727272</v>
      </c>
      <c r="Q6" s="91">
        <f>FORECAST(Q$3,$C$6:$L$6,$C$3:$L$3)</f>
        <v>160.35636363636362</v>
      </c>
      <c r="S6" s="94" t="s">
        <v>181</v>
      </c>
      <c r="T6" s="94"/>
      <c r="U6" s="94"/>
      <c r="V6" s="94"/>
      <c r="W6" s="94"/>
      <c r="X6" s="94"/>
      <c r="Y6" s="94"/>
    </row>
    <row r="7" spans="2:31" x14ac:dyDescent="0.3">
      <c r="B7" t="s">
        <v>31</v>
      </c>
      <c r="C7" s="16">
        <v>36924.1</v>
      </c>
      <c r="D7" s="16">
        <v>42408.4</v>
      </c>
      <c r="E7" s="16">
        <v>46941.1</v>
      </c>
      <c r="F7" s="16">
        <v>49262</v>
      </c>
      <c r="G7" s="16">
        <v>52349.599999999999</v>
      </c>
      <c r="H7" s="16">
        <v>55182.5</v>
      </c>
      <c r="I7" s="16">
        <v>61640.3</v>
      </c>
      <c r="J7" s="16">
        <v>85478.8</v>
      </c>
      <c r="K7" s="16">
        <v>96082.7</v>
      </c>
      <c r="L7" s="16">
        <v>106999.1</v>
      </c>
      <c r="M7" s="91">
        <f>FORECAST(M$3,$C7:$L7,$C$3:$L$3)</f>
        <v>104628.57333333333</v>
      </c>
      <c r="N7" s="91">
        <f t="shared" ref="N7:Q9" si="2">FORECAST(N$3,$C7:$L7,$C$3:$L$3)</f>
        <v>112137.97575757577</v>
      </c>
      <c r="O7" s="91">
        <f t="shared" si="2"/>
        <v>119647.37818181819</v>
      </c>
      <c r="P7" s="91">
        <f t="shared" si="2"/>
        <v>127156.78060606061</v>
      </c>
      <c r="Q7" s="91">
        <f t="shared" si="2"/>
        <v>134666.18303030304</v>
      </c>
    </row>
    <row r="8" spans="2:31" x14ac:dyDescent="0.3">
      <c r="B8" t="s">
        <v>32</v>
      </c>
      <c r="C8" s="16">
        <v>483.6</v>
      </c>
      <c r="D8" s="16">
        <v>120.8</v>
      </c>
      <c r="E8" s="16">
        <v>159.6</v>
      </c>
      <c r="F8" s="16">
        <v>184.1</v>
      </c>
      <c r="G8" s="16">
        <v>540.9</v>
      </c>
      <c r="H8" s="16">
        <v>425.5</v>
      </c>
      <c r="I8" s="16">
        <v>1247.3</v>
      </c>
      <c r="J8" s="16">
        <v>118.6</v>
      </c>
      <c r="K8" s="16">
        <v>87</v>
      </c>
      <c r="L8" s="16">
        <v>102.5</v>
      </c>
      <c r="M8" s="91">
        <f>FORECAST(M$3,$C8:$L8,$C$3:$L$3)</f>
        <v>320.4133333333333</v>
      </c>
      <c r="N8" s="91">
        <f>FORECAST(N$3,$C8:$L8,$C$3:$L$3)</f>
        <v>315.5812121212121</v>
      </c>
      <c r="O8" s="91">
        <f>FORECAST(O$3,$C8:$L8,$C$3:$L$3)</f>
        <v>310.74909090909091</v>
      </c>
      <c r="P8" s="91">
        <f>FORECAST(P$3,$C8:$L8,$C$3:$L$3)</f>
        <v>305.91696969696966</v>
      </c>
      <c r="Q8" s="91">
        <f>FORECAST(Q$3,$C8:$L8,$C$3:$L$3)</f>
        <v>301.08484848484846</v>
      </c>
      <c r="W8" s="63" t="s">
        <v>148</v>
      </c>
      <c r="X8" s="42"/>
      <c r="Y8" s="42"/>
      <c r="Z8" s="42"/>
      <c r="AA8" s="42"/>
      <c r="AB8" s="42"/>
      <c r="AC8" s="42"/>
      <c r="AD8" s="42"/>
      <c r="AE8" s="43"/>
    </row>
    <row r="9" spans="2:31" ht="15" thickBot="1" x14ac:dyDescent="0.35">
      <c r="B9" t="s">
        <v>33</v>
      </c>
      <c r="C9" s="16">
        <v>14401.8</v>
      </c>
      <c r="D9" s="16">
        <v>17568.2</v>
      </c>
      <c r="E9" s="16">
        <v>16717</v>
      </c>
      <c r="F9" s="16">
        <v>14030.6</v>
      </c>
      <c r="G9" s="16">
        <v>18334.599999999999</v>
      </c>
      <c r="H9" s="16">
        <v>18896.5</v>
      </c>
      <c r="I9" s="16">
        <v>21558.3</v>
      </c>
      <c r="J9" s="16">
        <v>29549.5</v>
      </c>
      <c r="K9" s="16">
        <v>35644.300000000003</v>
      </c>
      <c r="L9" s="16">
        <v>41622.199999999997</v>
      </c>
      <c r="M9" s="91">
        <f t="shared" ref="M9:Q20" si="3">FORECAST(M$3,$C9:$L9,$C$3:$L$3)</f>
        <v>38126.426666666666</v>
      </c>
      <c r="N9" s="91">
        <f t="shared" si="2"/>
        <v>40907.176969696971</v>
      </c>
      <c r="O9" s="91">
        <f t="shared" si="2"/>
        <v>43687.927272727276</v>
      </c>
      <c r="P9" s="91">
        <f t="shared" si="2"/>
        <v>46468.677575757574</v>
      </c>
      <c r="Q9" s="91">
        <f t="shared" si="2"/>
        <v>49249.427878787879</v>
      </c>
      <c r="S9" s="211" t="s">
        <v>107</v>
      </c>
      <c r="T9" s="212"/>
      <c r="U9" s="213"/>
      <c r="W9" s="65"/>
      <c r="AE9" s="45"/>
    </row>
    <row r="10" spans="2:31" x14ac:dyDescent="0.3">
      <c r="B10" s="21" t="s">
        <v>184</v>
      </c>
      <c r="C10" s="22">
        <v>51960.5</v>
      </c>
      <c r="D10" s="22">
        <v>60248.4</v>
      </c>
      <c r="E10" s="22">
        <v>63968.7</v>
      </c>
      <c r="F10" s="22">
        <v>63627.7</v>
      </c>
      <c r="G10" s="22">
        <v>71376.100000000006</v>
      </c>
      <c r="H10" s="22">
        <v>74655.5</v>
      </c>
      <c r="I10" s="22">
        <v>84596.9</v>
      </c>
      <c r="J10" s="22">
        <v>115304.1</v>
      </c>
      <c r="K10" s="22">
        <v>131971.20000000001</v>
      </c>
      <c r="L10" s="22">
        <v>148881</v>
      </c>
      <c r="M10" s="99">
        <f>SUM(M6:M9)</f>
        <v>143232.61333333334</v>
      </c>
      <c r="N10" s="99">
        <f t="shared" ref="N10:Q10" si="4">SUM(N6:N9)</f>
        <v>153518.72303030302</v>
      </c>
      <c r="O10" s="99">
        <f t="shared" si="4"/>
        <v>163804.83272727273</v>
      </c>
      <c r="P10" s="99">
        <f t="shared" si="4"/>
        <v>174090.94242424244</v>
      </c>
      <c r="Q10" s="99">
        <f t="shared" si="4"/>
        <v>184377.05212121212</v>
      </c>
      <c r="S10" s="44" t="s">
        <v>146</v>
      </c>
      <c r="T10" s="31" t="s">
        <v>76</v>
      </c>
      <c r="U10" s="52" t="s">
        <v>182</v>
      </c>
      <c r="W10" s="66" t="s">
        <v>149</v>
      </c>
      <c r="X10" s="38"/>
      <c r="AE10" s="45"/>
    </row>
    <row r="11" spans="2:31" x14ac:dyDescent="0.3">
      <c r="M11" s="92"/>
      <c r="N11" s="92"/>
      <c r="O11" s="92"/>
      <c r="P11" s="92"/>
      <c r="Q11" s="92"/>
      <c r="S11" s="46">
        <v>1</v>
      </c>
      <c r="T11" s="39">
        <v>2017</v>
      </c>
      <c r="U11" s="97">
        <v>51960.5</v>
      </c>
      <c r="W11" s="65" t="s">
        <v>150</v>
      </c>
      <c r="X11">
        <v>0.93084388674662288</v>
      </c>
      <c r="AE11" s="45"/>
    </row>
    <row r="12" spans="2:31" x14ac:dyDescent="0.3">
      <c r="B12" t="s">
        <v>104</v>
      </c>
      <c r="C12" s="16">
        <v>13310.7</v>
      </c>
      <c r="D12" s="16">
        <v>13388.8</v>
      </c>
      <c r="E12" s="16">
        <v>15437.3</v>
      </c>
      <c r="F12" s="16">
        <v>15744.4</v>
      </c>
      <c r="G12" s="16">
        <v>14988.7</v>
      </c>
      <c r="H12" s="16">
        <v>13747.2</v>
      </c>
      <c r="I12" s="16">
        <v>17830.400000000001</v>
      </c>
      <c r="J12" s="16">
        <v>27864.799999999999</v>
      </c>
      <c r="K12" s="16">
        <v>32982.699999999997</v>
      </c>
      <c r="L12" s="16">
        <v>34955.4</v>
      </c>
      <c r="M12" s="91">
        <f t="shared" si="3"/>
        <v>33328.826666666668</v>
      </c>
      <c r="N12" s="91">
        <f>FORECAST(N$3,$C12:$L12,$C$3:$L$3)</f>
        <v>35747.696969696968</v>
      </c>
      <c r="O12" s="91">
        <f t="shared" si="3"/>
        <v>38166.567272727269</v>
      </c>
      <c r="P12" s="91">
        <f t="shared" si="3"/>
        <v>40585.437575757569</v>
      </c>
      <c r="Q12" s="91">
        <f t="shared" si="3"/>
        <v>43004.307878787877</v>
      </c>
      <c r="S12" s="46">
        <f>S11+1</f>
        <v>2</v>
      </c>
      <c r="T12" s="39">
        <f>T11+1</f>
        <v>2018</v>
      </c>
      <c r="U12" s="97">
        <v>60248.4</v>
      </c>
      <c r="W12" s="65" t="s">
        <v>151</v>
      </c>
      <c r="X12">
        <v>0.86647034149355961</v>
      </c>
      <c r="AE12" s="45"/>
    </row>
    <row r="13" spans="2:31" x14ac:dyDescent="0.3">
      <c r="B13" t="s">
        <v>36</v>
      </c>
      <c r="C13" s="16">
        <v>1252.3</v>
      </c>
      <c r="D13" s="16">
        <v>2132.1</v>
      </c>
      <c r="E13" s="16">
        <v>1606.9</v>
      </c>
      <c r="F13" s="16">
        <v>1415.2</v>
      </c>
      <c r="G13" s="16">
        <v>1496.8</v>
      </c>
      <c r="H13" s="16">
        <v>2936.5</v>
      </c>
      <c r="I13" s="16">
        <v>2904.1</v>
      </c>
      <c r="J13" s="16">
        <v>7734.8</v>
      </c>
      <c r="K13" s="16">
        <v>7929</v>
      </c>
      <c r="L13" s="16">
        <v>9406.2000000000007</v>
      </c>
      <c r="M13" s="91">
        <f t="shared" si="3"/>
        <v>8898.3666666666686</v>
      </c>
      <c r="N13" s="91">
        <f t="shared" si="3"/>
        <v>9810.5442424242428</v>
      </c>
      <c r="O13" s="91">
        <f t="shared" si="3"/>
        <v>10722.721818181817</v>
      </c>
      <c r="P13" s="91">
        <f t="shared" si="3"/>
        <v>11634.899393939395</v>
      </c>
      <c r="Q13" s="91">
        <f t="shared" si="3"/>
        <v>12547.076969696969</v>
      </c>
      <c r="S13" s="46">
        <f t="shared" ref="S13:T25" si="5">S12+1</f>
        <v>3</v>
      </c>
      <c r="T13" s="39">
        <f t="shared" si="5"/>
        <v>2019</v>
      </c>
      <c r="U13" s="97">
        <v>63968.7</v>
      </c>
      <c r="W13" s="65" t="s">
        <v>152</v>
      </c>
      <c r="X13">
        <v>0.84977913418025453</v>
      </c>
      <c r="AE13" s="45"/>
    </row>
    <row r="14" spans="2:31" x14ac:dyDescent="0.3">
      <c r="B14" t="s">
        <v>37</v>
      </c>
      <c r="C14" s="16">
        <v>29150.6</v>
      </c>
      <c r="D14" s="16">
        <v>36123.1</v>
      </c>
      <c r="E14" s="16">
        <v>37503.599999999999</v>
      </c>
      <c r="F14" s="16">
        <v>37488</v>
      </c>
      <c r="G14" s="16">
        <v>42944.800000000003</v>
      </c>
      <c r="H14" s="16">
        <v>42034.7</v>
      </c>
      <c r="I14" s="16">
        <v>49184.3</v>
      </c>
      <c r="J14" s="16">
        <v>57296</v>
      </c>
      <c r="K14" s="16">
        <v>66265.399999999994</v>
      </c>
      <c r="L14" s="16">
        <v>76838.5</v>
      </c>
      <c r="M14" s="91">
        <f t="shared" si="3"/>
        <v>73260.5</v>
      </c>
      <c r="N14" s="91">
        <f t="shared" si="3"/>
        <v>77947.336363636365</v>
      </c>
      <c r="O14" s="91">
        <f t="shared" si="3"/>
        <v>82634.172727272729</v>
      </c>
      <c r="P14" s="91">
        <f t="shared" si="3"/>
        <v>87321.009090909094</v>
      </c>
      <c r="Q14" s="91">
        <f t="shared" si="3"/>
        <v>92007.845454545459</v>
      </c>
      <c r="S14" s="46">
        <f t="shared" si="5"/>
        <v>4</v>
      </c>
      <c r="T14" s="39">
        <f t="shared" si="5"/>
        <v>2020</v>
      </c>
      <c r="U14" s="97">
        <v>63627.7</v>
      </c>
      <c r="W14" s="65" t="s">
        <v>153</v>
      </c>
      <c r="X14">
        <v>12967.168391346286</v>
      </c>
      <c r="AE14" s="45"/>
    </row>
    <row r="15" spans="2:31" ht="15" thickBot="1" x14ac:dyDescent="0.35">
      <c r="B15" t="s">
        <v>38</v>
      </c>
      <c r="C15" s="16">
        <v>3757.1000000000004</v>
      </c>
      <c r="D15" s="16">
        <v>3904.7999999999993</v>
      </c>
      <c r="E15" s="16">
        <v>3597.7</v>
      </c>
      <c r="F15" s="16">
        <v>3759.5</v>
      </c>
      <c r="G15" s="16">
        <v>4569.7999999999993</v>
      </c>
      <c r="H15" s="16">
        <v>7328.1</v>
      </c>
      <c r="I15" s="16">
        <v>7051.6</v>
      </c>
      <c r="J15" s="16">
        <v>9666.1999999999989</v>
      </c>
      <c r="K15" s="16">
        <v>10788.3</v>
      </c>
      <c r="L15" s="16">
        <v>9438.3000000000029</v>
      </c>
      <c r="M15" s="91">
        <f t="shared" si="3"/>
        <v>11129.220000000001</v>
      </c>
      <c r="N15" s="91">
        <f t="shared" si="3"/>
        <v>11991.598181818183</v>
      </c>
      <c r="O15" s="91">
        <f t="shared" si="3"/>
        <v>12853.976363636364</v>
      </c>
      <c r="P15" s="91">
        <f t="shared" si="3"/>
        <v>13716.354545454546</v>
      </c>
      <c r="Q15" s="91">
        <f t="shared" si="3"/>
        <v>14578.732727272727</v>
      </c>
      <c r="S15" s="46">
        <f t="shared" si="5"/>
        <v>5</v>
      </c>
      <c r="T15" s="39">
        <f t="shared" si="5"/>
        <v>2021</v>
      </c>
      <c r="U15" s="97">
        <v>71376.100000000006</v>
      </c>
      <c r="W15" s="67" t="s">
        <v>154</v>
      </c>
      <c r="X15" s="36">
        <v>10</v>
      </c>
      <c r="AE15" s="45"/>
    </row>
    <row r="16" spans="2:31" x14ac:dyDescent="0.3">
      <c r="B16" s="21" t="s">
        <v>105</v>
      </c>
      <c r="C16" s="22">
        <v>47470.7</v>
      </c>
      <c r="D16" s="22">
        <v>55548.800000000003</v>
      </c>
      <c r="E16" s="22">
        <v>58145.5</v>
      </c>
      <c r="F16" s="22">
        <v>58407.1</v>
      </c>
      <c r="G16" s="22">
        <v>64000.100000000006</v>
      </c>
      <c r="H16" s="22">
        <v>66046.5</v>
      </c>
      <c r="I16" s="22">
        <v>76970.400000000009</v>
      </c>
      <c r="J16" s="22">
        <v>102561.8</v>
      </c>
      <c r="K16" s="22">
        <v>117965.4</v>
      </c>
      <c r="L16" s="22">
        <v>130638.40000000001</v>
      </c>
      <c r="M16" s="99">
        <f>SUM(M12:M15)</f>
        <v>126616.91333333333</v>
      </c>
      <c r="N16" s="99">
        <f t="shared" ref="N16:Q16" si="6">SUM(N12:N15)</f>
        <v>135497.17575757575</v>
      </c>
      <c r="O16" s="99">
        <f t="shared" si="6"/>
        <v>144377.43818181817</v>
      </c>
      <c r="P16" s="99">
        <f t="shared" si="6"/>
        <v>153257.70060606062</v>
      </c>
      <c r="Q16" s="99">
        <f t="shared" si="6"/>
        <v>162137.96303030301</v>
      </c>
      <c r="S16" s="46">
        <f t="shared" si="5"/>
        <v>6</v>
      </c>
      <c r="T16" s="39">
        <f t="shared" si="5"/>
        <v>2022</v>
      </c>
      <c r="U16" s="97">
        <v>74655.5</v>
      </c>
      <c r="W16" s="65"/>
      <c r="AE16" s="45"/>
    </row>
    <row r="17" spans="2:31" ht="15" thickBot="1" x14ac:dyDescent="0.35">
      <c r="M17" s="92"/>
      <c r="N17" s="92"/>
      <c r="O17" s="92"/>
      <c r="P17" s="92"/>
      <c r="Q17" s="92"/>
      <c r="S17" s="46">
        <f t="shared" si="5"/>
        <v>7</v>
      </c>
      <c r="T17" s="39">
        <f t="shared" si="5"/>
        <v>2023</v>
      </c>
      <c r="U17" s="97">
        <v>84596.900000000009</v>
      </c>
      <c r="W17" s="65" t="s">
        <v>155</v>
      </c>
      <c r="AE17" s="45"/>
    </row>
    <row r="18" spans="2:31" x14ac:dyDescent="0.3">
      <c r="B18" t="s">
        <v>39</v>
      </c>
      <c r="C18" s="16">
        <v>1202.5999999999999</v>
      </c>
      <c r="D18" s="16">
        <v>1465.4</v>
      </c>
      <c r="E18" s="16">
        <v>2312.8000000000002</v>
      </c>
      <c r="F18" s="16">
        <v>1977.7</v>
      </c>
      <c r="G18" s="16">
        <v>1279.9000000000001</v>
      </c>
      <c r="H18" s="16">
        <v>2034.5</v>
      </c>
      <c r="I18" s="16">
        <v>3301.4</v>
      </c>
      <c r="J18" s="16">
        <v>4596.8</v>
      </c>
      <c r="K18" s="16">
        <v>6539.7</v>
      </c>
      <c r="L18" s="16">
        <v>5342</v>
      </c>
      <c r="M18" s="91">
        <f t="shared" si="3"/>
        <v>5969.2933333333331</v>
      </c>
      <c r="N18" s="91">
        <f t="shared" si="3"/>
        <v>6508.2048484848474</v>
      </c>
      <c r="O18" s="91">
        <f t="shared" si="3"/>
        <v>7047.1163636363626</v>
      </c>
      <c r="P18" s="91">
        <f t="shared" si="3"/>
        <v>7586.0278787878779</v>
      </c>
      <c r="Q18" s="91">
        <f t="shared" si="3"/>
        <v>8124.9393939393931</v>
      </c>
      <c r="S18" s="46">
        <f t="shared" si="5"/>
        <v>8</v>
      </c>
      <c r="T18" s="39">
        <f t="shared" si="5"/>
        <v>2024</v>
      </c>
      <c r="U18" s="97">
        <v>115304.1</v>
      </c>
      <c r="W18" s="68"/>
      <c r="X18" s="37" t="s">
        <v>159</v>
      </c>
      <c r="Y18" s="37" t="s">
        <v>160</v>
      </c>
      <c r="Z18" s="37" t="s">
        <v>161</v>
      </c>
      <c r="AA18" s="37" t="s">
        <v>162</v>
      </c>
      <c r="AB18" s="37" t="s">
        <v>163</v>
      </c>
      <c r="AE18" s="45"/>
    </row>
    <row r="19" spans="2:31" x14ac:dyDescent="0.3">
      <c r="B19" t="s">
        <v>40</v>
      </c>
      <c r="C19" s="16">
        <v>3263.7</v>
      </c>
      <c r="D19" s="16">
        <v>3160.2</v>
      </c>
      <c r="E19" s="16">
        <v>3322.6</v>
      </c>
      <c r="F19" s="16">
        <v>3213.9</v>
      </c>
      <c r="G19" s="16">
        <v>3049</v>
      </c>
      <c r="H19" s="16">
        <v>3532.3</v>
      </c>
      <c r="I19" s="16">
        <v>4283.5</v>
      </c>
      <c r="J19" s="16">
        <v>5318.1</v>
      </c>
      <c r="K19" s="16">
        <v>6913.2</v>
      </c>
      <c r="L19" s="16">
        <v>11320.6</v>
      </c>
      <c r="M19" s="91">
        <f t="shared" si="3"/>
        <v>8486.1333333333332</v>
      </c>
      <c r="N19" s="91">
        <f t="shared" si="3"/>
        <v>9167.6648484848502</v>
      </c>
      <c r="O19" s="91">
        <f t="shared" si="3"/>
        <v>9849.1963636363653</v>
      </c>
      <c r="P19" s="91">
        <f t="shared" si="3"/>
        <v>10530.72787878788</v>
      </c>
      <c r="Q19" s="91">
        <f t="shared" si="3"/>
        <v>11212.259393939396</v>
      </c>
      <c r="S19" s="46">
        <f t="shared" si="5"/>
        <v>9</v>
      </c>
      <c r="T19" s="39">
        <f t="shared" si="5"/>
        <v>2025</v>
      </c>
      <c r="U19" s="97">
        <v>131971.19999999998</v>
      </c>
      <c r="W19" s="65" t="s">
        <v>156</v>
      </c>
      <c r="X19">
        <v>1</v>
      </c>
      <c r="Y19">
        <v>8728834347.5927563</v>
      </c>
      <c r="Z19">
        <v>8728834347.5927563</v>
      </c>
      <c r="AA19">
        <v>51.911783565402764</v>
      </c>
      <c r="AB19">
        <v>9.2001640108638067E-5</v>
      </c>
      <c r="AE19" s="45"/>
    </row>
    <row r="20" spans="2:31" x14ac:dyDescent="0.3">
      <c r="B20" t="s">
        <v>41</v>
      </c>
      <c r="C20" s="16">
        <v>23.5</v>
      </c>
      <c r="D20" s="16">
        <v>74</v>
      </c>
      <c r="E20" s="16">
        <v>187.8</v>
      </c>
      <c r="F20" s="16">
        <v>29</v>
      </c>
      <c r="G20" s="16">
        <v>3047.1</v>
      </c>
      <c r="H20" s="16">
        <v>3042.2</v>
      </c>
      <c r="I20" s="16">
        <v>41.6</v>
      </c>
      <c r="J20" s="16">
        <v>2827.4</v>
      </c>
      <c r="K20" s="16">
        <v>552.9</v>
      </c>
      <c r="L20" s="16">
        <v>1580</v>
      </c>
      <c r="M20" s="91">
        <f t="shared" si="3"/>
        <v>2160.2733333333331</v>
      </c>
      <c r="N20" s="91">
        <f t="shared" si="3"/>
        <v>2345.6775757575756</v>
      </c>
      <c r="O20" s="91">
        <f t="shared" si="3"/>
        <v>2531.0818181818181</v>
      </c>
      <c r="P20" s="91">
        <f t="shared" si="3"/>
        <v>2716.4860606060602</v>
      </c>
      <c r="Q20" s="91">
        <f t="shared" si="3"/>
        <v>2901.8903030303027</v>
      </c>
      <c r="S20" s="46">
        <f t="shared" si="5"/>
        <v>10</v>
      </c>
      <c r="T20" s="39">
        <f t="shared" si="5"/>
        <v>2026</v>
      </c>
      <c r="U20" s="97">
        <v>148881</v>
      </c>
      <c r="W20" s="65" t="s">
        <v>157</v>
      </c>
      <c r="X20">
        <v>8</v>
      </c>
      <c r="Y20">
        <v>1345179648.7162416</v>
      </c>
      <c r="Z20">
        <v>168147456.0895302</v>
      </c>
      <c r="AE20" s="45"/>
    </row>
    <row r="21" spans="2:31" ht="15" thickBot="1" x14ac:dyDescent="0.35">
      <c r="B21" s="21" t="s">
        <v>106</v>
      </c>
      <c r="C21" s="22">
        <v>4489.7999999999993</v>
      </c>
      <c r="D21" s="22">
        <v>4699.6000000000004</v>
      </c>
      <c r="E21" s="22">
        <v>5823.2</v>
      </c>
      <c r="F21" s="22">
        <v>5220.6000000000004</v>
      </c>
      <c r="G21" s="22">
        <v>7376</v>
      </c>
      <c r="H21" s="22">
        <v>8609</v>
      </c>
      <c r="I21" s="22">
        <v>7626.5</v>
      </c>
      <c r="J21" s="22">
        <v>12742.300000000001</v>
      </c>
      <c r="K21" s="22">
        <v>14005.8</v>
      </c>
      <c r="L21" s="22">
        <v>18242.599999999999</v>
      </c>
      <c r="M21" s="93">
        <f>SUM(M18:M20)</f>
        <v>16615.7</v>
      </c>
      <c r="N21" s="93">
        <f t="shared" ref="N21:Q21" si="7">SUM(N18:N20)</f>
        <v>18021.547272727272</v>
      </c>
      <c r="O21" s="93">
        <f t="shared" si="7"/>
        <v>19427.394545454546</v>
      </c>
      <c r="P21" s="93">
        <f t="shared" si="7"/>
        <v>20833.241818181821</v>
      </c>
      <c r="Q21" s="93">
        <f t="shared" si="7"/>
        <v>22239.089090909089</v>
      </c>
      <c r="S21" s="46">
        <f t="shared" si="5"/>
        <v>11</v>
      </c>
      <c r="T21" s="98">
        <f t="shared" si="5"/>
        <v>2027</v>
      </c>
      <c r="U21" s="100">
        <f>$X$24+$X$25*S21</f>
        <v>143232.61333333331</v>
      </c>
      <c r="W21" s="67" t="s">
        <v>34</v>
      </c>
      <c r="X21" s="36">
        <v>9</v>
      </c>
      <c r="Y21" s="36">
        <v>10074013996.308998</v>
      </c>
      <c r="Z21" s="36"/>
      <c r="AA21" s="36"/>
      <c r="AB21" s="36"/>
      <c r="AE21" s="45"/>
    </row>
    <row r="22" spans="2:31" ht="15" thickBot="1" x14ac:dyDescent="0.35">
      <c r="M22" s="92"/>
      <c r="N22" s="92"/>
      <c r="O22" s="92"/>
      <c r="P22" s="92"/>
      <c r="Q22" s="92"/>
      <c r="S22" s="46">
        <f t="shared" si="5"/>
        <v>12</v>
      </c>
      <c r="T22" s="98">
        <f t="shared" si="5"/>
        <v>2028</v>
      </c>
      <c r="U22" s="100">
        <f>$X$24+$X$25*S22</f>
        <v>153518.72303030302</v>
      </c>
      <c r="W22" s="65"/>
      <c r="AE22" s="45"/>
    </row>
    <row r="23" spans="2:31" x14ac:dyDescent="0.3">
      <c r="B23" s="21" t="s">
        <v>107</v>
      </c>
      <c r="C23" s="22">
        <v>51960.5</v>
      </c>
      <c r="D23" s="22">
        <v>60248.4</v>
      </c>
      <c r="E23" s="22">
        <v>63968.7</v>
      </c>
      <c r="F23" s="22">
        <v>63627.7</v>
      </c>
      <c r="G23" s="22">
        <v>71376.100000000006</v>
      </c>
      <c r="H23" s="22">
        <v>74655.5</v>
      </c>
      <c r="I23" s="22">
        <v>84596.900000000009</v>
      </c>
      <c r="J23" s="22">
        <v>115304.1</v>
      </c>
      <c r="K23" s="22">
        <v>131971.19999999998</v>
      </c>
      <c r="L23" s="22">
        <v>148881</v>
      </c>
      <c r="M23" s="99">
        <f>SUM(M21,M16,)</f>
        <v>143232.61333333334</v>
      </c>
      <c r="N23" s="99">
        <f t="shared" ref="N23:Q23" si="8">SUM(N21,N16,)</f>
        <v>153518.72303030302</v>
      </c>
      <c r="O23" s="99">
        <f t="shared" si="8"/>
        <v>163804.8327272727</v>
      </c>
      <c r="P23" s="99">
        <f t="shared" si="8"/>
        <v>174090.94242424244</v>
      </c>
      <c r="Q23" s="99">
        <f t="shared" si="8"/>
        <v>184377.05212121209</v>
      </c>
      <c r="S23" s="46">
        <f t="shared" si="5"/>
        <v>13</v>
      </c>
      <c r="T23" s="98">
        <f t="shared" si="5"/>
        <v>2029</v>
      </c>
      <c r="U23" s="100">
        <f>$X$24+$X$25*S23</f>
        <v>163804.8327272727</v>
      </c>
      <c r="W23" s="68"/>
      <c r="X23" s="37" t="s">
        <v>164</v>
      </c>
      <c r="Y23" s="37" t="s">
        <v>153</v>
      </c>
      <c r="Z23" s="37" t="s">
        <v>165</v>
      </c>
      <c r="AA23" s="37" t="s">
        <v>166</v>
      </c>
      <c r="AB23" s="37" t="s">
        <v>167</v>
      </c>
      <c r="AC23" s="37" t="s">
        <v>168</v>
      </c>
      <c r="AD23" s="37" t="s">
        <v>169</v>
      </c>
      <c r="AE23" s="69" t="s">
        <v>170</v>
      </c>
    </row>
    <row r="24" spans="2:31" x14ac:dyDescent="0.3">
      <c r="S24" s="46">
        <f t="shared" si="5"/>
        <v>14</v>
      </c>
      <c r="T24" s="98">
        <f t="shared" si="5"/>
        <v>2030</v>
      </c>
      <c r="U24" s="100">
        <f>$X$24+$X$25*S24</f>
        <v>174090.94242424241</v>
      </c>
      <c r="W24" s="65" t="s">
        <v>158</v>
      </c>
      <c r="X24">
        <v>30085.406666666669</v>
      </c>
      <c r="Y24">
        <v>8858.2624053355285</v>
      </c>
      <c r="Z24">
        <v>3.3963101667145872</v>
      </c>
      <c r="AA24">
        <v>9.4116848862707148E-3</v>
      </c>
      <c r="AB24">
        <v>9658.2169292393301</v>
      </c>
      <c r="AC24">
        <v>50512.596404094009</v>
      </c>
      <c r="AD24">
        <v>9658.2169292393301</v>
      </c>
      <c r="AE24" s="45">
        <v>50512.596404094009</v>
      </c>
    </row>
    <row r="25" spans="2:31" x14ac:dyDescent="0.3">
      <c r="B25" s="95" t="s">
        <v>183</v>
      </c>
      <c r="C25" s="95" t="b">
        <v>1</v>
      </c>
      <c r="D25" s="95" t="b">
        <v>1</v>
      </c>
      <c r="E25" s="95" t="b">
        <v>1</v>
      </c>
      <c r="F25" s="95" t="b">
        <v>1</v>
      </c>
      <c r="G25" s="95" t="b">
        <v>1</v>
      </c>
      <c r="H25" s="95" t="b">
        <v>1</v>
      </c>
      <c r="I25" s="95" t="b">
        <v>1</v>
      </c>
      <c r="J25" s="95" t="b">
        <v>1</v>
      </c>
      <c r="K25" s="95" t="b">
        <v>1</v>
      </c>
      <c r="L25" s="95" t="b">
        <v>1</v>
      </c>
      <c r="M25" s="95" t="b">
        <v>1</v>
      </c>
      <c r="N25" s="95" t="b">
        <v>1</v>
      </c>
      <c r="O25" s="95" t="b">
        <v>1</v>
      </c>
      <c r="P25" s="95" t="b">
        <v>1</v>
      </c>
      <c r="Q25" s="95" t="b">
        <v>1</v>
      </c>
      <c r="S25" s="59">
        <f t="shared" si="5"/>
        <v>15</v>
      </c>
      <c r="T25" s="96">
        <f t="shared" si="5"/>
        <v>2031</v>
      </c>
      <c r="U25" s="101">
        <f>$X$24+$X$25*S25</f>
        <v>184377.05212121212</v>
      </c>
      <c r="W25" s="70" t="s">
        <v>172</v>
      </c>
      <c r="X25" s="50">
        <v>10286.109696969696</v>
      </c>
      <c r="Y25" s="50">
        <v>1427.6382535164139</v>
      </c>
      <c r="Z25" s="50">
        <v>7.2049832453242217</v>
      </c>
      <c r="AA25" s="50">
        <v>9.2001640108638067E-5</v>
      </c>
      <c r="AB25" s="50">
        <v>6993.9699807851903</v>
      </c>
      <c r="AC25" s="50">
        <v>13578.249413154201</v>
      </c>
      <c r="AD25" s="50">
        <v>6993.9699807851903</v>
      </c>
      <c r="AE25" s="51">
        <v>13578.249413154201</v>
      </c>
    </row>
  </sheetData>
  <mergeCells count="2">
    <mergeCell ref="B2:Q2"/>
    <mergeCell ref="S9:U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1760-EE79-42C5-8B61-4CE73D0EE06D}">
  <dimension ref="B2:Q38"/>
  <sheetViews>
    <sheetView showGridLines="0" zoomScale="76" workbookViewId="0">
      <pane ySplit="2" topLeftCell="A3" activePane="bottomLeft" state="frozen"/>
      <selection pane="bottomLeft" activeCell="Q34" sqref="Q34"/>
    </sheetView>
  </sheetViews>
  <sheetFormatPr defaultRowHeight="14.4" x14ac:dyDescent="0.3"/>
  <cols>
    <col min="1" max="1" width="1.88671875" customWidth="1"/>
    <col min="2" max="2" width="33.21875" bestFit="1" customWidth="1"/>
    <col min="3" max="12" width="12.5546875" customWidth="1"/>
    <col min="13" max="13" width="11" bestFit="1" customWidth="1"/>
    <col min="14" max="17" width="12.5546875" bestFit="1" customWidth="1"/>
  </cols>
  <sheetData>
    <row r="2" spans="2:17" x14ac:dyDescent="0.3">
      <c r="B2" s="209" t="str">
        <f>"Cash Flow Statement Forcasting"&amp;" - "&amp;'Data Sheet'!B1</f>
        <v>Cash Flow Statement Forcasting - MARUTI SUZUKI INDIA LTD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</row>
    <row r="3" spans="2:17" x14ac:dyDescent="0.3">
      <c r="B3" s="12" t="s">
        <v>146</v>
      </c>
      <c r="C3" s="31">
        <v>1</v>
      </c>
      <c r="D3" s="31">
        <f>C3+1</f>
        <v>2</v>
      </c>
      <c r="E3" s="31">
        <f t="shared" ref="E3:Q4" si="0">D3+1</f>
        <v>3</v>
      </c>
      <c r="F3" s="31">
        <f t="shared" si="0"/>
        <v>4</v>
      </c>
      <c r="G3" s="31">
        <f t="shared" si="0"/>
        <v>5</v>
      </c>
      <c r="H3" s="31">
        <f t="shared" si="0"/>
        <v>6</v>
      </c>
      <c r="I3" s="31">
        <f t="shared" si="0"/>
        <v>7</v>
      </c>
      <c r="J3" s="31">
        <f t="shared" si="0"/>
        <v>8</v>
      </c>
      <c r="K3" s="31">
        <f t="shared" si="0"/>
        <v>9</v>
      </c>
      <c r="L3" s="31">
        <f t="shared" si="0"/>
        <v>10</v>
      </c>
      <c r="M3" s="31">
        <f t="shared" si="0"/>
        <v>11</v>
      </c>
      <c r="N3" s="31">
        <f t="shared" si="0"/>
        <v>12</v>
      </c>
      <c r="O3" s="31">
        <f t="shared" si="0"/>
        <v>13</v>
      </c>
      <c r="P3" s="31">
        <f t="shared" si="0"/>
        <v>14</v>
      </c>
      <c r="Q3" s="31">
        <f t="shared" si="0"/>
        <v>15</v>
      </c>
    </row>
    <row r="4" spans="2:17" x14ac:dyDescent="0.3">
      <c r="B4" s="87" t="s">
        <v>76</v>
      </c>
      <c r="C4" s="88">
        <v>2017</v>
      </c>
      <c r="D4" s="88">
        <f>C4+1</f>
        <v>2018</v>
      </c>
      <c r="E4" s="88">
        <f t="shared" si="0"/>
        <v>2019</v>
      </c>
      <c r="F4" s="88">
        <f t="shared" si="0"/>
        <v>2020</v>
      </c>
      <c r="G4" s="88">
        <f t="shared" si="0"/>
        <v>2021</v>
      </c>
      <c r="H4" s="88">
        <f t="shared" si="0"/>
        <v>2022</v>
      </c>
      <c r="I4" s="88">
        <f t="shared" si="0"/>
        <v>2023</v>
      </c>
      <c r="J4" s="88">
        <f t="shared" si="0"/>
        <v>2024</v>
      </c>
      <c r="K4" s="88">
        <f t="shared" si="0"/>
        <v>2025</v>
      </c>
      <c r="L4" s="88">
        <f t="shared" si="0"/>
        <v>2026</v>
      </c>
      <c r="M4" s="89">
        <f t="shared" si="0"/>
        <v>2027</v>
      </c>
      <c r="N4" s="89">
        <f t="shared" si="0"/>
        <v>2028</v>
      </c>
      <c r="O4" s="89">
        <f t="shared" si="0"/>
        <v>2029</v>
      </c>
      <c r="P4" s="89">
        <f t="shared" si="0"/>
        <v>2030</v>
      </c>
      <c r="Q4" s="89">
        <f t="shared" si="0"/>
        <v>2031</v>
      </c>
    </row>
    <row r="5" spans="2:17" x14ac:dyDescent="0.3">
      <c r="B5" s="14" t="s">
        <v>109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x14ac:dyDescent="0.3">
      <c r="B6" s="10" t="s">
        <v>110</v>
      </c>
    </row>
    <row r="7" spans="2:17" x14ac:dyDescent="0.3">
      <c r="B7" t="s">
        <v>54</v>
      </c>
      <c r="C7" s="16">
        <v>10413</v>
      </c>
      <c r="D7" s="16">
        <v>12036</v>
      </c>
      <c r="E7" s="16">
        <v>11060</v>
      </c>
      <c r="F7" s="16">
        <v>7503</v>
      </c>
      <c r="G7" s="16">
        <v>5531</v>
      </c>
      <c r="H7" s="16">
        <v>5832</v>
      </c>
      <c r="I7" s="16">
        <v>11112</v>
      </c>
      <c r="J7" s="16">
        <v>18676</v>
      </c>
      <c r="K7" s="16">
        <v>20322</v>
      </c>
      <c r="L7" s="16">
        <v>21802</v>
      </c>
      <c r="M7" s="91">
        <f>FORECAST(M$3,$C7:$L7,$C$3:$L$3)</f>
        <v>19419.066666666666</v>
      </c>
      <c r="N7" s="91">
        <f t="shared" ref="N7:Q13" si="1">FORECAST(N$3,$C7:$L7,$C$3:$L$3)</f>
        <v>20690.042424242427</v>
      </c>
      <c r="O7" s="91">
        <f t="shared" si="1"/>
        <v>21961.018181818181</v>
      </c>
      <c r="P7" s="91">
        <f t="shared" si="1"/>
        <v>23231.993939393942</v>
      </c>
      <c r="Q7" s="91">
        <f t="shared" si="1"/>
        <v>24502.969696969696</v>
      </c>
    </row>
    <row r="8" spans="2:17" x14ac:dyDescent="0.3">
      <c r="B8" t="s">
        <v>39</v>
      </c>
      <c r="C8" s="16">
        <v>122</v>
      </c>
      <c r="D8" s="16">
        <v>-262</v>
      </c>
      <c r="E8" s="16">
        <v>-851</v>
      </c>
      <c r="F8" s="16">
        <v>340</v>
      </c>
      <c r="G8" s="16">
        <v>696</v>
      </c>
      <c r="H8" s="16">
        <v>-764</v>
      </c>
      <c r="I8" s="16">
        <v>-1258</v>
      </c>
      <c r="J8" s="16">
        <v>-1316</v>
      </c>
      <c r="K8" s="16">
        <v>-1969</v>
      </c>
      <c r="L8" s="16">
        <v>1236</v>
      </c>
      <c r="M8" s="91">
        <f t="shared" ref="M8:M14" si="2">FORECAST(M$3,$C8:$L8,$C$3:$L$3)</f>
        <v>-752.66666666666674</v>
      </c>
      <c r="N8" s="91">
        <f t="shared" si="1"/>
        <v>-816.31515151515168</v>
      </c>
      <c r="O8" s="91">
        <f t="shared" si="1"/>
        <v>-879.96363636363651</v>
      </c>
      <c r="P8" s="91">
        <f t="shared" si="1"/>
        <v>-943.61212121212134</v>
      </c>
      <c r="Q8" s="91">
        <f t="shared" si="1"/>
        <v>-1007.2606060606063</v>
      </c>
    </row>
    <row r="9" spans="2:17" x14ac:dyDescent="0.3">
      <c r="B9" t="s">
        <v>40</v>
      </c>
      <c r="C9" s="16">
        <v>-131</v>
      </c>
      <c r="D9" s="16">
        <v>104</v>
      </c>
      <c r="E9" s="16">
        <v>-162</v>
      </c>
      <c r="F9" s="16">
        <v>109</v>
      </c>
      <c r="G9" s="16">
        <v>165</v>
      </c>
      <c r="H9" s="16">
        <v>-483</v>
      </c>
      <c r="I9" s="16">
        <v>-751</v>
      </c>
      <c r="J9" s="16">
        <v>125</v>
      </c>
      <c r="K9" s="16">
        <v>-1595</v>
      </c>
      <c r="L9" s="16">
        <v>-4407</v>
      </c>
      <c r="M9" s="91">
        <f>FORECAST(M$3,$C9:$L9,$C$3:$L$3)</f>
        <v>-2441.6</v>
      </c>
      <c r="N9" s="91">
        <f t="shared" si="1"/>
        <v>-2757.7818181818179</v>
      </c>
      <c r="O9" s="91">
        <f>FORECAST(O$3,$C9:$L9,$C$3:$L$3)</f>
        <v>-3073.9636363636359</v>
      </c>
      <c r="P9" s="91">
        <f t="shared" si="1"/>
        <v>-3390.1454545454549</v>
      </c>
      <c r="Q9" s="91">
        <f>FORECAST(Q$3,$C9:$L9,$C$3:$L$3)</f>
        <v>-3706.3272727272729</v>
      </c>
    </row>
    <row r="10" spans="2:17" x14ac:dyDescent="0.3">
      <c r="B10" t="s">
        <v>55</v>
      </c>
      <c r="C10" s="16">
        <v>979</v>
      </c>
      <c r="D10" s="16">
        <v>2128</v>
      </c>
      <c r="E10" s="16">
        <v>-858</v>
      </c>
      <c r="F10" s="16">
        <v>-2155</v>
      </c>
      <c r="G10" s="16">
        <v>2680</v>
      </c>
      <c r="H10" s="16">
        <v>-396</v>
      </c>
      <c r="I10" s="16">
        <v>2008</v>
      </c>
      <c r="J10" s="16">
        <v>3321</v>
      </c>
      <c r="K10" s="16">
        <v>3509</v>
      </c>
      <c r="L10" s="16">
        <v>5194</v>
      </c>
      <c r="M10" s="91">
        <f t="shared" si="2"/>
        <v>4238</v>
      </c>
      <c r="N10" s="91">
        <f t="shared" si="1"/>
        <v>4710.181818181818</v>
      </c>
      <c r="O10" s="91">
        <f t="shared" si="1"/>
        <v>5182.363636363636</v>
      </c>
      <c r="P10" s="91">
        <f t="shared" si="1"/>
        <v>5654.545454545455</v>
      </c>
      <c r="Q10" s="91">
        <f t="shared" si="1"/>
        <v>6126.727272727273</v>
      </c>
    </row>
    <row r="11" spans="2:17" x14ac:dyDescent="0.3">
      <c r="B11" t="s">
        <v>56</v>
      </c>
      <c r="C11" s="16">
        <v>1</v>
      </c>
      <c r="D11" s="16">
        <v>0</v>
      </c>
      <c r="E11" s="16">
        <v>-13</v>
      </c>
      <c r="F11" s="16">
        <v>-1</v>
      </c>
      <c r="G11" s="16">
        <v>-6</v>
      </c>
      <c r="H11" s="16">
        <v>-8</v>
      </c>
      <c r="I11" s="16">
        <v>1</v>
      </c>
      <c r="J11" s="16">
        <v>-3</v>
      </c>
      <c r="K11" s="16">
        <v>-10</v>
      </c>
      <c r="L11" s="16">
        <v>-1</v>
      </c>
      <c r="M11" s="91">
        <f t="shared" si="2"/>
        <v>-5.1333333333333329</v>
      </c>
      <c r="N11" s="91">
        <f t="shared" si="1"/>
        <v>-5.3393939393939398</v>
      </c>
      <c r="O11" s="91">
        <f>FORECAST(O$3,$C11:$L11,$C$3:$L$3)</f>
        <v>-5.545454545454545</v>
      </c>
      <c r="P11" s="91">
        <f t="shared" si="1"/>
        <v>-5.7515151515151519</v>
      </c>
      <c r="Q11" s="91">
        <f t="shared" si="1"/>
        <v>-5.9575757575757571</v>
      </c>
    </row>
    <row r="12" spans="2:17" x14ac:dyDescent="0.3">
      <c r="B12" t="s">
        <v>57</v>
      </c>
      <c r="C12" s="16">
        <v>1222</v>
      </c>
      <c r="D12" s="16">
        <v>839</v>
      </c>
      <c r="E12" s="16">
        <v>569</v>
      </c>
      <c r="F12" s="16">
        <v>-863</v>
      </c>
      <c r="G12" s="16">
        <v>801</v>
      </c>
      <c r="H12" s="16">
        <v>-1162</v>
      </c>
      <c r="I12" s="16">
        <v>374</v>
      </c>
      <c r="J12" s="16">
        <v>-406</v>
      </c>
      <c r="K12" s="16">
        <v>-313</v>
      </c>
      <c r="L12" s="16">
        <v>-387</v>
      </c>
      <c r="M12" s="91">
        <f t="shared" si="2"/>
        <v>-788.33333333333326</v>
      </c>
      <c r="N12" s="91">
        <f t="shared" si="1"/>
        <v>-943.92121212121197</v>
      </c>
      <c r="O12" s="91">
        <f t="shared" si="1"/>
        <v>-1099.5090909090907</v>
      </c>
      <c r="P12" s="91">
        <f t="shared" si="1"/>
        <v>-1255.0969696969696</v>
      </c>
      <c r="Q12" s="91">
        <f t="shared" si="1"/>
        <v>-1410.6848484848483</v>
      </c>
    </row>
    <row r="13" spans="2:17" x14ac:dyDescent="0.3">
      <c r="B13" t="s">
        <v>58</v>
      </c>
      <c r="C13" s="16">
        <v>2192</v>
      </c>
      <c r="D13" s="16">
        <v>2808</v>
      </c>
      <c r="E13" s="16">
        <v>-1315</v>
      </c>
      <c r="F13" s="16">
        <v>-2570</v>
      </c>
      <c r="G13" s="16">
        <v>4336</v>
      </c>
      <c r="H13" s="16">
        <v>-2813</v>
      </c>
      <c r="I13" s="16">
        <v>373</v>
      </c>
      <c r="J13" s="16">
        <v>1722</v>
      </c>
      <c r="K13" s="16">
        <v>-378</v>
      </c>
      <c r="L13" s="16">
        <v>1635</v>
      </c>
      <c r="M13" s="91">
        <f t="shared" si="2"/>
        <v>250.66666666666663</v>
      </c>
      <c r="N13" s="91">
        <f t="shared" si="1"/>
        <v>187.33333333333337</v>
      </c>
      <c r="O13" s="91">
        <f t="shared" si="1"/>
        <v>124</v>
      </c>
      <c r="P13" s="91">
        <f t="shared" si="1"/>
        <v>60.666666666666629</v>
      </c>
      <c r="Q13" s="91">
        <f t="shared" si="1"/>
        <v>-2.6666666666666288</v>
      </c>
    </row>
    <row r="14" spans="2:17" x14ac:dyDescent="0.3">
      <c r="B14" t="s">
        <v>59</v>
      </c>
      <c r="C14" s="16">
        <v>-2323</v>
      </c>
      <c r="D14" s="16">
        <v>-3056</v>
      </c>
      <c r="E14" s="16">
        <v>-3144</v>
      </c>
      <c r="F14" s="16">
        <v>-1438</v>
      </c>
      <c r="G14" s="16">
        <v>-1011</v>
      </c>
      <c r="H14" s="16">
        <v>-1178</v>
      </c>
      <c r="I14" s="16">
        <v>-2233</v>
      </c>
      <c r="J14" s="16">
        <v>-3597</v>
      </c>
      <c r="K14" s="16">
        <v>-3807</v>
      </c>
      <c r="L14" s="16">
        <v>-4337</v>
      </c>
      <c r="M14" s="91">
        <f t="shared" si="2"/>
        <v>-3552.4</v>
      </c>
      <c r="N14" s="91">
        <f>FORECAST(N$3,$C14:$L14,$C$3:$L$3)</f>
        <v>-3723.3090909090911</v>
      </c>
      <c r="O14" s="91">
        <f>FORECAST(O$3,$C14:$L14,$C$3:$L$3)</f>
        <v>-3894.2181818181821</v>
      </c>
      <c r="P14" s="91">
        <f>FORECAST(P$3,$C14:$L14,$C$3:$L$3)</f>
        <v>-4065.1272727272726</v>
      </c>
      <c r="Q14" s="91">
        <f>FORECAST(Q$3,$C14:$L14,$C$3:$L$3)</f>
        <v>-4236.0363636363636</v>
      </c>
    </row>
    <row r="15" spans="2:17" x14ac:dyDescent="0.3">
      <c r="B15" s="21" t="s">
        <v>46</v>
      </c>
      <c r="C15" s="22">
        <v>12475</v>
      </c>
      <c r="D15" s="22">
        <v>14597</v>
      </c>
      <c r="E15" s="22">
        <v>5286</v>
      </c>
      <c r="F15" s="22">
        <v>925</v>
      </c>
      <c r="G15" s="22">
        <v>13192</v>
      </c>
      <c r="H15" s="22">
        <v>-972</v>
      </c>
      <c r="I15" s="22">
        <v>9626</v>
      </c>
      <c r="J15" s="22">
        <v>18522</v>
      </c>
      <c r="K15" s="22">
        <v>15759</v>
      </c>
      <c r="L15" s="22">
        <v>20735</v>
      </c>
      <c r="M15" s="99">
        <f>SUM(M7:M14)</f>
        <v>16367.599999999997</v>
      </c>
      <c r="N15" s="99">
        <f t="shared" ref="N15:P15" si="3">SUM(N7:N14)</f>
        <v>17340.890909090911</v>
      </c>
      <c r="O15" s="99">
        <f t="shared" si="3"/>
        <v>18314.181818181816</v>
      </c>
      <c r="P15" s="99">
        <f t="shared" si="3"/>
        <v>19287.472727272732</v>
      </c>
      <c r="Q15" s="99">
        <f>SUM(Q7:Q14)</f>
        <v>20260.763636363634</v>
      </c>
    </row>
    <row r="16" spans="2:17" x14ac:dyDescent="0.3">
      <c r="B16" s="10"/>
      <c r="M16" s="92"/>
      <c r="N16" s="92"/>
      <c r="O16" s="92"/>
      <c r="P16" s="92"/>
      <c r="Q16" s="92"/>
    </row>
    <row r="17" spans="2:17" x14ac:dyDescent="0.3">
      <c r="B17" s="10" t="s">
        <v>111</v>
      </c>
      <c r="M17" s="92"/>
      <c r="N17" s="92"/>
      <c r="O17" s="92"/>
      <c r="P17" s="92"/>
      <c r="Q17" s="92"/>
    </row>
    <row r="18" spans="2:17" x14ac:dyDescent="0.3">
      <c r="B18" t="s">
        <v>61</v>
      </c>
      <c r="C18" s="16">
        <v>-3391</v>
      </c>
      <c r="D18" s="16">
        <v>-3912</v>
      </c>
      <c r="E18" s="16">
        <v>-4872</v>
      </c>
      <c r="F18" s="16">
        <v>-3437</v>
      </c>
      <c r="G18" s="16">
        <v>-2370</v>
      </c>
      <c r="H18" s="16">
        <v>-3459</v>
      </c>
      <c r="I18" s="16">
        <v>-6347</v>
      </c>
      <c r="J18" s="16">
        <v>-9200</v>
      </c>
      <c r="K18" s="16">
        <v>-10641</v>
      </c>
      <c r="L18" s="16">
        <v>-10398</v>
      </c>
      <c r="M18" s="91">
        <f>FORECAST(M$3,$C18:$L18,$C$3:$L$3)</f>
        <v>-10523.533333333333</v>
      </c>
      <c r="N18" s="91">
        <f t="shared" ref="N18:Q26" si="4">FORECAST(N$3,$C18:$L18,$C$3:$L$3)</f>
        <v>-11381.866666666665</v>
      </c>
      <c r="O18" s="91">
        <f t="shared" si="4"/>
        <v>-12240.2</v>
      </c>
      <c r="P18" s="91">
        <f t="shared" si="4"/>
        <v>-13098.533333333333</v>
      </c>
      <c r="Q18" s="91">
        <f t="shared" si="4"/>
        <v>-13956.866666666665</v>
      </c>
    </row>
    <row r="19" spans="2:17" x14ac:dyDescent="0.3">
      <c r="B19" t="s">
        <v>62</v>
      </c>
      <c r="C19" s="16">
        <v>16</v>
      </c>
      <c r="D19" s="16">
        <v>26</v>
      </c>
      <c r="E19" s="16">
        <v>170</v>
      </c>
      <c r="F19" s="16">
        <v>37</v>
      </c>
      <c r="G19" s="16">
        <v>42</v>
      </c>
      <c r="H19" s="16">
        <v>136</v>
      </c>
      <c r="I19" s="16">
        <v>100</v>
      </c>
      <c r="J19" s="16">
        <v>45</v>
      </c>
      <c r="K19" s="16">
        <v>38</v>
      </c>
      <c r="L19" s="16">
        <v>52</v>
      </c>
      <c r="M19" s="91">
        <f t="shared" ref="M19:M26" si="5">FORECAST(M$3,$C19:$L19,$C$3:$L$3)</f>
        <v>68.400000000000006</v>
      </c>
      <c r="N19" s="91">
        <f t="shared" si="4"/>
        <v>68.8</v>
      </c>
      <c r="O19" s="91">
        <f t="shared" si="4"/>
        <v>69.2</v>
      </c>
      <c r="P19" s="91">
        <f t="shared" si="4"/>
        <v>69.599999999999994</v>
      </c>
      <c r="Q19" s="91">
        <f t="shared" si="4"/>
        <v>70</v>
      </c>
    </row>
    <row r="20" spans="2:17" x14ac:dyDescent="0.3">
      <c r="B20" t="s">
        <v>63</v>
      </c>
      <c r="C20" s="16">
        <v>-17716</v>
      </c>
      <c r="D20" s="16">
        <v>-47069</v>
      </c>
      <c r="E20" s="16">
        <v>-52957</v>
      </c>
      <c r="F20" s="16">
        <v>-44205</v>
      </c>
      <c r="G20" s="16">
        <v>-44869</v>
      </c>
      <c r="H20" s="16">
        <v>-60525</v>
      </c>
      <c r="I20" s="16">
        <v>-66597</v>
      </c>
      <c r="J20" s="16">
        <v>-65736</v>
      </c>
      <c r="K20" s="16">
        <v>-73882</v>
      </c>
      <c r="L20" s="16">
        <v>-108034</v>
      </c>
      <c r="M20" s="91">
        <f t="shared" si="5"/>
        <v>-96401.666666666657</v>
      </c>
      <c r="N20" s="91">
        <f t="shared" si="4"/>
        <v>-103354.87878787878</v>
      </c>
      <c r="O20" s="91">
        <f t="shared" si="4"/>
        <v>-110308.09090909091</v>
      </c>
      <c r="P20" s="91">
        <f t="shared" si="4"/>
        <v>-117261.30303030304</v>
      </c>
      <c r="Q20" s="91">
        <f t="shared" si="4"/>
        <v>-124214.51515151514</v>
      </c>
    </row>
    <row r="21" spans="2:17" x14ac:dyDescent="0.3">
      <c r="B21" t="s">
        <v>64</v>
      </c>
      <c r="C21" s="16">
        <v>11839</v>
      </c>
      <c r="D21" s="16">
        <v>42564</v>
      </c>
      <c r="E21" s="16">
        <v>53986</v>
      </c>
      <c r="F21" s="16">
        <v>46969</v>
      </c>
      <c r="G21" s="16">
        <v>42920</v>
      </c>
      <c r="H21" s="16">
        <v>63579</v>
      </c>
      <c r="I21" s="16">
        <v>61605</v>
      </c>
      <c r="J21" s="16">
        <v>61933</v>
      </c>
      <c r="K21" s="16">
        <v>69795</v>
      </c>
      <c r="L21" s="16">
        <v>101969</v>
      </c>
      <c r="M21" s="91">
        <f t="shared" si="5"/>
        <v>92585.53333333334</v>
      </c>
      <c r="N21" s="91">
        <f t="shared" si="4"/>
        <v>99289.103030303027</v>
      </c>
      <c r="O21" s="91">
        <f t="shared" si="4"/>
        <v>105992.67272727273</v>
      </c>
      <c r="P21" s="91">
        <f t="shared" si="4"/>
        <v>112696.24242424243</v>
      </c>
      <c r="Q21" s="91">
        <f t="shared" si="4"/>
        <v>119399.81212121212</v>
      </c>
    </row>
    <row r="22" spans="2:17" x14ac:dyDescent="0.3">
      <c r="B22" t="s">
        <v>65</v>
      </c>
      <c r="C22" s="16">
        <v>36</v>
      </c>
      <c r="D22" s="16">
        <v>68</v>
      </c>
      <c r="E22" s="16">
        <v>124</v>
      </c>
      <c r="F22" s="16">
        <v>96</v>
      </c>
      <c r="G22" s="16">
        <v>67</v>
      </c>
      <c r="H22" s="16">
        <v>174</v>
      </c>
      <c r="I22" s="16">
        <v>194</v>
      </c>
      <c r="J22" s="16">
        <v>372</v>
      </c>
      <c r="K22" s="16">
        <v>444</v>
      </c>
      <c r="L22" s="16">
        <v>354</v>
      </c>
      <c r="M22" s="91">
        <f t="shared" si="5"/>
        <v>430.73333333333335</v>
      </c>
      <c r="N22" s="91">
        <f t="shared" si="4"/>
        <v>473.97575757575754</v>
      </c>
      <c r="O22" s="91">
        <f t="shared" si="4"/>
        <v>517.21818181818185</v>
      </c>
      <c r="P22" s="91">
        <f t="shared" si="4"/>
        <v>560.4606060606061</v>
      </c>
      <c r="Q22" s="91">
        <f t="shared" si="4"/>
        <v>603.70303030303035</v>
      </c>
    </row>
    <row r="23" spans="2:17" x14ac:dyDescent="0.3">
      <c r="B23" t="s">
        <v>81</v>
      </c>
      <c r="C23" s="16">
        <v>13</v>
      </c>
      <c r="D23" s="16">
        <v>20</v>
      </c>
      <c r="E23" s="16">
        <v>9</v>
      </c>
      <c r="F23" s="16">
        <v>4</v>
      </c>
      <c r="G23" s="16">
        <v>3</v>
      </c>
      <c r="H23" s="16">
        <v>3</v>
      </c>
      <c r="I23" s="16">
        <v>6</v>
      </c>
      <c r="J23" s="16">
        <v>6</v>
      </c>
      <c r="K23" s="16">
        <v>9</v>
      </c>
      <c r="L23" s="16">
        <v>11</v>
      </c>
      <c r="M23" s="91">
        <f t="shared" si="5"/>
        <v>4.9333333333333345</v>
      </c>
      <c r="N23" s="91">
        <f t="shared" si="4"/>
        <v>4.3030303030303045</v>
      </c>
      <c r="O23" s="91">
        <f t="shared" si="4"/>
        <v>3.6727272727272737</v>
      </c>
      <c r="P23" s="91">
        <f>FORECAST(P$3,$C23:$L23,$C$3:$L$3)</f>
        <v>3.0424242424242429</v>
      </c>
      <c r="Q23" s="91">
        <f t="shared" si="4"/>
        <v>2.4121212121212139</v>
      </c>
    </row>
    <row r="24" spans="2:17" x14ac:dyDescent="0.3">
      <c r="B24" t="s">
        <v>66</v>
      </c>
      <c r="C24" s="16">
        <v>22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91">
        <f t="shared" si="5"/>
        <v>-4.4000000000000021</v>
      </c>
      <c r="N24" s="91">
        <f t="shared" si="4"/>
        <v>-5.6000000000000014</v>
      </c>
      <c r="O24" s="91">
        <f t="shared" si="4"/>
        <v>-6.8000000000000007</v>
      </c>
      <c r="P24" s="91">
        <f t="shared" si="4"/>
        <v>-8.0000000000000036</v>
      </c>
      <c r="Q24" s="91">
        <f t="shared" si="4"/>
        <v>-9.2000000000000028</v>
      </c>
    </row>
    <row r="25" spans="2:17" x14ac:dyDescent="0.3">
      <c r="B25" t="s">
        <v>67</v>
      </c>
      <c r="C25" s="16">
        <v>0</v>
      </c>
      <c r="D25" s="16">
        <v>0</v>
      </c>
      <c r="E25" s="16">
        <v>0</v>
      </c>
      <c r="F25" s="16">
        <v>-15</v>
      </c>
      <c r="G25" s="16">
        <v>-65</v>
      </c>
      <c r="H25" s="16">
        <v>-146</v>
      </c>
      <c r="I25" s="16">
        <v>0</v>
      </c>
      <c r="J25" s="16">
        <v>-80</v>
      </c>
      <c r="K25" s="16">
        <v>-18</v>
      </c>
      <c r="L25" s="16">
        <v>0</v>
      </c>
      <c r="M25" s="91">
        <f t="shared" si="5"/>
        <v>-51.13333333333334</v>
      </c>
      <c r="N25" s="91">
        <f t="shared" si="4"/>
        <v>-54.539393939393946</v>
      </c>
      <c r="O25" s="91">
        <f t="shared" si="4"/>
        <v>-57.945454545454552</v>
      </c>
      <c r="P25" s="91">
        <f t="shared" si="4"/>
        <v>-61.351515151515166</v>
      </c>
      <c r="Q25" s="91">
        <f t="shared" si="4"/>
        <v>-64.757575757575779</v>
      </c>
    </row>
    <row r="26" spans="2:17" x14ac:dyDescent="0.3">
      <c r="B26" t="s">
        <v>68</v>
      </c>
      <c r="C26" s="16">
        <v>7</v>
      </c>
      <c r="D26" s="16">
        <v>0</v>
      </c>
      <c r="E26" s="16">
        <v>0</v>
      </c>
      <c r="F26" s="16">
        <v>-5</v>
      </c>
      <c r="G26" s="16">
        <v>-3019</v>
      </c>
      <c r="H26" s="16">
        <v>-1</v>
      </c>
      <c r="I26" s="16">
        <v>3003</v>
      </c>
      <c r="J26" s="16">
        <v>795</v>
      </c>
      <c r="K26" s="16">
        <v>-201</v>
      </c>
      <c r="L26" s="16">
        <v>1311</v>
      </c>
      <c r="M26" s="91">
        <f t="shared" si="5"/>
        <v>1067.2</v>
      </c>
      <c r="N26" s="91">
        <f t="shared" si="4"/>
        <v>1226.8727272727274</v>
      </c>
      <c r="O26" s="91">
        <f t="shared" si="4"/>
        <v>1386.5454545454547</v>
      </c>
      <c r="P26" s="91">
        <f t="shared" si="4"/>
        <v>1546.2181818181818</v>
      </c>
      <c r="Q26" s="91">
        <f t="shared" si="4"/>
        <v>1705.8909090909094</v>
      </c>
    </row>
    <row r="27" spans="2:17" x14ac:dyDescent="0.3">
      <c r="B27" s="21" t="s">
        <v>112</v>
      </c>
      <c r="C27" s="22">
        <v>-9174</v>
      </c>
      <c r="D27" s="22">
        <v>-8303</v>
      </c>
      <c r="E27" s="22">
        <v>-3540</v>
      </c>
      <c r="F27" s="22">
        <v>-556</v>
      </c>
      <c r="G27" s="22">
        <v>-7291</v>
      </c>
      <c r="H27" s="22">
        <v>-239</v>
      </c>
      <c r="I27" s="22">
        <v>-8036</v>
      </c>
      <c r="J27" s="22">
        <v>-11865</v>
      </c>
      <c r="K27" s="22">
        <v>-14456</v>
      </c>
      <c r="L27" s="22">
        <v>-14735</v>
      </c>
      <c r="M27" s="99">
        <f>SUM(M18:M26)</f>
        <v>-12823.933333333314</v>
      </c>
      <c r="N27" s="99">
        <f>SUM(N18:N26)</f>
        <v>-13733.830303030303</v>
      </c>
      <c r="O27" s="99">
        <f t="shared" ref="O27:P27" si="6">SUM(O18:O26)</f>
        <v>-14643.727272727272</v>
      </c>
      <c r="P27" s="99">
        <f t="shared" si="6"/>
        <v>-15553.624242424248</v>
      </c>
      <c r="Q27" s="99">
        <f>SUM(Q18:Q26)</f>
        <v>-16463.521212121203</v>
      </c>
    </row>
    <row r="28" spans="2:17" x14ac:dyDescent="0.3">
      <c r="M28" s="92"/>
      <c r="N28" s="92"/>
      <c r="O28" s="92"/>
      <c r="P28" s="92"/>
      <c r="Q28" s="92"/>
    </row>
    <row r="29" spans="2:17" x14ac:dyDescent="0.3">
      <c r="B29" s="10" t="s">
        <v>113</v>
      </c>
      <c r="M29" s="92"/>
      <c r="N29" s="92"/>
      <c r="O29" s="92"/>
      <c r="P29" s="92"/>
      <c r="Q29" s="92"/>
    </row>
    <row r="30" spans="2:17" x14ac:dyDescent="0.3">
      <c r="B30" t="s">
        <v>70</v>
      </c>
      <c r="C30" s="16">
        <v>484</v>
      </c>
      <c r="D30" s="16">
        <v>10</v>
      </c>
      <c r="E30" s="16">
        <v>39</v>
      </c>
      <c r="F30" s="16">
        <v>0</v>
      </c>
      <c r="G30" s="16">
        <v>380</v>
      </c>
      <c r="H30" s="16">
        <v>0</v>
      </c>
      <c r="I30" s="16">
        <v>831</v>
      </c>
      <c r="J30" s="16">
        <v>0</v>
      </c>
      <c r="K30" s="16">
        <v>0</v>
      </c>
      <c r="L30" s="16">
        <v>0</v>
      </c>
      <c r="M30" s="91">
        <f>FORECAST(M$3,$C30:$L30,$C$3:$L$3)</f>
        <v>90.800000000000011</v>
      </c>
      <c r="N30" s="91">
        <f t="shared" ref="N30:Q35" si="7">FORECAST(N$3,$C30:$L30,$C$3:$L$3)</f>
        <v>75.600000000000023</v>
      </c>
      <c r="O30" s="91">
        <f t="shared" si="7"/>
        <v>60.400000000000006</v>
      </c>
      <c r="P30" s="91">
        <f t="shared" si="7"/>
        <v>45.200000000000017</v>
      </c>
      <c r="Q30" s="91">
        <f t="shared" si="7"/>
        <v>30</v>
      </c>
    </row>
    <row r="31" spans="2:17" x14ac:dyDescent="0.3">
      <c r="B31" t="s">
        <v>71</v>
      </c>
      <c r="C31" s="16">
        <v>-231</v>
      </c>
      <c r="D31" s="16">
        <v>-373</v>
      </c>
      <c r="E31" s="16">
        <v>0</v>
      </c>
      <c r="F31" s="16">
        <v>-46</v>
      </c>
      <c r="G31" s="16">
        <v>0</v>
      </c>
      <c r="H31" s="16">
        <v>-110</v>
      </c>
      <c r="I31" s="16">
        <v>0</v>
      </c>
      <c r="J31" s="16">
        <v>-1183</v>
      </c>
      <c r="K31" s="16">
        <v>-33</v>
      </c>
      <c r="L31" s="16">
        <v>0</v>
      </c>
      <c r="M31" s="91">
        <f t="shared" ref="M31:M35" si="8">FORECAST(M$3,$C31:$L31,$C$3:$L$3)</f>
        <v>-245.2</v>
      </c>
      <c r="N31" s="91">
        <f t="shared" si="7"/>
        <v>-253.85454545454547</v>
      </c>
      <c r="O31" s="91">
        <f t="shared" si="7"/>
        <v>-262.5090909090909</v>
      </c>
      <c r="P31" s="91">
        <f t="shared" si="7"/>
        <v>-271.16363636363639</v>
      </c>
      <c r="Q31" s="91">
        <f t="shared" si="7"/>
        <v>-279.81818181818187</v>
      </c>
    </row>
    <row r="32" spans="2:17" x14ac:dyDescent="0.3">
      <c r="B32" t="s">
        <v>72</v>
      </c>
      <c r="C32" s="16">
        <v>-110</v>
      </c>
      <c r="D32" s="16">
        <v>-346</v>
      </c>
      <c r="E32" s="16">
        <v>-73</v>
      </c>
      <c r="F32" s="16">
        <v>-136</v>
      </c>
      <c r="G32" s="16">
        <v>-102</v>
      </c>
      <c r="H32" s="16">
        <v>-130</v>
      </c>
      <c r="I32" s="16">
        <v>-186</v>
      </c>
      <c r="J32" s="16">
        <v>-147</v>
      </c>
      <c r="K32" s="16">
        <v>-167</v>
      </c>
      <c r="L32" s="16">
        <v>-204</v>
      </c>
      <c r="M32" s="91">
        <f t="shared" si="8"/>
        <v>-164.79999999999998</v>
      </c>
      <c r="N32" s="91">
        <f t="shared" si="7"/>
        <v>-165.65454545454543</v>
      </c>
      <c r="O32" s="91">
        <f t="shared" si="7"/>
        <v>-166.5090909090909</v>
      </c>
      <c r="P32" s="91">
        <f t="shared" si="7"/>
        <v>-167.36363636363635</v>
      </c>
      <c r="Q32" s="91">
        <f t="shared" si="7"/>
        <v>-168.21818181818179</v>
      </c>
    </row>
    <row r="33" spans="2:17" x14ac:dyDescent="0.3">
      <c r="B33" t="s">
        <v>73</v>
      </c>
      <c r="C33" s="16">
        <v>-1057</v>
      </c>
      <c r="D33" s="16">
        <v>-2266</v>
      </c>
      <c r="E33" s="16">
        <v>-2417</v>
      </c>
      <c r="F33" s="16">
        <v>-2417</v>
      </c>
      <c r="G33" s="16">
        <v>-1812</v>
      </c>
      <c r="H33" s="16">
        <v>-1359</v>
      </c>
      <c r="I33" s="16">
        <v>-1812</v>
      </c>
      <c r="J33" s="16">
        <v>-2719</v>
      </c>
      <c r="K33" s="16">
        <v>-3930</v>
      </c>
      <c r="L33" s="16">
        <v>-4244</v>
      </c>
      <c r="M33" s="91">
        <f t="shared" si="8"/>
        <v>-3722.4000000000005</v>
      </c>
      <c r="N33" s="91">
        <f t="shared" si="7"/>
        <v>-3962.2363636363634</v>
      </c>
      <c r="O33" s="91">
        <f t="shared" si="7"/>
        <v>-4202.0727272727272</v>
      </c>
      <c r="P33" s="91">
        <f t="shared" si="7"/>
        <v>-4441.909090909091</v>
      </c>
      <c r="Q33" s="91">
        <f t="shared" si="7"/>
        <v>-4681.7454545454548</v>
      </c>
    </row>
    <row r="34" spans="2:17" x14ac:dyDescent="0.3">
      <c r="B34" t="s">
        <v>74</v>
      </c>
      <c r="C34" s="16">
        <v>0</v>
      </c>
      <c r="D34" s="16">
        <v>0</v>
      </c>
      <c r="E34" s="16">
        <v>0</v>
      </c>
      <c r="F34" s="16">
        <v>-10</v>
      </c>
      <c r="G34" s="16">
        <v>-11</v>
      </c>
      <c r="H34" s="16">
        <v>-8</v>
      </c>
      <c r="I34" s="16">
        <v>-46</v>
      </c>
      <c r="J34" s="16">
        <v>-13</v>
      </c>
      <c r="K34" s="16">
        <v>-25</v>
      </c>
      <c r="L34" s="16">
        <v>-36</v>
      </c>
      <c r="M34" s="91">
        <f t="shared" si="8"/>
        <v>-37.200000000000003</v>
      </c>
      <c r="N34" s="91">
        <f t="shared" si="7"/>
        <v>-41.254545454545458</v>
      </c>
      <c r="O34" s="91">
        <f t="shared" si="7"/>
        <v>-45.309090909090912</v>
      </c>
      <c r="P34" s="91">
        <f t="shared" si="7"/>
        <v>-49.363636363636367</v>
      </c>
      <c r="Q34" s="91">
        <f>FORECAST(Q$3,$C34:$L34,$C$3:$L$3)</f>
        <v>-53.418181818181822</v>
      </c>
    </row>
    <row r="35" spans="2:17" x14ac:dyDescent="0.3">
      <c r="B35" t="s">
        <v>75</v>
      </c>
      <c r="C35" s="16">
        <v>-215</v>
      </c>
      <c r="D35" s="16">
        <v>-461</v>
      </c>
      <c r="E35" s="16">
        <v>-497</v>
      </c>
      <c r="F35" s="16">
        <v>-497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91">
        <f t="shared" si="8"/>
        <v>137.60000000000002</v>
      </c>
      <c r="N35" s="91">
        <f t="shared" si="7"/>
        <v>192.9818181818182</v>
      </c>
      <c r="O35" s="91">
        <f t="shared" si="7"/>
        <v>248.36363636363637</v>
      </c>
      <c r="P35" s="91">
        <f t="shared" si="7"/>
        <v>303.74545454545455</v>
      </c>
      <c r="Q35" s="91">
        <f t="shared" si="7"/>
        <v>359.12727272727273</v>
      </c>
    </row>
    <row r="36" spans="2:17" x14ac:dyDescent="0.3">
      <c r="B36" s="21" t="s">
        <v>114</v>
      </c>
      <c r="C36" s="22">
        <v>-1129</v>
      </c>
      <c r="D36" s="22">
        <v>-3436</v>
      </c>
      <c r="E36" s="22">
        <v>-2948</v>
      </c>
      <c r="F36" s="22">
        <v>-3106</v>
      </c>
      <c r="G36" s="22">
        <v>-1545</v>
      </c>
      <c r="H36" s="22">
        <v>-1607</v>
      </c>
      <c r="I36" s="22">
        <v>-1213</v>
      </c>
      <c r="J36" s="22">
        <v>-4062</v>
      </c>
      <c r="K36" s="22">
        <v>-4155</v>
      </c>
      <c r="L36" s="22">
        <v>-4484</v>
      </c>
      <c r="M36" s="99">
        <f>SUM(M30:M35)</f>
        <v>-3941.2000000000003</v>
      </c>
      <c r="N36" s="99">
        <f t="shared" ref="N36:Q36" si="9">SUM(N30:N35)</f>
        <v>-4154.4181818181814</v>
      </c>
      <c r="O36" s="99">
        <f t="shared" si="9"/>
        <v>-4367.636363636364</v>
      </c>
      <c r="P36" s="99">
        <f t="shared" si="9"/>
        <v>-4580.8545454545447</v>
      </c>
      <c r="Q36" s="99">
        <f t="shared" si="9"/>
        <v>-4794.0727272727272</v>
      </c>
    </row>
    <row r="37" spans="2:17" x14ac:dyDescent="0.3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92"/>
      <c r="N37" s="92"/>
      <c r="O37" s="92"/>
      <c r="P37" s="92"/>
      <c r="Q37" s="92"/>
    </row>
    <row r="38" spans="2:17" x14ac:dyDescent="0.3">
      <c r="B38" s="21" t="s">
        <v>49</v>
      </c>
      <c r="C38" s="22">
        <v>2172</v>
      </c>
      <c r="D38" s="22">
        <v>2858</v>
      </c>
      <c r="E38" s="22">
        <v>-1202</v>
      </c>
      <c r="F38" s="22">
        <v>-2737</v>
      </c>
      <c r="G38" s="22">
        <v>4356</v>
      </c>
      <c r="H38" s="22">
        <v>-2818</v>
      </c>
      <c r="I38" s="22">
        <v>377</v>
      </c>
      <c r="J38" s="22">
        <v>2595</v>
      </c>
      <c r="K38" s="22">
        <v>-2852</v>
      </c>
      <c r="L38" s="22">
        <v>1516</v>
      </c>
      <c r="M38" s="99">
        <f>SUM(M36,M27,M15)</f>
        <v>-397.53333333331648</v>
      </c>
      <c r="N38" s="99">
        <f t="shared" ref="N38:Q38" si="10">SUM(N36,N27,N15)</f>
        <v>-547.35757575757452</v>
      </c>
      <c r="O38" s="99">
        <f t="shared" si="10"/>
        <v>-697.18181818181984</v>
      </c>
      <c r="P38" s="99">
        <f t="shared" si="10"/>
        <v>-847.00606060606151</v>
      </c>
      <c r="Q38" s="99">
        <f t="shared" si="10"/>
        <v>-996.83030303029591</v>
      </c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EE1B-4B2A-43E0-A838-B67610DE73B7}">
  <sheetPr>
    <tabColor rgb="FF0070C0"/>
  </sheetPr>
  <dimension ref="A1"/>
  <sheetViews>
    <sheetView workbookViewId="0">
      <selection activeCell="N23" sqref="N23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5573-FE8E-45B2-825B-A7D00BF3BC38}">
  <dimension ref="B2:M42"/>
  <sheetViews>
    <sheetView showGridLines="0" zoomScale="73" zoomScaleNormal="70" workbookViewId="0">
      <selection activeCell="B2" sqref="B2"/>
    </sheetView>
  </sheetViews>
  <sheetFormatPr defaultRowHeight="14.4" x14ac:dyDescent="0.3"/>
  <cols>
    <col min="1" max="1" width="1.88671875" customWidth="1"/>
    <col min="2" max="2" width="38.88671875" bestFit="1" customWidth="1"/>
    <col min="3" max="3" width="10.44140625" customWidth="1"/>
    <col min="4" max="4" width="12" customWidth="1"/>
    <col min="5" max="5" width="11.77734375" customWidth="1"/>
    <col min="6" max="6" width="10.33203125" customWidth="1"/>
    <col min="7" max="7" width="10.77734375" customWidth="1"/>
    <col min="8" max="8" width="11.77734375" customWidth="1"/>
    <col min="9" max="9" width="10.21875" customWidth="1"/>
    <col min="10" max="10" width="11.6640625" customWidth="1"/>
    <col min="11" max="11" width="9.77734375" customWidth="1"/>
    <col min="12" max="12" width="10.44140625" customWidth="1"/>
    <col min="13" max="13" width="10.109375" customWidth="1"/>
    <col min="14" max="14" width="4.5546875" customWidth="1"/>
  </cols>
  <sheetData>
    <row r="2" spans="2:13" ht="18" x14ac:dyDescent="0.35">
      <c r="B2" s="105" t="s">
        <v>186</v>
      </c>
      <c r="C2" s="105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4" spans="2:13" x14ac:dyDescent="0.3">
      <c r="B4" s="106" t="s">
        <v>187</v>
      </c>
      <c r="C4" s="106"/>
    </row>
    <row r="6" spans="2:13" x14ac:dyDescent="0.3">
      <c r="B6" s="50" t="s">
        <v>188</v>
      </c>
      <c r="C6" s="50"/>
      <c r="D6" s="50"/>
      <c r="E6" s="50"/>
      <c r="F6" s="50"/>
      <c r="G6" s="50"/>
      <c r="H6" s="50"/>
      <c r="I6" s="50"/>
      <c r="J6" s="50"/>
      <c r="K6" s="50"/>
    </row>
    <row r="7" spans="2:13" x14ac:dyDescent="0.3">
      <c r="B7" s="42"/>
      <c r="C7" s="42"/>
      <c r="F7" s="42"/>
      <c r="G7" s="42"/>
      <c r="H7" s="42"/>
      <c r="I7" s="42"/>
      <c r="J7" s="107" t="s">
        <v>194</v>
      </c>
      <c r="K7" s="107" t="s">
        <v>194</v>
      </c>
      <c r="L7" s="107" t="s">
        <v>197</v>
      </c>
      <c r="M7" s="107" t="s">
        <v>198</v>
      </c>
    </row>
    <row r="8" spans="2:13" ht="16.2" x14ac:dyDescent="0.3">
      <c r="B8" s="50" t="s">
        <v>189</v>
      </c>
      <c r="C8" s="50"/>
      <c r="D8" s="50"/>
      <c r="E8" s="50"/>
      <c r="F8" s="108" t="s">
        <v>190</v>
      </c>
      <c r="G8" s="108" t="s">
        <v>191</v>
      </c>
      <c r="H8" s="108" t="s">
        <v>192</v>
      </c>
      <c r="I8" s="108" t="s">
        <v>193</v>
      </c>
      <c r="J8" s="108" t="s">
        <v>195</v>
      </c>
      <c r="K8" s="108" t="s">
        <v>196</v>
      </c>
      <c r="L8" s="108" t="s">
        <v>199</v>
      </c>
      <c r="M8" s="108" t="s">
        <v>200</v>
      </c>
    </row>
    <row r="10" spans="2:13" x14ac:dyDescent="0.3">
      <c r="B10" s="132" t="s">
        <v>201</v>
      </c>
      <c r="F10" s="133" t="s">
        <v>205</v>
      </c>
      <c r="G10" s="132">
        <v>102.5</v>
      </c>
      <c r="H10" s="145">
        <v>418196.27</v>
      </c>
      <c r="I10" s="138">
        <v>0.25</v>
      </c>
      <c r="J10" s="147">
        <f>G10/H10</f>
        <v>2.4510022530808322E-4</v>
      </c>
      <c r="K10" s="147">
        <f>G10/(G10+H10)</f>
        <v>2.4504016590820956E-4</v>
      </c>
      <c r="L10" s="146">
        <f>'Beta - Regression'!O8</f>
        <v>1.3320928986896776</v>
      </c>
      <c r="M10" s="148">
        <f>L10/(1+(1-I10)*J10)</f>
        <v>1.3318480714928784</v>
      </c>
    </row>
    <row r="11" spans="2:13" x14ac:dyDescent="0.3">
      <c r="B11" s="132" t="s">
        <v>202</v>
      </c>
      <c r="F11" s="133" t="s">
        <v>205</v>
      </c>
      <c r="G11" s="132">
        <v>133963.15</v>
      </c>
      <c r="H11" s="145">
        <v>382758.18</v>
      </c>
      <c r="I11" s="138">
        <v>0.25</v>
      </c>
      <c r="J11" s="147">
        <f t="shared" ref="J11:J12" si="0">G11/H11</f>
        <v>0.34999421828163146</v>
      </c>
      <c r="K11" s="147">
        <f t="shared" ref="K11:K13" si="1">G11/(G11+H11)</f>
        <v>0.25925608683504514</v>
      </c>
      <c r="L11" s="132">
        <v>1.34</v>
      </c>
      <c r="M11" s="148">
        <f t="shared" ref="M11:M12" si="2">L11/(1+(1-I11)*J11)</f>
        <v>1.061389784152561</v>
      </c>
    </row>
    <row r="12" spans="2:13" x14ac:dyDescent="0.3">
      <c r="B12" s="132" t="s">
        <v>203</v>
      </c>
      <c r="F12" s="133" t="s">
        <v>205</v>
      </c>
      <c r="G12" s="132">
        <v>1097.56</v>
      </c>
      <c r="H12" s="145">
        <v>160395.62</v>
      </c>
      <c r="I12" s="138">
        <v>0.25</v>
      </c>
      <c r="J12" s="147">
        <f t="shared" si="0"/>
        <v>6.8428302468608558E-3</v>
      </c>
      <c r="K12" s="147">
        <f>G12/(G12+H12)</f>
        <v>6.7963241543698627E-3</v>
      </c>
      <c r="L12" s="132">
        <v>1.0900000000000001</v>
      </c>
      <c r="M12" s="148">
        <f t="shared" si="2"/>
        <v>1.0844345488512845</v>
      </c>
    </row>
    <row r="13" spans="2:13" x14ac:dyDescent="0.3">
      <c r="B13" s="132" t="s">
        <v>204</v>
      </c>
      <c r="F13" s="133" t="s">
        <v>205</v>
      </c>
      <c r="G13" s="132">
        <v>79109</v>
      </c>
      <c r="H13" s="145">
        <v>131063.15</v>
      </c>
      <c r="I13" s="138">
        <v>0.25</v>
      </c>
      <c r="J13" s="147">
        <f>G13/H13</f>
        <v>0.60359452676057312</v>
      </c>
      <c r="K13" s="147">
        <f t="shared" si="1"/>
        <v>0.3764009646377981</v>
      </c>
      <c r="L13" s="146">
        <v>0.51900000000000002</v>
      </c>
      <c r="M13" s="148">
        <f>L13/(1+(1-I13)*J13)</f>
        <v>0.35726679049701437</v>
      </c>
    </row>
    <row r="14" spans="2:13" x14ac:dyDescent="0.3">
      <c r="B14" s="132"/>
    </row>
    <row r="15" spans="2:13" x14ac:dyDescent="0.3">
      <c r="F15" s="72" t="s">
        <v>206</v>
      </c>
      <c r="G15" s="139">
        <f>AVERAGE(G10:G13)</f>
        <v>53568.052499999998</v>
      </c>
      <c r="H15" s="139">
        <f>AVERAGE(H10:H13)</f>
        <v>273103.30499999999</v>
      </c>
      <c r="I15" s="141">
        <f>AVERAGE(I10:I13)</f>
        <v>0.25</v>
      </c>
      <c r="J15" s="141">
        <f>AVERAGE(J10:J13)</f>
        <v>0.24016916887859338</v>
      </c>
      <c r="K15" s="141">
        <f>AVERAGE(K10:K13)</f>
        <v>0.16067460394828031</v>
      </c>
      <c r="L15" s="143">
        <f t="shared" ref="L15:M15" si="3">AVERAGE(L10:L13)</f>
        <v>1.0702732246724194</v>
      </c>
      <c r="M15" s="143">
        <f t="shared" si="3"/>
        <v>0.9587347987484347</v>
      </c>
    </row>
    <row r="16" spans="2:13" x14ac:dyDescent="0.3">
      <c r="F16" s="84" t="s">
        <v>117</v>
      </c>
      <c r="G16" s="140">
        <f>MEDIAN(G10:G13)</f>
        <v>40103.279999999999</v>
      </c>
      <c r="H16" s="140">
        <f>MEDIAN(H10:H13)</f>
        <v>271576.90000000002</v>
      </c>
      <c r="I16" s="142">
        <f>MEDIAN(I10:I13)</f>
        <v>0.25</v>
      </c>
      <c r="J16" s="142">
        <f>MEDIAN(J10:J13)</f>
        <v>0.17841852426424618</v>
      </c>
      <c r="K16" s="142">
        <f>MEDIAN(K10:K13)</f>
        <v>0.13302620549470751</v>
      </c>
      <c r="L16" s="144">
        <f t="shared" ref="L16:M16" si="4">MEDIAN(L10:L13)</f>
        <v>1.2110464493448387</v>
      </c>
      <c r="M16" s="144">
        <f t="shared" si="4"/>
        <v>1.0729121665019228</v>
      </c>
    </row>
    <row r="19" spans="2:13" x14ac:dyDescent="0.3">
      <c r="B19" s="84" t="s">
        <v>207</v>
      </c>
      <c r="C19" s="84"/>
      <c r="D19" s="50"/>
      <c r="E19" s="50"/>
      <c r="F19" s="50"/>
      <c r="I19" s="84" t="s">
        <v>211</v>
      </c>
      <c r="J19" s="50"/>
      <c r="K19" s="50"/>
      <c r="L19" s="50"/>
      <c r="M19" s="50"/>
    </row>
    <row r="21" spans="2:13" x14ac:dyDescent="0.3">
      <c r="B21" t="s">
        <v>208</v>
      </c>
      <c r="F21" s="138">
        <v>0.08</v>
      </c>
      <c r="I21" t="s">
        <v>212</v>
      </c>
      <c r="M21" s="150">
        <v>6.83E-2</v>
      </c>
    </row>
    <row r="22" spans="2:13" x14ac:dyDescent="0.3">
      <c r="B22" t="s">
        <v>209</v>
      </c>
      <c r="F22" s="134">
        <f>I16</f>
        <v>0.25</v>
      </c>
      <c r="I22" t="s">
        <v>213</v>
      </c>
      <c r="M22" s="134">
        <f>Rm!G7-WACC!M21</f>
        <v>8.3192307692307704E-2</v>
      </c>
    </row>
    <row r="23" spans="2:13" ht="16.2" x14ac:dyDescent="0.3">
      <c r="B23" s="24" t="s">
        <v>210</v>
      </c>
      <c r="C23" s="24"/>
      <c r="D23" s="24"/>
      <c r="E23" s="24"/>
      <c r="F23" s="152">
        <f>F21*(1-F22)</f>
        <v>0.06</v>
      </c>
      <c r="I23" t="s">
        <v>214</v>
      </c>
      <c r="M23" s="123">
        <f>M32</f>
        <v>1.2661724839832962</v>
      </c>
    </row>
    <row r="24" spans="2:13" x14ac:dyDescent="0.3">
      <c r="I24" s="24" t="s">
        <v>211</v>
      </c>
      <c r="J24" s="24"/>
      <c r="K24" s="24"/>
      <c r="L24" s="24"/>
      <c r="M24" s="149">
        <f>M21+(M22*M23)</f>
        <v>0.17363581087907193</v>
      </c>
    </row>
    <row r="27" spans="2:13" x14ac:dyDescent="0.3">
      <c r="B27" s="84" t="s">
        <v>215</v>
      </c>
      <c r="C27" s="84"/>
      <c r="D27" s="50"/>
      <c r="E27" s="50"/>
      <c r="F27" s="50"/>
      <c r="I27" s="84" t="s">
        <v>220</v>
      </c>
      <c r="J27" s="50"/>
      <c r="K27" s="50"/>
      <c r="L27" s="50"/>
      <c r="M27" s="50"/>
    </row>
    <row r="29" spans="2:13" x14ac:dyDescent="0.3">
      <c r="E29" s="109" t="s">
        <v>216</v>
      </c>
      <c r="F29" s="109" t="s">
        <v>217</v>
      </c>
      <c r="I29" t="s">
        <v>221</v>
      </c>
      <c r="M29" s="123">
        <f>M16</f>
        <v>1.0729121665019228</v>
      </c>
    </row>
    <row r="30" spans="2:13" x14ac:dyDescent="0.3">
      <c r="B30" t="s">
        <v>191</v>
      </c>
      <c r="D30" s="132">
        <v>102.5</v>
      </c>
      <c r="E30" s="17">
        <f>D30/D31</f>
        <v>2.4510022530808322E-4</v>
      </c>
      <c r="F30" s="134">
        <f>K15</f>
        <v>0.16067460394828031</v>
      </c>
      <c r="I30" t="s">
        <v>222</v>
      </c>
      <c r="M30" s="134">
        <f>J15</f>
        <v>0.24016916887859338</v>
      </c>
    </row>
    <row r="31" spans="2:13" x14ac:dyDescent="0.3">
      <c r="B31" t="s">
        <v>8</v>
      </c>
      <c r="D31" s="145">
        <v>418196.27</v>
      </c>
      <c r="E31" s="134">
        <f>E32-E30</f>
        <v>0.9997548997746919</v>
      </c>
      <c r="F31" s="134">
        <f>F32-F30</f>
        <v>0.83932539605171974</v>
      </c>
      <c r="I31" t="s">
        <v>209</v>
      </c>
      <c r="M31" s="134">
        <f>I15</f>
        <v>0.25</v>
      </c>
    </row>
    <row r="32" spans="2:13" x14ac:dyDescent="0.3">
      <c r="B32" s="24" t="s">
        <v>218</v>
      </c>
      <c r="C32" s="24"/>
      <c r="D32" s="24">
        <f>SUM(D30:D31)</f>
        <v>418298.77</v>
      </c>
      <c r="E32" s="151">
        <v>1</v>
      </c>
      <c r="F32" s="151">
        <v>1</v>
      </c>
      <c r="I32" s="24" t="s">
        <v>220</v>
      </c>
      <c r="J32" s="24"/>
      <c r="K32" s="24"/>
      <c r="L32" s="24"/>
      <c r="M32" s="135">
        <f>M29*(1+(1-M31)*M30)</f>
        <v>1.2661724839832962</v>
      </c>
    </row>
    <row r="34" spans="2:13" x14ac:dyDescent="0.3">
      <c r="B34" t="s">
        <v>219</v>
      </c>
      <c r="E34" s="155">
        <f>E30</f>
        <v>2.4510022530808322E-4</v>
      </c>
      <c r="F34" s="155">
        <f>M30</f>
        <v>0.24016916887859338</v>
      </c>
      <c r="I34" s="84" t="s">
        <v>186</v>
      </c>
      <c r="J34" s="50"/>
      <c r="K34" s="50"/>
      <c r="L34" s="50"/>
      <c r="M34" s="50"/>
    </row>
    <row r="36" spans="2:13" x14ac:dyDescent="0.3">
      <c r="I36" t="s">
        <v>319</v>
      </c>
      <c r="M36" s="134">
        <f>M24</f>
        <v>0.17363581087907193</v>
      </c>
    </row>
    <row r="37" spans="2:13" x14ac:dyDescent="0.3">
      <c r="I37" t="s">
        <v>320</v>
      </c>
      <c r="M37" s="134">
        <f>F31</f>
        <v>0.83932539605171974</v>
      </c>
    </row>
    <row r="39" spans="2:13" x14ac:dyDescent="0.3">
      <c r="B39" s="94" t="s">
        <v>323</v>
      </c>
      <c r="I39" t="s">
        <v>207</v>
      </c>
      <c r="M39" s="134">
        <f>F23</f>
        <v>0.06</v>
      </c>
    </row>
    <row r="40" spans="2:13" x14ac:dyDescent="0.3">
      <c r="B40" s="94" t="s">
        <v>324</v>
      </c>
      <c r="I40" t="s">
        <v>321</v>
      </c>
      <c r="M40" s="134">
        <f>F30</f>
        <v>0.16067460394828031</v>
      </c>
    </row>
    <row r="41" spans="2:13" x14ac:dyDescent="0.3">
      <c r="B41" s="94" t="s">
        <v>325</v>
      </c>
    </row>
    <row r="42" spans="2:13" x14ac:dyDescent="0.3">
      <c r="B42" s="94" t="s">
        <v>326</v>
      </c>
      <c r="I42" s="156" t="s">
        <v>322</v>
      </c>
      <c r="J42" s="110"/>
      <c r="K42" s="110"/>
      <c r="L42" s="110"/>
      <c r="M42" s="152">
        <f>(M36*M37)+(M39*M40)</f>
        <v>0.15537742197173537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2EFD-D6AA-4E07-84E4-F34A99196DC1}">
  <dimension ref="B2:V60"/>
  <sheetViews>
    <sheetView showGridLines="0" zoomScale="72" workbookViewId="0">
      <selection activeCell="J27" sqref="J27"/>
    </sheetView>
  </sheetViews>
  <sheetFormatPr defaultRowHeight="14.4" x14ac:dyDescent="0.3"/>
  <cols>
    <col min="1" max="1" width="1.88671875" customWidth="1"/>
    <col min="2" max="2" width="14.77734375" bestFit="1" customWidth="1"/>
    <col min="3" max="3" width="13.109375" customWidth="1"/>
    <col min="4" max="4" width="14.33203125" customWidth="1"/>
    <col min="5" max="5" width="2.88671875" customWidth="1"/>
    <col min="6" max="6" width="11.88671875" bestFit="1" customWidth="1"/>
    <col min="7" max="7" width="11.6640625" bestFit="1" customWidth="1"/>
    <col min="8" max="8" width="13.5546875" bestFit="1" customWidth="1"/>
    <col min="9" max="9" width="3.5546875" customWidth="1"/>
    <col min="10" max="10" width="20.33203125" customWidth="1"/>
    <col min="11" max="11" width="13.33203125" customWidth="1"/>
    <col min="15" max="17" width="9" bestFit="1" customWidth="1"/>
    <col min="18" max="19" width="12.21875" bestFit="1" customWidth="1"/>
    <col min="20" max="22" width="9" bestFit="1" customWidth="1"/>
  </cols>
  <sheetData>
    <row r="2" spans="2:17" ht="18" x14ac:dyDescent="0.35">
      <c r="B2" s="215" t="s">
        <v>223</v>
      </c>
      <c r="C2" s="215"/>
      <c r="D2" s="215"/>
      <c r="E2" s="215"/>
      <c r="F2" s="215"/>
      <c r="G2" s="215"/>
      <c r="H2" s="215"/>
    </row>
    <row r="4" spans="2:17" x14ac:dyDescent="0.3">
      <c r="B4" s="216" t="s">
        <v>283</v>
      </c>
      <c r="C4" s="217"/>
      <c r="D4" s="218"/>
      <c r="F4" s="219" t="s">
        <v>282</v>
      </c>
      <c r="G4" s="220"/>
      <c r="H4" s="221"/>
      <c r="J4" s="209" t="s">
        <v>289</v>
      </c>
      <c r="K4" s="209"/>
      <c r="N4" s="124" t="s">
        <v>284</v>
      </c>
      <c r="O4" s="125">
        <f>SLOPE(D8:D60,H8:H60)</f>
        <v>1.3320928986896783</v>
      </c>
      <c r="P4" s="111" t="s">
        <v>281</v>
      </c>
      <c r="Q4" s="106" t="s">
        <v>287</v>
      </c>
    </row>
    <row r="5" spans="2:17" x14ac:dyDescent="0.3">
      <c r="N5" s="126"/>
      <c r="O5" s="127"/>
      <c r="Q5" s="106"/>
    </row>
    <row r="6" spans="2:17" x14ac:dyDescent="0.3">
      <c r="B6" s="44" t="s">
        <v>224</v>
      </c>
      <c r="C6" s="31" t="s">
        <v>279</v>
      </c>
      <c r="D6" s="52" t="s">
        <v>280</v>
      </c>
      <c r="F6" s="44" t="s">
        <v>224</v>
      </c>
      <c r="G6" s="31" t="s">
        <v>279</v>
      </c>
      <c r="H6" s="52" t="s">
        <v>280</v>
      </c>
      <c r="J6" t="s">
        <v>293</v>
      </c>
      <c r="K6" s="123">
        <f>O8</f>
        <v>1.3320928986896776</v>
      </c>
      <c r="N6" s="126" t="s">
        <v>286</v>
      </c>
      <c r="O6" s="128">
        <f>_xlfn.COVARIANCE.S(D7:D60,H7:H60)/_xlfn.VAR.S(H7:H60)</f>
        <v>1.3320928986896783</v>
      </c>
      <c r="P6" s="111" t="s">
        <v>281</v>
      </c>
      <c r="Q6" s="106" t="s">
        <v>288</v>
      </c>
    </row>
    <row r="7" spans="2:17" x14ac:dyDescent="0.3">
      <c r="B7" s="113" t="s">
        <v>225</v>
      </c>
      <c r="C7" s="114">
        <v>12506.64</v>
      </c>
      <c r="D7" s="115"/>
      <c r="F7" s="65" t="s">
        <v>225</v>
      </c>
      <c r="G7" s="120">
        <v>25637.8</v>
      </c>
      <c r="H7" s="45"/>
      <c r="J7" t="s">
        <v>290</v>
      </c>
      <c r="K7" s="134">
        <v>0.75</v>
      </c>
      <c r="N7" s="126"/>
      <c r="O7" s="127"/>
      <c r="Q7" s="106"/>
    </row>
    <row r="8" spans="2:17" x14ac:dyDescent="0.3">
      <c r="B8" s="113" t="s">
        <v>226</v>
      </c>
      <c r="C8" s="114">
        <v>12510.59</v>
      </c>
      <c r="D8" s="116">
        <f>C8/C7-1</f>
        <v>3.1583222991948823E-4</v>
      </c>
      <c r="F8" s="65" t="s">
        <v>226</v>
      </c>
      <c r="G8" s="120">
        <v>25461</v>
      </c>
      <c r="H8" s="53">
        <f>G8/G7-1</f>
        <v>-6.8960675252947023E-3</v>
      </c>
      <c r="N8" s="129" t="s">
        <v>285</v>
      </c>
      <c r="O8" s="130">
        <f>O27</f>
        <v>1.3320928986896776</v>
      </c>
      <c r="P8" s="111" t="s">
        <v>281</v>
      </c>
      <c r="Q8" s="106" t="s">
        <v>328</v>
      </c>
    </row>
    <row r="9" spans="2:17" x14ac:dyDescent="0.3">
      <c r="B9" s="113" t="s">
        <v>227</v>
      </c>
      <c r="C9" s="114">
        <v>12439.36</v>
      </c>
      <c r="D9" s="116">
        <f>C9/C8-1</f>
        <v>-5.6935764020721313E-3</v>
      </c>
      <c r="F9" s="65" t="s">
        <v>227</v>
      </c>
      <c r="G9" s="120">
        <v>25149.85</v>
      </c>
      <c r="H9" s="53">
        <f>G9/G8-1</f>
        <v>-1.2220651192019205E-2</v>
      </c>
      <c r="J9" t="s">
        <v>291</v>
      </c>
      <c r="K9" s="123">
        <v>1</v>
      </c>
    </row>
    <row r="10" spans="2:17" x14ac:dyDescent="0.3">
      <c r="B10" s="113" t="s">
        <v>228</v>
      </c>
      <c r="C10" s="114">
        <v>12286.02</v>
      </c>
      <c r="D10" s="116">
        <f t="shared" ref="D10:D60" si="0">C10/C9-1</f>
        <v>-1.2327000746019112E-2</v>
      </c>
      <c r="F10" s="65" t="s">
        <v>228</v>
      </c>
      <c r="G10" s="120">
        <v>24968.400000000001</v>
      </c>
      <c r="H10" s="53">
        <f>G10/G9-1</f>
        <v>-7.214754759968578E-3</v>
      </c>
      <c r="J10" t="s">
        <v>292</v>
      </c>
      <c r="K10" s="134">
        <v>0.25</v>
      </c>
      <c r="N10" t="s">
        <v>148</v>
      </c>
    </row>
    <row r="11" spans="2:17" ht="15" thickBot="1" x14ac:dyDescent="0.35">
      <c r="B11" s="113" t="s">
        <v>229</v>
      </c>
      <c r="C11" s="114">
        <v>12271.18</v>
      </c>
      <c r="D11" s="116">
        <f t="shared" si="0"/>
        <v>-1.2078769202720219E-3</v>
      </c>
      <c r="F11" s="65" t="s">
        <v>229</v>
      </c>
      <c r="G11" s="120">
        <v>24837</v>
      </c>
      <c r="H11" s="53">
        <f t="shared" ref="H11:H60" si="1">G11/G10-1</f>
        <v>-5.2626519921180615E-3</v>
      </c>
    </row>
    <row r="12" spans="2:17" x14ac:dyDescent="0.3">
      <c r="B12" s="113" t="s">
        <v>230</v>
      </c>
      <c r="C12" s="114">
        <v>12170.28</v>
      </c>
      <c r="D12" s="116">
        <f t="shared" si="0"/>
        <v>-8.2225181278410275E-3</v>
      </c>
      <c r="F12" s="65" t="s">
        <v>230</v>
      </c>
      <c r="G12" s="120">
        <v>24565.35</v>
      </c>
      <c r="H12" s="53">
        <f t="shared" si="1"/>
        <v>-1.0937311269477057E-2</v>
      </c>
      <c r="J12" s="136" t="s">
        <v>294</v>
      </c>
      <c r="K12" s="137">
        <f>(K6*K7)+(K9*K10)</f>
        <v>1.2490696740172582</v>
      </c>
      <c r="N12" s="38" t="s">
        <v>149</v>
      </c>
      <c r="O12" s="38"/>
    </row>
    <row r="13" spans="2:17" x14ac:dyDescent="0.3">
      <c r="B13" s="113" t="s">
        <v>231</v>
      </c>
      <c r="C13" s="114">
        <v>12590</v>
      </c>
      <c r="D13" s="116">
        <f t="shared" si="0"/>
        <v>3.4487291993281932E-2</v>
      </c>
      <c r="F13" s="65" t="s">
        <v>231</v>
      </c>
      <c r="G13" s="120">
        <v>24363.3</v>
      </c>
      <c r="H13" s="53">
        <f t="shared" si="1"/>
        <v>-8.2249998473459263E-3</v>
      </c>
      <c r="N13" t="s">
        <v>150</v>
      </c>
      <c r="O13">
        <v>0.64509301448501177</v>
      </c>
    </row>
    <row r="14" spans="2:17" x14ac:dyDescent="0.3">
      <c r="B14" s="113" t="s">
        <v>232</v>
      </c>
      <c r="C14" s="114">
        <v>12936</v>
      </c>
      <c r="D14" s="116">
        <f t="shared" si="0"/>
        <v>2.7482128673550488E-2</v>
      </c>
      <c r="F14" s="65" t="s">
        <v>232</v>
      </c>
      <c r="G14" s="120">
        <v>24631.3</v>
      </c>
      <c r="H14" s="53">
        <f t="shared" si="1"/>
        <v>1.100015186776826E-2</v>
      </c>
      <c r="N14" t="s">
        <v>151</v>
      </c>
      <c r="O14">
        <v>0.41614499733735966</v>
      </c>
    </row>
    <row r="15" spans="2:17" x14ac:dyDescent="0.3">
      <c r="B15" s="113" t="s">
        <v>233</v>
      </c>
      <c r="C15" s="114">
        <v>14349</v>
      </c>
      <c r="D15" s="116">
        <f t="shared" si="0"/>
        <v>0.10923005565862698</v>
      </c>
      <c r="F15" s="65" t="s">
        <v>233</v>
      </c>
      <c r="G15" s="120">
        <v>24870.1</v>
      </c>
      <c r="H15" s="53">
        <f t="shared" si="1"/>
        <v>9.6949815884666002E-3</v>
      </c>
      <c r="N15" t="s">
        <v>152</v>
      </c>
      <c r="O15">
        <v>0.40469686003024902</v>
      </c>
    </row>
    <row r="16" spans="2:17" x14ac:dyDescent="0.3">
      <c r="B16" s="113" t="s">
        <v>234</v>
      </c>
      <c r="C16" s="114">
        <v>14791</v>
      </c>
      <c r="D16" s="116">
        <f t="shared" si="0"/>
        <v>3.0803540316398426E-2</v>
      </c>
      <c r="F16" s="65" t="s">
        <v>234</v>
      </c>
      <c r="G16" s="120">
        <v>24426.85</v>
      </c>
      <c r="H16" s="53">
        <f t="shared" si="1"/>
        <v>-1.7822606262138052E-2</v>
      </c>
      <c r="N16" t="s">
        <v>153</v>
      </c>
      <c r="O16">
        <v>2.7156491684595729E-2</v>
      </c>
    </row>
    <row r="17" spans="2:22" ht="15" thickBot="1" x14ac:dyDescent="0.35">
      <c r="B17" s="113" t="s">
        <v>235</v>
      </c>
      <c r="C17" s="114">
        <v>14895</v>
      </c>
      <c r="D17" s="116">
        <f t="shared" si="0"/>
        <v>7.0313028192821037E-3</v>
      </c>
      <c r="F17" s="65" t="s">
        <v>235</v>
      </c>
      <c r="G17" s="120">
        <v>24741</v>
      </c>
      <c r="H17" s="53">
        <f t="shared" si="1"/>
        <v>1.2860847796584585E-2</v>
      </c>
      <c r="N17" s="36" t="s">
        <v>154</v>
      </c>
      <c r="O17" s="36">
        <v>53</v>
      </c>
    </row>
    <row r="18" spans="2:22" x14ac:dyDescent="0.3">
      <c r="B18" s="113" t="s">
        <v>236</v>
      </c>
      <c r="C18" s="114">
        <v>15325</v>
      </c>
      <c r="D18" s="116">
        <f t="shared" si="0"/>
        <v>2.8868747901980463E-2</v>
      </c>
      <c r="F18" s="65" t="s">
        <v>236</v>
      </c>
      <c r="G18" s="120">
        <v>25114</v>
      </c>
      <c r="H18" s="53">
        <f t="shared" si="1"/>
        <v>1.5076189321369338E-2</v>
      </c>
    </row>
    <row r="19" spans="2:22" ht="15" thickBot="1" x14ac:dyDescent="0.35">
      <c r="B19" s="113" t="s">
        <v>237</v>
      </c>
      <c r="C19" s="114">
        <v>15864</v>
      </c>
      <c r="D19" s="116">
        <f t="shared" si="0"/>
        <v>3.5171288743882645E-2</v>
      </c>
      <c r="F19" s="65" t="s">
        <v>237</v>
      </c>
      <c r="G19" s="120">
        <v>25327.05</v>
      </c>
      <c r="H19" s="53">
        <f t="shared" si="1"/>
        <v>8.4833160786812467E-3</v>
      </c>
      <c r="N19" t="s">
        <v>155</v>
      </c>
    </row>
    <row r="20" spans="2:22" x14ac:dyDescent="0.3">
      <c r="B20" s="113" t="s">
        <v>238</v>
      </c>
      <c r="C20" s="114">
        <v>16286</v>
      </c>
      <c r="D20" s="116">
        <f t="shared" si="0"/>
        <v>2.6601109430156367E-2</v>
      </c>
      <c r="F20" s="65" t="s">
        <v>238</v>
      </c>
      <c r="G20" s="120">
        <v>24654.7</v>
      </c>
      <c r="H20" s="53">
        <f t="shared" si="1"/>
        <v>-2.6546715863079107E-2</v>
      </c>
      <c r="N20" s="37"/>
      <c r="O20" s="37" t="s">
        <v>159</v>
      </c>
      <c r="P20" s="37" t="s">
        <v>160</v>
      </c>
      <c r="Q20" s="37" t="s">
        <v>161</v>
      </c>
      <c r="R20" s="37" t="s">
        <v>162</v>
      </c>
      <c r="S20" s="37" t="s">
        <v>163</v>
      </c>
    </row>
    <row r="21" spans="2:22" x14ac:dyDescent="0.3">
      <c r="B21" s="113" t="s">
        <v>239</v>
      </c>
      <c r="C21" s="114">
        <v>15806</v>
      </c>
      <c r="D21" s="116">
        <f t="shared" si="0"/>
        <v>-2.9473167137418654E-2</v>
      </c>
      <c r="F21" s="65" t="s">
        <v>239</v>
      </c>
      <c r="G21" s="120">
        <v>24894.25</v>
      </c>
      <c r="H21" s="53">
        <f t="shared" si="1"/>
        <v>9.7162001565624934E-3</v>
      </c>
      <c r="N21" t="s">
        <v>156</v>
      </c>
      <c r="O21">
        <v>1</v>
      </c>
      <c r="P21">
        <v>2.6807553104966332E-2</v>
      </c>
      <c r="Q21">
        <v>2.6807553104966332E-2</v>
      </c>
      <c r="R21">
        <v>36.350454766024363</v>
      </c>
      <c r="S21">
        <v>1.8464485383672307E-7</v>
      </c>
    </row>
    <row r="22" spans="2:22" x14ac:dyDescent="0.3">
      <c r="B22" s="113" t="s">
        <v>240</v>
      </c>
      <c r="C22" s="114">
        <v>16265</v>
      </c>
      <c r="D22" s="116">
        <f t="shared" si="0"/>
        <v>2.9039605213210251E-2</v>
      </c>
      <c r="F22" s="65" t="s">
        <v>240</v>
      </c>
      <c r="G22" s="120">
        <v>25285.35</v>
      </c>
      <c r="H22" s="53">
        <f t="shared" si="1"/>
        <v>1.5710455225604214E-2</v>
      </c>
      <c r="N22" t="s">
        <v>157</v>
      </c>
      <c r="O22">
        <v>51</v>
      </c>
      <c r="P22">
        <v>3.7611227071391369E-2</v>
      </c>
      <c r="Q22">
        <v>7.3747504061551705E-4</v>
      </c>
    </row>
    <row r="23" spans="2:22" ht="15" thickBot="1" x14ac:dyDescent="0.35">
      <c r="B23" s="113" t="s">
        <v>241</v>
      </c>
      <c r="C23" s="114">
        <v>16401</v>
      </c>
      <c r="D23" s="116">
        <f t="shared" si="0"/>
        <v>8.3615124500460158E-3</v>
      </c>
      <c r="F23" s="65" t="s">
        <v>241</v>
      </c>
      <c r="G23" s="120">
        <v>25709.85</v>
      </c>
      <c r="H23" s="53">
        <f t="shared" si="1"/>
        <v>1.6788377459675319E-2</v>
      </c>
      <c r="N23" s="36" t="s">
        <v>34</v>
      </c>
      <c r="O23" s="36">
        <v>52</v>
      </c>
      <c r="P23" s="36">
        <v>6.4418780176357701E-2</v>
      </c>
      <c r="Q23" s="36"/>
      <c r="R23" s="36"/>
      <c r="S23" s="36"/>
    </row>
    <row r="24" spans="2:22" ht="15" thickBot="1" x14ac:dyDescent="0.35">
      <c r="B24" s="113" t="s">
        <v>242</v>
      </c>
      <c r="C24" s="114">
        <v>16274</v>
      </c>
      <c r="D24" s="116">
        <f t="shared" si="0"/>
        <v>-7.7434302786415499E-3</v>
      </c>
      <c r="F24" s="65" t="s">
        <v>242</v>
      </c>
      <c r="G24" s="120">
        <v>25795.15</v>
      </c>
      <c r="H24" s="53">
        <f t="shared" si="1"/>
        <v>3.3177945417808274E-3</v>
      </c>
    </row>
    <row r="25" spans="2:22" x14ac:dyDescent="0.3">
      <c r="B25" s="113" t="s">
        <v>243</v>
      </c>
      <c r="C25" s="114">
        <v>16186</v>
      </c>
      <c r="D25" s="116">
        <f t="shared" si="0"/>
        <v>-5.4073983040432427E-3</v>
      </c>
      <c r="F25" s="65" t="s">
        <v>243</v>
      </c>
      <c r="G25" s="120">
        <v>25722.1</v>
      </c>
      <c r="H25" s="53">
        <f t="shared" si="1"/>
        <v>-2.8319277073404203E-3</v>
      </c>
      <c r="N25" s="37"/>
      <c r="O25" s="37" t="s">
        <v>164</v>
      </c>
      <c r="P25" s="37" t="s">
        <v>153</v>
      </c>
      <c r="Q25" s="37" t="s">
        <v>165</v>
      </c>
      <c r="R25" s="37" t="s">
        <v>166</v>
      </c>
      <c r="S25" s="37" t="s">
        <v>167</v>
      </c>
      <c r="T25" s="37" t="s">
        <v>168</v>
      </c>
      <c r="U25" s="37" t="s">
        <v>169</v>
      </c>
      <c r="V25" s="37" t="s">
        <v>170</v>
      </c>
    </row>
    <row r="26" spans="2:22" x14ac:dyDescent="0.3">
      <c r="B26" s="113" t="s">
        <v>244</v>
      </c>
      <c r="C26" s="114">
        <v>15479</v>
      </c>
      <c r="D26" s="116">
        <f t="shared" si="0"/>
        <v>-4.3679723217595501E-2</v>
      </c>
      <c r="F26" s="65" t="s">
        <v>244</v>
      </c>
      <c r="G26" s="120">
        <v>25492.3</v>
      </c>
      <c r="H26" s="53">
        <f t="shared" si="1"/>
        <v>-8.9339517379996014E-3</v>
      </c>
      <c r="N26" t="s">
        <v>158</v>
      </c>
      <c r="O26">
        <v>3.102592413399022E-3</v>
      </c>
      <c r="P26">
        <v>3.7368312163239556E-3</v>
      </c>
      <c r="Q26">
        <v>0.83027362858821996</v>
      </c>
      <c r="R26">
        <v>0.4102539792959885</v>
      </c>
      <c r="S26">
        <v>-4.3994092889025329E-3</v>
      </c>
      <c r="T26">
        <v>1.0604594115700576E-2</v>
      </c>
      <c r="U26">
        <v>-4.3994092889025329E-3</v>
      </c>
      <c r="V26">
        <v>1.0604594115700576E-2</v>
      </c>
    </row>
    <row r="27" spans="2:22" ht="15" thickBot="1" x14ac:dyDescent="0.35">
      <c r="B27" s="113" t="s">
        <v>245</v>
      </c>
      <c r="C27" s="114">
        <v>15684</v>
      </c>
      <c r="D27" s="116">
        <f t="shared" si="0"/>
        <v>1.3243749596227206E-2</v>
      </c>
      <c r="F27" s="65" t="s">
        <v>245</v>
      </c>
      <c r="G27" s="120">
        <v>25910.05</v>
      </c>
      <c r="H27" s="53">
        <f t="shared" si="1"/>
        <v>1.6387301263518728E-2</v>
      </c>
      <c r="N27" s="36" t="s">
        <v>172</v>
      </c>
      <c r="O27" s="131">
        <v>1.3320928986896776</v>
      </c>
      <c r="P27" s="36">
        <v>0.22094266536023463</v>
      </c>
      <c r="Q27" s="36">
        <v>6.0291338321540335</v>
      </c>
      <c r="R27" s="36">
        <v>1.8464485383672203E-7</v>
      </c>
      <c r="S27" s="36">
        <v>0.88853198954214796</v>
      </c>
      <c r="T27" s="36">
        <v>1.7756538078372073</v>
      </c>
      <c r="U27" s="36">
        <v>0.88853198954214796</v>
      </c>
      <c r="V27" s="36">
        <v>1.7756538078372073</v>
      </c>
    </row>
    <row r="28" spans="2:22" x14ac:dyDescent="0.3">
      <c r="B28" s="113" t="s">
        <v>246</v>
      </c>
      <c r="C28" s="114">
        <v>15977</v>
      </c>
      <c r="D28" s="116">
        <f t="shared" si="0"/>
        <v>1.8681458811527607E-2</v>
      </c>
      <c r="F28" s="65" t="s">
        <v>246</v>
      </c>
      <c r="G28" s="120">
        <v>26068.15</v>
      </c>
      <c r="H28" s="53">
        <f t="shared" si="1"/>
        <v>6.1018793865701415E-3</v>
      </c>
    </row>
    <row r="29" spans="2:22" x14ac:dyDescent="0.3">
      <c r="B29" s="113" t="s">
        <v>247</v>
      </c>
      <c r="C29" s="114">
        <v>15900</v>
      </c>
      <c r="D29" s="116">
        <f t="shared" si="0"/>
        <v>-4.8194279276460028E-3</v>
      </c>
      <c r="F29" s="65" t="s">
        <v>247</v>
      </c>
      <c r="G29" s="120">
        <v>26202.95</v>
      </c>
      <c r="H29" s="53">
        <f t="shared" si="1"/>
        <v>5.1710612375637233E-3</v>
      </c>
    </row>
    <row r="30" spans="2:22" x14ac:dyDescent="0.3">
      <c r="B30" s="113" t="s">
        <v>248</v>
      </c>
      <c r="C30" s="114">
        <v>16282</v>
      </c>
      <c r="D30" s="116">
        <f t="shared" si="0"/>
        <v>2.4025157232704375E-2</v>
      </c>
      <c r="F30" s="65" t="s">
        <v>248</v>
      </c>
      <c r="G30" s="120">
        <v>26186.45</v>
      </c>
      <c r="H30" s="53">
        <f t="shared" si="1"/>
        <v>-6.297000910202577E-4</v>
      </c>
    </row>
    <row r="31" spans="2:22" x14ac:dyDescent="0.3">
      <c r="B31" s="113" t="s">
        <v>249</v>
      </c>
      <c r="C31" s="114">
        <v>16522</v>
      </c>
      <c r="D31" s="116">
        <f t="shared" si="0"/>
        <v>1.4740203906153937E-2</v>
      </c>
      <c r="F31" s="65" t="s">
        <v>249</v>
      </c>
      <c r="G31" s="120">
        <v>26046.95</v>
      </c>
      <c r="H31" s="53">
        <f t="shared" si="1"/>
        <v>-5.3271825696113995E-3</v>
      </c>
    </row>
    <row r="32" spans="2:22" x14ac:dyDescent="0.3">
      <c r="B32" s="113" t="s">
        <v>250</v>
      </c>
      <c r="C32" s="114">
        <v>16414</v>
      </c>
      <c r="D32" s="116">
        <f t="shared" si="0"/>
        <v>-6.5367388935964055E-3</v>
      </c>
      <c r="F32" s="65" t="s">
        <v>250</v>
      </c>
      <c r="G32" s="120">
        <v>25966.400000000001</v>
      </c>
      <c r="H32" s="53">
        <f t="shared" si="1"/>
        <v>-3.0924925951022475E-3</v>
      </c>
    </row>
    <row r="33" spans="2:8" x14ac:dyDescent="0.3">
      <c r="B33" s="113" t="s">
        <v>251</v>
      </c>
      <c r="C33" s="114">
        <v>16596</v>
      </c>
      <c r="D33" s="116">
        <f t="shared" si="0"/>
        <v>1.1088095528207553E-2</v>
      </c>
      <c r="F33" s="65" t="s">
        <v>251</v>
      </c>
      <c r="G33" s="120">
        <v>26042.3</v>
      </c>
      <c r="H33" s="53">
        <f t="shared" si="1"/>
        <v>2.9230081952060782E-3</v>
      </c>
    </row>
    <row r="34" spans="2:8" x14ac:dyDescent="0.3">
      <c r="B34" s="113" t="s">
        <v>252</v>
      </c>
      <c r="C34" s="114">
        <v>16960</v>
      </c>
      <c r="D34" s="116">
        <f t="shared" si="0"/>
        <v>2.1932995902627095E-2</v>
      </c>
      <c r="F34" s="65" t="s">
        <v>252</v>
      </c>
      <c r="G34" s="120">
        <v>26328.55</v>
      </c>
      <c r="H34" s="53">
        <f t="shared" si="1"/>
        <v>1.0991732681061128E-2</v>
      </c>
    </row>
    <row r="35" spans="2:8" x14ac:dyDescent="0.3">
      <c r="B35" s="113" t="s">
        <v>253</v>
      </c>
      <c r="C35" s="114">
        <v>16501</v>
      </c>
      <c r="D35" s="116">
        <f t="shared" si="0"/>
        <v>-2.7063679245282968E-2</v>
      </c>
      <c r="F35" s="65" t="s">
        <v>253</v>
      </c>
      <c r="G35" s="120">
        <v>25683.3</v>
      </c>
      <c r="H35" s="53">
        <f t="shared" si="1"/>
        <v>-2.4507616256877029E-2</v>
      </c>
    </row>
    <row r="36" spans="2:8" x14ac:dyDescent="0.3">
      <c r="B36" s="113" t="s">
        <v>254</v>
      </c>
      <c r="C36" s="114">
        <v>15859</v>
      </c>
      <c r="D36" s="116">
        <f t="shared" si="0"/>
        <v>-3.8906732925277243E-2</v>
      </c>
      <c r="F36" s="65" t="s">
        <v>254</v>
      </c>
      <c r="G36" s="120">
        <v>25694.35</v>
      </c>
      <c r="H36" s="53">
        <f t="shared" si="1"/>
        <v>4.3024066222008273E-4</v>
      </c>
    </row>
    <row r="37" spans="2:8" x14ac:dyDescent="0.3">
      <c r="B37" s="113" t="s">
        <v>255</v>
      </c>
      <c r="C37" s="114">
        <v>15469</v>
      </c>
      <c r="D37" s="116">
        <f t="shared" si="0"/>
        <v>-2.4591714483889304E-2</v>
      </c>
      <c r="F37" s="65" t="s">
        <v>255</v>
      </c>
      <c r="G37" s="120">
        <v>25048.65</v>
      </c>
      <c r="H37" s="53">
        <f t="shared" si="1"/>
        <v>-2.5130038315816394E-2</v>
      </c>
    </row>
    <row r="38" spans="2:8" x14ac:dyDescent="0.3">
      <c r="B38" s="113" t="s">
        <v>256</v>
      </c>
      <c r="C38" s="114">
        <v>14199</v>
      </c>
      <c r="D38" s="116">
        <f t="shared" si="0"/>
        <v>-8.2099683237442656E-2</v>
      </c>
      <c r="F38" s="65" t="s">
        <v>256</v>
      </c>
      <c r="G38" s="120">
        <v>24825.45</v>
      </c>
      <c r="H38" s="53">
        <f t="shared" si="1"/>
        <v>-8.9106598559204331E-3</v>
      </c>
    </row>
    <row r="39" spans="2:8" x14ac:dyDescent="0.3">
      <c r="B39" s="113" t="s">
        <v>257</v>
      </c>
      <c r="C39" s="114">
        <v>14997</v>
      </c>
      <c r="D39" s="116">
        <f t="shared" si="0"/>
        <v>5.6201140925417281E-2</v>
      </c>
      <c r="F39" s="65" t="s">
        <v>257</v>
      </c>
      <c r="G39" s="120">
        <v>25693.7</v>
      </c>
      <c r="H39" s="53">
        <f t="shared" si="1"/>
        <v>3.4974189793135713E-2</v>
      </c>
    </row>
    <row r="40" spans="2:8" x14ac:dyDescent="0.3">
      <c r="B40" s="113" t="s">
        <v>258</v>
      </c>
      <c r="C40" s="114">
        <v>15237</v>
      </c>
      <c r="D40" s="116">
        <f t="shared" si="0"/>
        <v>1.6003200640128057E-2</v>
      </c>
      <c r="F40" s="65" t="s">
        <v>258</v>
      </c>
      <c r="G40" s="120">
        <v>25471.1</v>
      </c>
      <c r="H40" s="53">
        <f t="shared" si="1"/>
        <v>-8.6636023616685209E-3</v>
      </c>
    </row>
    <row r="41" spans="2:8" x14ac:dyDescent="0.3">
      <c r="B41" s="113" t="s">
        <v>259</v>
      </c>
      <c r="C41" s="114">
        <v>14977</v>
      </c>
      <c r="D41" s="116">
        <f t="shared" si="0"/>
        <v>-1.7063726455338935E-2</v>
      </c>
      <c r="F41" s="65" t="s">
        <v>259</v>
      </c>
      <c r="G41" s="120">
        <v>25571.25</v>
      </c>
      <c r="H41" s="53">
        <f t="shared" si="1"/>
        <v>3.9319071418195684E-3</v>
      </c>
    </row>
    <row r="42" spans="2:8" x14ac:dyDescent="0.3">
      <c r="B42" s="113" t="s">
        <v>260</v>
      </c>
      <c r="C42" s="114">
        <v>14857</v>
      </c>
      <c r="D42" s="116">
        <f t="shared" si="0"/>
        <v>-8.0122855044401087E-3</v>
      </c>
      <c r="F42" s="65" t="s">
        <v>260</v>
      </c>
      <c r="G42" s="120">
        <v>25178.65</v>
      </c>
      <c r="H42" s="53">
        <f t="shared" si="1"/>
        <v>-1.5353179840641329E-2</v>
      </c>
    </row>
    <row r="43" spans="2:8" x14ac:dyDescent="0.3">
      <c r="B43" s="113" t="s">
        <v>261</v>
      </c>
      <c r="C43" s="114">
        <v>14159</v>
      </c>
      <c r="D43" s="116">
        <f t="shared" si="0"/>
        <v>-4.6981220973278615E-2</v>
      </c>
      <c r="F43" s="65" t="s">
        <v>261</v>
      </c>
      <c r="G43" s="120">
        <v>24450.45</v>
      </c>
      <c r="H43" s="53">
        <f t="shared" si="1"/>
        <v>-2.892132818876314E-2</v>
      </c>
    </row>
    <row r="44" spans="2:8" x14ac:dyDescent="0.3">
      <c r="B44" s="113" t="s">
        <v>262</v>
      </c>
      <c r="C44" s="114">
        <v>12591</v>
      </c>
      <c r="D44" s="116">
        <f t="shared" si="0"/>
        <v>-0.11074228405960873</v>
      </c>
      <c r="F44" s="65" t="s">
        <v>262</v>
      </c>
      <c r="G44" s="120">
        <v>23151.1</v>
      </c>
      <c r="H44" s="53">
        <f t="shared" si="1"/>
        <v>-5.3142171207482991E-2</v>
      </c>
    </row>
    <row r="45" spans="2:8" x14ac:dyDescent="0.3">
      <c r="B45" s="113" t="s">
        <v>263</v>
      </c>
      <c r="C45" s="114">
        <v>12601</v>
      </c>
      <c r="D45" s="116">
        <f t="shared" si="0"/>
        <v>7.9421809228819029E-4</v>
      </c>
      <c r="F45" s="65" t="s">
        <v>263</v>
      </c>
      <c r="G45" s="120">
        <v>23114.5</v>
      </c>
      <c r="H45" s="53">
        <f t="shared" si="1"/>
        <v>-1.5809184012853805E-3</v>
      </c>
    </row>
    <row r="46" spans="2:8" x14ac:dyDescent="0.3">
      <c r="B46" s="113" t="s">
        <v>264</v>
      </c>
      <c r="C46" s="114">
        <v>12389</v>
      </c>
      <c r="D46" s="116">
        <f t="shared" si="0"/>
        <v>-1.6824061582414118E-2</v>
      </c>
      <c r="F46" s="65" t="s">
        <v>264</v>
      </c>
      <c r="G46" s="120">
        <v>22819.599999999999</v>
      </c>
      <c r="H46" s="53">
        <f t="shared" si="1"/>
        <v>-1.275822535637805E-2</v>
      </c>
    </row>
    <row r="47" spans="2:8" x14ac:dyDescent="0.3">
      <c r="B47" s="113" t="s">
        <v>265</v>
      </c>
      <c r="C47" s="114">
        <v>12631</v>
      </c>
      <c r="D47" s="116">
        <f t="shared" si="0"/>
        <v>1.9533457099039531E-2</v>
      </c>
      <c r="F47" s="65" t="s">
        <v>265</v>
      </c>
      <c r="G47" s="120">
        <v>22713.1</v>
      </c>
      <c r="H47" s="53">
        <f t="shared" si="1"/>
        <v>-4.6670406142088616E-3</v>
      </c>
    </row>
    <row r="48" spans="2:8" x14ac:dyDescent="0.3">
      <c r="B48" s="113" t="s">
        <v>266</v>
      </c>
      <c r="C48" s="114">
        <v>13709</v>
      </c>
      <c r="D48" s="116">
        <f t="shared" si="0"/>
        <v>8.5345578339007133E-2</v>
      </c>
      <c r="F48" s="65" t="s">
        <v>266</v>
      </c>
      <c r="G48" s="120">
        <v>24050.6</v>
      </c>
      <c r="H48" s="53">
        <f t="shared" si="1"/>
        <v>5.8886721759689342E-2</v>
      </c>
    </row>
    <row r="49" spans="2:8" x14ac:dyDescent="0.3">
      <c r="B49" s="113" t="s">
        <v>267</v>
      </c>
      <c r="C49" s="114">
        <v>13453</v>
      </c>
      <c r="D49" s="116">
        <f t="shared" si="0"/>
        <v>-1.8673863885038999E-2</v>
      </c>
      <c r="F49" s="65" t="s">
        <v>267</v>
      </c>
      <c r="G49" s="120">
        <v>24353.55</v>
      </c>
      <c r="H49" s="53">
        <f t="shared" si="1"/>
        <v>1.2596359342386565E-2</v>
      </c>
    </row>
    <row r="50" spans="2:8" x14ac:dyDescent="0.3">
      <c r="B50" s="113" t="s">
        <v>268</v>
      </c>
      <c r="C50" s="114">
        <v>13048</v>
      </c>
      <c r="D50" s="116">
        <f t="shared" si="0"/>
        <v>-3.0104809336207516E-2</v>
      </c>
      <c r="F50" s="65" t="s">
        <v>268</v>
      </c>
      <c r="G50" s="120">
        <v>23897.95</v>
      </c>
      <c r="H50" s="53">
        <f t="shared" si="1"/>
        <v>-1.8707744866764742E-2</v>
      </c>
    </row>
    <row r="51" spans="2:8" x14ac:dyDescent="0.3">
      <c r="B51" s="113" t="s">
        <v>269</v>
      </c>
      <c r="C51" s="114">
        <v>13314</v>
      </c>
      <c r="D51" s="116">
        <f t="shared" si="0"/>
        <v>2.0386266094420513E-2</v>
      </c>
      <c r="F51" s="65" t="s">
        <v>269</v>
      </c>
      <c r="G51" s="120">
        <v>23997.55</v>
      </c>
      <c r="H51" s="53">
        <f t="shared" si="1"/>
        <v>4.167721499124255E-3</v>
      </c>
    </row>
    <row r="52" spans="2:8" x14ac:dyDescent="0.3">
      <c r="B52" s="113" t="s">
        <v>270</v>
      </c>
      <c r="C52" s="114">
        <v>13726</v>
      </c>
      <c r="D52" s="116">
        <f t="shared" si="0"/>
        <v>3.0944870061589302E-2</v>
      </c>
      <c r="F52" s="65" t="s">
        <v>270</v>
      </c>
      <c r="G52" s="120">
        <v>24176.15</v>
      </c>
      <c r="H52" s="53">
        <f t="shared" si="1"/>
        <v>7.4424264143633234E-3</v>
      </c>
    </row>
    <row r="53" spans="2:8" x14ac:dyDescent="0.3">
      <c r="B53" s="113" t="s">
        <v>271</v>
      </c>
      <c r="C53" s="114">
        <v>13221</v>
      </c>
      <c r="D53" s="116">
        <f t="shared" si="0"/>
        <v>-3.6791490601777666E-2</v>
      </c>
      <c r="F53" s="65" t="s">
        <v>271</v>
      </c>
      <c r="G53" s="120">
        <v>23643.5</v>
      </c>
      <c r="H53" s="53">
        <f t="shared" si="1"/>
        <v>-2.2032043977225579E-2</v>
      </c>
    </row>
    <row r="54" spans="2:8" x14ac:dyDescent="0.3">
      <c r="B54" s="113" t="s">
        <v>272</v>
      </c>
      <c r="C54" s="114">
        <v>12987</v>
      </c>
      <c r="D54" s="116">
        <f t="shared" si="0"/>
        <v>-1.7699115044247815E-2</v>
      </c>
      <c r="F54" s="65" t="s">
        <v>272</v>
      </c>
      <c r="G54" s="120">
        <v>23719.3</v>
      </c>
      <c r="H54" s="53">
        <f t="shared" si="1"/>
        <v>3.2059551250871454E-3</v>
      </c>
    </row>
    <row r="55" spans="2:8" x14ac:dyDescent="0.3">
      <c r="B55" s="113" t="s">
        <v>273</v>
      </c>
      <c r="C55" s="114">
        <v>13127</v>
      </c>
      <c r="D55" s="116">
        <f t="shared" si="0"/>
        <v>1.0780010780010674E-2</v>
      </c>
      <c r="F55" s="65" t="s">
        <v>273</v>
      </c>
      <c r="G55" s="120">
        <v>23547.75</v>
      </c>
      <c r="H55" s="53">
        <f t="shared" si="1"/>
        <v>-7.2325068615008981E-3</v>
      </c>
    </row>
    <row r="56" spans="2:8" x14ac:dyDescent="0.3">
      <c r="B56" s="113" t="s">
        <v>274</v>
      </c>
      <c r="C56" s="114">
        <v>13050</v>
      </c>
      <c r="D56" s="116">
        <f t="shared" si="0"/>
        <v>-5.8657728346156457E-3</v>
      </c>
      <c r="F56" s="65" t="s">
        <v>274</v>
      </c>
      <c r="G56" s="120">
        <v>23366.7</v>
      </c>
      <c r="H56" s="53">
        <f t="shared" si="1"/>
        <v>-7.6886326719113329E-3</v>
      </c>
    </row>
    <row r="57" spans="2:8" x14ac:dyDescent="0.3">
      <c r="B57" s="113" t="s">
        <v>275</v>
      </c>
      <c r="C57" s="114">
        <v>13366</v>
      </c>
      <c r="D57" s="116">
        <f t="shared" si="0"/>
        <v>2.4214559386973145E-2</v>
      </c>
      <c r="F57" s="65" t="s">
        <v>275</v>
      </c>
      <c r="G57" s="120">
        <v>23622.9</v>
      </c>
      <c r="H57" s="53">
        <f t="shared" si="1"/>
        <v>1.0964321020940027E-2</v>
      </c>
    </row>
    <row r="58" spans="2:8" x14ac:dyDescent="0.3">
      <c r="B58" s="113" t="s">
        <v>276</v>
      </c>
      <c r="C58" s="114">
        <v>13395</v>
      </c>
      <c r="D58" s="116">
        <f t="shared" si="0"/>
        <v>2.169684273529926E-3</v>
      </c>
      <c r="F58" s="65" t="s">
        <v>276</v>
      </c>
      <c r="G58" s="120">
        <v>24013.1</v>
      </c>
      <c r="H58" s="53">
        <f t="shared" si="1"/>
        <v>1.6517870371546062E-2</v>
      </c>
    </row>
    <row r="59" spans="2:8" x14ac:dyDescent="0.3">
      <c r="B59" s="113" t="s">
        <v>277</v>
      </c>
      <c r="C59" s="114">
        <v>13421</v>
      </c>
      <c r="D59" s="116">
        <f t="shared" si="0"/>
        <v>1.9410227696901039E-3</v>
      </c>
      <c r="F59" s="65" t="s">
        <v>277</v>
      </c>
      <c r="G59" s="120">
        <v>24102.9</v>
      </c>
      <c r="H59" s="53">
        <f t="shared" si="1"/>
        <v>3.7396254544395102E-3</v>
      </c>
    </row>
    <row r="60" spans="2:8" x14ac:dyDescent="0.3">
      <c r="B60" s="117" t="s">
        <v>278</v>
      </c>
      <c r="C60" s="118">
        <v>13295</v>
      </c>
      <c r="D60" s="119">
        <f t="shared" si="0"/>
        <v>-9.3882721108710099E-3</v>
      </c>
      <c r="F60" s="70" t="s">
        <v>278</v>
      </c>
      <c r="G60" s="121">
        <v>24124.65</v>
      </c>
      <c r="H60" s="122">
        <f t="shared" si="1"/>
        <v>9.0238104128559371E-4</v>
      </c>
    </row>
  </sheetData>
  <mergeCells count="4">
    <mergeCell ref="B2:H2"/>
    <mergeCell ref="B4:D4"/>
    <mergeCell ref="F4:H4"/>
    <mergeCell ref="J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D308-45D2-4CF6-95A3-9E539D256975}">
  <dimension ref="B2:G31"/>
  <sheetViews>
    <sheetView showGridLines="0" workbookViewId="0">
      <selection activeCell="J14" sqref="J14"/>
    </sheetView>
  </sheetViews>
  <sheetFormatPr defaultRowHeight="14.4" x14ac:dyDescent="0.3"/>
  <cols>
    <col min="1" max="1" width="1.88671875" customWidth="1"/>
    <col min="5" max="5" width="12.33203125" bestFit="1" customWidth="1"/>
  </cols>
  <sheetData>
    <row r="2" spans="2:7" ht="18" x14ac:dyDescent="0.35">
      <c r="B2" s="153" t="s">
        <v>315</v>
      </c>
      <c r="C2" s="154"/>
      <c r="D2" s="154"/>
      <c r="E2" s="154"/>
      <c r="F2" s="154"/>
      <c r="G2" s="154"/>
    </row>
    <row r="4" spans="2:7" x14ac:dyDescent="0.3">
      <c r="B4" s="163" t="s">
        <v>313</v>
      </c>
      <c r="C4" s="164" t="s">
        <v>300</v>
      </c>
    </row>
    <row r="5" spans="2:7" x14ac:dyDescent="0.3">
      <c r="B5" s="46">
        <v>2000</v>
      </c>
      <c r="C5" s="116">
        <v>-0.14649999999999999</v>
      </c>
      <c r="E5" s="63" t="s">
        <v>316</v>
      </c>
      <c r="F5" s="42"/>
      <c r="G5" s="165">
        <f>AVERAGE(C5:C30)</f>
        <v>0.1514923076923077</v>
      </c>
    </row>
    <row r="6" spans="2:7" ht="16.2" x14ac:dyDescent="0.3">
      <c r="B6" s="46">
        <v>2001</v>
      </c>
      <c r="C6" s="116">
        <v>-0.1618</v>
      </c>
      <c r="E6" s="65" t="s">
        <v>317</v>
      </c>
      <c r="G6" s="208" t="s">
        <v>404</v>
      </c>
    </row>
    <row r="7" spans="2:7" x14ac:dyDescent="0.3">
      <c r="B7" s="46">
        <v>2002</v>
      </c>
      <c r="C7" s="116">
        <v>3.2500000000000001E-2</v>
      </c>
      <c r="E7" s="166" t="s">
        <v>318</v>
      </c>
      <c r="F7" s="167"/>
      <c r="G7" s="168">
        <f>SUM(G5:G6)</f>
        <v>0.1514923076923077</v>
      </c>
    </row>
    <row r="8" spans="2:7" x14ac:dyDescent="0.3">
      <c r="B8" s="46">
        <v>2003</v>
      </c>
      <c r="C8" s="116">
        <v>0.71900000000000008</v>
      </c>
    </row>
    <row r="9" spans="2:7" x14ac:dyDescent="0.3">
      <c r="B9" s="46">
        <v>2004</v>
      </c>
      <c r="C9" s="116">
        <v>0.10679999999999999</v>
      </c>
    </row>
    <row r="10" spans="2:7" x14ac:dyDescent="0.3">
      <c r="B10" s="46">
        <v>2005</v>
      </c>
      <c r="C10" s="116">
        <v>0.36340000000000006</v>
      </c>
    </row>
    <row r="11" spans="2:7" x14ac:dyDescent="0.3">
      <c r="B11" s="46">
        <v>2006</v>
      </c>
      <c r="C11" s="116">
        <v>0.39829999999999999</v>
      </c>
    </row>
    <row r="12" spans="2:7" x14ac:dyDescent="0.3">
      <c r="B12" s="46">
        <v>2007</v>
      </c>
      <c r="C12" s="116">
        <v>0.54770000000000008</v>
      </c>
    </row>
    <row r="13" spans="2:7" x14ac:dyDescent="0.3">
      <c r="B13" s="46">
        <v>2008</v>
      </c>
      <c r="C13" s="116">
        <v>-0.51790000000000003</v>
      </c>
    </row>
    <row r="14" spans="2:7" x14ac:dyDescent="0.3">
      <c r="B14" s="46">
        <v>2009</v>
      </c>
      <c r="C14" s="116">
        <v>0.75760000000000005</v>
      </c>
    </row>
    <row r="15" spans="2:7" x14ac:dyDescent="0.3">
      <c r="B15" s="46">
        <v>2010</v>
      </c>
      <c r="C15" s="116">
        <v>0.17949999999999999</v>
      </c>
    </row>
    <row r="16" spans="2:7" x14ac:dyDescent="0.3">
      <c r="B16" s="46">
        <v>2011</v>
      </c>
      <c r="C16" s="116">
        <v>-0.2462</v>
      </c>
    </row>
    <row r="17" spans="2:3" x14ac:dyDescent="0.3">
      <c r="B17" s="46">
        <v>2012</v>
      </c>
      <c r="C17" s="116">
        <v>0.27699999999999997</v>
      </c>
    </row>
    <row r="18" spans="2:3" x14ac:dyDescent="0.3">
      <c r="B18" s="46">
        <v>2013</v>
      </c>
      <c r="C18" s="116">
        <v>6.7599999999999993E-2</v>
      </c>
    </row>
    <row r="19" spans="2:3" x14ac:dyDescent="0.3">
      <c r="B19" s="46">
        <v>2014</v>
      </c>
      <c r="C19" s="116">
        <v>0.31390000000000001</v>
      </c>
    </row>
    <row r="20" spans="2:3" x14ac:dyDescent="0.3">
      <c r="B20" s="46">
        <v>2015</v>
      </c>
      <c r="C20" s="116">
        <v>-4.0599999999999997E-2</v>
      </c>
    </row>
    <row r="21" spans="2:3" x14ac:dyDescent="0.3">
      <c r="B21" s="46">
        <v>2016</v>
      </c>
      <c r="C21" s="116">
        <v>3.0099999999999998E-2</v>
      </c>
    </row>
    <row r="22" spans="2:3" x14ac:dyDescent="0.3">
      <c r="B22" s="46">
        <v>2017</v>
      </c>
      <c r="C22" s="116">
        <v>0.28649999999999998</v>
      </c>
    </row>
    <row r="23" spans="2:3" x14ac:dyDescent="0.3">
      <c r="B23" s="46">
        <v>2018</v>
      </c>
      <c r="C23" s="116">
        <v>3.15E-2</v>
      </c>
    </row>
    <row r="24" spans="2:3" x14ac:dyDescent="0.3">
      <c r="B24" s="46">
        <v>2019</v>
      </c>
      <c r="C24" s="116">
        <v>0.1202</v>
      </c>
    </row>
    <row r="25" spans="2:3" x14ac:dyDescent="0.3">
      <c r="B25" s="46">
        <v>2020</v>
      </c>
      <c r="C25" s="116">
        <v>0.14899999999999999</v>
      </c>
    </row>
    <row r="26" spans="2:3" x14ac:dyDescent="0.3">
      <c r="B26" s="46">
        <v>2021</v>
      </c>
      <c r="C26" s="116">
        <v>0.2412</v>
      </c>
    </row>
    <row r="27" spans="2:3" x14ac:dyDescent="0.3">
      <c r="B27" s="46">
        <v>2022</v>
      </c>
      <c r="C27" s="116">
        <v>4.3200000000000002E-2</v>
      </c>
    </row>
    <row r="28" spans="2:3" x14ac:dyDescent="0.3">
      <c r="B28" s="46">
        <v>2023</v>
      </c>
      <c r="C28" s="116">
        <v>0.19420000000000001</v>
      </c>
    </row>
    <row r="29" spans="2:3" x14ac:dyDescent="0.3">
      <c r="B29" s="46">
        <v>2024</v>
      </c>
      <c r="C29" s="116">
        <v>8.7499999999999994E-2</v>
      </c>
    </row>
    <row r="30" spans="2:3" x14ac:dyDescent="0.3">
      <c r="B30" s="59">
        <v>2025</v>
      </c>
      <c r="C30" s="119">
        <v>0.1051</v>
      </c>
    </row>
    <row r="31" spans="2:3" x14ac:dyDescent="0.3">
      <c r="B31" s="1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35D0-9B7D-4C47-BADB-3DD390BA9B20}">
  <dimension ref="A2:K61"/>
  <sheetViews>
    <sheetView showGridLines="0" zoomScale="77" zoomScaleNormal="90" workbookViewId="0">
      <pane ySplit="2" topLeftCell="A36" activePane="bottomLeft" state="frozen"/>
      <selection pane="bottomLeft" activeCell="N24" sqref="N24"/>
    </sheetView>
  </sheetViews>
  <sheetFormatPr defaultRowHeight="14.4" x14ac:dyDescent="0.3"/>
  <cols>
    <col min="1" max="1" width="1.88671875" customWidth="1"/>
    <col min="7" max="11" width="11.44140625" customWidth="1"/>
  </cols>
  <sheetData>
    <row r="2" spans="1:11" ht="18" x14ac:dyDescent="0.35">
      <c r="B2" s="153" t="s">
        <v>360</v>
      </c>
      <c r="C2" s="87"/>
      <c r="D2" s="87"/>
      <c r="E2" s="87"/>
      <c r="F2" s="87"/>
      <c r="G2" s="179">
        <f>RawFS!I2</f>
        <v>44256</v>
      </c>
      <c r="H2" s="179">
        <f>RawFS!J2</f>
        <v>44621</v>
      </c>
      <c r="I2" s="179">
        <f>RawFS!K2</f>
        <v>44986</v>
      </c>
      <c r="J2" s="179">
        <f>RawFS!L2</f>
        <v>45352</v>
      </c>
      <c r="K2" s="179">
        <f>RawFS!M2</f>
        <v>45717</v>
      </c>
    </row>
    <row r="4" spans="1:11" x14ac:dyDescent="0.3">
      <c r="A4" t="s">
        <v>145</v>
      </c>
      <c r="B4" s="10" t="s">
        <v>361</v>
      </c>
    </row>
    <row r="5" spans="1:11" x14ac:dyDescent="0.3">
      <c r="B5" t="str">
        <f>RawFS!B36</f>
        <v>Inventories</v>
      </c>
      <c r="G5" s="173">
        <f>RawFS!I36</f>
        <v>3049</v>
      </c>
      <c r="H5" s="173">
        <f>RawFS!J36</f>
        <v>3532</v>
      </c>
      <c r="I5" s="173">
        <f>RawFS!K36</f>
        <v>4284</v>
      </c>
      <c r="J5" s="173">
        <f>RawFS!L36</f>
        <v>5318</v>
      </c>
      <c r="K5" s="173">
        <f>RawFS!M36</f>
        <v>6913</v>
      </c>
    </row>
    <row r="6" spans="1:11" x14ac:dyDescent="0.3">
      <c r="B6" t="str">
        <f>RawFS!B37</f>
        <v>Trade receivables</v>
      </c>
      <c r="G6" s="173">
        <f>RawFS!I37</f>
        <v>1280</v>
      </c>
      <c r="H6" s="173">
        <f>RawFS!J37</f>
        <v>2034</v>
      </c>
      <c r="I6" s="173">
        <f>RawFS!K37</f>
        <v>3301</v>
      </c>
      <c r="J6" s="173">
        <f>RawFS!L37</f>
        <v>4597</v>
      </c>
      <c r="K6" s="173">
        <f>RawFS!M37</f>
        <v>6540</v>
      </c>
    </row>
    <row r="7" spans="1:11" x14ac:dyDescent="0.3">
      <c r="B7" t="str">
        <f>RawFS!B39</f>
        <v>Loans n Advances</v>
      </c>
      <c r="G7" s="173">
        <f>RawFS!I39</f>
        <v>1412</v>
      </c>
      <c r="H7" s="173">
        <f>RawFS!J39</f>
        <v>2880</v>
      </c>
      <c r="I7" s="173">
        <f>RawFS!K39</f>
        <v>2828</v>
      </c>
      <c r="J7" s="173">
        <f>RawFS!L39</f>
        <v>266</v>
      </c>
      <c r="K7" s="173">
        <f>RawFS!M39</f>
        <v>851</v>
      </c>
    </row>
    <row r="8" spans="1:11" x14ac:dyDescent="0.3">
      <c r="B8" t="str">
        <f>RawFS!B40</f>
        <v>Other asset items</v>
      </c>
      <c r="G8" s="174">
        <f>RawFS!I40</f>
        <v>3158</v>
      </c>
      <c r="H8" s="174">
        <f>RawFS!J40</f>
        <v>4448</v>
      </c>
      <c r="I8" s="174">
        <f>RawFS!K40</f>
        <v>4223</v>
      </c>
      <c r="J8" s="174">
        <f>RawFS!L40</f>
        <v>9400</v>
      </c>
      <c r="K8" s="174">
        <f>RawFS!M40</f>
        <v>9937</v>
      </c>
    </row>
    <row r="9" spans="1:11" ht="15" thickBot="1" x14ac:dyDescent="0.35">
      <c r="B9" s="170" t="s">
        <v>106</v>
      </c>
      <c r="C9" s="180"/>
      <c r="D9" s="180"/>
      <c r="E9" s="180"/>
      <c r="F9" s="180"/>
      <c r="G9" s="182">
        <f>SUM(G5:G8)</f>
        <v>8899</v>
      </c>
      <c r="H9" s="182">
        <f t="shared" ref="H9:K9" si="0">SUM(H5:H8)</f>
        <v>12894</v>
      </c>
      <c r="I9" s="182">
        <f t="shared" si="0"/>
        <v>14636</v>
      </c>
      <c r="J9" s="182">
        <f t="shared" si="0"/>
        <v>19581</v>
      </c>
      <c r="K9" s="182">
        <f t="shared" si="0"/>
        <v>24241</v>
      </c>
    </row>
    <row r="10" spans="1:11" ht="15" thickTop="1" x14ac:dyDescent="0.3">
      <c r="G10" s="174"/>
      <c r="H10" s="174"/>
      <c r="I10" s="174"/>
      <c r="J10" s="174"/>
      <c r="K10" s="174"/>
    </row>
    <row r="11" spans="1:11" x14ac:dyDescent="0.3">
      <c r="B11" s="10" t="s">
        <v>362</v>
      </c>
      <c r="G11" s="174"/>
      <c r="H11" s="174"/>
      <c r="I11" s="174"/>
      <c r="J11" s="174"/>
      <c r="K11" s="174"/>
    </row>
    <row r="12" spans="1:11" x14ac:dyDescent="0.3">
      <c r="B12" t="str">
        <f>RawFS!B13</f>
        <v>Trade Payables</v>
      </c>
      <c r="G12" s="173">
        <f>RawFS!I13</f>
        <v>10168</v>
      </c>
      <c r="H12" s="173">
        <f>RawFS!J13</f>
        <v>9765</v>
      </c>
      <c r="I12" s="173">
        <f>RawFS!K13</f>
        <v>11786</v>
      </c>
      <c r="J12" s="173">
        <f>RawFS!L13</f>
        <v>16988</v>
      </c>
      <c r="K12" s="173">
        <f>RawFS!M13</f>
        <v>20502</v>
      </c>
    </row>
    <row r="13" spans="1:11" x14ac:dyDescent="0.3">
      <c r="B13" t="str">
        <f>RawFS!B14</f>
        <v>Advance from Customers</v>
      </c>
      <c r="G13" s="173">
        <f>RawFS!I14</f>
        <v>1019</v>
      </c>
      <c r="H13" s="173">
        <f>RawFS!J14</f>
        <v>1124</v>
      </c>
      <c r="I13" s="173">
        <f>RawFS!K14</f>
        <v>1456</v>
      </c>
      <c r="J13" s="173">
        <f>RawFS!L14</f>
        <v>1464</v>
      </c>
      <c r="K13" s="173">
        <f>RawFS!M14</f>
        <v>1135</v>
      </c>
    </row>
    <row r="14" spans="1:11" ht="15" thickBot="1" x14ac:dyDescent="0.35">
      <c r="B14" t="str">
        <f>RawFS!B15</f>
        <v>Other liability items</v>
      </c>
      <c r="G14" s="174">
        <f>RawFS!I15</f>
        <v>7148</v>
      </c>
      <c r="H14" s="174">
        <f>RawFS!J15</f>
        <v>8007</v>
      </c>
      <c r="I14" s="174">
        <f>RawFS!K15</f>
        <v>8317</v>
      </c>
      <c r="J14" s="174">
        <f>RawFS!L15</f>
        <v>11098</v>
      </c>
      <c r="K14" s="174">
        <f>RawFS!M15</f>
        <v>14008</v>
      </c>
    </row>
    <row r="15" spans="1:11" ht="15" thickBot="1" x14ac:dyDescent="0.35">
      <c r="B15" s="171" t="s">
        <v>363</v>
      </c>
      <c r="C15" s="181"/>
      <c r="D15" s="181"/>
      <c r="E15" s="181"/>
      <c r="F15" s="181"/>
      <c r="G15" s="183">
        <f>SUM(G12:G14)</f>
        <v>18335</v>
      </c>
      <c r="H15" s="183">
        <f t="shared" ref="H15:K15" si="1">SUM(H12:H14)</f>
        <v>18896</v>
      </c>
      <c r="I15" s="183">
        <f t="shared" si="1"/>
        <v>21559</v>
      </c>
      <c r="J15" s="183">
        <f t="shared" si="1"/>
        <v>29550</v>
      </c>
      <c r="K15" s="183">
        <f t="shared" si="1"/>
        <v>35645</v>
      </c>
    </row>
    <row r="16" spans="1:11" ht="15.6" thickTop="1" thickBot="1" x14ac:dyDescent="0.35">
      <c r="G16" s="174"/>
      <c r="H16" s="174"/>
      <c r="I16" s="174"/>
      <c r="J16" s="174"/>
      <c r="K16" s="174"/>
    </row>
    <row r="17" spans="1:11" ht="15" thickBot="1" x14ac:dyDescent="0.35">
      <c r="A17" t="s">
        <v>145</v>
      </c>
      <c r="B17" s="171" t="s">
        <v>364</v>
      </c>
      <c r="C17" s="181"/>
      <c r="D17" s="181"/>
      <c r="E17" s="181"/>
      <c r="F17" s="181"/>
      <c r="G17" s="183">
        <f>G9-G15</f>
        <v>-9436</v>
      </c>
      <c r="H17" s="183">
        <f t="shared" ref="H17:K17" si="2">H9-H15</f>
        <v>-6002</v>
      </c>
      <c r="I17" s="183">
        <f t="shared" si="2"/>
        <v>-6923</v>
      </c>
      <c r="J17" s="183">
        <f t="shared" si="2"/>
        <v>-9969</v>
      </c>
      <c r="K17" s="183">
        <f t="shared" si="2"/>
        <v>-11404</v>
      </c>
    </row>
    <row r="18" spans="1:11" ht="15" thickTop="1" x14ac:dyDescent="0.3">
      <c r="G18" s="174"/>
      <c r="H18" s="174"/>
      <c r="I18" s="174"/>
      <c r="J18" s="174"/>
      <c r="K18" s="174"/>
    </row>
    <row r="19" spans="1:11" x14ac:dyDescent="0.3">
      <c r="B19" s="10" t="s">
        <v>105</v>
      </c>
      <c r="G19" s="174"/>
      <c r="H19" s="174"/>
      <c r="I19" s="174"/>
      <c r="J19" s="174"/>
      <c r="K19" s="174"/>
    </row>
    <row r="20" spans="1:11" x14ac:dyDescent="0.3">
      <c r="B20" t="str">
        <f>RawFS!B19</f>
        <v>Land</v>
      </c>
      <c r="G20" s="173">
        <f>RawFS!I19</f>
        <v>4566</v>
      </c>
      <c r="H20" s="173">
        <f>RawFS!J19</f>
        <v>4592</v>
      </c>
      <c r="I20" s="173">
        <f>RawFS!K19</f>
        <v>6757</v>
      </c>
      <c r="J20" s="173">
        <f>RawFS!L19</f>
        <v>6896</v>
      </c>
      <c r="K20" s="173">
        <f>RawFS!M19</f>
        <v>6921</v>
      </c>
    </row>
    <row r="21" spans="1:11" x14ac:dyDescent="0.3">
      <c r="B21" t="str">
        <f>RawFS!B20</f>
        <v>Building</v>
      </c>
      <c r="G21" s="173">
        <f>RawFS!I20</f>
        <v>2831</v>
      </c>
      <c r="H21" s="173">
        <f>RawFS!J20</f>
        <v>2955</v>
      </c>
      <c r="I21" s="173">
        <f>RawFS!K20</f>
        <v>3206</v>
      </c>
      <c r="J21" s="173">
        <f>RawFS!L20</f>
        <v>5604</v>
      </c>
      <c r="K21" s="173">
        <f>RawFS!M20</f>
        <v>8158</v>
      </c>
    </row>
    <row r="22" spans="1:11" x14ac:dyDescent="0.3">
      <c r="B22" t="str">
        <f>RawFS!B21</f>
        <v>Plant Machinery</v>
      </c>
      <c r="G22" s="173">
        <f>RawFS!I21</f>
        <v>22262</v>
      </c>
      <c r="H22" s="173">
        <f>RawFS!J21</f>
        <v>22712</v>
      </c>
      <c r="I22" s="173">
        <f>RawFS!K21</f>
        <v>26174</v>
      </c>
      <c r="J22" s="173">
        <f>RawFS!L21</f>
        <v>44745</v>
      </c>
      <c r="K22" s="173">
        <f>RawFS!M21</f>
        <v>51915</v>
      </c>
    </row>
    <row r="23" spans="1:11" x14ac:dyDescent="0.3">
      <c r="B23" t="str">
        <f>RawFS!B22</f>
        <v>Computers</v>
      </c>
      <c r="G23" s="173">
        <f>RawFS!I22</f>
        <v>292</v>
      </c>
      <c r="H23" s="173">
        <f>RawFS!J22</f>
        <v>324</v>
      </c>
      <c r="I23" s="173">
        <f>RawFS!K22</f>
        <v>368</v>
      </c>
      <c r="J23" s="173">
        <f>RawFS!L22</f>
        <v>601</v>
      </c>
      <c r="K23" s="173">
        <f>RawFS!M22</f>
        <v>698</v>
      </c>
    </row>
    <row r="24" spans="1:11" x14ac:dyDescent="0.3">
      <c r="B24" t="str">
        <f>RawFS!B23</f>
        <v>Furniture n fittings</v>
      </c>
      <c r="G24" s="173">
        <f>RawFS!I23</f>
        <v>403</v>
      </c>
      <c r="H24" s="173">
        <f>RawFS!J23</f>
        <v>445</v>
      </c>
      <c r="I24" s="173">
        <f>RawFS!K23</f>
        <v>485</v>
      </c>
      <c r="J24" s="173">
        <f>RawFS!L23</f>
        <v>636</v>
      </c>
      <c r="K24" s="173">
        <f>RawFS!M23</f>
        <v>698</v>
      </c>
    </row>
    <row r="25" spans="1:11" x14ac:dyDescent="0.3">
      <c r="B25" t="str">
        <f>RawFS!B24</f>
        <v>Railway sidings</v>
      </c>
      <c r="G25" s="173">
        <f>RawFS!I24</f>
        <v>0</v>
      </c>
      <c r="H25" s="173">
        <f>RawFS!J24</f>
        <v>0</v>
      </c>
      <c r="I25" s="173">
        <f>RawFS!K24</f>
        <v>73</v>
      </c>
      <c r="J25" s="173">
        <f>RawFS!L24</f>
        <v>74</v>
      </c>
      <c r="K25" s="173">
        <f>RawFS!M24</f>
        <v>94</v>
      </c>
    </row>
    <row r="26" spans="1:11" x14ac:dyDescent="0.3">
      <c r="B26" t="str">
        <f>RawFS!B25</f>
        <v>Vehicles</v>
      </c>
      <c r="G26" s="173">
        <f>RawFS!I25</f>
        <v>174</v>
      </c>
      <c r="H26" s="173">
        <f>RawFS!J25</f>
        <v>248</v>
      </c>
      <c r="I26" s="173">
        <f>RawFS!K25</f>
        <v>282</v>
      </c>
      <c r="J26" s="173">
        <f>RawFS!L25</f>
        <v>448</v>
      </c>
      <c r="K26" s="173">
        <f>RawFS!M25</f>
        <v>568</v>
      </c>
    </row>
    <row r="27" spans="1:11" x14ac:dyDescent="0.3">
      <c r="B27" t="str">
        <f>RawFS!B26</f>
        <v>Intangible Assets</v>
      </c>
      <c r="G27" s="173">
        <f>RawFS!I26</f>
        <v>0</v>
      </c>
      <c r="H27" s="173">
        <f>RawFS!J26</f>
        <v>0</v>
      </c>
      <c r="I27" s="173">
        <f>RawFS!K26</f>
        <v>0</v>
      </c>
      <c r="J27" s="173">
        <f>RawFS!L26</f>
        <v>0</v>
      </c>
      <c r="K27" s="173">
        <f>RawFS!M26</f>
        <v>0</v>
      </c>
    </row>
    <row r="28" spans="1:11" ht="15" customHeight="1" x14ac:dyDescent="0.3">
      <c r="B28" t="str">
        <f>RawFS!B27</f>
        <v>Other fixed assets</v>
      </c>
      <c r="G28" s="173">
        <f>RawFS!I27</f>
        <v>967</v>
      </c>
      <c r="H28" s="173">
        <f>RawFS!J27</f>
        <v>1254</v>
      </c>
      <c r="I28" s="173">
        <f>RawFS!K27</f>
        <v>1660</v>
      </c>
      <c r="J28" s="173">
        <f>RawFS!L27</f>
        <v>1783</v>
      </c>
      <c r="K28" s="173">
        <f>RawFS!M27</f>
        <v>2002</v>
      </c>
    </row>
    <row r="29" spans="1:11" ht="4.8" customHeight="1" x14ac:dyDescent="0.3">
      <c r="G29" s="174"/>
      <c r="H29" s="174"/>
      <c r="I29" s="174"/>
      <c r="J29" s="174"/>
      <c r="K29" s="174"/>
    </row>
    <row r="30" spans="1:11" x14ac:dyDescent="0.3">
      <c r="B30" s="72" t="str">
        <f>RawFS!B28</f>
        <v>Gross Block</v>
      </c>
      <c r="C30" s="42"/>
      <c r="D30" s="42"/>
      <c r="E30" s="42"/>
      <c r="F30" s="42"/>
      <c r="G30" s="184">
        <f>SUM(G20:G28)</f>
        <v>31495</v>
      </c>
      <c r="H30" s="184">
        <f t="shared" ref="H30:K30" si="3">SUM(H20:H28)</f>
        <v>32530</v>
      </c>
      <c r="I30" s="184">
        <f t="shared" si="3"/>
        <v>39005</v>
      </c>
      <c r="J30" s="184">
        <f t="shared" si="3"/>
        <v>60787</v>
      </c>
      <c r="K30" s="184">
        <f t="shared" si="3"/>
        <v>71054</v>
      </c>
    </row>
    <row r="31" spans="1:11" ht="15" thickBot="1" x14ac:dyDescent="0.35">
      <c r="B31" t="str">
        <f>RawFS!B29</f>
        <v>Accumulated Depreciation</v>
      </c>
      <c r="G31" s="120">
        <f>RawFS!I29</f>
        <v>16508</v>
      </c>
      <c r="H31" s="120">
        <f>RawFS!J29</f>
        <v>18783</v>
      </c>
      <c r="I31" s="120">
        <f>RawFS!K29</f>
        <v>21174</v>
      </c>
      <c r="J31" s="120">
        <f>RawFS!L29</f>
        <v>32922</v>
      </c>
      <c r="K31" s="120">
        <f>RawFS!M29</f>
        <v>38070</v>
      </c>
    </row>
    <row r="32" spans="1:11" ht="15" thickBot="1" x14ac:dyDescent="0.35">
      <c r="A32" t="s">
        <v>145</v>
      </c>
      <c r="B32" s="171" t="s">
        <v>365</v>
      </c>
      <c r="C32" s="181"/>
      <c r="D32" s="181"/>
      <c r="E32" s="181"/>
      <c r="F32" s="181"/>
      <c r="G32" s="185">
        <f>G30-G31</f>
        <v>14987</v>
      </c>
      <c r="H32" s="185">
        <f t="shared" ref="H32:K32" si="4">H30-H31</f>
        <v>13747</v>
      </c>
      <c r="I32" s="185">
        <f t="shared" si="4"/>
        <v>17831</v>
      </c>
      <c r="J32" s="185">
        <f t="shared" si="4"/>
        <v>27865</v>
      </c>
      <c r="K32" s="185">
        <f t="shared" si="4"/>
        <v>32984</v>
      </c>
    </row>
    <row r="33" spans="1:11" ht="15" thickTop="1" x14ac:dyDescent="0.3"/>
    <row r="34" spans="1:11" x14ac:dyDescent="0.3">
      <c r="A34" t="s">
        <v>145</v>
      </c>
      <c r="B34" s="10" t="s">
        <v>366</v>
      </c>
      <c r="C34" s="10"/>
      <c r="D34" s="10"/>
      <c r="E34" s="10"/>
      <c r="F34" s="10"/>
      <c r="G34" s="195">
        <f>G32+G17</f>
        <v>5551</v>
      </c>
      <c r="H34" s="195">
        <f t="shared" ref="H34:J34" si="5">H32+H17</f>
        <v>7745</v>
      </c>
      <c r="I34" s="195">
        <f t="shared" si="5"/>
        <v>10908</v>
      </c>
      <c r="J34" s="195">
        <f t="shared" si="5"/>
        <v>17896</v>
      </c>
      <c r="K34" s="195">
        <f>K32+K17</f>
        <v>21580</v>
      </c>
    </row>
    <row r="35" spans="1:11" x14ac:dyDescent="0.3">
      <c r="B35" s="10" t="s">
        <v>367</v>
      </c>
      <c r="G35" s="186">
        <f>HistoricalFS!G30+HistoricalFS!G24</f>
        <v>5422.800000000002</v>
      </c>
      <c r="H35" s="186">
        <f>HistoricalFS!H30+HistoricalFS!H24</f>
        <v>4823.8000000000156</v>
      </c>
      <c r="I35" s="186">
        <f>HistoricalFS!I30+HistoricalFS!I24</f>
        <v>10510.099999999999</v>
      </c>
      <c r="J35" s="186">
        <f>HistoricalFS!J30+HistoricalFS!J24</f>
        <v>17618.100000000013</v>
      </c>
      <c r="K35" s="186">
        <f>HistoricalFS!K30+HistoricalFS!K24</f>
        <v>19814.2</v>
      </c>
    </row>
    <row r="36" spans="1:11" x14ac:dyDescent="0.3">
      <c r="B36" s="10" t="str">
        <f>B47</f>
        <v>EBIT(1-T)</v>
      </c>
      <c r="G36" s="186">
        <f>G47</f>
        <v>4067.1000000000013</v>
      </c>
      <c r="H36" s="186">
        <f t="shared" ref="H36:K36" si="6">H47</f>
        <v>3617.8500000000117</v>
      </c>
      <c r="I36" s="186">
        <f t="shared" si="6"/>
        <v>7882.5749999999989</v>
      </c>
      <c r="J36" s="186">
        <f t="shared" si="6"/>
        <v>13213.57500000001</v>
      </c>
      <c r="K36" s="186">
        <f t="shared" si="6"/>
        <v>14860.650000000001</v>
      </c>
    </row>
    <row r="37" spans="1:11" ht="15" thickBot="1" x14ac:dyDescent="0.35"/>
    <row r="38" spans="1:11" ht="15.6" thickTop="1" thickBot="1" x14ac:dyDescent="0.35">
      <c r="A38" t="s">
        <v>145</v>
      </c>
      <c r="B38" s="188" t="s">
        <v>368</v>
      </c>
      <c r="C38" s="189"/>
      <c r="D38" s="189"/>
      <c r="E38" s="189"/>
      <c r="F38" s="189"/>
      <c r="G38" s="190">
        <f>G36/G34</f>
        <v>0.7326787966132231</v>
      </c>
      <c r="H38" s="190">
        <f t="shared" ref="H38:J38" si="7">H36/H34</f>
        <v>0.46712072304712871</v>
      </c>
      <c r="I38" s="190">
        <f t="shared" si="7"/>
        <v>0.72264163916391633</v>
      </c>
      <c r="J38" s="190">
        <f t="shared" si="7"/>
        <v>0.73835354269110476</v>
      </c>
      <c r="K38" s="190">
        <f>K36/K34</f>
        <v>0.68863067655236332</v>
      </c>
    </row>
    <row r="39" spans="1:11" ht="15" thickTop="1" x14ac:dyDescent="0.3"/>
    <row r="40" spans="1:11" ht="18" x14ac:dyDescent="0.35">
      <c r="A40" t="s">
        <v>145</v>
      </c>
      <c r="B40" s="153" t="s">
        <v>369</v>
      </c>
      <c r="C40" s="87"/>
      <c r="D40" s="87"/>
      <c r="E40" s="87"/>
      <c r="F40" s="87"/>
      <c r="G40" s="179">
        <f>G2</f>
        <v>44256</v>
      </c>
      <c r="H40" s="179">
        <f t="shared" ref="H40:K40" si="8">H2</f>
        <v>44621</v>
      </c>
      <c r="I40" s="179">
        <f t="shared" si="8"/>
        <v>44986</v>
      </c>
      <c r="J40" s="179">
        <f t="shared" si="8"/>
        <v>45352</v>
      </c>
      <c r="K40" s="179">
        <f t="shared" si="8"/>
        <v>45717</v>
      </c>
    </row>
    <row r="42" spans="1:11" x14ac:dyDescent="0.3">
      <c r="B42" s="187" t="s">
        <v>370</v>
      </c>
      <c r="C42" s="187"/>
      <c r="D42" s="187"/>
      <c r="E42" s="187"/>
      <c r="F42" s="187"/>
      <c r="G42" s="196">
        <f>-SUM(RawFS!I55:I56)</f>
        <v>2328</v>
      </c>
      <c r="H42" s="196">
        <f>-SUM(RawFS!J55:J56)</f>
        <v>3323</v>
      </c>
      <c r="I42" s="196">
        <f>-SUM(RawFS!K55:K56)</f>
        <v>6247</v>
      </c>
      <c r="J42" s="196">
        <f>-SUM(RawFS!L55:L56)</f>
        <v>9155</v>
      </c>
      <c r="K42" s="196">
        <f>-SUM(RawFS!M55:M56)</f>
        <v>10603</v>
      </c>
    </row>
    <row r="43" spans="1:11" x14ac:dyDescent="0.3">
      <c r="B43" s="187" t="s">
        <v>373</v>
      </c>
      <c r="C43" s="187"/>
      <c r="D43" s="187"/>
      <c r="E43" s="187"/>
      <c r="F43" s="187"/>
      <c r="G43" s="187"/>
      <c r="H43" s="197">
        <f>H17-G17</f>
        <v>3434</v>
      </c>
      <c r="I43" s="197">
        <f t="shared" ref="I43:K43" si="9">I17-H17</f>
        <v>-921</v>
      </c>
      <c r="J43" s="197">
        <f t="shared" si="9"/>
        <v>-3046</v>
      </c>
      <c r="K43" s="197">
        <f t="shared" si="9"/>
        <v>-1435</v>
      </c>
    </row>
    <row r="45" spans="1:11" x14ac:dyDescent="0.3">
      <c r="B45" s="187" t="s">
        <v>367</v>
      </c>
      <c r="C45" s="187"/>
      <c r="D45" s="187"/>
      <c r="E45" s="187"/>
      <c r="F45" s="187"/>
      <c r="G45" s="187">
        <f>G35</f>
        <v>5422.800000000002</v>
      </c>
      <c r="H45" s="187">
        <f t="shared" ref="H45:K45" si="10">H35</f>
        <v>4823.8000000000156</v>
      </c>
      <c r="I45" s="187">
        <f t="shared" si="10"/>
        <v>10510.099999999999</v>
      </c>
      <c r="J45" s="187">
        <f t="shared" si="10"/>
        <v>17618.100000000013</v>
      </c>
      <c r="K45" s="187">
        <f t="shared" si="10"/>
        <v>19814.2</v>
      </c>
    </row>
    <row r="46" spans="1:11" x14ac:dyDescent="0.3">
      <c r="B46" s="187" t="s">
        <v>374</v>
      </c>
      <c r="C46" s="187"/>
      <c r="D46" s="187"/>
      <c r="E46" s="187"/>
      <c r="F46" s="187"/>
      <c r="G46" s="198">
        <v>0.25</v>
      </c>
      <c r="H46" s="198">
        <v>0.25</v>
      </c>
      <c r="I46" s="198">
        <v>0.25</v>
      </c>
      <c r="J46" s="198">
        <v>0.25</v>
      </c>
      <c r="K46" s="198">
        <v>0.25</v>
      </c>
    </row>
    <row r="47" spans="1:11" x14ac:dyDescent="0.3">
      <c r="B47" s="187" t="s">
        <v>376</v>
      </c>
      <c r="C47" s="187"/>
      <c r="D47" s="187"/>
      <c r="E47" s="187"/>
      <c r="F47" s="187"/>
      <c r="G47" s="187">
        <f>G45*(1-G46)</f>
        <v>4067.1000000000013</v>
      </c>
      <c r="H47" s="187">
        <f t="shared" ref="H47:K47" si="11">H45*(1-H46)</f>
        <v>3617.8500000000117</v>
      </c>
      <c r="I47" s="187">
        <f t="shared" si="11"/>
        <v>7882.5749999999989</v>
      </c>
      <c r="J47" s="187">
        <f t="shared" si="11"/>
        <v>13213.57500000001</v>
      </c>
      <c r="K47" s="187">
        <f t="shared" si="11"/>
        <v>14860.650000000001</v>
      </c>
    </row>
    <row r="49" spans="1:11" x14ac:dyDescent="0.3">
      <c r="B49" s="187" t="s">
        <v>375</v>
      </c>
      <c r="C49" s="187"/>
      <c r="D49" s="187"/>
      <c r="E49" s="187"/>
      <c r="F49" s="187"/>
      <c r="G49" s="187"/>
      <c r="H49" s="196">
        <f>SUM(H42:H43)</f>
        <v>6757</v>
      </c>
      <c r="I49" s="196">
        <f t="shared" ref="I49:K49" si="12">SUM(I42:I43)</f>
        <v>5326</v>
      </c>
      <c r="J49" s="196">
        <f t="shared" si="12"/>
        <v>6109</v>
      </c>
      <c r="K49" s="196">
        <f t="shared" si="12"/>
        <v>9168</v>
      </c>
    </row>
    <row r="50" spans="1:11" x14ac:dyDescent="0.3">
      <c r="B50" s="187" t="s">
        <v>377</v>
      </c>
      <c r="C50" s="187"/>
      <c r="D50" s="187"/>
      <c r="E50" s="187"/>
      <c r="F50" s="187"/>
      <c r="G50" s="187"/>
      <c r="H50" s="199">
        <f>H49/H47</f>
        <v>1.8676838453777735</v>
      </c>
      <c r="I50" s="199">
        <f t="shared" ref="I50:K50" si="13">I49/I47</f>
        <v>0.67566753250048373</v>
      </c>
      <c r="J50" s="199">
        <f t="shared" si="13"/>
        <v>0.46232756842868</v>
      </c>
      <c r="K50" s="199">
        <f t="shared" si="13"/>
        <v>0.61693129169989191</v>
      </c>
    </row>
    <row r="52" spans="1:11" x14ac:dyDescent="0.3">
      <c r="I52" s="200" t="s">
        <v>378</v>
      </c>
      <c r="J52" s="200"/>
      <c r="K52" s="201">
        <f>AVERAGE(H50:K50)</f>
        <v>0.9056525595017072</v>
      </c>
    </row>
    <row r="53" spans="1:11" x14ac:dyDescent="0.3">
      <c r="I53" s="200" t="s">
        <v>379</v>
      </c>
      <c r="J53" s="200"/>
      <c r="K53" s="201">
        <f>MEDIAN(H50:K50)</f>
        <v>0.64629941210018782</v>
      </c>
    </row>
    <row r="55" spans="1:11" ht="18" x14ac:dyDescent="0.35">
      <c r="A55" t="s">
        <v>145</v>
      </c>
      <c r="B55" s="153" t="s">
        <v>380</v>
      </c>
      <c r="C55" s="87"/>
      <c r="D55" s="87"/>
      <c r="E55" s="87"/>
      <c r="F55" s="87"/>
      <c r="G55" s="179">
        <f>G2</f>
        <v>44256</v>
      </c>
      <c r="H55" s="179">
        <f t="shared" ref="H55:K55" si="14">H2</f>
        <v>44621</v>
      </c>
      <c r="I55" s="179">
        <f t="shared" si="14"/>
        <v>44986</v>
      </c>
      <c r="J55" s="179">
        <f t="shared" si="14"/>
        <v>45352</v>
      </c>
      <c r="K55" s="179">
        <f t="shared" si="14"/>
        <v>45717</v>
      </c>
    </row>
    <row r="57" spans="1:11" x14ac:dyDescent="0.3">
      <c r="B57" s="187" t="str">
        <f>B50</f>
        <v>Reinvestment Rate</v>
      </c>
      <c r="C57" s="187"/>
      <c r="D57" s="187"/>
      <c r="E57" s="187"/>
      <c r="F57" s="187"/>
      <c r="G57" s="187"/>
      <c r="H57" s="193">
        <f>H50</f>
        <v>1.8676838453777735</v>
      </c>
      <c r="I57" s="193">
        <f t="shared" ref="I57:K57" si="15">I50</f>
        <v>0.67566753250048373</v>
      </c>
      <c r="J57" s="193">
        <f t="shared" si="15"/>
        <v>0.46232756842868</v>
      </c>
      <c r="K57" s="193">
        <f t="shared" si="15"/>
        <v>0.61693129169989191</v>
      </c>
    </row>
    <row r="58" spans="1:11" x14ac:dyDescent="0.3">
      <c r="B58" s="187" t="str">
        <f>B38</f>
        <v>ROIC</v>
      </c>
      <c r="C58" s="187"/>
      <c r="D58" s="187"/>
      <c r="E58" s="187"/>
      <c r="F58" s="187"/>
      <c r="G58" s="187"/>
      <c r="H58" s="193">
        <f>H38</f>
        <v>0.46712072304712871</v>
      </c>
      <c r="I58" s="193">
        <f t="shared" ref="I58:K58" si="16">I38</f>
        <v>0.72264163916391633</v>
      </c>
      <c r="J58" s="193">
        <f t="shared" si="16"/>
        <v>0.73835354269110476</v>
      </c>
      <c r="K58" s="193">
        <f t="shared" si="16"/>
        <v>0.68863067655236332</v>
      </c>
    </row>
    <row r="59" spans="1:11" ht="15" thickBot="1" x14ac:dyDescent="0.35"/>
    <row r="60" spans="1:11" ht="15" thickBot="1" x14ac:dyDescent="0.35">
      <c r="B60" s="181" t="s">
        <v>381</v>
      </c>
      <c r="C60" s="181"/>
      <c r="D60" s="181"/>
      <c r="E60" s="181"/>
      <c r="F60" s="181"/>
      <c r="G60" s="181"/>
      <c r="H60" s="194">
        <f>H57*H58</f>
        <v>0.87243382827630733</v>
      </c>
      <c r="I60" s="194">
        <f t="shared" ref="I60:K60" si="17">I57*I58</f>
        <v>0.48826549321598828</v>
      </c>
      <c r="J60" s="194">
        <f t="shared" si="17"/>
        <v>0.34136119803308002</v>
      </c>
      <c r="K60" s="194">
        <f t="shared" si="17"/>
        <v>0.42483781278961996</v>
      </c>
    </row>
    <row r="61" spans="1:11" ht="15" thickTop="1" x14ac:dyDescent="0.3"/>
  </sheetData>
  <pageMargins left="0.7" right="0.7" top="0.75" bottom="0.75" header="0.3" footer="0.3"/>
  <ignoredErrors>
    <ignoredError sqref="G42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981-0C08-472A-BEE9-F19D977947EF}">
  <dimension ref="A2:L44"/>
  <sheetViews>
    <sheetView showGridLines="0" zoomScale="74" zoomScaleNormal="90" workbookViewId="0">
      <pane ySplit="2" topLeftCell="A3" activePane="bottomLeft" state="frozen"/>
      <selection pane="bottomLeft" activeCell="I28" sqref="I28"/>
    </sheetView>
  </sheetViews>
  <sheetFormatPr defaultRowHeight="14.4" outlineLevelRow="1" x14ac:dyDescent="0.3"/>
  <cols>
    <col min="1" max="1" width="1.88671875" customWidth="1"/>
    <col min="2" max="2" width="15.33203125" customWidth="1"/>
    <col min="3" max="3" width="11.5546875" customWidth="1"/>
    <col min="4" max="4" width="10.5546875" customWidth="1"/>
    <col min="7" max="8" width="13.6640625" customWidth="1"/>
    <col min="9" max="12" width="14.33203125" customWidth="1"/>
  </cols>
  <sheetData>
    <row r="2" spans="2:12" ht="18" x14ac:dyDescent="0.35">
      <c r="B2" s="153" t="s">
        <v>382</v>
      </c>
      <c r="C2" s="87"/>
      <c r="D2" s="87"/>
      <c r="E2" s="87"/>
      <c r="F2" s="87"/>
      <c r="G2" s="179">
        <f>'Data Sheet'!J16</f>
        <v>45747</v>
      </c>
      <c r="H2" s="179">
        <f>G2+365</f>
        <v>46112</v>
      </c>
      <c r="I2" s="179">
        <f t="shared" ref="I2:L2" si="0">H2+365</f>
        <v>46477</v>
      </c>
      <c r="J2" s="179">
        <f t="shared" si="0"/>
        <v>46842</v>
      </c>
      <c r="K2" s="179">
        <f t="shared" si="0"/>
        <v>47207</v>
      </c>
      <c r="L2" s="179">
        <f t="shared" si="0"/>
        <v>47572</v>
      </c>
    </row>
    <row r="4" spans="2:12" x14ac:dyDescent="0.3">
      <c r="B4" t="s">
        <v>367</v>
      </c>
      <c r="G4" s="157">
        <f>'Data Sheet'!J32-'Data Sheet'!J26</f>
        <v>14615.400000000001</v>
      </c>
      <c r="H4" s="157">
        <f>G4*(1+$D$19)</f>
        <v>16076.940000000002</v>
      </c>
      <c r="I4" s="157">
        <f t="shared" ref="I4:L4" si="1">H4*(1+$D$19)</f>
        <v>17684.634000000005</v>
      </c>
      <c r="J4" s="157">
        <f t="shared" si="1"/>
        <v>19453.097400000006</v>
      </c>
      <c r="K4" s="157">
        <f t="shared" si="1"/>
        <v>21398.407140000007</v>
      </c>
      <c r="L4" s="157">
        <f t="shared" si="1"/>
        <v>23538.247854000008</v>
      </c>
    </row>
    <row r="6" spans="2:12" x14ac:dyDescent="0.3">
      <c r="B6" t="s">
        <v>209</v>
      </c>
      <c r="G6" s="138">
        <v>0.25</v>
      </c>
      <c r="H6" s="134">
        <f>G6</f>
        <v>0.25</v>
      </c>
      <c r="I6" s="134">
        <f t="shared" ref="I6:L6" si="2">H6</f>
        <v>0.25</v>
      </c>
      <c r="J6" s="134">
        <f t="shared" si="2"/>
        <v>0.25</v>
      </c>
      <c r="K6" s="134">
        <f t="shared" si="2"/>
        <v>0.25</v>
      </c>
      <c r="L6" s="134">
        <f t="shared" si="2"/>
        <v>0.25</v>
      </c>
    </row>
    <row r="8" spans="2:12" x14ac:dyDescent="0.3">
      <c r="B8" t="s">
        <v>376</v>
      </c>
      <c r="G8" s="157">
        <f>G4*(1-G6)</f>
        <v>10961.550000000001</v>
      </c>
      <c r="H8" s="157">
        <f>H4*(1-H6)</f>
        <v>12057.705000000002</v>
      </c>
      <c r="I8" s="157">
        <f t="shared" ref="I8:L8" si="3">I4*(1-I6)</f>
        <v>13263.475500000004</v>
      </c>
      <c r="J8" s="157">
        <f t="shared" si="3"/>
        <v>14589.823050000005</v>
      </c>
      <c r="K8" s="157">
        <f t="shared" si="3"/>
        <v>16048.805355000004</v>
      </c>
      <c r="L8" s="157">
        <f t="shared" si="3"/>
        <v>17653.685890500004</v>
      </c>
    </row>
    <row r="10" spans="2:12" x14ac:dyDescent="0.3">
      <c r="B10" t="s">
        <v>383</v>
      </c>
      <c r="G10" s="134">
        <f>'Intrinsic Growth'!K50</f>
        <v>0.61693129169989191</v>
      </c>
      <c r="H10" s="134">
        <f>G$10+(($L$10-$G$10)/4)</f>
        <v>0.62519846877491891</v>
      </c>
      <c r="I10" s="134">
        <f t="shared" ref="I10:K10" si="4">H$10+(($L$10-$G$10)/4)</f>
        <v>0.63346564584994591</v>
      </c>
      <c r="J10" s="134">
        <f t="shared" si="4"/>
        <v>0.64173282292497291</v>
      </c>
      <c r="K10" s="134">
        <f t="shared" si="4"/>
        <v>0.64999999999999991</v>
      </c>
      <c r="L10" s="138">
        <v>0.65</v>
      </c>
    </row>
    <row r="12" spans="2:12" x14ac:dyDescent="0.3">
      <c r="B12" t="s">
        <v>384</v>
      </c>
      <c r="G12" s="157">
        <f>G8*(1-G10)</f>
        <v>4199.0267994670503</v>
      </c>
      <c r="H12" s="157">
        <f t="shared" ref="H12:L12" si="5">H8*(1-H10)</f>
        <v>4519.2462970603174</v>
      </c>
      <c r="I12" s="157">
        <f t="shared" si="5"/>
        <v>4861.5194261775669</v>
      </c>
      <c r="J12" s="157">
        <f t="shared" si="5"/>
        <v>5227.0547181476632</v>
      </c>
      <c r="K12" s="157">
        <f t="shared" si="5"/>
        <v>5617.0818742500032</v>
      </c>
      <c r="L12" s="157">
        <f t="shared" si="5"/>
        <v>6178.7900616750012</v>
      </c>
    </row>
    <row r="14" spans="2:12" x14ac:dyDescent="0.3">
      <c r="B14" t="s">
        <v>385</v>
      </c>
      <c r="H14" s="132">
        <v>0.5</v>
      </c>
      <c r="I14">
        <f>H14+1</f>
        <v>1.5</v>
      </c>
      <c r="J14">
        <f t="shared" ref="J14:L14" si="6">I14+1</f>
        <v>2.5</v>
      </c>
      <c r="K14">
        <f t="shared" si="6"/>
        <v>3.5</v>
      </c>
      <c r="L14">
        <f t="shared" si="6"/>
        <v>4.5</v>
      </c>
    </row>
    <row r="15" spans="2:12" x14ac:dyDescent="0.3">
      <c r="B15" t="s">
        <v>386</v>
      </c>
      <c r="H15" s="202">
        <f>1/(1+$D$21)^H14</f>
        <v>0.93033221942851296</v>
      </c>
      <c r="I15" s="202">
        <f t="shared" ref="I15:L15" si="7">1/(1+$D$21)^I14</f>
        <v>0.80521931771942856</v>
      </c>
      <c r="J15" s="202">
        <f t="shared" si="7"/>
        <v>0.69693184444028966</v>
      </c>
      <c r="K15" s="202">
        <f t="shared" si="7"/>
        <v>0.60320708297287384</v>
      </c>
      <c r="L15" s="202">
        <f t="shared" si="7"/>
        <v>0.52208661126807998</v>
      </c>
    </row>
    <row r="16" spans="2:12" ht="15" thickBot="1" x14ac:dyDescent="0.35"/>
    <row r="17" spans="1:12" ht="15" thickBot="1" x14ac:dyDescent="0.35">
      <c r="B17" s="203" t="s">
        <v>387</v>
      </c>
      <c r="C17" s="203"/>
      <c r="D17" s="203"/>
      <c r="E17" s="203"/>
      <c r="F17" s="203"/>
      <c r="G17" s="206"/>
      <c r="H17" s="204">
        <f>H15*H12</f>
        <v>4204.400437688214</v>
      </c>
      <c r="I17" s="204">
        <f t="shared" ref="I17:L17" si="8">I15*I12</f>
        <v>3914.589355426448</v>
      </c>
      <c r="J17" s="204">
        <f t="shared" si="8"/>
        <v>3642.9008857089693</v>
      </c>
      <c r="K17" s="204">
        <f t="shared" si="8"/>
        <v>3388.2635721861475</v>
      </c>
      <c r="L17" s="204">
        <f t="shared" si="8"/>
        <v>3225.8635650367924</v>
      </c>
    </row>
    <row r="18" spans="1:12" ht="15" thickTop="1" x14ac:dyDescent="0.3"/>
    <row r="19" spans="1:12" outlineLevel="1" x14ac:dyDescent="0.3">
      <c r="B19" s="92" t="s">
        <v>388</v>
      </c>
      <c r="C19" s="92"/>
      <c r="D19" s="205">
        <v>0.1</v>
      </c>
    </row>
    <row r="20" spans="1:12" outlineLevel="1" x14ac:dyDescent="0.3">
      <c r="B20" s="92" t="s">
        <v>389</v>
      </c>
      <c r="C20" s="92"/>
      <c r="D20" s="205">
        <v>0.05</v>
      </c>
    </row>
    <row r="21" spans="1:12" outlineLevel="1" x14ac:dyDescent="0.3">
      <c r="B21" s="92" t="s">
        <v>322</v>
      </c>
      <c r="C21" s="92"/>
      <c r="D21" s="155">
        <f>WACC!M42</f>
        <v>0.15537742197173537</v>
      </c>
    </row>
    <row r="23" spans="1:12" x14ac:dyDescent="0.3">
      <c r="A23" t="s">
        <v>145</v>
      </c>
      <c r="B23" s="87" t="s">
        <v>390</v>
      </c>
      <c r="C23" s="87"/>
      <c r="D23" s="87"/>
    </row>
    <row r="25" spans="1:12" x14ac:dyDescent="0.3">
      <c r="B25" t="s">
        <v>391</v>
      </c>
      <c r="D25" s="157">
        <f>L12*(1+D19)</f>
        <v>6796.669067842502</v>
      </c>
    </row>
    <row r="26" spans="1:12" x14ac:dyDescent="0.3">
      <c r="B26" t="s">
        <v>322</v>
      </c>
      <c r="D26" s="134">
        <f>D21</f>
        <v>0.15537742197173537</v>
      </c>
    </row>
    <row r="27" spans="1:12" x14ac:dyDescent="0.3">
      <c r="B27" t="s">
        <v>392</v>
      </c>
      <c r="D27" s="134">
        <f>D20</f>
        <v>0.05</v>
      </c>
    </row>
    <row r="28" spans="1:12" ht="15" thickBot="1" x14ac:dyDescent="0.35"/>
    <row r="29" spans="1:12" ht="15" thickBot="1" x14ac:dyDescent="0.35">
      <c r="B29" s="203" t="s">
        <v>393</v>
      </c>
      <c r="C29" s="203"/>
      <c r="D29" s="203">
        <f>D25/(D26-D27)</f>
        <v>64498.34263041208</v>
      </c>
    </row>
    <row r="30" spans="1:12" ht="15" thickTop="1" x14ac:dyDescent="0.3"/>
    <row r="31" spans="1:12" x14ac:dyDescent="0.3">
      <c r="A31" t="s">
        <v>145</v>
      </c>
      <c r="B31" s="87" t="s">
        <v>394</v>
      </c>
      <c r="C31" s="87"/>
      <c r="D31" s="87"/>
    </row>
    <row r="33" spans="1:4" x14ac:dyDescent="0.3">
      <c r="B33" t="s">
        <v>387</v>
      </c>
      <c r="D33" s="157">
        <f>SUM(H17:L17)</f>
        <v>18376.017816046573</v>
      </c>
    </row>
    <row r="34" spans="1:4" x14ac:dyDescent="0.3">
      <c r="B34" t="s">
        <v>395</v>
      </c>
      <c r="D34">
        <f>D29*L15</f>
        <v>33673.721136319386</v>
      </c>
    </row>
    <row r="35" spans="1:4" x14ac:dyDescent="0.3">
      <c r="B35" s="10" t="s">
        <v>396</v>
      </c>
      <c r="D35" s="157">
        <f>SUM(D33:D34)</f>
        <v>52049.738952365959</v>
      </c>
    </row>
    <row r="37" spans="1:4" x14ac:dyDescent="0.3">
      <c r="B37" t="s">
        <v>397</v>
      </c>
      <c r="D37">
        <f>'Data Sheet'!J69</f>
        <v>552.9</v>
      </c>
    </row>
    <row r="38" spans="1:4" x14ac:dyDescent="0.3">
      <c r="B38" t="s">
        <v>398</v>
      </c>
      <c r="D38">
        <f>'Data Sheet'!J59</f>
        <v>87</v>
      </c>
    </row>
    <row r="39" spans="1:4" x14ac:dyDescent="0.3">
      <c r="B39" s="10" t="s">
        <v>399</v>
      </c>
      <c r="D39" s="157">
        <f>D37+D35-D38</f>
        <v>52515.63895236596</v>
      </c>
    </row>
    <row r="40" spans="1:4" ht="15" thickBot="1" x14ac:dyDescent="0.35">
      <c r="B40" t="s">
        <v>400</v>
      </c>
      <c r="D40" s="157">
        <f>'Data Sheet'!B6</f>
        <v>31.440257558790595</v>
      </c>
    </row>
    <row r="41" spans="1:4" ht="15" thickBot="1" x14ac:dyDescent="0.35">
      <c r="A41" t="s">
        <v>145</v>
      </c>
      <c r="B41" s="203" t="s">
        <v>401</v>
      </c>
      <c r="C41" s="203"/>
      <c r="D41" s="203">
        <f>D39/D40</f>
        <v>1670.3310669184627</v>
      </c>
    </row>
    <row r="42" spans="1:4" ht="15" thickTop="1" x14ac:dyDescent="0.3"/>
    <row r="43" spans="1:4" x14ac:dyDescent="0.3">
      <c r="B43" t="s">
        <v>402</v>
      </c>
      <c r="D43" s="207">
        <v>13250</v>
      </c>
    </row>
    <row r="44" spans="1:4" x14ac:dyDescent="0.3">
      <c r="B44" t="s">
        <v>403</v>
      </c>
      <c r="D44" s="32">
        <f>D43/D41-1</f>
        <v>6.9325591569367599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A30D-7F34-43B2-B3ED-0866CE12E250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68B4-CD27-484E-B8A9-F0BD54EEF863}">
  <dimension ref="A1:K93"/>
  <sheetViews>
    <sheetView zoomScale="90" zoomScaleNormal="90" workbookViewId="0">
      <selection activeCell="J26" sqref="J26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80</v>
      </c>
      <c r="E1" s="222" t="str">
        <f>IF(B2&lt;&gt;B3, "A NEW VERSION OF THE WORKSHEET IS AVAILABLE", "")</f>
        <v/>
      </c>
      <c r="F1" s="222"/>
      <c r="G1" s="222"/>
      <c r="H1" s="222"/>
      <c r="I1" s="222"/>
      <c r="J1" s="222"/>
      <c r="K1" s="222"/>
    </row>
    <row r="2" spans="1:11" x14ac:dyDescent="0.3">
      <c r="A2" s="1" t="s">
        <v>1</v>
      </c>
      <c r="B2" s="2">
        <v>2.1</v>
      </c>
      <c r="E2" s="223" t="s">
        <v>2</v>
      </c>
      <c r="F2" s="223"/>
      <c r="G2" s="223"/>
      <c r="H2" s="223"/>
      <c r="I2" s="223"/>
      <c r="J2" s="223"/>
      <c r="K2" s="223"/>
    </row>
    <row r="3" spans="1:11" x14ac:dyDescent="0.3">
      <c r="A3" s="1" t="s">
        <v>3</v>
      </c>
      <c r="B3" s="2">
        <v>2.1</v>
      </c>
    </row>
    <row r="4" spans="1:11" x14ac:dyDescent="0.3">
      <c r="A4" s="1"/>
    </row>
    <row r="5" spans="1:11" x14ac:dyDescent="0.3">
      <c r="A5" s="1" t="s">
        <v>4</v>
      </c>
    </row>
    <row r="6" spans="1:11" x14ac:dyDescent="0.3">
      <c r="A6" s="2" t="s">
        <v>5</v>
      </c>
      <c r="B6" s="2">
        <f>IF(B9&gt;0, B9/B8, 0)</f>
        <v>31.440257558790595</v>
      </c>
    </row>
    <row r="7" spans="1:11" x14ac:dyDescent="0.3">
      <c r="A7" s="2" t="s">
        <v>6</v>
      </c>
      <c r="B7">
        <v>5</v>
      </c>
    </row>
    <row r="8" spans="1:11" x14ac:dyDescent="0.3">
      <c r="A8" s="2" t="s">
        <v>7</v>
      </c>
      <c r="B8">
        <v>13395</v>
      </c>
    </row>
    <row r="9" spans="1:11" x14ac:dyDescent="0.3">
      <c r="A9" s="2" t="s">
        <v>8</v>
      </c>
      <c r="B9">
        <v>421142.25</v>
      </c>
    </row>
    <row r="15" spans="1:11" x14ac:dyDescent="0.3">
      <c r="A15" s="1" t="s">
        <v>9</v>
      </c>
    </row>
    <row r="16" spans="1:11" s="5" customFormat="1" x14ac:dyDescent="0.3">
      <c r="A16" s="3" t="s">
        <v>10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11</v>
      </c>
      <c r="B17">
        <v>68085</v>
      </c>
      <c r="C17">
        <v>79809.399999999994</v>
      </c>
      <c r="D17">
        <v>86068.5</v>
      </c>
      <c r="E17">
        <v>75660</v>
      </c>
      <c r="F17">
        <v>70372</v>
      </c>
      <c r="G17">
        <v>88329.8</v>
      </c>
      <c r="H17">
        <v>117571.3</v>
      </c>
      <c r="I17">
        <v>141858.20000000001</v>
      </c>
      <c r="J17">
        <v>152913</v>
      </c>
      <c r="K17">
        <v>183316</v>
      </c>
    </row>
    <row r="18" spans="1:11" s="6" customFormat="1" x14ac:dyDescent="0.3">
      <c r="A18" s="2" t="s">
        <v>12</v>
      </c>
      <c r="B18">
        <v>47121.5</v>
      </c>
      <c r="C18">
        <v>54945.3</v>
      </c>
      <c r="D18">
        <v>59346.6</v>
      </c>
      <c r="E18">
        <v>53402</v>
      </c>
      <c r="F18">
        <v>50550.5</v>
      </c>
      <c r="G18">
        <v>66137.100000000006</v>
      </c>
      <c r="H18">
        <v>86654.7</v>
      </c>
      <c r="I18">
        <v>100119.5</v>
      </c>
      <c r="J18">
        <v>108718.3</v>
      </c>
      <c r="K18">
        <v>134848</v>
      </c>
    </row>
    <row r="19" spans="1:11" s="6" customFormat="1" x14ac:dyDescent="0.3">
      <c r="A19" s="2" t="s">
        <v>13</v>
      </c>
      <c r="B19">
        <v>379.3</v>
      </c>
      <c r="C19">
        <v>-40.799999999999997</v>
      </c>
      <c r="D19">
        <v>-211.6</v>
      </c>
      <c r="E19">
        <v>238.7</v>
      </c>
      <c r="F19">
        <v>-273.60000000000002</v>
      </c>
      <c r="G19">
        <v>93.1</v>
      </c>
      <c r="H19">
        <v>403.9</v>
      </c>
      <c r="I19">
        <v>378.6</v>
      </c>
      <c r="J19">
        <v>1227.5</v>
      </c>
      <c r="K19">
        <v>2272.5</v>
      </c>
    </row>
    <row r="20" spans="1:11" s="6" customFormat="1" x14ac:dyDescent="0.3">
      <c r="A20" s="2" t="s">
        <v>14</v>
      </c>
      <c r="B20">
        <v>518.6</v>
      </c>
      <c r="C20">
        <v>673.4</v>
      </c>
      <c r="D20">
        <v>863.3</v>
      </c>
      <c r="E20">
        <v>699.5</v>
      </c>
      <c r="F20">
        <v>476.6</v>
      </c>
      <c r="G20">
        <v>630.9</v>
      </c>
      <c r="H20">
        <v>790</v>
      </c>
      <c r="I20">
        <v>1033.4000000000001</v>
      </c>
      <c r="J20">
        <v>1052.5999999999999</v>
      </c>
      <c r="K20"/>
    </row>
    <row r="21" spans="1:11" s="6" customFormat="1" x14ac:dyDescent="0.3">
      <c r="A21" s="2" t="s">
        <v>15</v>
      </c>
      <c r="B21">
        <v>382.9</v>
      </c>
      <c r="C21">
        <v>462.1</v>
      </c>
      <c r="D21">
        <v>475.7</v>
      </c>
      <c r="E21">
        <v>378.1</v>
      </c>
      <c r="F21">
        <v>683.3</v>
      </c>
      <c r="G21">
        <v>852.5</v>
      </c>
      <c r="H21">
        <v>1120.7</v>
      </c>
      <c r="I21">
        <v>939.3</v>
      </c>
      <c r="J21">
        <v>1994.4</v>
      </c>
      <c r="K21"/>
    </row>
    <row r="22" spans="1:11" s="6" customFormat="1" x14ac:dyDescent="0.3">
      <c r="A22" s="2" t="s">
        <v>16</v>
      </c>
      <c r="B22">
        <v>2360.3000000000002</v>
      </c>
      <c r="C22">
        <v>2863.4</v>
      </c>
      <c r="D22">
        <v>3285</v>
      </c>
      <c r="E22">
        <v>3416.2</v>
      </c>
      <c r="F22">
        <v>3431.6</v>
      </c>
      <c r="G22">
        <v>4051.4</v>
      </c>
      <c r="H22">
        <v>4634.6000000000004</v>
      </c>
      <c r="I22">
        <v>6301.6</v>
      </c>
      <c r="J22">
        <v>7026</v>
      </c>
      <c r="K22">
        <v>9049.7000000000007</v>
      </c>
    </row>
    <row r="23" spans="1:11" s="6" customFormat="1" x14ac:dyDescent="0.3">
      <c r="A23" s="2" t="s">
        <v>17</v>
      </c>
      <c r="B23">
        <v>6111.3</v>
      </c>
      <c r="C23">
        <v>6755.3</v>
      </c>
      <c r="D23">
        <v>8390.2999999999993</v>
      </c>
      <c r="E23">
        <v>8456.2999999999993</v>
      </c>
      <c r="F23">
        <v>7924</v>
      </c>
      <c r="G23">
        <v>9119.1</v>
      </c>
      <c r="H23">
        <v>11695</v>
      </c>
      <c r="I23">
        <v>12082.6</v>
      </c>
      <c r="J23">
        <v>11523.3</v>
      </c>
      <c r="K23"/>
    </row>
    <row r="24" spans="1:11" s="6" customFormat="1" x14ac:dyDescent="0.3">
      <c r="A24" s="2" t="s">
        <v>18</v>
      </c>
      <c r="B24">
        <v>1548.4</v>
      </c>
      <c r="C24">
        <v>1951.2</v>
      </c>
      <c r="D24">
        <v>2439.6999999999998</v>
      </c>
      <c r="E24">
        <v>2191.6</v>
      </c>
      <c r="F24">
        <v>1621.8</v>
      </c>
      <c r="G24">
        <v>1879.9</v>
      </c>
      <c r="H24">
        <v>2051</v>
      </c>
      <c r="I24">
        <v>3134.1</v>
      </c>
      <c r="J24">
        <v>3602.3</v>
      </c>
      <c r="K24">
        <v>20234.599999999999</v>
      </c>
    </row>
    <row r="25" spans="1:11" s="6" customFormat="1" x14ac:dyDescent="0.3">
      <c r="A25" s="6" t="s">
        <v>19</v>
      </c>
      <c r="B25">
        <v>2399.1999999999998</v>
      </c>
      <c r="C25">
        <v>2154.6</v>
      </c>
      <c r="D25">
        <v>2664.2</v>
      </c>
      <c r="E25">
        <v>3410.4</v>
      </c>
      <c r="F25">
        <v>3046.3</v>
      </c>
      <c r="G25">
        <v>1860.8</v>
      </c>
      <c r="H25">
        <v>2306.6</v>
      </c>
      <c r="I25">
        <v>4247.6000000000004</v>
      </c>
      <c r="J25">
        <v>5198.8</v>
      </c>
      <c r="K25">
        <v>4642.7</v>
      </c>
    </row>
    <row r="26" spans="1:11" s="6" customFormat="1" x14ac:dyDescent="0.3">
      <c r="A26" s="6" t="s">
        <v>20</v>
      </c>
      <c r="B26">
        <v>2603.9</v>
      </c>
      <c r="C26">
        <v>2759.8</v>
      </c>
      <c r="D26">
        <v>3020.8</v>
      </c>
      <c r="E26">
        <v>3528.4</v>
      </c>
      <c r="F26">
        <v>3034.1</v>
      </c>
      <c r="G26">
        <v>2789</v>
      </c>
      <c r="H26">
        <v>2825.7</v>
      </c>
      <c r="I26">
        <v>5255.8</v>
      </c>
      <c r="J26">
        <v>5608.2</v>
      </c>
      <c r="K26">
        <v>6741.7</v>
      </c>
    </row>
    <row r="27" spans="1:11" s="6" customFormat="1" x14ac:dyDescent="0.3">
      <c r="A27" s="6" t="s">
        <v>21</v>
      </c>
      <c r="B27">
        <v>89.4</v>
      </c>
      <c r="C27">
        <v>345.8</v>
      </c>
      <c r="D27">
        <v>75.900000000000006</v>
      </c>
      <c r="E27">
        <v>134.19999999999999</v>
      </c>
      <c r="F27">
        <v>101.8</v>
      </c>
      <c r="G27">
        <v>126.6</v>
      </c>
      <c r="H27">
        <v>187</v>
      </c>
      <c r="I27">
        <v>193.6</v>
      </c>
      <c r="J27">
        <v>194.2</v>
      </c>
      <c r="K27">
        <v>238.7</v>
      </c>
    </row>
    <row r="28" spans="1:11" s="6" customFormat="1" x14ac:dyDescent="0.3">
      <c r="A28" s="6" t="s">
        <v>22</v>
      </c>
      <c r="B28">
        <v>10127.200000000001</v>
      </c>
      <c r="C28">
        <v>11166.9</v>
      </c>
      <c r="D28">
        <v>10623.8</v>
      </c>
      <c r="E28">
        <v>7102.8</v>
      </c>
      <c r="F28">
        <v>5321</v>
      </c>
      <c r="G28">
        <v>4697.2</v>
      </c>
      <c r="H28">
        <v>10323.1</v>
      </c>
      <c r="I28">
        <v>17424.5</v>
      </c>
      <c r="J28">
        <v>19620</v>
      </c>
      <c r="K28">
        <v>19118.5</v>
      </c>
    </row>
    <row r="29" spans="1:11" s="6" customFormat="1" x14ac:dyDescent="0.3">
      <c r="A29" s="6" t="s">
        <v>23</v>
      </c>
      <c r="B29">
        <v>2616.1999999999998</v>
      </c>
      <c r="C29">
        <v>3286.2</v>
      </c>
      <c r="D29">
        <v>2973.2</v>
      </c>
      <c r="E29">
        <v>1425.2</v>
      </c>
      <c r="F29">
        <v>931.9</v>
      </c>
      <c r="G29">
        <v>817.7</v>
      </c>
      <c r="H29">
        <v>2112.1</v>
      </c>
      <c r="I29">
        <v>3936.3</v>
      </c>
      <c r="J29">
        <v>5119.8</v>
      </c>
      <c r="K29">
        <v>4439</v>
      </c>
    </row>
    <row r="30" spans="1:11" s="6" customFormat="1" x14ac:dyDescent="0.3">
      <c r="A30" s="6" t="s">
        <v>24</v>
      </c>
      <c r="B30">
        <v>7509.9</v>
      </c>
      <c r="C30">
        <v>7880</v>
      </c>
      <c r="D30">
        <v>7649.1</v>
      </c>
      <c r="E30">
        <v>5676</v>
      </c>
      <c r="F30">
        <v>4389.1000000000004</v>
      </c>
      <c r="G30">
        <v>3879.5</v>
      </c>
      <c r="H30">
        <v>8211</v>
      </c>
      <c r="I30">
        <v>13488.2</v>
      </c>
      <c r="J30">
        <v>14500.2</v>
      </c>
      <c r="K30">
        <v>14679.5</v>
      </c>
    </row>
    <row r="31" spans="1:11" s="6" customFormat="1" x14ac:dyDescent="0.3">
      <c r="A31" s="6" t="s">
        <v>25</v>
      </c>
      <c r="B31">
        <v>2265</v>
      </c>
      <c r="C31">
        <v>2416</v>
      </c>
      <c r="D31">
        <v>2416</v>
      </c>
      <c r="E31">
        <v>1812</v>
      </c>
      <c r="F31">
        <v>1359</v>
      </c>
      <c r="G31">
        <v>1812</v>
      </c>
      <c r="H31">
        <v>2718</v>
      </c>
      <c r="I31">
        <v>3930</v>
      </c>
      <c r="J31">
        <v>4244.3999999999996</v>
      </c>
      <c r="K31">
        <v>4401.6000000000004</v>
      </c>
    </row>
    <row r="32" spans="1:11" s="6" customFormat="1" x14ac:dyDescent="0.3">
      <c r="A32" s="1" t="s">
        <v>88</v>
      </c>
      <c r="B32" s="1">
        <f>B30+B29+B27+B26-B25</f>
        <v>10420.199999999997</v>
      </c>
      <c r="C32" s="1">
        <f t="shared" ref="C32:K32" si="0">C30+C29+C27+C26-C25</f>
        <v>12117.199999999999</v>
      </c>
      <c r="D32" s="1">
        <f t="shared" si="0"/>
        <v>11054.8</v>
      </c>
      <c r="E32" s="1">
        <f t="shared" si="0"/>
        <v>7353.4</v>
      </c>
      <c r="F32" s="1">
        <f t="shared" si="0"/>
        <v>5410.5999999999995</v>
      </c>
      <c r="G32" s="1">
        <f t="shared" si="0"/>
        <v>5752</v>
      </c>
      <c r="H32" s="1">
        <f t="shared" si="0"/>
        <v>11029.199999999999</v>
      </c>
      <c r="I32" s="1">
        <f t="shared" si="0"/>
        <v>18626.299999999996</v>
      </c>
      <c r="J32" s="1">
        <f t="shared" si="0"/>
        <v>20223.600000000002</v>
      </c>
      <c r="K32" s="1">
        <f t="shared" si="0"/>
        <v>21456.2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26</v>
      </c>
    </row>
    <row r="41" spans="1:11" s="5" customFormat="1" x14ac:dyDescent="0.3">
      <c r="A41" s="3" t="s">
        <v>10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11</v>
      </c>
      <c r="B42">
        <v>33512.800000000003</v>
      </c>
      <c r="C42">
        <v>38471.199999999997</v>
      </c>
      <c r="D42">
        <v>35779.4</v>
      </c>
      <c r="E42">
        <v>37449.199999999997</v>
      </c>
      <c r="F42">
        <v>38764.300000000003</v>
      </c>
      <c r="G42">
        <v>40920.1</v>
      </c>
      <c r="H42">
        <v>38605.199999999997</v>
      </c>
      <c r="I42">
        <v>42344.2</v>
      </c>
      <c r="J42">
        <v>49904.1</v>
      </c>
      <c r="K42">
        <v>52462.5</v>
      </c>
    </row>
    <row r="43" spans="1:11" s="6" customFormat="1" x14ac:dyDescent="0.3">
      <c r="A43" s="6" t="s">
        <v>27</v>
      </c>
      <c r="B43">
        <v>29072.799999999999</v>
      </c>
      <c r="C43">
        <v>33250.1</v>
      </c>
      <c r="D43">
        <v>30672.799999999999</v>
      </c>
      <c r="E43">
        <v>32450.400000000001</v>
      </c>
      <c r="F43">
        <v>33687.800000000003</v>
      </c>
      <c r="G43">
        <v>36076.1</v>
      </c>
      <c r="H43">
        <v>33982.6</v>
      </c>
      <c r="I43">
        <v>37258.199999999997</v>
      </c>
      <c r="J43">
        <v>44331</v>
      </c>
      <c r="K43">
        <v>46304.2</v>
      </c>
    </row>
    <row r="44" spans="1:11" s="6" customFormat="1" x14ac:dyDescent="0.3">
      <c r="A44" s="6" t="s">
        <v>19</v>
      </c>
      <c r="B44">
        <v>1052.9000000000001</v>
      </c>
      <c r="C44">
        <v>1261</v>
      </c>
      <c r="D44">
        <v>1118.0999999999999</v>
      </c>
      <c r="E44">
        <v>1570.5</v>
      </c>
      <c r="F44">
        <v>1124.8</v>
      </c>
      <c r="G44">
        <v>1583.1</v>
      </c>
      <c r="H44">
        <v>1923.7</v>
      </c>
      <c r="I44">
        <v>1013.5</v>
      </c>
      <c r="J44">
        <v>1140.5</v>
      </c>
      <c r="K44">
        <v>581.20000000000005</v>
      </c>
    </row>
    <row r="45" spans="1:11" s="6" customFormat="1" x14ac:dyDescent="0.3">
      <c r="A45" s="6" t="s">
        <v>20</v>
      </c>
      <c r="B45">
        <v>1301.5</v>
      </c>
      <c r="C45">
        <v>1298.3</v>
      </c>
      <c r="D45">
        <v>1331.7</v>
      </c>
      <c r="E45">
        <v>1385.7</v>
      </c>
      <c r="F45">
        <v>1429</v>
      </c>
      <c r="G45">
        <v>1461.8</v>
      </c>
      <c r="H45">
        <v>1556</v>
      </c>
      <c r="I45">
        <v>1703</v>
      </c>
      <c r="J45">
        <v>1734.6</v>
      </c>
      <c r="K45">
        <v>1748.1</v>
      </c>
    </row>
    <row r="46" spans="1:11" s="6" customFormat="1" x14ac:dyDescent="0.3">
      <c r="A46" s="6" t="s">
        <v>21</v>
      </c>
      <c r="B46">
        <v>35.799999999999997</v>
      </c>
      <c r="C46">
        <v>76.2</v>
      </c>
      <c r="D46">
        <v>57.3</v>
      </c>
      <c r="E46">
        <v>43</v>
      </c>
      <c r="F46">
        <v>46.3</v>
      </c>
      <c r="G46">
        <v>47.6</v>
      </c>
      <c r="H46">
        <v>46.8</v>
      </c>
      <c r="I46">
        <v>57.2</v>
      </c>
      <c r="J46">
        <v>61.7</v>
      </c>
      <c r="K46">
        <v>73</v>
      </c>
    </row>
    <row r="47" spans="1:11" s="6" customFormat="1" x14ac:dyDescent="0.3">
      <c r="A47" s="6" t="s">
        <v>22</v>
      </c>
      <c r="B47">
        <v>4155.6000000000004</v>
      </c>
      <c r="C47">
        <v>5107.6000000000004</v>
      </c>
      <c r="D47">
        <v>4835.7</v>
      </c>
      <c r="E47">
        <v>5140.6000000000004</v>
      </c>
      <c r="F47">
        <v>4726</v>
      </c>
      <c r="G47">
        <v>4917.7</v>
      </c>
      <c r="H47">
        <v>4943.5</v>
      </c>
      <c r="I47">
        <v>4339.3</v>
      </c>
      <c r="J47">
        <v>4917.3</v>
      </c>
      <c r="K47">
        <v>4918.3999999999996</v>
      </c>
    </row>
    <row r="48" spans="1:11" s="6" customFormat="1" x14ac:dyDescent="0.3">
      <c r="A48" s="6" t="s">
        <v>23</v>
      </c>
      <c r="B48">
        <v>948.8</v>
      </c>
      <c r="C48">
        <v>1155.3</v>
      </c>
      <c r="D48">
        <v>1076</v>
      </c>
      <c r="E48">
        <v>2038.1</v>
      </c>
      <c r="F48">
        <v>999.1</v>
      </c>
      <c r="G48">
        <v>1006.6</v>
      </c>
      <c r="H48">
        <v>1151.0999999999999</v>
      </c>
      <c r="I48">
        <v>990.3</v>
      </c>
      <c r="J48">
        <v>1038.2</v>
      </c>
      <c r="K48">
        <v>1259.4000000000001</v>
      </c>
    </row>
    <row r="49" spans="1:11" s="6" customFormat="1" x14ac:dyDescent="0.3">
      <c r="A49" s="6" t="s">
        <v>24</v>
      </c>
      <c r="B49">
        <v>3206.8</v>
      </c>
      <c r="C49">
        <v>3952.3</v>
      </c>
      <c r="D49">
        <v>3759.7</v>
      </c>
      <c r="E49">
        <v>3102.5</v>
      </c>
      <c r="F49">
        <v>3726.9</v>
      </c>
      <c r="G49">
        <v>3911.1</v>
      </c>
      <c r="H49">
        <v>3792.4</v>
      </c>
      <c r="I49">
        <v>3349</v>
      </c>
      <c r="J49">
        <v>3879.1</v>
      </c>
      <c r="K49">
        <v>3659</v>
      </c>
    </row>
    <row r="50" spans="1:11" x14ac:dyDescent="0.3">
      <c r="A50" s="6" t="s">
        <v>28</v>
      </c>
      <c r="B50">
        <v>4440</v>
      </c>
      <c r="C50">
        <v>5221.1000000000004</v>
      </c>
      <c r="D50">
        <v>5106.6000000000004</v>
      </c>
      <c r="E50">
        <v>4998.8</v>
      </c>
      <c r="F50">
        <v>5076.5</v>
      </c>
      <c r="G50">
        <v>4844</v>
      </c>
      <c r="H50">
        <v>4622.6000000000004</v>
      </c>
      <c r="I50">
        <v>5086</v>
      </c>
      <c r="J50">
        <v>5573.1</v>
      </c>
      <c r="K50">
        <v>6158.3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29</v>
      </c>
    </row>
    <row r="56" spans="1:11" s="5" customFormat="1" x14ac:dyDescent="0.3">
      <c r="A56" s="3" t="s">
        <v>10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30</v>
      </c>
      <c r="B57">
        <v>151</v>
      </c>
      <c r="C57">
        <v>151</v>
      </c>
      <c r="D57">
        <v>151</v>
      </c>
      <c r="E57">
        <v>151</v>
      </c>
      <c r="F57">
        <v>151</v>
      </c>
      <c r="G57">
        <v>151</v>
      </c>
      <c r="H57">
        <v>151</v>
      </c>
      <c r="I57">
        <v>157.19999999999999</v>
      </c>
      <c r="J57">
        <v>157.19999999999999</v>
      </c>
      <c r="K57">
        <v>157.19999999999999</v>
      </c>
    </row>
    <row r="58" spans="1:11" x14ac:dyDescent="0.3">
      <c r="A58" s="6" t="s">
        <v>31</v>
      </c>
      <c r="B58">
        <v>36924.1</v>
      </c>
      <c r="C58">
        <v>42408.4</v>
      </c>
      <c r="D58">
        <v>46941.1</v>
      </c>
      <c r="E58">
        <v>49262</v>
      </c>
      <c r="F58">
        <v>52349.599999999999</v>
      </c>
      <c r="G58">
        <v>55182.5</v>
      </c>
      <c r="H58">
        <v>61640.3</v>
      </c>
      <c r="I58">
        <v>85478.8</v>
      </c>
      <c r="J58">
        <v>96082.7</v>
      </c>
      <c r="K58">
        <v>106999.1</v>
      </c>
    </row>
    <row r="59" spans="1:11" x14ac:dyDescent="0.3">
      <c r="A59" s="6" t="s">
        <v>32</v>
      </c>
      <c r="B59">
        <v>483.6</v>
      </c>
      <c r="C59">
        <v>120.8</v>
      </c>
      <c r="D59">
        <v>159.6</v>
      </c>
      <c r="E59">
        <v>184.1</v>
      </c>
      <c r="F59">
        <v>540.9</v>
      </c>
      <c r="G59">
        <v>425.5</v>
      </c>
      <c r="H59">
        <v>1247.3</v>
      </c>
      <c r="I59">
        <v>118.6</v>
      </c>
      <c r="J59">
        <v>87</v>
      </c>
      <c r="K59">
        <v>102.5</v>
      </c>
    </row>
    <row r="60" spans="1:11" x14ac:dyDescent="0.3">
      <c r="A60" s="6" t="s">
        <v>33</v>
      </c>
      <c r="B60">
        <v>14401.8</v>
      </c>
      <c r="C60">
        <v>17568.2</v>
      </c>
      <c r="D60">
        <v>16717</v>
      </c>
      <c r="E60">
        <v>14030.6</v>
      </c>
      <c r="F60">
        <v>18334.599999999999</v>
      </c>
      <c r="G60">
        <v>18896.5</v>
      </c>
      <c r="H60">
        <v>21558.3</v>
      </c>
      <c r="I60">
        <v>29549.5</v>
      </c>
      <c r="J60">
        <v>35644.300000000003</v>
      </c>
      <c r="K60">
        <v>41622.199999999997</v>
      </c>
    </row>
    <row r="61" spans="1:11" s="1" customFormat="1" x14ac:dyDescent="0.3">
      <c r="A61" s="1" t="s">
        <v>34</v>
      </c>
      <c r="B61">
        <v>51960.5</v>
      </c>
      <c r="C61">
        <v>60248.4</v>
      </c>
      <c r="D61">
        <v>63968.7</v>
      </c>
      <c r="E61">
        <v>63627.7</v>
      </c>
      <c r="F61">
        <v>71376.100000000006</v>
      </c>
      <c r="G61">
        <v>74655.5</v>
      </c>
      <c r="H61">
        <v>84596.9</v>
      </c>
      <c r="I61">
        <v>115304.1</v>
      </c>
      <c r="J61">
        <v>131971.20000000001</v>
      </c>
      <c r="K61">
        <v>148881</v>
      </c>
    </row>
    <row r="62" spans="1:11" x14ac:dyDescent="0.3">
      <c r="A62" s="6" t="s">
        <v>35</v>
      </c>
      <c r="B62">
        <v>13310.7</v>
      </c>
      <c r="C62">
        <v>13388.8</v>
      </c>
      <c r="D62">
        <v>15437.3</v>
      </c>
      <c r="E62">
        <v>15744.4</v>
      </c>
      <c r="F62">
        <v>14988.7</v>
      </c>
      <c r="G62">
        <v>13747.2</v>
      </c>
      <c r="H62">
        <v>17830.400000000001</v>
      </c>
      <c r="I62">
        <v>27864.799999999999</v>
      </c>
      <c r="J62">
        <v>32982.699999999997</v>
      </c>
      <c r="K62">
        <v>34955.4</v>
      </c>
    </row>
    <row r="63" spans="1:11" x14ac:dyDescent="0.3">
      <c r="A63" s="6" t="s">
        <v>36</v>
      </c>
      <c r="B63">
        <v>1252.3</v>
      </c>
      <c r="C63">
        <v>2132.1</v>
      </c>
      <c r="D63">
        <v>1606.9</v>
      </c>
      <c r="E63">
        <v>1415.2</v>
      </c>
      <c r="F63">
        <v>1496.8</v>
      </c>
      <c r="G63">
        <v>2936.5</v>
      </c>
      <c r="H63">
        <v>2904.1</v>
      </c>
      <c r="I63">
        <v>7734.8</v>
      </c>
      <c r="J63">
        <v>7929</v>
      </c>
      <c r="K63">
        <v>9406.2000000000007</v>
      </c>
    </row>
    <row r="64" spans="1:11" x14ac:dyDescent="0.3">
      <c r="A64" s="6" t="s">
        <v>37</v>
      </c>
      <c r="B64">
        <v>29150.6</v>
      </c>
      <c r="C64">
        <v>36123.1</v>
      </c>
      <c r="D64">
        <v>37503.599999999999</v>
      </c>
      <c r="E64">
        <v>37488</v>
      </c>
      <c r="F64">
        <v>42944.800000000003</v>
      </c>
      <c r="G64">
        <v>42034.7</v>
      </c>
      <c r="H64">
        <v>49184.3</v>
      </c>
      <c r="I64">
        <v>57296</v>
      </c>
      <c r="J64">
        <v>66265.399999999994</v>
      </c>
      <c r="K64">
        <v>76838.5</v>
      </c>
    </row>
    <row r="65" spans="1:11" x14ac:dyDescent="0.3">
      <c r="A65" s="6" t="s">
        <v>38</v>
      </c>
      <c r="B65">
        <v>8246.9</v>
      </c>
      <c r="C65">
        <v>8604.4</v>
      </c>
      <c r="D65">
        <v>9420.9</v>
      </c>
      <c r="E65">
        <v>8980.1</v>
      </c>
      <c r="F65">
        <v>11945.8</v>
      </c>
      <c r="G65">
        <v>15937.1</v>
      </c>
      <c r="H65">
        <v>14678.1</v>
      </c>
      <c r="I65">
        <v>22408.5</v>
      </c>
      <c r="J65">
        <v>24794.1</v>
      </c>
      <c r="K65">
        <v>27680.9</v>
      </c>
    </row>
    <row r="66" spans="1:11" s="1" customFormat="1" x14ac:dyDescent="0.3">
      <c r="A66" s="1" t="s">
        <v>34</v>
      </c>
      <c r="B66">
        <v>51960.5</v>
      </c>
      <c r="C66">
        <v>60248.4</v>
      </c>
      <c r="D66">
        <v>63968.7</v>
      </c>
      <c r="E66">
        <v>63627.7</v>
      </c>
      <c r="F66">
        <v>71376.100000000006</v>
      </c>
      <c r="G66">
        <v>74655.5</v>
      </c>
      <c r="H66">
        <v>84596.9</v>
      </c>
      <c r="I66">
        <v>115304.1</v>
      </c>
      <c r="J66">
        <v>131971.20000000001</v>
      </c>
      <c r="K66">
        <v>148881</v>
      </c>
    </row>
    <row r="67" spans="1:11" s="6" customFormat="1" x14ac:dyDescent="0.3">
      <c r="A67" s="6" t="s">
        <v>39</v>
      </c>
      <c r="B67">
        <v>1202.5999999999999</v>
      </c>
      <c r="C67">
        <v>1465.4</v>
      </c>
      <c r="D67">
        <v>2312.8000000000002</v>
      </c>
      <c r="E67">
        <v>1977.7</v>
      </c>
      <c r="F67">
        <v>1279.9000000000001</v>
      </c>
      <c r="G67">
        <v>2034.5</v>
      </c>
      <c r="H67">
        <v>3301.4</v>
      </c>
      <c r="I67">
        <v>4596.8</v>
      </c>
      <c r="J67">
        <v>6539.7</v>
      </c>
      <c r="K67">
        <v>5342</v>
      </c>
    </row>
    <row r="68" spans="1:11" x14ac:dyDescent="0.3">
      <c r="A68" s="6" t="s">
        <v>40</v>
      </c>
      <c r="B68">
        <v>3263.7</v>
      </c>
      <c r="C68">
        <v>3160.2</v>
      </c>
      <c r="D68">
        <v>3322.6</v>
      </c>
      <c r="E68">
        <v>3213.9</v>
      </c>
      <c r="F68">
        <v>3049</v>
      </c>
      <c r="G68">
        <v>3532.3</v>
      </c>
      <c r="H68">
        <v>4283.5</v>
      </c>
      <c r="I68">
        <v>5318.1</v>
      </c>
      <c r="J68">
        <v>6913.2</v>
      </c>
      <c r="K68">
        <v>11320.6</v>
      </c>
    </row>
    <row r="69" spans="1:11" x14ac:dyDescent="0.3">
      <c r="A69" s="2" t="s">
        <v>41</v>
      </c>
      <c r="B69">
        <v>23.5</v>
      </c>
      <c r="C69">
        <v>74</v>
      </c>
      <c r="D69">
        <v>187.8</v>
      </c>
      <c r="E69">
        <v>29</v>
      </c>
      <c r="F69">
        <v>3047.1</v>
      </c>
      <c r="G69">
        <v>3042.2</v>
      </c>
      <c r="H69">
        <v>41.6</v>
      </c>
      <c r="I69">
        <v>2827.4</v>
      </c>
      <c r="J69">
        <v>552.9</v>
      </c>
      <c r="K69">
        <v>1580</v>
      </c>
    </row>
    <row r="70" spans="1:11" x14ac:dyDescent="0.3">
      <c r="A70" s="2" t="s">
        <v>42</v>
      </c>
      <c r="B70">
        <v>302080060</v>
      </c>
      <c r="C70">
        <v>302080060</v>
      </c>
      <c r="D70">
        <v>302080060</v>
      </c>
      <c r="E70">
        <v>302080060</v>
      </c>
      <c r="F70">
        <v>302080060</v>
      </c>
      <c r="G70">
        <v>302080060</v>
      </c>
      <c r="H70">
        <v>302080060</v>
      </c>
      <c r="I70">
        <v>314402574</v>
      </c>
      <c r="J70">
        <v>314402574</v>
      </c>
      <c r="K70"/>
    </row>
    <row r="71" spans="1:11" x14ac:dyDescent="0.3">
      <c r="A71" s="2" t="s">
        <v>43</v>
      </c>
      <c r="D71"/>
      <c r="E71"/>
      <c r="K71"/>
    </row>
    <row r="72" spans="1:11" x14ac:dyDescent="0.3">
      <c r="A72" s="2" t="s">
        <v>44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1" t="s">
        <v>38</v>
      </c>
      <c r="B74" s="162">
        <f>B65-SUM(B67:B69)</f>
        <v>3757.1000000000004</v>
      </c>
      <c r="C74" s="162">
        <f t="shared" ref="C74:K74" si="1">C65-SUM(C67:C69)</f>
        <v>3904.7999999999993</v>
      </c>
      <c r="D74" s="162">
        <f t="shared" si="1"/>
        <v>3597.7</v>
      </c>
      <c r="E74" s="162">
        <f>E65-SUM(E67:E69)</f>
        <v>3759.5</v>
      </c>
      <c r="F74" s="162">
        <f t="shared" si="1"/>
        <v>4569.7999999999993</v>
      </c>
      <c r="G74" s="162">
        <f t="shared" si="1"/>
        <v>7328.1</v>
      </c>
      <c r="H74" s="162">
        <f t="shared" si="1"/>
        <v>7051.6</v>
      </c>
      <c r="I74" s="162">
        <f t="shared" si="1"/>
        <v>9666.1999999999989</v>
      </c>
      <c r="J74" s="162">
        <f t="shared" si="1"/>
        <v>10788.3</v>
      </c>
      <c r="K74" s="162">
        <f t="shared" si="1"/>
        <v>9438.3000000000029</v>
      </c>
    </row>
    <row r="75" spans="1:11" x14ac:dyDescent="0.3">
      <c r="A75" s="1" t="s">
        <v>107</v>
      </c>
      <c r="B75" s="162">
        <f>SUM(B74,B67:B69,B62:B64)</f>
        <v>51960.5</v>
      </c>
      <c r="C75" s="162">
        <f t="shared" ref="C75:K75" si="2">SUM(C74,C67:C69,C62:C64)</f>
        <v>60248.399999999994</v>
      </c>
      <c r="D75" s="162">
        <f t="shared" si="2"/>
        <v>63968.7</v>
      </c>
      <c r="E75" s="162">
        <f t="shared" si="2"/>
        <v>63627.7</v>
      </c>
      <c r="F75" s="162">
        <f t="shared" si="2"/>
        <v>71376.100000000006</v>
      </c>
      <c r="G75" s="162">
        <f t="shared" si="2"/>
        <v>74655.5</v>
      </c>
      <c r="H75" s="162">
        <f t="shared" si="2"/>
        <v>84596.9</v>
      </c>
      <c r="I75" s="162">
        <f t="shared" si="2"/>
        <v>115304.1</v>
      </c>
      <c r="J75" s="162">
        <f t="shared" si="2"/>
        <v>131971.20000000001</v>
      </c>
      <c r="K75" s="162">
        <f t="shared" si="2"/>
        <v>148881</v>
      </c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45</v>
      </c>
    </row>
    <row r="81" spans="1:11" s="5" customFormat="1" x14ac:dyDescent="0.3">
      <c r="A81" s="3" t="s">
        <v>10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">
      <c r="A82" s="6" t="s">
        <v>46</v>
      </c>
      <c r="B82">
        <v>10282</v>
      </c>
      <c r="C82">
        <v>11787.9</v>
      </c>
      <c r="D82">
        <v>6600.9</v>
      </c>
      <c r="E82">
        <v>3495.8</v>
      </c>
      <c r="F82">
        <v>8856.2000000000007</v>
      </c>
      <c r="G82">
        <v>1840.5</v>
      </c>
      <c r="H82">
        <v>9251.4</v>
      </c>
      <c r="I82">
        <v>16801.099999999999</v>
      </c>
      <c r="J82">
        <v>16136.2</v>
      </c>
      <c r="K82">
        <v>19099.900000000001</v>
      </c>
    </row>
    <row r="83" spans="1:11" s="6" customFormat="1" x14ac:dyDescent="0.3">
      <c r="A83" s="6" t="s">
        <v>47</v>
      </c>
      <c r="B83">
        <v>-9173.2000000000007</v>
      </c>
      <c r="C83">
        <v>-8301.7000000000007</v>
      </c>
      <c r="D83">
        <v>-3539.9</v>
      </c>
      <c r="E83">
        <v>-556.6</v>
      </c>
      <c r="F83">
        <v>-7291.3</v>
      </c>
      <c r="G83">
        <v>-239.2</v>
      </c>
      <c r="H83">
        <v>-8036.1</v>
      </c>
      <c r="I83">
        <v>-11864.8</v>
      </c>
      <c r="J83">
        <v>-14456.1</v>
      </c>
      <c r="K83">
        <v>-14733.5</v>
      </c>
    </row>
    <row r="84" spans="1:11" s="6" customFormat="1" x14ac:dyDescent="0.3">
      <c r="A84" s="6" t="s">
        <v>48</v>
      </c>
      <c r="B84">
        <v>-1129.3</v>
      </c>
      <c r="C84">
        <v>-3436.1</v>
      </c>
      <c r="D84">
        <v>-2947.9</v>
      </c>
      <c r="E84">
        <v>-3104.3</v>
      </c>
      <c r="F84">
        <v>-1544.9</v>
      </c>
      <c r="G84">
        <v>-1607</v>
      </c>
      <c r="H84">
        <v>-1213.0999999999999</v>
      </c>
      <c r="I84">
        <v>-4062</v>
      </c>
      <c r="J84">
        <v>-4155.1000000000004</v>
      </c>
      <c r="K84">
        <v>-4484</v>
      </c>
    </row>
    <row r="85" spans="1:11" s="1" customFormat="1" x14ac:dyDescent="0.3">
      <c r="A85" s="6" t="s">
        <v>49</v>
      </c>
      <c r="B85">
        <v>-20.5</v>
      </c>
      <c r="C85">
        <v>50.1</v>
      </c>
      <c r="D85">
        <v>113.1</v>
      </c>
      <c r="E85">
        <v>-165.1</v>
      </c>
      <c r="F85">
        <v>20</v>
      </c>
      <c r="G85">
        <v>-5.7</v>
      </c>
      <c r="H85">
        <v>2.2000000000000002</v>
      </c>
      <c r="I85">
        <v>874.3</v>
      </c>
      <c r="J85">
        <v>-2475</v>
      </c>
      <c r="K85">
        <v>-117.6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50</v>
      </c>
      <c r="B90">
        <v>6015.7</v>
      </c>
      <c r="C90">
        <v>8861.1</v>
      </c>
      <c r="D90">
        <v>6672.55</v>
      </c>
      <c r="E90">
        <v>4288.3</v>
      </c>
      <c r="F90">
        <v>6859.2</v>
      </c>
      <c r="G90">
        <v>7561.3</v>
      </c>
      <c r="H90">
        <v>8292.15</v>
      </c>
      <c r="I90">
        <v>12600.35</v>
      </c>
      <c r="J90">
        <v>11522.15</v>
      </c>
      <c r="K90">
        <v>12306</v>
      </c>
    </row>
    <row r="92" spans="1:11" s="1" customFormat="1" x14ac:dyDescent="0.3">
      <c r="A92" s="1" t="s">
        <v>51</v>
      </c>
    </row>
    <row r="93" spans="1:11" x14ac:dyDescent="0.3">
      <c r="A93" s="2" t="s">
        <v>52</v>
      </c>
      <c r="B93" s="7">
        <v>30.21</v>
      </c>
      <c r="C93" s="7">
        <v>30.21</v>
      </c>
      <c r="D93" s="7">
        <v>30.21</v>
      </c>
      <c r="E93" s="7">
        <v>30.21</v>
      </c>
      <c r="F93" s="7">
        <v>30.21</v>
      </c>
      <c r="G93" s="7">
        <v>30.21</v>
      </c>
      <c r="H93" s="7">
        <v>30.21</v>
      </c>
      <c r="I93" s="7">
        <v>31.44</v>
      </c>
      <c r="J93" s="7">
        <v>31.44</v>
      </c>
      <c r="K93" s="7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FACAC38-C74B-41B0-B3F4-55CA54B67A2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6993-7E72-4E2B-BFC2-AEF796F0BFAC}">
  <dimension ref="B3:N34"/>
  <sheetViews>
    <sheetView showGridLines="0" workbookViewId="0">
      <selection activeCell="J28" sqref="J28"/>
    </sheetView>
  </sheetViews>
  <sheetFormatPr defaultRowHeight="14.4" x14ac:dyDescent="0.3"/>
  <cols>
    <col min="2" max="2" width="25.77734375" bestFit="1" customWidth="1"/>
  </cols>
  <sheetData>
    <row r="3" spans="2:14" x14ac:dyDescent="0.3">
      <c r="C3" s="11">
        <v>42064</v>
      </c>
      <c r="D3" s="11">
        <v>42430</v>
      </c>
      <c r="E3" s="11">
        <v>42795</v>
      </c>
      <c r="F3" s="11">
        <v>43160</v>
      </c>
      <c r="G3" s="11">
        <v>43525</v>
      </c>
      <c r="H3" s="11">
        <v>43891</v>
      </c>
      <c r="I3" s="11">
        <v>44256</v>
      </c>
      <c r="J3" s="11">
        <v>44621</v>
      </c>
      <c r="K3" s="11">
        <v>44986</v>
      </c>
      <c r="L3" s="11">
        <v>45352</v>
      </c>
      <c r="M3" s="11">
        <v>45717</v>
      </c>
      <c r="N3" s="11">
        <v>46082</v>
      </c>
    </row>
    <row r="4" spans="2:14" x14ac:dyDescent="0.3">
      <c r="B4" s="10" t="s">
        <v>53</v>
      </c>
      <c r="C4" s="9">
        <v>6449</v>
      </c>
      <c r="D4" s="9">
        <v>8482</v>
      </c>
      <c r="E4" s="9">
        <v>10282</v>
      </c>
      <c r="F4" s="9">
        <v>11788</v>
      </c>
      <c r="G4" s="9">
        <v>6601</v>
      </c>
      <c r="H4" s="9">
        <v>3496</v>
      </c>
      <c r="I4" s="9">
        <v>8856</v>
      </c>
      <c r="J4" s="9">
        <v>1840</v>
      </c>
      <c r="K4" s="9">
        <v>9251</v>
      </c>
      <c r="L4" s="9">
        <v>16801</v>
      </c>
      <c r="M4" s="9">
        <v>16136</v>
      </c>
      <c r="N4" s="9">
        <v>19100</v>
      </c>
    </row>
    <row r="5" spans="2:14" x14ac:dyDescent="0.3">
      <c r="B5" t="s">
        <v>54</v>
      </c>
      <c r="C5" s="9">
        <v>6779</v>
      </c>
      <c r="D5" s="9">
        <v>8935</v>
      </c>
      <c r="E5" s="9">
        <v>10413</v>
      </c>
      <c r="F5" s="9">
        <v>12036</v>
      </c>
      <c r="G5" s="9">
        <v>11060</v>
      </c>
      <c r="H5" s="9">
        <v>7503</v>
      </c>
      <c r="I5" s="9">
        <v>5531</v>
      </c>
      <c r="J5" s="9">
        <v>5832</v>
      </c>
      <c r="K5" s="9">
        <v>11112</v>
      </c>
      <c r="L5" s="9">
        <v>18676</v>
      </c>
      <c r="M5" s="9">
        <v>20322</v>
      </c>
      <c r="N5" s="9">
        <v>21802</v>
      </c>
    </row>
    <row r="6" spans="2:14" x14ac:dyDescent="0.3">
      <c r="B6" t="s">
        <v>39</v>
      </c>
      <c r="C6" s="9">
        <v>345</v>
      </c>
      <c r="D6" s="9">
        <v>-204</v>
      </c>
      <c r="E6" s="9">
        <v>122</v>
      </c>
      <c r="F6" s="9">
        <v>-262</v>
      </c>
      <c r="G6" s="9">
        <v>-851</v>
      </c>
      <c r="H6" s="9">
        <v>340</v>
      </c>
      <c r="I6">
        <v>696</v>
      </c>
      <c r="J6">
        <v>-764</v>
      </c>
      <c r="K6" s="9">
        <v>-1258</v>
      </c>
      <c r="L6" s="9">
        <v>-1316</v>
      </c>
      <c r="M6" s="9">
        <v>-1969</v>
      </c>
      <c r="N6" s="9">
        <v>1236</v>
      </c>
    </row>
    <row r="7" spans="2:14" x14ac:dyDescent="0.3">
      <c r="B7" t="s">
        <v>40</v>
      </c>
      <c r="C7">
        <v>-982</v>
      </c>
      <c r="D7">
        <v>-450</v>
      </c>
      <c r="E7">
        <v>-131</v>
      </c>
      <c r="F7">
        <v>104</v>
      </c>
      <c r="G7">
        <v>-162</v>
      </c>
      <c r="H7" s="9">
        <v>109</v>
      </c>
      <c r="I7">
        <v>165</v>
      </c>
      <c r="J7">
        <v>-483</v>
      </c>
      <c r="K7">
        <v>-751</v>
      </c>
      <c r="L7" s="9">
        <v>125</v>
      </c>
      <c r="M7" s="9">
        <v>-1595</v>
      </c>
      <c r="N7" s="9">
        <v>-4407</v>
      </c>
    </row>
    <row r="8" spans="2:14" x14ac:dyDescent="0.3">
      <c r="B8" t="s">
        <v>55</v>
      </c>
      <c r="C8" s="9">
        <v>712</v>
      </c>
      <c r="D8" s="9">
        <v>1789</v>
      </c>
      <c r="E8" s="9">
        <v>979</v>
      </c>
      <c r="F8" s="9">
        <v>2128</v>
      </c>
      <c r="G8" s="9">
        <v>-858</v>
      </c>
      <c r="H8" s="9">
        <v>-2155</v>
      </c>
      <c r="I8" s="9">
        <v>2680</v>
      </c>
      <c r="J8">
        <v>-396</v>
      </c>
      <c r="K8" s="9">
        <v>2008</v>
      </c>
      <c r="L8" s="9">
        <v>3321</v>
      </c>
      <c r="M8" s="9">
        <v>3509</v>
      </c>
      <c r="N8" s="9">
        <v>5194</v>
      </c>
    </row>
    <row r="9" spans="2:14" x14ac:dyDescent="0.3">
      <c r="B9" t="s">
        <v>56</v>
      </c>
      <c r="C9">
        <v>23</v>
      </c>
      <c r="D9">
        <v>-1</v>
      </c>
      <c r="E9">
        <v>1</v>
      </c>
      <c r="F9">
        <v>0</v>
      </c>
      <c r="G9">
        <v>-13</v>
      </c>
      <c r="H9">
        <v>-1</v>
      </c>
      <c r="I9">
        <v>-6</v>
      </c>
      <c r="J9">
        <v>-8</v>
      </c>
      <c r="K9">
        <v>1</v>
      </c>
      <c r="L9">
        <v>-3</v>
      </c>
      <c r="M9">
        <v>-10</v>
      </c>
      <c r="N9">
        <v>-1</v>
      </c>
    </row>
    <row r="10" spans="2:14" x14ac:dyDescent="0.3">
      <c r="B10" t="s">
        <v>57</v>
      </c>
      <c r="C10" s="9">
        <v>648</v>
      </c>
      <c r="D10">
        <v>325</v>
      </c>
      <c r="E10" s="9">
        <v>1222</v>
      </c>
      <c r="F10" s="9">
        <v>839</v>
      </c>
      <c r="G10" s="9">
        <v>569</v>
      </c>
      <c r="H10">
        <v>-863</v>
      </c>
      <c r="I10">
        <v>801</v>
      </c>
      <c r="J10" s="9">
        <v>-1162</v>
      </c>
      <c r="K10" s="9">
        <v>374</v>
      </c>
      <c r="L10" s="9">
        <v>-406</v>
      </c>
      <c r="M10">
        <v>-313</v>
      </c>
      <c r="N10" s="9">
        <v>-387</v>
      </c>
    </row>
    <row r="11" spans="2:14" x14ac:dyDescent="0.3">
      <c r="B11" t="s">
        <v>58</v>
      </c>
      <c r="C11">
        <v>745</v>
      </c>
      <c r="D11" s="9">
        <v>1460</v>
      </c>
      <c r="E11" s="9">
        <v>2192</v>
      </c>
      <c r="F11" s="9">
        <v>2808</v>
      </c>
      <c r="G11" s="9">
        <v>-1315</v>
      </c>
      <c r="H11" s="9">
        <v>-2570</v>
      </c>
      <c r="I11" s="9">
        <v>4336</v>
      </c>
      <c r="J11" s="9">
        <v>-2813</v>
      </c>
      <c r="K11" s="9">
        <v>373</v>
      </c>
      <c r="L11" s="9">
        <v>1722</v>
      </c>
      <c r="M11">
        <v>-378</v>
      </c>
      <c r="N11" s="9">
        <v>1635</v>
      </c>
    </row>
    <row r="12" spans="2:14" x14ac:dyDescent="0.3">
      <c r="B12" t="s">
        <v>59</v>
      </c>
      <c r="C12" s="9">
        <v>-1075</v>
      </c>
      <c r="D12" s="9">
        <v>-1912</v>
      </c>
      <c r="E12" s="9">
        <v>-2323</v>
      </c>
      <c r="F12" s="9">
        <v>-3056</v>
      </c>
      <c r="G12" s="9">
        <v>-3144</v>
      </c>
      <c r="H12" s="9">
        <v>-1438</v>
      </c>
      <c r="I12" s="9">
        <v>-1011</v>
      </c>
      <c r="J12" s="9">
        <v>-1178</v>
      </c>
      <c r="K12" s="9">
        <v>-2233</v>
      </c>
      <c r="L12" s="9">
        <v>-3597</v>
      </c>
      <c r="M12" s="9">
        <v>-3807</v>
      </c>
      <c r="N12" s="9">
        <v>-4337</v>
      </c>
    </row>
    <row r="13" spans="2:14" x14ac:dyDescent="0.3">
      <c r="B13" s="10" t="s">
        <v>60</v>
      </c>
      <c r="C13" s="9">
        <v>-4491</v>
      </c>
      <c r="D13" s="9">
        <v>-7230</v>
      </c>
      <c r="E13" s="9">
        <v>-9173</v>
      </c>
      <c r="F13" s="9">
        <v>-8302</v>
      </c>
      <c r="G13" s="9">
        <v>-3540</v>
      </c>
      <c r="H13" s="9">
        <v>-557</v>
      </c>
      <c r="I13" s="9">
        <v>-7291</v>
      </c>
      <c r="J13">
        <v>-239</v>
      </c>
      <c r="K13" s="9">
        <v>-8036</v>
      </c>
      <c r="L13" s="9">
        <v>-11865</v>
      </c>
      <c r="M13" s="9">
        <v>-14456</v>
      </c>
      <c r="N13" s="9">
        <v>-14734</v>
      </c>
    </row>
    <row r="14" spans="2:14" x14ac:dyDescent="0.3">
      <c r="B14" t="s">
        <v>61</v>
      </c>
      <c r="C14" s="9">
        <v>-3058</v>
      </c>
      <c r="D14" s="9">
        <v>-2469</v>
      </c>
      <c r="E14" s="9">
        <v>-3391</v>
      </c>
      <c r="F14" s="9">
        <v>-3912</v>
      </c>
      <c r="G14" s="9">
        <v>-4872</v>
      </c>
      <c r="H14" s="9">
        <v>-3437</v>
      </c>
      <c r="I14" s="9">
        <v>-2370</v>
      </c>
      <c r="J14" s="9">
        <v>-3459</v>
      </c>
      <c r="K14" s="9">
        <v>-6347</v>
      </c>
      <c r="L14" s="9">
        <v>-9200</v>
      </c>
      <c r="M14" s="9">
        <v>-10641</v>
      </c>
      <c r="N14" s="9">
        <v>-10398</v>
      </c>
    </row>
    <row r="15" spans="2:14" x14ac:dyDescent="0.3">
      <c r="B15" t="s">
        <v>62</v>
      </c>
      <c r="C15">
        <v>16</v>
      </c>
      <c r="D15">
        <v>12</v>
      </c>
      <c r="E15">
        <v>16</v>
      </c>
      <c r="F15">
        <v>26</v>
      </c>
      <c r="G15">
        <v>170</v>
      </c>
      <c r="H15">
        <v>37</v>
      </c>
      <c r="I15">
        <v>42</v>
      </c>
      <c r="J15">
        <v>136</v>
      </c>
      <c r="K15">
        <v>100</v>
      </c>
      <c r="L15">
        <v>45</v>
      </c>
      <c r="M15">
        <v>38</v>
      </c>
      <c r="N15">
        <v>52</v>
      </c>
    </row>
    <row r="16" spans="2:14" x14ac:dyDescent="0.3">
      <c r="B16" t="s">
        <v>63</v>
      </c>
      <c r="C16" s="9">
        <v>-17354</v>
      </c>
      <c r="D16" s="9">
        <v>-12044</v>
      </c>
      <c r="E16" s="9">
        <v>-17716</v>
      </c>
      <c r="F16" s="9">
        <v>-47069</v>
      </c>
      <c r="G16" s="9">
        <v>-52957</v>
      </c>
      <c r="H16" s="9">
        <v>-44205</v>
      </c>
      <c r="I16" s="9">
        <v>-44869</v>
      </c>
      <c r="J16" s="9">
        <v>-60525</v>
      </c>
      <c r="K16" s="9">
        <v>-66597</v>
      </c>
      <c r="L16" s="9">
        <v>-65736</v>
      </c>
      <c r="M16" s="9">
        <v>-73882</v>
      </c>
      <c r="N16" s="9">
        <v>-108034</v>
      </c>
    </row>
    <row r="17" spans="2:14" x14ac:dyDescent="0.3">
      <c r="B17" t="s">
        <v>64</v>
      </c>
      <c r="C17" s="9">
        <v>15270</v>
      </c>
      <c r="D17" s="9">
        <v>7378</v>
      </c>
      <c r="E17" s="9">
        <v>11839</v>
      </c>
      <c r="F17" s="9">
        <v>42564</v>
      </c>
      <c r="G17" s="9">
        <v>53986</v>
      </c>
      <c r="H17" s="9">
        <v>46969</v>
      </c>
      <c r="I17" s="9">
        <v>42920</v>
      </c>
      <c r="J17" s="9">
        <v>63579</v>
      </c>
      <c r="K17" s="9">
        <v>61605</v>
      </c>
      <c r="L17" s="9">
        <v>61933</v>
      </c>
      <c r="M17" s="9">
        <v>69795</v>
      </c>
      <c r="N17" s="9">
        <v>101969</v>
      </c>
    </row>
    <row r="18" spans="2:14" x14ac:dyDescent="0.3">
      <c r="B18" t="s">
        <v>65</v>
      </c>
      <c r="C18">
        <v>152</v>
      </c>
      <c r="D18">
        <v>67</v>
      </c>
      <c r="E18">
        <v>36</v>
      </c>
      <c r="F18">
        <v>68</v>
      </c>
      <c r="G18">
        <v>124</v>
      </c>
      <c r="H18">
        <v>96</v>
      </c>
      <c r="I18">
        <v>67</v>
      </c>
      <c r="J18" s="9">
        <v>174</v>
      </c>
      <c r="K18" s="9">
        <v>194</v>
      </c>
      <c r="L18" s="9">
        <v>372</v>
      </c>
      <c r="M18">
        <v>444</v>
      </c>
      <c r="N18" s="9">
        <v>354</v>
      </c>
    </row>
    <row r="19" spans="2:14" x14ac:dyDescent="0.3">
      <c r="B19" t="s">
        <v>81</v>
      </c>
      <c r="C19">
        <v>54</v>
      </c>
      <c r="D19">
        <v>11</v>
      </c>
      <c r="E19">
        <v>13</v>
      </c>
      <c r="F19">
        <v>20</v>
      </c>
      <c r="G19">
        <v>9</v>
      </c>
      <c r="H19">
        <v>4</v>
      </c>
      <c r="I19">
        <v>3</v>
      </c>
      <c r="J19">
        <v>3</v>
      </c>
      <c r="K19">
        <v>6</v>
      </c>
      <c r="L19">
        <v>6</v>
      </c>
      <c r="M19">
        <v>9</v>
      </c>
      <c r="N19">
        <v>11</v>
      </c>
    </row>
    <row r="20" spans="2:14" x14ac:dyDescent="0.3">
      <c r="B20" t="s">
        <v>66</v>
      </c>
      <c r="C20" s="9">
        <v>0</v>
      </c>
      <c r="D20">
        <v>0</v>
      </c>
      <c r="E20">
        <v>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67</v>
      </c>
      <c r="C21">
        <v>0</v>
      </c>
      <c r="D21">
        <v>0</v>
      </c>
      <c r="E21">
        <v>0</v>
      </c>
      <c r="F21">
        <v>0</v>
      </c>
      <c r="G21">
        <v>0</v>
      </c>
      <c r="H21">
        <v>-15</v>
      </c>
      <c r="I21">
        <v>-65</v>
      </c>
      <c r="J21">
        <v>-146</v>
      </c>
      <c r="K21">
        <v>0</v>
      </c>
      <c r="L21">
        <v>-80</v>
      </c>
      <c r="M21">
        <v>-18</v>
      </c>
      <c r="N21">
        <v>0</v>
      </c>
    </row>
    <row r="22" spans="2:14" x14ac:dyDescent="0.3">
      <c r="B22" t="s">
        <v>68</v>
      </c>
      <c r="C22">
        <v>428</v>
      </c>
      <c r="D22">
        <v>-186</v>
      </c>
      <c r="E22">
        <v>7</v>
      </c>
      <c r="F22">
        <v>0</v>
      </c>
      <c r="G22">
        <v>0</v>
      </c>
      <c r="H22">
        <v>-5</v>
      </c>
      <c r="I22" s="9">
        <v>-3019</v>
      </c>
      <c r="J22">
        <v>-1</v>
      </c>
      <c r="K22" s="9">
        <v>3003</v>
      </c>
      <c r="L22">
        <v>795</v>
      </c>
      <c r="M22" s="9">
        <v>-201</v>
      </c>
      <c r="N22" s="9">
        <v>1311</v>
      </c>
    </row>
    <row r="23" spans="2:14" x14ac:dyDescent="0.3">
      <c r="B23" t="s">
        <v>69</v>
      </c>
      <c r="C23" s="9">
        <v>-2004</v>
      </c>
      <c r="D23" s="9">
        <v>-1237</v>
      </c>
      <c r="E23" s="9">
        <v>-1129</v>
      </c>
      <c r="F23" s="9">
        <v>-3436</v>
      </c>
      <c r="G23" s="9">
        <v>-2948</v>
      </c>
      <c r="H23" s="9">
        <v>-3104</v>
      </c>
      <c r="I23" s="9">
        <v>-1545</v>
      </c>
      <c r="J23" s="9">
        <v>-1607</v>
      </c>
      <c r="K23" s="9">
        <v>-1213</v>
      </c>
      <c r="L23" s="9">
        <v>-4062</v>
      </c>
      <c r="M23" s="9">
        <v>-4155</v>
      </c>
      <c r="N23" s="9">
        <v>-4484</v>
      </c>
    </row>
    <row r="24" spans="2:14" x14ac:dyDescent="0.3">
      <c r="B24" s="10" t="s">
        <v>70</v>
      </c>
      <c r="C24" s="9">
        <v>92</v>
      </c>
      <c r="D24" s="9">
        <v>77</v>
      </c>
      <c r="E24" s="9">
        <v>484</v>
      </c>
      <c r="F24" s="9">
        <v>10</v>
      </c>
      <c r="G24" s="9">
        <v>39</v>
      </c>
      <c r="H24" s="9">
        <v>0</v>
      </c>
      <c r="I24" s="9">
        <v>380</v>
      </c>
      <c r="J24" s="9">
        <v>0</v>
      </c>
      <c r="K24" s="9">
        <v>831</v>
      </c>
      <c r="L24" s="9">
        <v>0</v>
      </c>
      <c r="M24" s="9">
        <v>0</v>
      </c>
      <c r="N24" s="9">
        <v>0</v>
      </c>
    </row>
    <row r="25" spans="2:14" x14ac:dyDescent="0.3">
      <c r="B25" t="s">
        <v>71</v>
      </c>
      <c r="C25" s="9">
        <v>-1449</v>
      </c>
      <c r="D25" s="9">
        <v>-313</v>
      </c>
      <c r="E25" s="9">
        <v>-231</v>
      </c>
      <c r="F25">
        <v>-373</v>
      </c>
      <c r="G25" s="9">
        <v>0</v>
      </c>
      <c r="H25">
        <v>-46</v>
      </c>
      <c r="I25">
        <v>0</v>
      </c>
      <c r="J25">
        <v>-110</v>
      </c>
      <c r="K25">
        <v>0</v>
      </c>
      <c r="L25" s="9">
        <v>-1183</v>
      </c>
      <c r="M25">
        <v>-33</v>
      </c>
      <c r="N25">
        <v>0</v>
      </c>
    </row>
    <row r="26" spans="2:14" x14ac:dyDescent="0.3">
      <c r="B26" t="s">
        <v>72</v>
      </c>
      <c r="C26">
        <v>-222</v>
      </c>
      <c r="D26">
        <v>-92</v>
      </c>
      <c r="E26">
        <v>-110</v>
      </c>
      <c r="F26">
        <v>-346</v>
      </c>
      <c r="G26">
        <v>-73</v>
      </c>
      <c r="H26">
        <v>-136</v>
      </c>
      <c r="I26">
        <v>-102</v>
      </c>
      <c r="J26">
        <v>-130</v>
      </c>
      <c r="K26">
        <v>-186</v>
      </c>
      <c r="L26">
        <v>-147</v>
      </c>
      <c r="M26">
        <v>-167</v>
      </c>
      <c r="N26">
        <v>-204</v>
      </c>
    </row>
    <row r="27" spans="2:14" x14ac:dyDescent="0.3">
      <c r="B27" t="s">
        <v>73</v>
      </c>
      <c r="C27">
        <v>-362</v>
      </c>
      <c r="D27">
        <v>-755</v>
      </c>
      <c r="E27" s="9">
        <v>-1057</v>
      </c>
      <c r="F27" s="9">
        <v>-2266</v>
      </c>
      <c r="G27" s="9">
        <v>-2417</v>
      </c>
      <c r="H27" s="9">
        <v>-2417</v>
      </c>
      <c r="I27" s="9">
        <v>-1812</v>
      </c>
      <c r="J27" s="9">
        <v>-1359</v>
      </c>
      <c r="K27" s="9">
        <v>-1812</v>
      </c>
      <c r="L27" s="9">
        <v>-2719</v>
      </c>
      <c r="M27" s="9">
        <v>-3930</v>
      </c>
      <c r="N27" s="9">
        <v>-4244</v>
      </c>
    </row>
    <row r="28" spans="2:14" x14ac:dyDescent="0.3">
      <c r="B28" t="s">
        <v>74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-10</v>
      </c>
      <c r="I28" s="9">
        <v>-11</v>
      </c>
      <c r="J28" s="9">
        <v>-8</v>
      </c>
      <c r="K28" s="9">
        <v>-46</v>
      </c>
      <c r="L28" s="9">
        <v>-13</v>
      </c>
      <c r="M28" s="9">
        <v>-25</v>
      </c>
      <c r="N28" s="9">
        <v>-36</v>
      </c>
    </row>
    <row r="29" spans="2:14" x14ac:dyDescent="0.3">
      <c r="B29" t="s">
        <v>75</v>
      </c>
      <c r="C29" s="9">
        <v>-62</v>
      </c>
      <c r="D29" s="9">
        <v>-154</v>
      </c>
      <c r="E29" s="9">
        <v>-215</v>
      </c>
      <c r="F29" s="9">
        <v>-461</v>
      </c>
      <c r="G29" s="9">
        <v>-497</v>
      </c>
      <c r="H29" s="9">
        <v>-497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2:14" x14ac:dyDescent="0.3">
      <c r="B30" t="s">
        <v>49</v>
      </c>
      <c r="C30" s="9">
        <v>-45</v>
      </c>
      <c r="D30" s="9">
        <v>16</v>
      </c>
      <c r="E30" s="9">
        <v>-20</v>
      </c>
      <c r="F30" s="9">
        <v>50</v>
      </c>
      <c r="G30" s="9">
        <v>113</v>
      </c>
      <c r="H30" s="9">
        <v>-165</v>
      </c>
      <c r="I30" s="9">
        <v>20</v>
      </c>
      <c r="J30" s="9">
        <v>-6</v>
      </c>
      <c r="K30" s="9">
        <v>2</v>
      </c>
      <c r="L30" s="9">
        <v>874</v>
      </c>
      <c r="M30" s="9">
        <v>-2475</v>
      </c>
      <c r="N30" s="9">
        <v>-118</v>
      </c>
    </row>
    <row r="31" spans="2:14" x14ac:dyDescent="0.3">
      <c r="L31" s="9"/>
      <c r="N31" s="9"/>
    </row>
    <row r="33" spans="2:14" x14ac:dyDescent="0.3">
      <c r="L33" s="9"/>
      <c r="M33" s="9"/>
      <c r="N33" s="9"/>
    </row>
    <row r="34" spans="2:14" x14ac:dyDescent="0.3">
      <c r="B34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FC96-EE65-45D9-8B02-7D7D21C599C1}">
  <dimension ref="B1:V30"/>
  <sheetViews>
    <sheetView workbookViewId="0">
      <selection activeCell="D16" sqref="D16"/>
    </sheetView>
  </sheetViews>
  <sheetFormatPr defaultRowHeight="14.4" x14ac:dyDescent="0.3"/>
  <cols>
    <col min="1" max="1" width="1.88671875" customWidth="1"/>
    <col min="2" max="6" width="13.21875" customWidth="1"/>
  </cols>
  <sheetData>
    <row r="1" spans="2:22" x14ac:dyDescent="0.3">
      <c r="I1" t="s">
        <v>314</v>
      </c>
    </row>
    <row r="3" spans="2:22" x14ac:dyDescent="0.3">
      <c r="I3" t="s">
        <v>313</v>
      </c>
      <c r="J3" t="s">
        <v>312</v>
      </c>
      <c r="K3" t="s">
        <v>311</v>
      </c>
      <c r="L3" t="s">
        <v>310</v>
      </c>
      <c r="M3" t="s">
        <v>309</v>
      </c>
      <c r="N3" t="s">
        <v>308</v>
      </c>
      <c r="O3" t="s">
        <v>307</v>
      </c>
      <c r="P3" t="s">
        <v>306</v>
      </c>
      <c r="Q3" t="s">
        <v>305</v>
      </c>
      <c r="R3" t="s">
        <v>304</v>
      </c>
      <c r="S3" t="s">
        <v>303</v>
      </c>
      <c r="T3" t="s">
        <v>302</v>
      </c>
      <c r="U3" t="s">
        <v>301</v>
      </c>
      <c r="V3" t="s">
        <v>300</v>
      </c>
    </row>
    <row r="4" spans="2:22" x14ac:dyDescent="0.3">
      <c r="I4">
        <v>2000</v>
      </c>
      <c r="J4">
        <v>4.4400000000000004</v>
      </c>
      <c r="K4">
        <v>7.02</v>
      </c>
      <c r="L4">
        <v>-7.64</v>
      </c>
      <c r="M4">
        <v>-7.98</v>
      </c>
      <c r="N4">
        <v>-1.86</v>
      </c>
      <c r="O4">
        <v>6.59</v>
      </c>
      <c r="P4">
        <v>-9.42</v>
      </c>
      <c r="Q4">
        <v>4.5999999999999996</v>
      </c>
      <c r="R4">
        <v>-8.7799999999999994</v>
      </c>
      <c r="S4">
        <v>-7.78</v>
      </c>
      <c r="T4">
        <v>8.1300000000000008</v>
      </c>
      <c r="U4">
        <v>-0.36</v>
      </c>
      <c r="V4">
        <v>-14.65</v>
      </c>
    </row>
    <row r="5" spans="2:22" x14ac:dyDescent="0.3">
      <c r="B5" s="112" t="s">
        <v>329</v>
      </c>
      <c r="C5" s="112" t="s">
        <v>295</v>
      </c>
      <c r="D5" s="112" t="s">
        <v>296</v>
      </c>
      <c r="E5" s="112" t="s">
        <v>297</v>
      </c>
      <c r="F5" s="112" t="s">
        <v>298</v>
      </c>
      <c r="G5" s="112" t="s">
        <v>299</v>
      </c>
      <c r="I5">
        <v>2001</v>
      </c>
      <c r="J5">
        <v>8.56</v>
      </c>
      <c r="K5">
        <v>-1.48</v>
      </c>
      <c r="L5">
        <v>-15.04</v>
      </c>
      <c r="M5">
        <v>-2</v>
      </c>
      <c r="N5">
        <v>3.79</v>
      </c>
      <c r="O5">
        <v>-5.14</v>
      </c>
      <c r="P5">
        <v>-3.16</v>
      </c>
      <c r="Q5">
        <v>-1.78</v>
      </c>
      <c r="R5">
        <v>-13.28</v>
      </c>
      <c r="S5">
        <v>6.35</v>
      </c>
      <c r="T5">
        <v>9.8000000000000007</v>
      </c>
      <c r="U5">
        <v>-0.76</v>
      </c>
      <c r="V5">
        <v>-16.18</v>
      </c>
    </row>
    <row r="6" spans="2:22" x14ac:dyDescent="0.3">
      <c r="B6" s="112">
        <v>1</v>
      </c>
      <c r="C6" s="112" t="s">
        <v>201</v>
      </c>
      <c r="D6" s="112">
        <v>13301.3</v>
      </c>
      <c r="E6" s="112">
        <v>418196.27</v>
      </c>
      <c r="F6" s="112">
        <v>102.5</v>
      </c>
      <c r="G6" s="112">
        <v>0</v>
      </c>
      <c r="I6">
        <v>2002</v>
      </c>
      <c r="J6">
        <v>1.54</v>
      </c>
      <c r="K6">
        <v>6.2</v>
      </c>
      <c r="L6">
        <v>-1.0900000000000001</v>
      </c>
      <c r="M6">
        <v>-3.99</v>
      </c>
      <c r="N6">
        <v>-5.14</v>
      </c>
      <c r="O6">
        <v>2.82</v>
      </c>
      <c r="P6">
        <v>-9.35</v>
      </c>
      <c r="Q6">
        <v>5.39</v>
      </c>
      <c r="R6">
        <v>-4.7</v>
      </c>
      <c r="S6">
        <v>-1.22</v>
      </c>
      <c r="T6">
        <v>10.38</v>
      </c>
      <c r="U6">
        <v>4.13</v>
      </c>
      <c r="V6">
        <v>3.25</v>
      </c>
    </row>
    <row r="7" spans="2:22" x14ac:dyDescent="0.3">
      <c r="B7" s="112">
        <v>2</v>
      </c>
      <c r="C7" s="112" t="s">
        <v>202</v>
      </c>
      <c r="D7" s="112">
        <v>3078</v>
      </c>
      <c r="E7" s="112">
        <v>382758.18</v>
      </c>
      <c r="F7" s="112">
        <v>133963.15</v>
      </c>
      <c r="G7" s="112">
        <v>1.44</v>
      </c>
      <c r="I7">
        <v>2003</v>
      </c>
      <c r="J7">
        <v>-4.72</v>
      </c>
      <c r="K7">
        <v>2.0699999999999998</v>
      </c>
      <c r="L7">
        <v>-8.01</v>
      </c>
      <c r="M7">
        <v>-4.51</v>
      </c>
      <c r="N7">
        <v>7.79</v>
      </c>
      <c r="O7">
        <v>12.65</v>
      </c>
      <c r="P7">
        <v>4.5599999999999996</v>
      </c>
      <c r="Q7">
        <v>14.39</v>
      </c>
      <c r="R7">
        <v>4.46</v>
      </c>
      <c r="S7">
        <v>9.7899999999999991</v>
      </c>
      <c r="T7">
        <v>3.81</v>
      </c>
      <c r="U7">
        <v>16.38</v>
      </c>
      <c r="V7">
        <v>71.900000000000006</v>
      </c>
    </row>
    <row r="8" spans="2:22" x14ac:dyDescent="0.3">
      <c r="B8" s="112">
        <v>3</v>
      </c>
      <c r="C8" s="112" t="s">
        <v>203</v>
      </c>
      <c r="D8" s="112">
        <v>1974</v>
      </c>
      <c r="E8" s="112">
        <v>160395.62</v>
      </c>
      <c r="F8" s="112">
        <v>1097.56</v>
      </c>
      <c r="G8" s="112">
        <v>0.05</v>
      </c>
      <c r="I8">
        <v>2004</v>
      </c>
      <c r="J8">
        <v>-3.72</v>
      </c>
      <c r="K8">
        <v>-0.52</v>
      </c>
      <c r="L8">
        <v>-1.58</v>
      </c>
      <c r="M8">
        <v>1.37</v>
      </c>
      <c r="N8">
        <v>-17.399999999999999</v>
      </c>
      <c r="O8">
        <v>1.48</v>
      </c>
      <c r="P8">
        <v>8.42</v>
      </c>
      <c r="Q8">
        <v>-0.03</v>
      </c>
      <c r="R8">
        <v>6.97</v>
      </c>
      <c r="S8">
        <v>2.37</v>
      </c>
      <c r="T8">
        <v>9.6199999999999992</v>
      </c>
      <c r="U8">
        <v>6.21</v>
      </c>
      <c r="V8">
        <v>10.68</v>
      </c>
    </row>
    <row r="9" spans="2:22" x14ac:dyDescent="0.3">
      <c r="B9" s="112">
        <v>4</v>
      </c>
      <c r="C9" s="112" t="s">
        <v>204</v>
      </c>
      <c r="D9" s="112">
        <v>355.9</v>
      </c>
      <c r="E9" s="112">
        <v>131063.15</v>
      </c>
      <c r="F9" s="112">
        <v>79109</v>
      </c>
      <c r="G9" s="112">
        <v>0.71</v>
      </c>
      <c r="I9">
        <v>2005</v>
      </c>
      <c r="J9">
        <v>-1.1000000000000001</v>
      </c>
      <c r="K9">
        <v>2.2200000000000002</v>
      </c>
      <c r="L9">
        <v>-3.21</v>
      </c>
      <c r="M9">
        <v>-6.54</v>
      </c>
      <c r="N9">
        <v>9.73</v>
      </c>
      <c r="O9">
        <v>6.37</v>
      </c>
      <c r="P9">
        <v>4.13</v>
      </c>
      <c r="Q9">
        <v>3.13</v>
      </c>
      <c r="R9">
        <v>9.09</v>
      </c>
      <c r="S9">
        <v>-8.86</v>
      </c>
      <c r="T9">
        <v>11.86</v>
      </c>
      <c r="U9">
        <v>6.95</v>
      </c>
      <c r="V9">
        <v>36.340000000000003</v>
      </c>
    </row>
    <row r="10" spans="2:22" x14ac:dyDescent="0.3">
      <c r="I10">
        <v>2006</v>
      </c>
      <c r="J10">
        <v>5.8</v>
      </c>
      <c r="K10">
        <v>2.4500000000000002</v>
      </c>
      <c r="L10">
        <v>10.66</v>
      </c>
      <c r="M10">
        <v>4.5599999999999996</v>
      </c>
      <c r="N10">
        <v>-13.68</v>
      </c>
      <c r="O10">
        <v>1.86</v>
      </c>
      <c r="P10">
        <v>0.48</v>
      </c>
      <c r="Q10">
        <v>8.61</v>
      </c>
      <c r="R10">
        <v>5.1100000000000003</v>
      </c>
      <c r="S10">
        <v>4.34</v>
      </c>
      <c r="T10">
        <v>5.62</v>
      </c>
      <c r="U10">
        <v>0.3</v>
      </c>
      <c r="V10">
        <v>39.83</v>
      </c>
    </row>
    <row r="11" spans="2:22" x14ac:dyDescent="0.3">
      <c r="I11">
        <v>2007</v>
      </c>
      <c r="J11">
        <v>2.93</v>
      </c>
      <c r="K11">
        <v>-8.26</v>
      </c>
      <c r="L11">
        <v>2.04</v>
      </c>
      <c r="M11">
        <v>6.97</v>
      </c>
      <c r="N11">
        <v>5.09</v>
      </c>
      <c r="O11">
        <v>0.52</v>
      </c>
      <c r="P11">
        <v>4.88</v>
      </c>
      <c r="Q11">
        <v>-1.43</v>
      </c>
      <c r="R11">
        <v>12.49</v>
      </c>
      <c r="S11">
        <v>17.510000000000002</v>
      </c>
      <c r="T11">
        <v>-2.34</v>
      </c>
      <c r="U11">
        <v>6.52</v>
      </c>
      <c r="V11">
        <v>54.77</v>
      </c>
    </row>
    <row r="12" spans="2:22" x14ac:dyDescent="0.3">
      <c r="I12">
        <v>2008</v>
      </c>
      <c r="J12">
        <v>-16.309999999999999</v>
      </c>
      <c r="K12">
        <v>1.67</v>
      </c>
      <c r="L12">
        <v>-9.36</v>
      </c>
      <c r="M12">
        <v>9.11</v>
      </c>
      <c r="N12">
        <v>-5.73</v>
      </c>
      <c r="O12">
        <v>-17.03</v>
      </c>
      <c r="P12">
        <v>7.24</v>
      </c>
      <c r="Q12">
        <v>0.62</v>
      </c>
      <c r="R12">
        <v>-10.06</v>
      </c>
      <c r="S12">
        <v>-26.41</v>
      </c>
      <c r="T12">
        <v>-4.5199999999999996</v>
      </c>
      <c r="U12">
        <v>7.41</v>
      </c>
      <c r="V12">
        <v>-51.79</v>
      </c>
    </row>
    <row r="13" spans="2:22" x14ac:dyDescent="0.3">
      <c r="I13">
        <v>2009</v>
      </c>
      <c r="J13">
        <v>-2.85</v>
      </c>
      <c r="K13">
        <v>-3.87</v>
      </c>
      <c r="L13">
        <v>9.31</v>
      </c>
      <c r="M13">
        <v>15</v>
      </c>
      <c r="N13">
        <v>28.07</v>
      </c>
      <c r="O13">
        <v>-3.55</v>
      </c>
      <c r="P13">
        <v>8.0500000000000007</v>
      </c>
      <c r="Q13">
        <v>0.55000000000000004</v>
      </c>
      <c r="R13">
        <v>9.0500000000000007</v>
      </c>
      <c r="S13">
        <v>-7.32</v>
      </c>
      <c r="T13">
        <v>6.81</v>
      </c>
      <c r="U13">
        <v>3.35</v>
      </c>
      <c r="V13">
        <v>75.760000000000005</v>
      </c>
    </row>
    <row r="14" spans="2:22" x14ac:dyDescent="0.3">
      <c r="I14">
        <v>2010</v>
      </c>
      <c r="J14">
        <v>-6.13</v>
      </c>
      <c r="K14">
        <v>0.82</v>
      </c>
      <c r="L14">
        <v>6.64</v>
      </c>
      <c r="M14">
        <v>0.55000000000000004</v>
      </c>
      <c r="N14">
        <v>-3.63</v>
      </c>
      <c r="O14">
        <v>4.45</v>
      </c>
      <c r="P14">
        <v>1.04</v>
      </c>
      <c r="Q14">
        <v>0.65</v>
      </c>
      <c r="R14">
        <v>11.62</v>
      </c>
      <c r="S14">
        <v>-0.2</v>
      </c>
      <c r="T14">
        <v>-2.58</v>
      </c>
      <c r="U14">
        <v>4.6399999999999997</v>
      </c>
      <c r="V14">
        <v>17.95</v>
      </c>
    </row>
    <row r="15" spans="2:22" x14ac:dyDescent="0.3">
      <c r="I15">
        <v>2011</v>
      </c>
      <c r="J15">
        <v>-10.25</v>
      </c>
      <c r="K15">
        <v>-3.14</v>
      </c>
      <c r="L15">
        <v>9.3800000000000008</v>
      </c>
      <c r="M15">
        <v>-1.44</v>
      </c>
      <c r="N15">
        <v>-3.29</v>
      </c>
      <c r="O15">
        <v>1.57</v>
      </c>
      <c r="P15">
        <v>-2.93</v>
      </c>
      <c r="Q15">
        <v>-8.77</v>
      </c>
      <c r="R15">
        <v>-1.1499999999999999</v>
      </c>
      <c r="S15">
        <v>7.76</v>
      </c>
      <c r="T15">
        <v>-9.2799999999999994</v>
      </c>
      <c r="U15">
        <v>-4.3</v>
      </c>
      <c r="V15">
        <v>-24.62</v>
      </c>
    </row>
    <row r="16" spans="2:22" x14ac:dyDescent="0.3">
      <c r="I16">
        <v>2012</v>
      </c>
      <c r="J16">
        <v>12.43</v>
      </c>
      <c r="K16">
        <v>3.58</v>
      </c>
      <c r="L16">
        <v>-1.66</v>
      </c>
      <c r="M16">
        <v>-0.9</v>
      </c>
      <c r="N16">
        <v>-6.17</v>
      </c>
      <c r="O16">
        <v>7.2</v>
      </c>
      <c r="P16">
        <v>-0.95</v>
      </c>
      <c r="Q16">
        <v>0.56000000000000005</v>
      </c>
      <c r="R16">
        <v>8.4600000000000009</v>
      </c>
      <c r="S16">
        <v>-1.47</v>
      </c>
      <c r="T16">
        <v>4.63</v>
      </c>
      <c r="U16">
        <v>0.43</v>
      </c>
      <c r="V16">
        <v>27.7</v>
      </c>
    </row>
    <row r="17" spans="9:22" x14ac:dyDescent="0.3">
      <c r="I17">
        <v>2013</v>
      </c>
      <c r="J17">
        <v>2.2000000000000002</v>
      </c>
      <c r="K17">
        <v>-5.66</v>
      </c>
      <c r="L17">
        <v>-0.18</v>
      </c>
      <c r="M17">
        <v>4.3600000000000003</v>
      </c>
      <c r="N17">
        <v>0.94</v>
      </c>
      <c r="O17">
        <v>-2.4</v>
      </c>
      <c r="P17">
        <v>-1.72</v>
      </c>
      <c r="Q17">
        <v>-4.71</v>
      </c>
      <c r="R17">
        <v>4.82</v>
      </c>
      <c r="S17">
        <v>9.83</v>
      </c>
      <c r="T17">
        <v>-1.95</v>
      </c>
      <c r="U17">
        <v>2.0699999999999998</v>
      </c>
      <c r="V17">
        <v>6.76</v>
      </c>
    </row>
    <row r="18" spans="9:22" x14ac:dyDescent="0.3">
      <c r="I18">
        <v>2014</v>
      </c>
      <c r="J18">
        <v>-3.4</v>
      </c>
      <c r="K18">
        <v>3.08</v>
      </c>
      <c r="L18">
        <v>6.81</v>
      </c>
      <c r="M18">
        <v>-0.12</v>
      </c>
      <c r="N18">
        <v>7.97</v>
      </c>
      <c r="O18">
        <v>5.28</v>
      </c>
      <c r="P18">
        <v>1.44</v>
      </c>
      <c r="Q18">
        <v>3.02</v>
      </c>
      <c r="R18">
        <v>0.13</v>
      </c>
      <c r="S18">
        <v>4.49</v>
      </c>
      <c r="T18">
        <v>3.2</v>
      </c>
      <c r="U18">
        <v>-3.56</v>
      </c>
      <c r="V18">
        <v>31.39</v>
      </c>
    </row>
    <row r="19" spans="9:22" x14ac:dyDescent="0.3">
      <c r="I19">
        <v>2015</v>
      </c>
      <c r="J19">
        <v>6.35</v>
      </c>
      <c r="K19">
        <v>1.06</v>
      </c>
      <c r="L19">
        <v>-4.62</v>
      </c>
      <c r="M19">
        <v>-3.65</v>
      </c>
      <c r="N19">
        <v>3.08</v>
      </c>
      <c r="O19">
        <v>-0.77</v>
      </c>
      <c r="P19">
        <v>1.96</v>
      </c>
      <c r="Q19">
        <v>-6.58</v>
      </c>
      <c r="R19">
        <v>-0.28000000000000003</v>
      </c>
      <c r="S19">
        <v>1.47</v>
      </c>
      <c r="T19">
        <v>-1.62</v>
      </c>
      <c r="U19">
        <v>0.14000000000000001</v>
      </c>
      <c r="V19">
        <v>-4.0599999999999996</v>
      </c>
    </row>
    <row r="20" spans="9:22" x14ac:dyDescent="0.3">
      <c r="I20">
        <v>2016</v>
      </c>
      <c r="J20">
        <v>-4.82</v>
      </c>
      <c r="K20">
        <v>-7.62</v>
      </c>
      <c r="L20">
        <v>10.75</v>
      </c>
      <c r="M20">
        <v>1.44</v>
      </c>
      <c r="N20">
        <v>3.95</v>
      </c>
      <c r="O20">
        <v>1.56</v>
      </c>
      <c r="P20">
        <v>4.2300000000000004</v>
      </c>
      <c r="Q20">
        <v>1.71</v>
      </c>
      <c r="R20">
        <v>-1.99</v>
      </c>
      <c r="S20">
        <v>0.17</v>
      </c>
      <c r="T20">
        <v>-4.6500000000000004</v>
      </c>
      <c r="U20">
        <v>-0.47</v>
      </c>
      <c r="V20">
        <v>3.01</v>
      </c>
    </row>
    <row r="21" spans="9:22" x14ac:dyDescent="0.3">
      <c r="I21">
        <v>2017</v>
      </c>
      <c r="J21">
        <v>4.59</v>
      </c>
      <c r="K21">
        <v>3.72</v>
      </c>
      <c r="L21">
        <v>3.31</v>
      </c>
      <c r="M21">
        <v>1.42</v>
      </c>
      <c r="N21">
        <v>3.41</v>
      </c>
      <c r="O21">
        <v>-1.04</v>
      </c>
      <c r="P21">
        <v>5.84</v>
      </c>
      <c r="Q21">
        <v>-1.58</v>
      </c>
      <c r="R21">
        <v>-1.3</v>
      </c>
      <c r="S21">
        <v>5.59</v>
      </c>
      <c r="T21">
        <v>-1.05</v>
      </c>
      <c r="U21">
        <v>2.97</v>
      </c>
      <c r="V21">
        <v>28.65</v>
      </c>
    </row>
    <row r="22" spans="9:22" x14ac:dyDescent="0.3">
      <c r="I22">
        <v>2018</v>
      </c>
      <c r="J22">
        <v>4.72</v>
      </c>
      <c r="K22">
        <v>-4.8499999999999996</v>
      </c>
      <c r="L22">
        <v>-3.61</v>
      </c>
      <c r="M22">
        <v>6.19</v>
      </c>
      <c r="N22">
        <v>-0.03</v>
      </c>
      <c r="O22">
        <v>-0.2</v>
      </c>
      <c r="P22">
        <v>5.99</v>
      </c>
      <c r="Q22">
        <v>2.85</v>
      </c>
      <c r="R22">
        <v>-6.42</v>
      </c>
      <c r="S22">
        <v>-4.9800000000000004</v>
      </c>
      <c r="T22">
        <v>4.72</v>
      </c>
      <c r="U22">
        <v>-0.13</v>
      </c>
      <c r="V22">
        <v>3.15</v>
      </c>
    </row>
    <row r="23" spans="9:22" x14ac:dyDescent="0.3">
      <c r="I23">
        <v>2019</v>
      </c>
      <c r="J23">
        <v>-0.28999999999999998</v>
      </c>
      <c r="K23">
        <v>-0.36</v>
      </c>
      <c r="L23">
        <v>7.7</v>
      </c>
      <c r="M23">
        <v>1.07</v>
      </c>
      <c r="N23">
        <v>1.49</v>
      </c>
      <c r="O23">
        <v>-1.1200000000000001</v>
      </c>
      <c r="P23">
        <v>-5.69</v>
      </c>
      <c r="Q23">
        <v>-0.85</v>
      </c>
      <c r="R23">
        <v>4.09</v>
      </c>
      <c r="S23">
        <v>3.51</v>
      </c>
      <c r="T23">
        <v>1.5</v>
      </c>
      <c r="U23">
        <v>0.93</v>
      </c>
      <c r="V23">
        <v>12.02</v>
      </c>
    </row>
    <row r="24" spans="9:22" x14ac:dyDescent="0.3">
      <c r="I24">
        <v>2020</v>
      </c>
      <c r="J24">
        <v>-1.7</v>
      </c>
      <c r="K24">
        <v>-6.36</v>
      </c>
      <c r="L24">
        <v>-23.25</v>
      </c>
      <c r="M24">
        <v>14.68</v>
      </c>
      <c r="N24">
        <v>-2.84</v>
      </c>
      <c r="O24">
        <v>7.53</v>
      </c>
      <c r="P24">
        <v>7.49</v>
      </c>
      <c r="Q24">
        <v>2.84</v>
      </c>
      <c r="R24">
        <v>-1.23</v>
      </c>
      <c r="S24">
        <v>3.51</v>
      </c>
      <c r="T24">
        <v>11.39</v>
      </c>
      <c r="U24">
        <v>7.81</v>
      </c>
      <c r="V24">
        <v>14.9</v>
      </c>
    </row>
    <row r="25" spans="9:22" x14ac:dyDescent="0.3">
      <c r="I25">
        <v>2021</v>
      </c>
      <c r="J25">
        <v>-2.48</v>
      </c>
      <c r="K25">
        <v>6.56</v>
      </c>
      <c r="L25">
        <v>1.1100000000000001</v>
      </c>
      <c r="M25">
        <v>-0.41</v>
      </c>
      <c r="N25">
        <v>6.5</v>
      </c>
      <c r="O25">
        <v>0.89</v>
      </c>
      <c r="P25">
        <v>0.26</v>
      </c>
      <c r="Q25">
        <v>8.69</v>
      </c>
      <c r="R25">
        <v>2.77</v>
      </c>
      <c r="S25">
        <v>0.37</v>
      </c>
      <c r="T25">
        <v>-3.89</v>
      </c>
      <c r="U25">
        <v>2.1800000000000002</v>
      </c>
      <c r="V25">
        <v>24.12</v>
      </c>
    </row>
    <row r="26" spans="9:22" x14ac:dyDescent="0.3">
      <c r="I26">
        <v>2022</v>
      </c>
      <c r="J26">
        <v>-0.09</v>
      </c>
      <c r="K26">
        <v>-3.46</v>
      </c>
      <c r="L26">
        <v>4.33</v>
      </c>
      <c r="M26">
        <v>-2.0699999999999998</v>
      </c>
      <c r="N26">
        <v>-3.03</v>
      </c>
      <c r="O26">
        <v>-4.8499999999999996</v>
      </c>
      <c r="P26">
        <v>8.73</v>
      </c>
      <c r="Q26">
        <v>3.5</v>
      </c>
      <c r="R26">
        <v>-3.75</v>
      </c>
      <c r="S26">
        <v>5.37</v>
      </c>
      <c r="T26">
        <v>4.1399999999999997</v>
      </c>
      <c r="U26">
        <v>-3.48</v>
      </c>
      <c r="V26">
        <v>4.32</v>
      </c>
    </row>
    <row r="27" spans="9:22" x14ac:dyDescent="0.3">
      <c r="I27">
        <v>2023</v>
      </c>
      <c r="J27">
        <v>-2.4500000000000002</v>
      </c>
      <c r="K27">
        <v>-2.0299999999999998</v>
      </c>
      <c r="L27">
        <v>0.32</v>
      </c>
      <c r="M27">
        <v>4.0599999999999996</v>
      </c>
      <c r="N27">
        <v>2.6</v>
      </c>
      <c r="O27">
        <v>3.53</v>
      </c>
      <c r="P27">
        <v>2.94</v>
      </c>
      <c r="Q27">
        <v>-2.5299999999999998</v>
      </c>
      <c r="R27">
        <v>2</v>
      </c>
      <c r="S27">
        <v>-2.84</v>
      </c>
      <c r="T27">
        <v>5.52</v>
      </c>
      <c r="U27">
        <v>7.94</v>
      </c>
      <c r="V27">
        <v>19.420000000000002</v>
      </c>
    </row>
    <row r="28" spans="9:22" x14ac:dyDescent="0.3">
      <c r="I28">
        <v>2024</v>
      </c>
      <c r="J28">
        <v>-0.03</v>
      </c>
      <c r="K28">
        <v>1.18</v>
      </c>
      <c r="L28">
        <v>1.57</v>
      </c>
      <c r="M28">
        <v>1.24</v>
      </c>
      <c r="N28">
        <v>-0.52</v>
      </c>
      <c r="O28">
        <v>6.57</v>
      </c>
      <c r="P28">
        <v>3.92</v>
      </c>
      <c r="Q28">
        <v>1.1399999999999999</v>
      </c>
      <c r="R28">
        <v>2.2799999999999998</v>
      </c>
      <c r="S28">
        <v>-6.22</v>
      </c>
      <c r="T28">
        <v>-0.31</v>
      </c>
      <c r="U28">
        <v>-2</v>
      </c>
      <c r="V28">
        <v>8.75</v>
      </c>
    </row>
    <row r="29" spans="9:22" x14ac:dyDescent="0.3">
      <c r="I29">
        <v>2025</v>
      </c>
      <c r="J29">
        <v>-0.57999999999999996</v>
      </c>
      <c r="K29">
        <v>-5.89</v>
      </c>
      <c r="L29">
        <v>6.3</v>
      </c>
      <c r="M29">
        <v>3.46</v>
      </c>
      <c r="N29">
        <v>1.71</v>
      </c>
      <c r="O29">
        <v>3.1</v>
      </c>
      <c r="P29">
        <v>-2.93</v>
      </c>
      <c r="Q29">
        <v>-1.72</v>
      </c>
      <c r="R29">
        <v>0.76</v>
      </c>
      <c r="S29">
        <v>4.51</v>
      </c>
      <c r="T29">
        <v>1.87</v>
      </c>
      <c r="U29">
        <v>-0.03</v>
      </c>
      <c r="V29">
        <v>10.51</v>
      </c>
    </row>
    <row r="30" spans="9:22" x14ac:dyDescent="0.3">
      <c r="I30">
        <v>2026</v>
      </c>
      <c r="J30">
        <v>-3.16</v>
      </c>
      <c r="K30">
        <v>-0.56000000000000005</v>
      </c>
      <c r="L30">
        <v>-11.31</v>
      </c>
      <c r="M30">
        <v>7.46</v>
      </c>
      <c r="N30">
        <v>-1.87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8222-0078-4589-87D6-C41B60889B77}">
  <dimension ref="A2:N73"/>
  <sheetViews>
    <sheetView showGridLines="0" workbookViewId="0">
      <pane ySplit="2" topLeftCell="A3" activePane="bottomLeft" state="frozen"/>
      <selection pane="bottomLeft" activeCell="Q53" sqref="Q53"/>
    </sheetView>
  </sheetViews>
  <sheetFormatPr defaultRowHeight="14.4" x14ac:dyDescent="0.3"/>
  <cols>
    <col min="1" max="1" width="1.88671875" customWidth="1"/>
    <col min="2" max="2" width="25.77734375" bestFit="1" customWidth="1"/>
    <col min="3" max="11" width="9" bestFit="1" customWidth="1"/>
    <col min="12" max="14" width="9.6640625" bestFit="1" customWidth="1"/>
  </cols>
  <sheetData>
    <row r="2" spans="2:14" x14ac:dyDescent="0.3">
      <c r="B2" s="169" t="s">
        <v>327</v>
      </c>
      <c r="C2" s="169">
        <v>42064</v>
      </c>
      <c r="D2" s="169">
        <v>42430</v>
      </c>
      <c r="E2" s="169">
        <v>42795</v>
      </c>
      <c r="F2" s="169">
        <v>43160</v>
      </c>
      <c r="G2" s="169">
        <v>43525</v>
      </c>
      <c r="H2" s="169">
        <v>43891</v>
      </c>
      <c r="I2" s="169">
        <v>44256</v>
      </c>
      <c r="J2" s="169">
        <v>44621</v>
      </c>
      <c r="K2" s="169">
        <v>44986</v>
      </c>
      <c r="L2" s="169">
        <v>45352</v>
      </c>
      <c r="M2" s="169">
        <v>45717</v>
      </c>
      <c r="N2" s="169">
        <v>46082</v>
      </c>
    </row>
    <row r="3" spans="2:14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x14ac:dyDescent="0.3">
      <c r="B4" s="10" t="s">
        <v>330</v>
      </c>
      <c r="C4" s="173">
        <v>151</v>
      </c>
      <c r="D4" s="173">
        <v>151</v>
      </c>
      <c r="E4" s="173">
        <v>151</v>
      </c>
      <c r="F4" s="173">
        <v>151</v>
      </c>
      <c r="G4" s="173">
        <v>151</v>
      </c>
      <c r="H4" s="173">
        <v>151</v>
      </c>
      <c r="I4" s="173">
        <v>151</v>
      </c>
      <c r="J4" s="173">
        <v>151</v>
      </c>
      <c r="K4" s="173">
        <v>151</v>
      </c>
      <c r="L4" s="173">
        <v>157</v>
      </c>
      <c r="M4" s="173">
        <v>157</v>
      </c>
      <c r="N4" s="173">
        <v>157</v>
      </c>
    </row>
    <row r="5" spans="2:14" x14ac:dyDescent="0.3">
      <c r="B5" s="10" t="s">
        <v>31</v>
      </c>
      <c r="C5" s="173">
        <v>24167</v>
      </c>
      <c r="D5" s="173">
        <v>30465</v>
      </c>
      <c r="E5" s="173">
        <v>36924</v>
      </c>
      <c r="F5" s="173">
        <v>42408</v>
      </c>
      <c r="G5" s="173">
        <v>46941</v>
      </c>
      <c r="H5" s="173">
        <v>49262</v>
      </c>
      <c r="I5" s="173">
        <v>52350</v>
      </c>
      <c r="J5" s="173">
        <v>55182</v>
      </c>
      <c r="K5" s="173">
        <v>61640</v>
      </c>
      <c r="L5" s="173">
        <v>85479</v>
      </c>
      <c r="M5" s="173">
        <v>96083</v>
      </c>
      <c r="N5" s="173">
        <v>106999</v>
      </c>
    </row>
    <row r="6" spans="2:14" x14ac:dyDescent="0.3">
      <c r="B6" s="10" t="s">
        <v>331</v>
      </c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</row>
    <row r="7" spans="2:14" x14ac:dyDescent="0.3">
      <c r="B7" t="s">
        <v>332</v>
      </c>
      <c r="C7" s="173">
        <v>278</v>
      </c>
      <c r="D7" s="173">
        <v>0</v>
      </c>
      <c r="E7" s="173">
        <v>0</v>
      </c>
      <c r="F7" s="173">
        <v>10</v>
      </c>
      <c r="G7" s="173">
        <v>8</v>
      </c>
      <c r="H7" s="173">
        <v>5</v>
      </c>
      <c r="I7" s="173">
        <v>3</v>
      </c>
      <c r="J7" s="173">
        <v>0</v>
      </c>
      <c r="K7" s="173">
        <v>0</v>
      </c>
      <c r="L7" s="173">
        <v>0</v>
      </c>
      <c r="M7" s="173">
        <v>0</v>
      </c>
      <c r="N7" s="173">
        <v>0</v>
      </c>
    </row>
    <row r="8" spans="2:14" x14ac:dyDescent="0.3">
      <c r="B8" t="s">
        <v>333</v>
      </c>
      <c r="C8" s="173">
        <v>52</v>
      </c>
      <c r="D8" s="173">
        <v>77</v>
      </c>
      <c r="E8" s="173">
        <v>484</v>
      </c>
      <c r="F8" s="173">
        <v>111</v>
      </c>
      <c r="G8" s="173">
        <v>150</v>
      </c>
      <c r="H8" s="173">
        <v>106</v>
      </c>
      <c r="I8" s="173">
        <v>489</v>
      </c>
      <c r="J8" s="173">
        <v>382</v>
      </c>
      <c r="K8" s="173">
        <v>1216</v>
      </c>
      <c r="L8" s="173">
        <v>33</v>
      </c>
      <c r="M8" s="173">
        <v>0</v>
      </c>
      <c r="N8" s="173">
        <v>0</v>
      </c>
    </row>
    <row r="9" spans="2:14" x14ac:dyDescent="0.3">
      <c r="B9" t="s">
        <v>334</v>
      </c>
      <c r="C9" s="173">
        <v>0</v>
      </c>
      <c r="D9" s="173">
        <v>0</v>
      </c>
      <c r="E9" s="173">
        <v>0</v>
      </c>
      <c r="F9" s="173">
        <v>0</v>
      </c>
      <c r="G9" s="173">
        <v>0</v>
      </c>
      <c r="H9" s="173">
        <v>70</v>
      </c>
      <c r="I9" s="173">
        <v>47</v>
      </c>
      <c r="J9" s="173">
        <v>41</v>
      </c>
      <c r="K9" s="173">
        <v>32</v>
      </c>
      <c r="L9" s="173">
        <v>86</v>
      </c>
      <c r="M9" s="173">
        <v>87</v>
      </c>
      <c r="N9" s="173">
        <v>102</v>
      </c>
    </row>
    <row r="10" spans="2:14" x14ac:dyDescent="0.3">
      <c r="B10" t="s">
        <v>335</v>
      </c>
      <c r="C10" s="173">
        <v>335</v>
      </c>
      <c r="D10" s="173">
        <v>154</v>
      </c>
      <c r="E10" s="173">
        <v>0</v>
      </c>
      <c r="F10" s="173">
        <v>0</v>
      </c>
      <c r="G10" s="173">
        <v>2</v>
      </c>
      <c r="H10" s="173">
        <v>2</v>
      </c>
      <c r="I10" s="173">
        <v>3</v>
      </c>
      <c r="J10" s="173">
        <v>3</v>
      </c>
      <c r="K10" s="173">
        <v>0</v>
      </c>
      <c r="L10" s="173">
        <v>0</v>
      </c>
      <c r="M10" s="173">
        <v>0</v>
      </c>
      <c r="N10" s="173"/>
    </row>
    <row r="11" spans="2:14" x14ac:dyDescent="0.3">
      <c r="B11" s="10" t="s">
        <v>336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</row>
    <row r="12" spans="2:14" x14ac:dyDescent="0.3">
      <c r="B12" t="s">
        <v>337</v>
      </c>
      <c r="C12" s="173">
        <v>13</v>
      </c>
      <c r="D12" s="173">
        <v>14</v>
      </c>
      <c r="E12" s="173">
        <v>15</v>
      </c>
      <c r="F12" s="173">
        <v>16</v>
      </c>
      <c r="G12" s="173">
        <v>18</v>
      </c>
      <c r="H12" s="173">
        <v>19</v>
      </c>
      <c r="I12" s="173">
        <v>0</v>
      </c>
      <c r="J12" s="173">
        <v>0</v>
      </c>
      <c r="K12" s="173">
        <v>0</v>
      </c>
      <c r="L12" s="173">
        <v>0</v>
      </c>
      <c r="M12" s="173">
        <v>0</v>
      </c>
      <c r="N12" s="173">
        <v>0</v>
      </c>
    </row>
    <row r="13" spans="2:14" x14ac:dyDescent="0.3">
      <c r="B13" t="s">
        <v>338</v>
      </c>
      <c r="C13" s="173">
        <v>5514</v>
      </c>
      <c r="D13" s="173">
        <v>7409</v>
      </c>
      <c r="E13" s="173">
        <v>8369</v>
      </c>
      <c r="F13" s="173">
        <v>10499</v>
      </c>
      <c r="G13" s="173">
        <v>9638</v>
      </c>
      <c r="H13" s="173">
        <v>7499</v>
      </c>
      <c r="I13" s="173">
        <v>10168</v>
      </c>
      <c r="J13" s="173">
        <v>9765</v>
      </c>
      <c r="K13" s="173">
        <v>11786</v>
      </c>
      <c r="L13" s="173">
        <v>16988</v>
      </c>
      <c r="M13" s="173">
        <v>20502</v>
      </c>
      <c r="N13" s="173">
        <v>22134</v>
      </c>
    </row>
    <row r="14" spans="2:14" x14ac:dyDescent="0.3">
      <c r="B14" t="s">
        <v>339</v>
      </c>
      <c r="C14" s="173">
        <v>428</v>
      </c>
      <c r="D14" s="173">
        <v>506</v>
      </c>
      <c r="E14" s="173">
        <v>941</v>
      </c>
      <c r="F14" s="173">
        <v>1152</v>
      </c>
      <c r="G14" s="173">
        <v>418</v>
      </c>
      <c r="H14" s="173">
        <v>468</v>
      </c>
      <c r="I14" s="173">
        <v>1019</v>
      </c>
      <c r="J14" s="173">
        <v>1124</v>
      </c>
      <c r="K14" s="173">
        <v>1456</v>
      </c>
      <c r="L14" s="173">
        <v>1464</v>
      </c>
      <c r="M14" s="173">
        <v>1135</v>
      </c>
      <c r="N14" s="173"/>
    </row>
    <row r="15" spans="2:14" ht="15" thickBot="1" x14ac:dyDescent="0.35">
      <c r="B15" t="s">
        <v>340</v>
      </c>
      <c r="C15" s="174">
        <v>3538</v>
      </c>
      <c r="D15" s="174">
        <v>3950</v>
      </c>
      <c r="E15" s="174">
        <v>5076</v>
      </c>
      <c r="F15" s="174">
        <v>5900</v>
      </c>
      <c r="G15" s="174">
        <v>6644</v>
      </c>
      <c r="H15" s="174">
        <v>6045</v>
      </c>
      <c r="I15" s="174">
        <v>7148</v>
      </c>
      <c r="J15" s="174">
        <v>8007</v>
      </c>
      <c r="K15" s="174">
        <v>8317</v>
      </c>
      <c r="L15" s="174">
        <v>11098</v>
      </c>
      <c r="M15" s="174">
        <v>14008</v>
      </c>
      <c r="N15" s="174">
        <v>19488</v>
      </c>
    </row>
    <row r="16" spans="2:14" ht="15" thickBot="1" x14ac:dyDescent="0.35">
      <c r="B16" s="171" t="s">
        <v>185</v>
      </c>
      <c r="C16" s="175">
        <v>34477</v>
      </c>
      <c r="D16" s="175">
        <v>42726</v>
      </c>
      <c r="E16" s="175">
        <v>51960</v>
      </c>
      <c r="F16" s="175">
        <v>60248</v>
      </c>
      <c r="G16" s="175">
        <v>63969</v>
      </c>
      <c r="H16" s="175">
        <v>63628</v>
      </c>
      <c r="I16" s="175">
        <v>71376</v>
      </c>
      <c r="J16" s="175">
        <v>74656</v>
      </c>
      <c r="K16" s="175">
        <v>84597</v>
      </c>
      <c r="L16" s="175">
        <v>115304</v>
      </c>
      <c r="M16" s="175">
        <v>131971</v>
      </c>
      <c r="N16" s="175">
        <v>148881</v>
      </c>
    </row>
    <row r="17" spans="2:14" ht="15" thickTop="1" x14ac:dyDescent="0.3">
      <c r="B17" s="10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</row>
    <row r="18" spans="2:14" x14ac:dyDescent="0.3">
      <c r="B18" s="10" t="s">
        <v>341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</row>
    <row r="19" spans="2:14" x14ac:dyDescent="0.3">
      <c r="B19" t="s">
        <v>342</v>
      </c>
      <c r="C19" s="173">
        <v>2100</v>
      </c>
      <c r="D19" s="173">
        <v>1902</v>
      </c>
      <c r="E19" s="173">
        <v>1963</v>
      </c>
      <c r="F19" s="173">
        <v>3212</v>
      </c>
      <c r="G19" s="173">
        <v>3914</v>
      </c>
      <c r="H19" s="173">
        <v>4569</v>
      </c>
      <c r="I19" s="173">
        <v>4566</v>
      </c>
      <c r="J19" s="173">
        <v>4592</v>
      </c>
      <c r="K19" s="173">
        <v>6757</v>
      </c>
      <c r="L19" s="173">
        <v>6896</v>
      </c>
      <c r="M19" s="173">
        <v>6921</v>
      </c>
      <c r="N19" s="173"/>
    </row>
    <row r="20" spans="2:14" x14ac:dyDescent="0.3">
      <c r="B20" t="s">
        <v>343</v>
      </c>
      <c r="C20" s="173">
        <v>1882</v>
      </c>
      <c r="D20" s="173">
        <v>1513</v>
      </c>
      <c r="E20" s="173">
        <v>1835</v>
      </c>
      <c r="F20" s="173">
        <v>1983</v>
      </c>
      <c r="G20" s="173">
        <v>2333</v>
      </c>
      <c r="H20" s="173">
        <v>2697</v>
      </c>
      <c r="I20" s="173">
        <v>2831</v>
      </c>
      <c r="J20" s="173">
        <v>2955</v>
      </c>
      <c r="K20" s="173">
        <v>3206</v>
      </c>
      <c r="L20" s="173">
        <v>5604</v>
      </c>
      <c r="M20" s="173">
        <v>8158</v>
      </c>
      <c r="N20" s="173"/>
    </row>
    <row r="21" spans="2:14" x14ac:dyDescent="0.3">
      <c r="B21" t="s">
        <v>344</v>
      </c>
      <c r="C21" s="173">
        <v>21802</v>
      </c>
      <c r="D21" s="173">
        <v>11163</v>
      </c>
      <c r="E21" s="173">
        <v>13888</v>
      </c>
      <c r="F21" s="173">
        <v>15082</v>
      </c>
      <c r="G21" s="173">
        <v>18550</v>
      </c>
      <c r="H21" s="173">
        <v>20775</v>
      </c>
      <c r="I21" s="173">
        <v>22262</v>
      </c>
      <c r="J21" s="173">
        <v>22712</v>
      </c>
      <c r="K21" s="173">
        <v>26174</v>
      </c>
      <c r="L21" s="173">
        <v>44745</v>
      </c>
      <c r="M21" s="173">
        <v>51915</v>
      </c>
      <c r="N21" s="173"/>
    </row>
    <row r="22" spans="2:14" x14ac:dyDescent="0.3">
      <c r="B22" t="s">
        <v>345</v>
      </c>
      <c r="C22" s="173">
        <v>193</v>
      </c>
      <c r="D22" s="173">
        <v>83</v>
      </c>
      <c r="E22" s="173">
        <v>135</v>
      </c>
      <c r="F22" s="173">
        <v>172</v>
      </c>
      <c r="G22" s="173">
        <v>208</v>
      </c>
      <c r="H22" s="173">
        <v>238</v>
      </c>
      <c r="I22" s="173">
        <v>292</v>
      </c>
      <c r="J22" s="173">
        <v>324</v>
      </c>
      <c r="K22" s="173">
        <v>368</v>
      </c>
      <c r="L22" s="173">
        <v>601</v>
      </c>
      <c r="M22" s="173">
        <v>698</v>
      </c>
      <c r="N22" s="173"/>
    </row>
    <row r="23" spans="2:14" x14ac:dyDescent="0.3">
      <c r="B23" t="s">
        <v>346</v>
      </c>
      <c r="C23" s="173">
        <v>144</v>
      </c>
      <c r="D23" s="173">
        <v>109</v>
      </c>
      <c r="E23" s="173">
        <v>140</v>
      </c>
      <c r="F23" s="173">
        <v>206</v>
      </c>
      <c r="G23" s="173">
        <v>270</v>
      </c>
      <c r="H23" s="173">
        <v>347</v>
      </c>
      <c r="I23" s="173">
        <v>403</v>
      </c>
      <c r="J23" s="173">
        <v>445</v>
      </c>
      <c r="K23" s="173">
        <v>485</v>
      </c>
      <c r="L23" s="173">
        <v>636</v>
      </c>
      <c r="M23" s="173">
        <v>698</v>
      </c>
      <c r="N23" s="173"/>
    </row>
    <row r="24" spans="2:14" x14ac:dyDescent="0.3">
      <c r="B24" t="s">
        <v>347</v>
      </c>
      <c r="C24" s="173">
        <v>0</v>
      </c>
      <c r="D24" s="173">
        <v>0</v>
      </c>
      <c r="E24" s="173">
        <v>0</v>
      </c>
      <c r="F24" s="173">
        <v>0</v>
      </c>
      <c r="G24" s="173">
        <v>0</v>
      </c>
      <c r="H24" s="173">
        <v>0</v>
      </c>
      <c r="I24" s="173">
        <v>0</v>
      </c>
      <c r="J24" s="173">
        <v>0</v>
      </c>
      <c r="K24" s="173">
        <v>73</v>
      </c>
      <c r="L24" s="173">
        <v>74</v>
      </c>
      <c r="M24" s="173">
        <v>94</v>
      </c>
      <c r="N24" s="173"/>
    </row>
    <row r="25" spans="2:14" x14ac:dyDescent="0.3">
      <c r="B25" t="s">
        <v>348</v>
      </c>
      <c r="C25" s="173">
        <v>108</v>
      </c>
      <c r="D25" s="173">
        <v>104</v>
      </c>
      <c r="E25" s="173">
        <v>130</v>
      </c>
      <c r="F25" s="173">
        <v>162</v>
      </c>
      <c r="G25" s="173">
        <v>184</v>
      </c>
      <c r="H25" s="173">
        <v>206</v>
      </c>
      <c r="I25" s="173">
        <v>174</v>
      </c>
      <c r="J25" s="173">
        <v>248</v>
      </c>
      <c r="K25" s="173">
        <v>282</v>
      </c>
      <c r="L25" s="173">
        <v>448</v>
      </c>
      <c r="M25" s="173">
        <v>568</v>
      </c>
      <c r="N25" s="173"/>
    </row>
    <row r="26" spans="2:14" x14ac:dyDescent="0.3">
      <c r="B26" t="s">
        <v>349</v>
      </c>
      <c r="C26" s="173">
        <v>0</v>
      </c>
      <c r="D26" s="173">
        <v>0</v>
      </c>
      <c r="E26" s="173">
        <v>0</v>
      </c>
      <c r="F26" s="173">
        <v>0</v>
      </c>
      <c r="G26" s="173">
        <v>0</v>
      </c>
      <c r="H26" s="173">
        <v>0</v>
      </c>
      <c r="I26" s="173">
        <v>0</v>
      </c>
      <c r="J26" s="173">
        <v>0</v>
      </c>
      <c r="K26" s="173">
        <v>0</v>
      </c>
      <c r="L26" s="173">
        <v>0</v>
      </c>
      <c r="M26" s="173">
        <v>0</v>
      </c>
      <c r="N26" s="173">
        <v>936</v>
      </c>
    </row>
    <row r="27" spans="2:14" x14ac:dyDescent="0.3">
      <c r="B27" t="s">
        <v>350</v>
      </c>
      <c r="C27" s="173">
        <v>674</v>
      </c>
      <c r="D27" s="173">
        <v>468</v>
      </c>
      <c r="E27" s="173">
        <v>589</v>
      </c>
      <c r="F27" s="173">
        <v>640</v>
      </c>
      <c r="G27" s="173">
        <v>907</v>
      </c>
      <c r="H27" s="173">
        <v>937</v>
      </c>
      <c r="I27" s="173">
        <v>967</v>
      </c>
      <c r="J27" s="173">
        <v>1254</v>
      </c>
      <c r="K27" s="173">
        <v>1660</v>
      </c>
      <c r="L27" s="173">
        <v>1783</v>
      </c>
      <c r="M27" s="173">
        <v>2002</v>
      </c>
      <c r="N27" s="173"/>
    </row>
    <row r="28" spans="2:14" x14ac:dyDescent="0.3">
      <c r="B28" s="10" t="s">
        <v>351</v>
      </c>
      <c r="C28" s="174">
        <v>26902</v>
      </c>
      <c r="D28" s="174">
        <v>15343</v>
      </c>
      <c r="E28" s="174">
        <v>18680</v>
      </c>
      <c r="F28" s="174">
        <v>21458</v>
      </c>
      <c r="G28" s="174">
        <v>26365</v>
      </c>
      <c r="H28" s="174">
        <v>29768</v>
      </c>
      <c r="I28" s="174">
        <v>31496</v>
      </c>
      <c r="J28" s="174">
        <v>32530</v>
      </c>
      <c r="K28" s="174">
        <v>39004</v>
      </c>
      <c r="L28" s="174">
        <v>60787</v>
      </c>
      <c r="M28" s="174">
        <v>71052</v>
      </c>
      <c r="N28" s="174"/>
    </row>
    <row r="29" spans="2:14" ht="15" thickBot="1" x14ac:dyDescent="0.35">
      <c r="B29" s="10" t="s">
        <v>352</v>
      </c>
      <c r="C29" s="174">
        <v>14412</v>
      </c>
      <c r="D29" s="174">
        <v>2813</v>
      </c>
      <c r="E29" s="174">
        <v>5370</v>
      </c>
      <c r="F29" s="174">
        <v>8069</v>
      </c>
      <c r="G29" s="174">
        <v>10928</v>
      </c>
      <c r="H29" s="174">
        <v>14024</v>
      </c>
      <c r="I29" s="174">
        <v>16508</v>
      </c>
      <c r="J29" s="174">
        <v>18783</v>
      </c>
      <c r="K29" s="174">
        <v>21174</v>
      </c>
      <c r="L29" s="174">
        <v>32922</v>
      </c>
      <c r="M29" s="174">
        <v>38070</v>
      </c>
      <c r="N29" s="174"/>
    </row>
    <row r="30" spans="2:14" x14ac:dyDescent="0.3">
      <c r="B30" s="172" t="s">
        <v>35</v>
      </c>
      <c r="C30" s="177">
        <f>C28-C29</f>
        <v>12490</v>
      </c>
      <c r="D30" s="177">
        <f t="shared" ref="D30:N30" si="0">D28-D29</f>
        <v>12530</v>
      </c>
      <c r="E30" s="177">
        <f t="shared" si="0"/>
        <v>13310</v>
      </c>
      <c r="F30" s="177">
        <f t="shared" si="0"/>
        <v>13389</v>
      </c>
      <c r="G30" s="177">
        <f t="shared" si="0"/>
        <v>15437</v>
      </c>
      <c r="H30" s="177">
        <f t="shared" si="0"/>
        <v>15744</v>
      </c>
      <c r="I30" s="177">
        <f t="shared" si="0"/>
        <v>14988</v>
      </c>
      <c r="J30" s="177">
        <f t="shared" si="0"/>
        <v>13747</v>
      </c>
      <c r="K30" s="177">
        <f t="shared" si="0"/>
        <v>17830</v>
      </c>
      <c r="L30" s="177">
        <f t="shared" si="0"/>
        <v>27865</v>
      </c>
      <c r="M30" s="177">
        <f t="shared" si="0"/>
        <v>32982</v>
      </c>
      <c r="N30" s="177">
        <f t="shared" si="0"/>
        <v>0</v>
      </c>
    </row>
    <row r="31" spans="2:14" x14ac:dyDescent="0.3">
      <c r="B31" s="10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</row>
    <row r="32" spans="2:14" x14ac:dyDescent="0.3">
      <c r="B32" s="10" t="s">
        <v>353</v>
      </c>
      <c r="C32" s="173">
        <v>1890</v>
      </c>
      <c r="D32" s="173">
        <v>1007</v>
      </c>
      <c r="E32" s="173">
        <v>1252</v>
      </c>
      <c r="F32" s="173">
        <v>2132</v>
      </c>
      <c r="G32" s="173">
        <v>1607</v>
      </c>
      <c r="H32" s="173">
        <v>1415</v>
      </c>
      <c r="I32" s="173">
        <v>1497</v>
      </c>
      <c r="J32" s="173">
        <v>2936</v>
      </c>
      <c r="K32" s="173">
        <v>2904</v>
      </c>
      <c r="L32" s="173">
        <v>7735</v>
      </c>
      <c r="M32" s="173">
        <v>7929</v>
      </c>
      <c r="N32" s="173">
        <v>9406</v>
      </c>
    </row>
    <row r="33" spans="1:14" x14ac:dyDescent="0.3">
      <c r="B33" s="10" t="s">
        <v>37</v>
      </c>
      <c r="C33" s="173">
        <v>13298</v>
      </c>
      <c r="D33" s="173">
        <v>20676</v>
      </c>
      <c r="E33" s="173">
        <v>29151</v>
      </c>
      <c r="F33" s="173">
        <v>36123</v>
      </c>
      <c r="G33" s="173">
        <v>37504</v>
      </c>
      <c r="H33" s="173">
        <v>37488</v>
      </c>
      <c r="I33" s="173">
        <v>42945</v>
      </c>
      <c r="J33" s="173">
        <v>42035</v>
      </c>
      <c r="K33" s="173">
        <v>49184</v>
      </c>
      <c r="L33" s="173">
        <v>57296</v>
      </c>
      <c r="M33" s="173">
        <v>66265</v>
      </c>
      <c r="N33" s="173">
        <v>76838</v>
      </c>
    </row>
    <row r="34" spans="1:14" x14ac:dyDescent="0.3"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</row>
    <row r="35" spans="1:14" x14ac:dyDescent="0.3">
      <c r="B35" s="10" t="s">
        <v>354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</row>
    <row r="36" spans="1:14" x14ac:dyDescent="0.3">
      <c r="B36" t="s">
        <v>355</v>
      </c>
      <c r="C36" s="173">
        <v>2745</v>
      </c>
      <c r="D36" s="173">
        <v>3133</v>
      </c>
      <c r="E36" s="173">
        <v>3264</v>
      </c>
      <c r="F36" s="173">
        <v>3160</v>
      </c>
      <c r="G36" s="173">
        <v>3323</v>
      </c>
      <c r="H36" s="173">
        <v>3214</v>
      </c>
      <c r="I36" s="173">
        <v>3049</v>
      </c>
      <c r="J36" s="173">
        <v>3532</v>
      </c>
      <c r="K36" s="173">
        <v>4284</v>
      </c>
      <c r="L36" s="173">
        <v>5318</v>
      </c>
      <c r="M36" s="173">
        <v>6913</v>
      </c>
      <c r="N36" s="173">
        <v>11321</v>
      </c>
    </row>
    <row r="37" spans="1:14" x14ac:dyDescent="0.3">
      <c r="B37" t="s">
        <v>356</v>
      </c>
      <c r="C37" s="173">
        <v>1144</v>
      </c>
      <c r="D37" s="173">
        <v>1323</v>
      </c>
      <c r="E37" s="173">
        <v>1203</v>
      </c>
      <c r="F37" s="173">
        <v>1465</v>
      </c>
      <c r="G37" s="173">
        <v>2313</v>
      </c>
      <c r="H37" s="173">
        <v>1978</v>
      </c>
      <c r="I37" s="173">
        <v>1280</v>
      </c>
      <c r="J37" s="173">
        <v>2034</v>
      </c>
      <c r="K37" s="173">
        <v>3301</v>
      </c>
      <c r="L37" s="173">
        <v>4597</v>
      </c>
      <c r="M37" s="173">
        <v>6540</v>
      </c>
      <c r="N37" s="173">
        <v>5342</v>
      </c>
    </row>
    <row r="38" spans="1:14" x14ac:dyDescent="0.3">
      <c r="B38" t="s">
        <v>357</v>
      </c>
      <c r="C38" s="173">
        <v>43</v>
      </c>
      <c r="D38" s="173">
        <v>51</v>
      </c>
      <c r="E38" s="173">
        <v>24</v>
      </c>
      <c r="F38" s="173">
        <v>74</v>
      </c>
      <c r="G38" s="173">
        <v>188</v>
      </c>
      <c r="H38" s="173">
        <v>29</v>
      </c>
      <c r="I38" s="173">
        <v>3047</v>
      </c>
      <c r="J38" s="173">
        <v>3042</v>
      </c>
      <c r="K38" s="173">
        <v>42</v>
      </c>
      <c r="L38" s="173">
        <v>2827</v>
      </c>
      <c r="M38" s="173">
        <v>553</v>
      </c>
      <c r="N38" s="173">
        <v>1580</v>
      </c>
    </row>
    <row r="39" spans="1:14" x14ac:dyDescent="0.3">
      <c r="B39" t="s">
        <v>358</v>
      </c>
      <c r="C39" s="173">
        <v>126</v>
      </c>
      <c r="D39" s="173">
        <v>623</v>
      </c>
      <c r="E39" s="173">
        <v>688</v>
      </c>
      <c r="F39" s="173">
        <v>1290</v>
      </c>
      <c r="G39" s="173">
        <v>1160</v>
      </c>
      <c r="H39" s="173">
        <v>1362</v>
      </c>
      <c r="I39" s="173">
        <v>1412</v>
      </c>
      <c r="J39" s="173">
        <v>2880</v>
      </c>
      <c r="K39" s="173">
        <v>2828</v>
      </c>
      <c r="L39" s="173">
        <v>266</v>
      </c>
      <c r="M39" s="173">
        <v>851</v>
      </c>
      <c r="N39" s="173">
        <v>784</v>
      </c>
    </row>
    <row r="40" spans="1:14" x14ac:dyDescent="0.3">
      <c r="B40" t="s">
        <v>359</v>
      </c>
      <c r="C40" s="174">
        <v>2741</v>
      </c>
      <c r="D40" s="174">
        <v>3384</v>
      </c>
      <c r="E40" s="174">
        <v>3069</v>
      </c>
      <c r="F40" s="174">
        <v>2615</v>
      </c>
      <c r="G40" s="174">
        <v>2438</v>
      </c>
      <c r="H40" s="174">
        <v>2398</v>
      </c>
      <c r="I40" s="174">
        <v>3158</v>
      </c>
      <c r="J40" s="174">
        <v>4448</v>
      </c>
      <c r="K40" s="174">
        <v>4223</v>
      </c>
      <c r="L40" s="174">
        <v>9400</v>
      </c>
      <c r="M40" s="174">
        <v>9937</v>
      </c>
      <c r="N40" s="174">
        <v>8655</v>
      </c>
    </row>
    <row r="41" spans="1:14" ht="15" thickBot="1" x14ac:dyDescent="0.35">
      <c r="B41" s="170" t="s">
        <v>107</v>
      </c>
      <c r="C41" s="178">
        <v>34477</v>
      </c>
      <c r="D41" s="178">
        <v>42726</v>
      </c>
      <c r="E41" s="178">
        <v>51960</v>
      </c>
      <c r="F41" s="178">
        <v>60248</v>
      </c>
      <c r="G41" s="178">
        <v>63969</v>
      </c>
      <c r="H41" s="178">
        <v>63628</v>
      </c>
      <c r="I41" s="178">
        <v>71376</v>
      </c>
      <c r="J41" s="178">
        <v>74656</v>
      </c>
      <c r="K41" s="178">
        <v>84597</v>
      </c>
      <c r="L41" s="178">
        <v>115304</v>
      </c>
      <c r="M41" s="178">
        <v>131971</v>
      </c>
      <c r="N41" s="178">
        <v>148881</v>
      </c>
    </row>
    <row r="42" spans="1:14" ht="15" thickTop="1" x14ac:dyDescent="0.3"/>
    <row r="43" spans="1:14" x14ac:dyDescent="0.3">
      <c r="A43" t="s">
        <v>145</v>
      </c>
      <c r="B43" s="169" t="s">
        <v>327</v>
      </c>
      <c r="C43" s="169">
        <v>42064</v>
      </c>
      <c r="D43" s="169">
        <v>42430</v>
      </c>
      <c r="E43" s="169">
        <v>42795</v>
      </c>
      <c r="F43" s="169">
        <v>43160</v>
      </c>
      <c r="G43" s="169">
        <v>43525</v>
      </c>
      <c r="H43" s="169">
        <v>43891</v>
      </c>
      <c r="I43" s="169">
        <v>44256</v>
      </c>
      <c r="J43" s="169">
        <v>44621</v>
      </c>
      <c r="K43" s="169">
        <v>44986</v>
      </c>
      <c r="L43" s="169">
        <v>45352</v>
      </c>
      <c r="M43" s="169">
        <v>45717</v>
      </c>
      <c r="N43" s="169">
        <v>46082</v>
      </c>
    </row>
    <row r="45" spans="1:14" x14ac:dyDescent="0.3">
      <c r="B45" s="10" t="s">
        <v>53</v>
      </c>
      <c r="C45" s="192">
        <v>6449</v>
      </c>
      <c r="D45" s="192">
        <v>8482</v>
      </c>
      <c r="E45" s="192">
        <v>10282</v>
      </c>
      <c r="F45" s="192">
        <v>11788</v>
      </c>
      <c r="G45" s="192">
        <v>6601</v>
      </c>
      <c r="H45" s="192">
        <v>3496</v>
      </c>
      <c r="I45" s="192">
        <v>8856</v>
      </c>
      <c r="J45" s="192">
        <v>1840</v>
      </c>
      <c r="K45" s="192">
        <v>9251</v>
      </c>
      <c r="L45" s="192">
        <v>16801</v>
      </c>
      <c r="M45" s="192">
        <v>16136</v>
      </c>
      <c r="N45" s="192">
        <v>19100</v>
      </c>
    </row>
    <row r="46" spans="1:14" x14ac:dyDescent="0.3">
      <c r="B46" t="s">
        <v>54</v>
      </c>
      <c r="C46" s="9">
        <v>6779</v>
      </c>
      <c r="D46" s="9">
        <v>8935</v>
      </c>
      <c r="E46" s="9">
        <v>10413</v>
      </c>
      <c r="F46" s="9">
        <v>12036</v>
      </c>
      <c r="G46" s="9">
        <v>11060</v>
      </c>
      <c r="H46" s="9">
        <v>7503</v>
      </c>
      <c r="I46" s="9">
        <v>5531</v>
      </c>
      <c r="J46" s="9">
        <v>5832</v>
      </c>
      <c r="K46" s="9">
        <v>11112</v>
      </c>
      <c r="L46" s="9">
        <v>18676</v>
      </c>
      <c r="M46" s="9">
        <v>20322</v>
      </c>
      <c r="N46" s="9">
        <v>21802</v>
      </c>
    </row>
    <row r="47" spans="1:14" x14ac:dyDescent="0.3">
      <c r="B47" t="s">
        <v>39</v>
      </c>
      <c r="C47">
        <v>345</v>
      </c>
      <c r="D47">
        <v>-204</v>
      </c>
      <c r="E47">
        <v>122</v>
      </c>
      <c r="F47">
        <v>-262</v>
      </c>
      <c r="G47">
        <v>-851</v>
      </c>
      <c r="H47">
        <v>340</v>
      </c>
      <c r="I47">
        <v>696</v>
      </c>
      <c r="J47">
        <v>-764</v>
      </c>
      <c r="K47" s="9">
        <v>-1258</v>
      </c>
      <c r="L47" s="9">
        <v>-1316</v>
      </c>
      <c r="M47" s="9">
        <v>-1969</v>
      </c>
      <c r="N47" s="9">
        <v>1236</v>
      </c>
    </row>
    <row r="48" spans="1:14" x14ac:dyDescent="0.3">
      <c r="B48" t="s">
        <v>40</v>
      </c>
      <c r="C48">
        <v>-982</v>
      </c>
      <c r="D48">
        <v>-450</v>
      </c>
      <c r="E48">
        <v>-131</v>
      </c>
      <c r="F48">
        <v>104</v>
      </c>
      <c r="G48">
        <v>-162</v>
      </c>
      <c r="H48">
        <v>109</v>
      </c>
      <c r="I48">
        <v>165</v>
      </c>
      <c r="J48">
        <v>-483</v>
      </c>
      <c r="K48">
        <v>-751</v>
      </c>
      <c r="L48">
        <v>125</v>
      </c>
      <c r="M48" s="9">
        <v>-1595</v>
      </c>
      <c r="N48" s="9">
        <v>-4407</v>
      </c>
    </row>
    <row r="49" spans="2:14" x14ac:dyDescent="0.3">
      <c r="B49" t="s">
        <v>55</v>
      </c>
      <c r="C49">
        <v>712</v>
      </c>
      <c r="D49" s="9">
        <v>1789</v>
      </c>
      <c r="E49">
        <v>979</v>
      </c>
      <c r="F49" s="9">
        <v>2128</v>
      </c>
      <c r="G49">
        <v>-858</v>
      </c>
      <c r="H49" s="9">
        <v>-2155</v>
      </c>
      <c r="I49" s="9">
        <v>2680</v>
      </c>
      <c r="J49">
        <v>-396</v>
      </c>
      <c r="K49" s="9">
        <v>2008</v>
      </c>
      <c r="L49" s="9">
        <v>3321</v>
      </c>
      <c r="M49" s="9">
        <v>3509</v>
      </c>
      <c r="N49" s="9">
        <v>5194</v>
      </c>
    </row>
    <row r="50" spans="2:14" x14ac:dyDescent="0.3">
      <c r="B50" t="s">
        <v>56</v>
      </c>
      <c r="C50">
        <v>23</v>
      </c>
      <c r="D50">
        <v>-1</v>
      </c>
      <c r="E50">
        <v>1</v>
      </c>
      <c r="F50">
        <v>0</v>
      </c>
      <c r="G50">
        <v>-13</v>
      </c>
      <c r="H50">
        <v>-1</v>
      </c>
      <c r="I50">
        <v>-6</v>
      </c>
      <c r="J50">
        <v>-8</v>
      </c>
      <c r="K50">
        <v>1</v>
      </c>
      <c r="L50">
        <v>-3</v>
      </c>
      <c r="M50">
        <v>-10</v>
      </c>
      <c r="N50">
        <v>-1</v>
      </c>
    </row>
    <row r="51" spans="2:14" x14ac:dyDescent="0.3">
      <c r="B51" t="s">
        <v>57</v>
      </c>
      <c r="C51">
        <v>648</v>
      </c>
      <c r="D51">
        <v>325</v>
      </c>
      <c r="E51" s="9">
        <v>1222</v>
      </c>
      <c r="F51">
        <v>839</v>
      </c>
      <c r="G51">
        <v>569</v>
      </c>
      <c r="H51">
        <v>-863</v>
      </c>
      <c r="I51">
        <v>801</v>
      </c>
      <c r="J51" s="9">
        <v>-1162</v>
      </c>
      <c r="K51">
        <v>374</v>
      </c>
      <c r="L51">
        <v>-406</v>
      </c>
      <c r="M51">
        <v>-313</v>
      </c>
      <c r="N51">
        <v>-387</v>
      </c>
    </row>
    <row r="52" spans="2:14" x14ac:dyDescent="0.3">
      <c r="B52" s="10" t="s">
        <v>58</v>
      </c>
      <c r="C52" s="10">
        <v>745</v>
      </c>
      <c r="D52" s="192">
        <v>1460</v>
      </c>
      <c r="E52" s="192">
        <v>2192</v>
      </c>
      <c r="F52" s="192">
        <v>2808</v>
      </c>
      <c r="G52" s="192">
        <v>-1315</v>
      </c>
      <c r="H52" s="192">
        <v>-2570</v>
      </c>
      <c r="I52" s="192">
        <v>4336</v>
      </c>
      <c r="J52" s="192">
        <v>-2813</v>
      </c>
      <c r="K52" s="10">
        <v>373</v>
      </c>
      <c r="L52" s="192">
        <v>1722</v>
      </c>
      <c r="M52" s="10">
        <v>-378</v>
      </c>
      <c r="N52" s="192">
        <v>1635</v>
      </c>
    </row>
    <row r="53" spans="2:14" x14ac:dyDescent="0.3">
      <c r="B53" t="s">
        <v>59</v>
      </c>
      <c r="C53" s="9">
        <v>-1075</v>
      </c>
      <c r="D53" s="9">
        <v>-1912</v>
      </c>
      <c r="E53" s="9">
        <v>-2323</v>
      </c>
      <c r="F53" s="9">
        <v>-3056</v>
      </c>
      <c r="G53" s="9">
        <v>-3144</v>
      </c>
      <c r="H53" s="9">
        <v>-1438</v>
      </c>
      <c r="I53" s="9">
        <v>-1011</v>
      </c>
      <c r="J53" s="9">
        <v>-1178</v>
      </c>
      <c r="K53" s="9">
        <v>-2233</v>
      </c>
      <c r="L53" s="9">
        <v>-3597</v>
      </c>
      <c r="M53" s="9">
        <v>-3807</v>
      </c>
      <c r="N53" s="9">
        <v>-4337</v>
      </c>
    </row>
    <row r="54" spans="2:14" x14ac:dyDescent="0.3">
      <c r="B54" s="10" t="s">
        <v>60</v>
      </c>
      <c r="C54" s="192">
        <v>-4491</v>
      </c>
      <c r="D54" s="192">
        <v>-7230</v>
      </c>
      <c r="E54" s="192">
        <v>-9173</v>
      </c>
      <c r="F54" s="192">
        <v>-8302</v>
      </c>
      <c r="G54" s="192">
        <v>-3540</v>
      </c>
      <c r="H54" s="10">
        <v>-557</v>
      </c>
      <c r="I54" s="192">
        <v>-7291</v>
      </c>
      <c r="J54" s="10">
        <v>-239</v>
      </c>
      <c r="K54" s="192">
        <v>-8036</v>
      </c>
      <c r="L54" s="192">
        <v>-11865</v>
      </c>
      <c r="M54" s="192">
        <v>-14456</v>
      </c>
      <c r="N54" s="192">
        <v>-14734</v>
      </c>
    </row>
    <row r="55" spans="2:14" x14ac:dyDescent="0.3">
      <c r="B55" t="s">
        <v>61</v>
      </c>
      <c r="C55" s="9">
        <v>-3058</v>
      </c>
      <c r="D55" s="9">
        <v>-2469</v>
      </c>
      <c r="E55" s="9">
        <v>-3391</v>
      </c>
      <c r="F55" s="9">
        <v>-3912</v>
      </c>
      <c r="G55" s="9">
        <v>-4872</v>
      </c>
      <c r="H55" s="9">
        <v>-3437</v>
      </c>
      <c r="I55" s="9">
        <v>-2370</v>
      </c>
      <c r="J55" s="9">
        <v>-3459</v>
      </c>
      <c r="K55" s="9">
        <v>-6347</v>
      </c>
      <c r="L55" s="9">
        <v>-9200</v>
      </c>
      <c r="M55" s="9">
        <v>-10641</v>
      </c>
      <c r="N55" s="9">
        <v>-10398</v>
      </c>
    </row>
    <row r="56" spans="2:14" x14ac:dyDescent="0.3">
      <c r="B56" t="s">
        <v>62</v>
      </c>
      <c r="C56">
        <v>16</v>
      </c>
      <c r="D56">
        <v>12</v>
      </c>
      <c r="E56">
        <v>16</v>
      </c>
      <c r="F56">
        <v>26</v>
      </c>
      <c r="G56">
        <v>170</v>
      </c>
      <c r="H56">
        <v>37</v>
      </c>
      <c r="I56">
        <v>42</v>
      </c>
      <c r="J56">
        <v>136</v>
      </c>
      <c r="K56">
        <v>100</v>
      </c>
      <c r="L56">
        <v>45</v>
      </c>
      <c r="M56">
        <v>38</v>
      </c>
      <c r="N56">
        <v>52</v>
      </c>
    </row>
    <row r="57" spans="2:14" x14ac:dyDescent="0.3">
      <c r="B57" t="s">
        <v>63</v>
      </c>
      <c r="C57" s="9">
        <v>-17354</v>
      </c>
      <c r="D57" s="9">
        <v>-12044</v>
      </c>
      <c r="E57" s="9">
        <v>-17716</v>
      </c>
      <c r="F57" s="9">
        <v>-47069</v>
      </c>
      <c r="G57" s="9">
        <v>-52957</v>
      </c>
      <c r="H57" s="9">
        <v>-44205</v>
      </c>
      <c r="I57" s="9">
        <v>-44869</v>
      </c>
      <c r="J57" s="9">
        <v>-60525</v>
      </c>
      <c r="K57" s="9">
        <v>-66597</v>
      </c>
      <c r="L57" s="9">
        <v>-65736</v>
      </c>
      <c r="M57" s="9">
        <v>-73882</v>
      </c>
      <c r="N57" s="9">
        <v>-108034</v>
      </c>
    </row>
    <row r="58" spans="2:14" x14ac:dyDescent="0.3">
      <c r="B58" t="s">
        <v>64</v>
      </c>
      <c r="C58" s="9">
        <v>15270</v>
      </c>
      <c r="D58" s="9">
        <v>7378</v>
      </c>
      <c r="E58" s="9">
        <v>11839</v>
      </c>
      <c r="F58" s="9">
        <v>42564</v>
      </c>
      <c r="G58" s="9">
        <v>53986</v>
      </c>
      <c r="H58" s="9">
        <v>46969</v>
      </c>
      <c r="I58" s="9">
        <v>42920</v>
      </c>
      <c r="J58" s="9">
        <v>63579</v>
      </c>
      <c r="K58" s="9">
        <v>61605</v>
      </c>
      <c r="L58" s="9">
        <v>61933</v>
      </c>
      <c r="M58" s="9">
        <v>69795</v>
      </c>
      <c r="N58" s="9">
        <v>101969</v>
      </c>
    </row>
    <row r="59" spans="2:14" x14ac:dyDescent="0.3">
      <c r="B59" t="s">
        <v>65</v>
      </c>
      <c r="C59">
        <v>152</v>
      </c>
      <c r="D59">
        <v>67</v>
      </c>
      <c r="E59">
        <v>36</v>
      </c>
      <c r="F59">
        <v>68</v>
      </c>
      <c r="G59">
        <v>124</v>
      </c>
      <c r="H59">
        <v>96</v>
      </c>
      <c r="I59">
        <v>67</v>
      </c>
      <c r="J59">
        <v>174</v>
      </c>
      <c r="K59">
        <v>194</v>
      </c>
      <c r="L59">
        <v>372</v>
      </c>
      <c r="M59">
        <v>444</v>
      </c>
      <c r="N59">
        <v>354</v>
      </c>
    </row>
    <row r="60" spans="2:14" x14ac:dyDescent="0.3">
      <c r="B60" t="s">
        <v>81</v>
      </c>
      <c r="C60">
        <v>54</v>
      </c>
      <c r="D60">
        <v>11</v>
      </c>
      <c r="E60">
        <v>13</v>
      </c>
      <c r="F60">
        <v>20</v>
      </c>
      <c r="G60">
        <v>9</v>
      </c>
      <c r="H60">
        <v>4</v>
      </c>
      <c r="I60">
        <v>3</v>
      </c>
      <c r="J60">
        <v>3</v>
      </c>
      <c r="K60">
        <v>6</v>
      </c>
      <c r="L60">
        <v>6</v>
      </c>
      <c r="M60">
        <v>9</v>
      </c>
      <c r="N60">
        <v>11</v>
      </c>
    </row>
    <row r="61" spans="2:14" x14ac:dyDescent="0.3">
      <c r="B61" t="s">
        <v>66</v>
      </c>
      <c r="C61">
        <v>0</v>
      </c>
      <c r="D61">
        <v>0</v>
      </c>
      <c r="E61">
        <v>22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2:14" x14ac:dyDescent="0.3">
      <c r="B62" t="s">
        <v>67</v>
      </c>
      <c r="C62">
        <v>0</v>
      </c>
      <c r="D62">
        <v>0</v>
      </c>
      <c r="E62">
        <v>0</v>
      </c>
      <c r="F62">
        <v>0</v>
      </c>
      <c r="G62">
        <v>0</v>
      </c>
      <c r="H62">
        <v>-15</v>
      </c>
      <c r="I62">
        <v>-65</v>
      </c>
      <c r="J62">
        <v>-146</v>
      </c>
      <c r="K62">
        <v>0</v>
      </c>
      <c r="L62">
        <v>-80</v>
      </c>
      <c r="M62">
        <v>-18</v>
      </c>
      <c r="N62">
        <v>0</v>
      </c>
    </row>
    <row r="63" spans="2:14" x14ac:dyDescent="0.3">
      <c r="B63" t="s">
        <v>68</v>
      </c>
      <c r="C63">
        <v>428</v>
      </c>
      <c r="D63">
        <v>-186</v>
      </c>
      <c r="E63">
        <v>7</v>
      </c>
      <c r="F63">
        <v>0</v>
      </c>
      <c r="G63">
        <v>0</v>
      </c>
      <c r="H63">
        <v>-5</v>
      </c>
      <c r="I63" s="9">
        <v>-3019</v>
      </c>
      <c r="J63">
        <v>-1</v>
      </c>
      <c r="K63" s="9">
        <v>3003</v>
      </c>
      <c r="L63">
        <v>795</v>
      </c>
      <c r="M63">
        <v>-201</v>
      </c>
      <c r="N63" s="9">
        <v>1311</v>
      </c>
    </row>
    <row r="64" spans="2:14" x14ac:dyDescent="0.3">
      <c r="B64" s="10" t="s">
        <v>69</v>
      </c>
      <c r="C64" s="192">
        <v>-2004</v>
      </c>
      <c r="D64" s="192">
        <v>-1237</v>
      </c>
      <c r="E64" s="192">
        <v>-1129</v>
      </c>
      <c r="F64" s="192">
        <v>-3436</v>
      </c>
      <c r="G64" s="192">
        <v>-2948</v>
      </c>
      <c r="H64" s="192">
        <v>-3104</v>
      </c>
      <c r="I64" s="192">
        <v>-1545</v>
      </c>
      <c r="J64" s="192">
        <v>-1607</v>
      </c>
      <c r="K64" s="192">
        <v>-1213</v>
      </c>
      <c r="L64" s="192">
        <v>-4062</v>
      </c>
      <c r="M64" s="192">
        <v>-4155</v>
      </c>
      <c r="N64" s="192">
        <v>-4484</v>
      </c>
    </row>
    <row r="65" spans="2:14" x14ac:dyDescent="0.3">
      <c r="B65" t="s">
        <v>70</v>
      </c>
      <c r="C65">
        <v>92</v>
      </c>
      <c r="D65">
        <v>77</v>
      </c>
      <c r="E65">
        <v>484</v>
      </c>
      <c r="F65">
        <v>10</v>
      </c>
      <c r="G65">
        <v>39</v>
      </c>
      <c r="H65">
        <v>0</v>
      </c>
      <c r="I65">
        <v>380</v>
      </c>
      <c r="J65">
        <v>0</v>
      </c>
      <c r="K65">
        <v>831</v>
      </c>
      <c r="L65">
        <v>0</v>
      </c>
      <c r="M65">
        <v>0</v>
      </c>
      <c r="N65">
        <v>0</v>
      </c>
    </row>
    <row r="66" spans="2:14" x14ac:dyDescent="0.3">
      <c r="B66" t="s">
        <v>71</v>
      </c>
      <c r="C66" s="9">
        <v>-1449</v>
      </c>
      <c r="D66">
        <v>-313</v>
      </c>
      <c r="E66">
        <v>-231</v>
      </c>
      <c r="F66">
        <v>-373</v>
      </c>
      <c r="G66">
        <v>0</v>
      </c>
      <c r="H66">
        <v>-46</v>
      </c>
      <c r="I66">
        <v>0</v>
      </c>
      <c r="J66">
        <v>-110</v>
      </c>
      <c r="K66">
        <v>0</v>
      </c>
      <c r="L66" s="9">
        <v>-1183</v>
      </c>
      <c r="M66">
        <v>-33</v>
      </c>
      <c r="N66">
        <v>0</v>
      </c>
    </row>
    <row r="67" spans="2:14" x14ac:dyDescent="0.3">
      <c r="B67" t="s">
        <v>72</v>
      </c>
      <c r="C67">
        <v>-222</v>
      </c>
      <c r="D67">
        <v>-92</v>
      </c>
      <c r="E67">
        <v>-110</v>
      </c>
      <c r="F67">
        <v>-346</v>
      </c>
      <c r="G67">
        <v>-73</v>
      </c>
      <c r="H67">
        <v>-136</v>
      </c>
      <c r="I67">
        <v>-102</v>
      </c>
      <c r="J67">
        <v>-130</v>
      </c>
      <c r="K67">
        <v>-186</v>
      </c>
      <c r="L67">
        <v>-147</v>
      </c>
      <c r="M67">
        <v>-167</v>
      </c>
      <c r="N67">
        <v>-204</v>
      </c>
    </row>
    <row r="68" spans="2:14" x14ac:dyDescent="0.3">
      <c r="B68" t="s">
        <v>73</v>
      </c>
      <c r="C68">
        <v>-362</v>
      </c>
      <c r="D68">
        <v>-755</v>
      </c>
      <c r="E68" s="9">
        <v>-1057</v>
      </c>
      <c r="F68" s="9">
        <v>-2266</v>
      </c>
      <c r="G68" s="9">
        <v>-2417</v>
      </c>
      <c r="H68" s="9">
        <v>-2417</v>
      </c>
      <c r="I68" s="9">
        <v>-1812</v>
      </c>
      <c r="J68" s="9">
        <v>-1359</v>
      </c>
      <c r="K68" s="9">
        <v>-1812</v>
      </c>
      <c r="L68" s="9">
        <v>-2719</v>
      </c>
      <c r="M68" s="9">
        <v>-3930</v>
      </c>
      <c r="N68" s="9">
        <v>-4244</v>
      </c>
    </row>
    <row r="69" spans="2:14" x14ac:dyDescent="0.3">
      <c r="B69" t="s">
        <v>74</v>
      </c>
      <c r="C69">
        <v>0</v>
      </c>
      <c r="D69">
        <v>0</v>
      </c>
      <c r="E69">
        <v>0</v>
      </c>
      <c r="F69">
        <v>0</v>
      </c>
      <c r="G69">
        <v>0</v>
      </c>
      <c r="H69">
        <v>-10</v>
      </c>
      <c r="I69">
        <v>-11</v>
      </c>
      <c r="J69">
        <v>-8</v>
      </c>
      <c r="K69">
        <v>-46</v>
      </c>
      <c r="L69">
        <v>-13</v>
      </c>
      <c r="M69">
        <v>-25</v>
      </c>
      <c r="N69">
        <v>-36</v>
      </c>
    </row>
    <row r="70" spans="2:14" x14ac:dyDescent="0.3">
      <c r="B70" t="s">
        <v>75</v>
      </c>
      <c r="C70">
        <v>-62</v>
      </c>
      <c r="D70">
        <v>-154</v>
      </c>
      <c r="E70">
        <v>-215</v>
      </c>
      <c r="F70">
        <v>-461</v>
      </c>
      <c r="G70">
        <v>-497</v>
      </c>
      <c r="H70">
        <v>-497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2:14" x14ac:dyDescent="0.3">
      <c r="B71" s="10" t="s">
        <v>49</v>
      </c>
      <c r="C71" s="10">
        <v>-45</v>
      </c>
      <c r="D71" s="10">
        <v>16</v>
      </c>
      <c r="E71" s="10">
        <v>-20</v>
      </c>
      <c r="F71" s="10">
        <v>50</v>
      </c>
      <c r="G71" s="10">
        <v>113</v>
      </c>
      <c r="H71" s="10">
        <v>-165</v>
      </c>
      <c r="I71" s="10">
        <v>20</v>
      </c>
      <c r="J71" s="10">
        <v>-6</v>
      </c>
      <c r="K71" s="10">
        <v>2</v>
      </c>
      <c r="L71" s="10">
        <v>874</v>
      </c>
      <c r="M71" s="192">
        <v>-2475</v>
      </c>
      <c r="N71" s="10">
        <v>-118</v>
      </c>
    </row>
    <row r="72" spans="2:14" x14ac:dyDescent="0.3">
      <c r="B72" t="s">
        <v>371</v>
      </c>
      <c r="C72" s="9">
        <v>3408</v>
      </c>
      <c r="D72" s="9">
        <v>6026</v>
      </c>
      <c r="E72" s="9">
        <v>6907</v>
      </c>
      <c r="F72" s="9">
        <v>7903</v>
      </c>
      <c r="G72" s="9">
        <v>1899</v>
      </c>
      <c r="H72">
        <v>96</v>
      </c>
      <c r="I72" s="9">
        <v>6528</v>
      </c>
      <c r="J72" s="9">
        <v>-1483</v>
      </c>
      <c r="K72" s="9">
        <v>3004</v>
      </c>
      <c r="L72" s="9">
        <v>7646</v>
      </c>
      <c r="M72" s="9">
        <v>5533</v>
      </c>
      <c r="N72" s="9">
        <v>8754</v>
      </c>
    </row>
    <row r="73" spans="2:14" x14ac:dyDescent="0.3">
      <c r="B73" t="s">
        <v>372</v>
      </c>
      <c r="C73" s="191">
        <v>1.0900000000000001</v>
      </c>
      <c r="D73" s="191">
        <v>1.1499999999999999</v>
      </c>
      <c r="E73" s="191">
        <v>1.21</v>
      </c>
      <c r="F73" s="191">
        <v>1.22</v>
      </c>
      <c r="G73" s="191">
        <v>0.88</v>
      </c>
      <c r="H73" s="191">
        <v>0.67</v>
      </c>
      <c r="I73" s="191">
        <v>1.82</v>
      </c>
      <c r="J73" s="191">
        <v>0.52</v>
      </c>
      <c r="K73" s="191">
        <v>1.04</v>
      </c>
      <c r="L73" s="191">
        <v>1.1000000000000001</v>
      </c>
      <c r="M73" s="191">
        <v>0.99</v>
      </c>
      <c r="N73" s="191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Financial&gt;</vt:lpstr>
      <vt:lpstr>HistoricalFS</vt:lpstr>
      <vt:lpstr>Ratio Analysis</vt:lpstr>
      <vt:lpstr>Common Size Statement</vt:lpstr>
      <vt:lpstr>IS-Forecasting</vt:lpstr>
      <vt:lpstr>BS-Forcasting</vt:lpstr>
      <vt:lpstr>CashFlow-Forcasting</vt:lpstr>
      <vt:lpstr>DCF&gt;</vt:lpstr>
      <vt:lpstr>WACC</vt:lpstr>
      <vt:lpstr>Beta - Regression</vt:lpstr>
      <vt:lpstr>Rm</vt:lpstr>
      <vt:lpstr>Intrinsic Growth</vt:lpstr>
      <vt:lpstr>DCF</vt:lpstr>
      <vt:lpstr>Data&gt;</vt:lpstr>
      <vt:lpstr>Data Sheet</vt:lpstr>
      <vt:lpstr>Cashflow Data</vt:lpstr>
      <vt:lpstr>Raw Data</vt:lpstr>
      <vt:lpstr>RawFS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rajput</dc:creator>
  <cp:lastModifiedBy>lokesh rajput</cp:lastModifiedBy>
  <dcterms:created xsi:type="dcterms:W3CDTF">2026-06-20T08:16:42Z</dcterms:created>
  <dcterms:modified xsi:type="dcterms:W3CDTF">2026-07-05T18:22:13Z</dcterms:modified>
</cp:coreProperties>
</file>