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1.xml" ContentType="application/vnd.openxmlformats-officedocument.spreadsheetml.comments+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4028d59bbc550eab/Desktop/"/>
    </mc:Choice>
  </mc:AlternateContent>
  <xr:revisionPtr revIDLastSave="1" documentId="13_ncr:1_{3034C6EF-2E49-44C8-9987-1FFFD2FB6A1E}" xr6:coauthVersionLast="47" xr6:coauthVersionMax="47" xr10:uidLastSave="{BFF023F9-4CE4-42B3-B64C-800ABB86D5EC}"/>
  <bookViews>
    <workbookView xWindow="0" yWindow="0" windowWidth="23040" windowHeight="12240" tabRatio="500" firstSheet="16" activeTab="19" xr2:uid="{00000000-000D-0000-FFFF-FFFF00000000}"/>
  </bookViews>
  <sheets>
    <sheet name="Front Page" sheetId="29" r:id="rId1"/>
    <sheet name="Index" sheetId="28" r:id="rId2"/>
    <sheet name="One Page Summary" sheetId="26" r:id="rId3"/>
    <sheet name="HistoricalFS" sheetId="2" r:id="rId4"/>
    <sheet name="Ratio Analysis" sheetId="3" r:id="rId5"/>
    <sheet name="Common Size Statement" sheetId="4" r:id="rId6"/>
    <sheet name="Assumptions Sheet" sheetId="5" r:id="rId7"/>
    <sheet name="ForcastedFS" sheetId="6" r:id="rId8"/>
    <sheet name="Beta-Regression" sheetId="13" r:id="rId9"/>
    <sheet name="Rm" sheetId="14" r:id="rId10"/>
    <sheet name="WACC" sheetId="10" r:id="rId11"/>
    <sheet name="Intrinsic Growth" sheetId="15" r:id="rId12"/>
    <sheet name="DCF" sheetId="17" r:id="rId13"/>
    <sheet name="Comps_Valuation" sheetId="18" r:id="rId14"/>
    <sheet name="Football_Field_Analysis" sheetId="21" r:id="rId15"/>
    <sheet name="VAR Historical Approach" sheetId="22" r:id="rId16"/>
    <sheet name="Monte Carlo Simulation" sheetId="23" r:id="rId17"/>
    <sheet name="DUPONT Analysis" sheetId="24" r:id="rId18"/>
    <sheet name="Altman's z Score" sheetId="25" r:id="rId19"/>
    <sheet name="RawFS" sheetId="16" r:id="rId20"/>
    <sheet name="Data&gt;" sheetId="7" r:id="rId21"/>
    <sheet name="comps_data" sheetId="19" r:id="rId22"/>
    <sheet name="Data Sheet" sheetId="8" r:id="rId23"/>
    <sheet name="CashFlow" sheetId="9" r:id="rId24"/>
    <sheet name="peer companies" sheetId="11" r:id="rId25"/>
    <sheet name="Raw Data" sheetId="27" r:id="rId26"/>
  </sheets>
  <definedNames>
    <definedName name="_xlnm._FilterDatabase" localSheetId="8" hidden="1">'Beta-Regression'!$B$6:$D$261</definedName>
    <definedName name="_xlnm._FilterDatabase" localSheetId="25" hidden="1">'Raw Data'!$B$2:$D$2</definedName>
    <definedName name="_xlnm._FilterDatabase" localSheetId="15" hidden="1">'VAR Historical Approach'!$B$2:$E$1361</definedName>
    <definedName name="_xlchart.v1.0" hidden="1">'VAR Historical Approach'!$B$3:$B$1360</definedName>
    <definedName name="_xlchart.v1.1" hidden="1">'VAR Historical Approach'!$E$3:$E$1360</definedName>
    <definedName name="_xlchart.v1.2" hidden="1">'Monte Carlo Simulation'!$B$3:$B$1360</definedName>
    <definedName name="_xlchart.v1.3" hidden="1">'Monte Carlo Simulation'!$G$3:$G$1360</definedName>
    <definedName name="_xlnm.Print_Area" localSheetId="18">'Altman''s z Score'!$A$1:$I$91</definedName>
    <definedName name="_xlnm.Print_Area" localSheetId="16">'Monte Carlo Simulation'!$A$1:$M$85</definedName>
    <definedName name="_xlnm.Print_Area" localSheetId="2">'One Page Summary'!$A$1:$K$62</definedName>
    <definedName name="_xlnm.Print_Area" localSheetId="4">'Ratio Analysis'!$A$1:$O$42</definedName>
    <definedName name="_xlnm.Print_Area" localSheetId="15">'VAR Historical Approach'!$A$1:$K$65</definedName>
    <definedName name="UPDATE">'Data Sheet'!$E$1</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K100" i="8" l="1"/>
  <c r="K53" i="26"/>
  <c r="K49" i="26"/>
  <c r="K51" i="26"/>
  <c r="K50" i="26"/>
  <c r="K99" i="8"/>
  <c r="K48" i="26"/>
  <c r="K47" i="26"/>
  <c r="F35" i="26"/>
  <c r="F36" i="26"/>
  <c r="F37" i="26"/>
  <c r="F38" i="26"/>
  <c r="F39" i="26"/>
  <c r="F40" i="26"/>
  <c r="F41" i="26"/>
  <c r="F42" i="26"/>
  <c r="F43" i="26"/>
  <c r="F34" i="26"/>
  <c r="E35" i="26"/>
  <c r="E36" i="26"/>
  <c r="E37" i="26"/>
  <c r="E38" i="26"/>
  <c r="E39" i="26"/>
  <c r="E40" i="26"/>
  <c r="E41" i="26"/>
  <c r="E42" i="26"/>
  <c r="E43" i="26"/>
  <c r="E34" i="26"/>
  <c r="C35" i="26"/>
  <c r="C36" i="26"/>
  <c r="C37" i="26"/>
  <c r="C38" i="26"/>
  <c r="C39" i="26"/>
  <c r="C40" i="26"/>
  <c r="C41" i="26"/>
  <c r="C42" i="26"/>
  <c r="C43" i="26"/>
  <c r="C34" i="26"/>
  <c r="E32" i="26"/>
  <c r="C32" i="26"/>
  <c r="B35" i="26"/>
  <c r="B36" i="26"/>
  <c r="B37" i="26"/>
  <c r="B38" i="26"/>
  <c r="B39" i="26"/>
  <c r="B40" i="26"/>
  <c r="B41" i="26"/>
  <c r="B42" i="26"/>
  <c r="B43" i="26"/>
  <c r="B34" i="26"/>
  <c r="D30" i="26"/>
  <c r="E30" i="26"/>
  <c r="F30" i="26"/>
  <c r="G30" i="26"/>
  <c r="C30" i="26"/>
  <c r="D29" i="26"/>
  <c r="E29" i="26"/>
  <c r="F29" i="26"/>
  <c r="G29" i="26"/>
  <c r="C29" i="26"/>
  <c r="D28" i="26"/>
  <c r="E28" i="26"/>
  <c r="F28" i="26"/>
  <c r="G28" i="26"/>
  <c r="C28" i="26"/>
  <c r="D27" i="26"/>
  <c r="E27" i="26"/>
  <c r="F27" i="26"/>
  <c r="G27" i="26"/>
  <c r="C27" i="26"/>
  <c r="D26" i="26"/>
  <c r="E26" i="26"/>
  <c r="F26" i="26"/>
  <c r="G26" i="26"/>
  <c r="C26" i="26"/>
  <c r="D25" i="26"/>
  <c r="E25" i="26"/>
  <c r="F25" i="26"/>
  <c r="G25" i="26"/>
  <c r="C25" i="26"/>
  <c r="C105" i="8"/>
  <c r="D105" i="8"/>
  <c r="E105" i="8"/>
  <c r="F105" i="8"/>
  <c r="G105" i="8"/>
  <c r="H105" i="8"/>
  <c r="I105" i="8"/>
  <c r="J105" i="8"/>
  <c r="K105" i="8"/>
  <c r="B105" i="8"/>
  <c r="C104" i="8"/>
  <c r="D104" i="8"/>
  <c r="E104" i="8"/>
  <c r="F104" i="8"/>
  <c r="G104" i="8"/>
  <c r="H104" i="8"/>
  <c r="I104" i="8"/>
  <c r="J104" i="8"/>
  <c r="K104" i="8"/>
  <c r="B104" i="8"/>
  <c r="C103" i="8"/>
  <c r="D103" i="8"/>
  <c r="E103" i="8"/>
  <c r="F103" i="8"/>
  <c r="G103" i="8"/>
  <c r="H103" i="8"/>
  <c r="I103" i="8"/>
  <c r="J103" i="8"/>
  <c r="K103" i="8"/>
  <c r="B103" i="8"/>
  <c r="C102" i="8"/>
  <c r="D102" i="8"/>
  <c r="E102" i="8"/>
  <c r="F102" i="8"/>
  <c r="G102" i="8"/>
  <c r="H102" i="8"/>
  <c r="I102" i="8"/>
  <c r="J102" i="8"/>
  <c r="K102" i="8"/>
  <c r="B102" i="8"/>
  <c r="C101" i="8"/>
  <c r="D101" i="8"/>
  <c r="E101" i="8"/>
  <c r="F101" i="8"/>
  <c r="G101" i="8"/>
  <c r="H101" i="8"/>
  <c r="I101" i="8"/>
  <c r="J101" i="8"/>
  <c r="K101" i="8"/>
  <c r="B101" i="8"/>
  <c r="C75" i="8"/>
  <c r="D75" i="8"/>
  <c r="E75" i="8"/>
  <c r="F75" i="8"/>
  <c r="G75" i="8"/>
  <c r="H75" i="8"/>
  <c r="I75" i="8"/>
  <c r="J75" i="8"/>
  <c r="K75" i="8"/>
  <c r="B75" i="8"/>
  <c r="C100" i="8"/>
  <c r="D100" i="8"/>
  <c r="E100" i="8"/>
  <c r="F100" i="8"/>
  <c r="G100" i="8"/>
  <c r="H100" i="8"/>
  <c r="I100" i="8"/>
  <c r="J100" i="8"/>
  <c r="B100" i="8"/>
  <c r="C99" i="8"/>
  <c r="D99" i="8"/>
  <c r="E99" i="8"/>
  <c r="F99" i="8"/>
  <c r="G99" i="8"/>
  <c r="H99" i="8"/>
  <c r="I99" i="8"/>
  <c r="J99" i="8"/>
  <c r="B99" i="8"/>
  <c r="C98" i="8"/>
  <c r="D98" i="8"/>
  <c r="E98" i="8"/>
  <c r="F98" i="8"/>
  <c r="G98" i="8"/>
  <c r="H98" i="8"/>
  <c r="I98" i="8"/>
  <c r="J98" i="8"/>
  <c r="K98" i="8"/>
  <c r="B98" i="8"/>
  <c r="D21" i="26"/>
  <c r="E21" i="26"/>
  <c r="F21" i="26"/>
  <c r="G21" i="26"/>
  <c r="C21" i="26"/>
  <c r="D97" i="8"/>
  <c r="E97" i="8"/>
  <c r="F97" i="8"/>
  <c r="G97" i="8"/>
  <c r="H97" i="8"/>
  <c r="I97" i="8"/>
  <c r="J97" i="8"/>
  <c r="K97" i="8"/>
  <c r="C97" i="8"/>
  <c r="C51" i="2"/>
  <c r="C96" i="8"/>
  <c r="D96" i="8"/>
  <c r="E96" i="8"/>
  <c r="F96" i="8"/>
  <c r="G96" i="8"/>
  <c r="H96" i="8"/>
  <c r="I96" i="8"/>
  <c r="J96" i="8"/>
  <c r="K96" i="8"/>
  <c r="B96" i="8"/>
  <c r="D20" i="26"/>
  <c r="E20" i="26"/>
  <c r="F20" i="26"/>
  <c r="G20" i="26"/>
  <c r="C20" i="26"/>
  <c r="D19" i="26"/>
  <c r="E19" i="26"/>
  <c r="F19" i="26"/>
  <c r="G19" i="26"/>
  <c r="C19" i="26"/>
  <c r="D18" i="26"/>
  <c r="E18" i="26"/>
  <c r="F18" i="26"/>
  <c r="G18" i="26"/>
  <c r="C18" i="26"/>
  <c r="D17" i="26"/>
  <c r="E17" i="26"/>
  <c r="F17" i="26"/>
  <c r="G17" i="26"/>
  <c r="C17" i="26"/>
  <c r="D16" i="26"/>
  <c r="E16" i="26"/>
  <c r="F16" i="26"/>
  <c r="G16" i="26"/>
  <c r="C16" i="26"/>
  <c r="D15" i="26"/>
  <c r="E15" i="26"/>
  <c r="F15" i="26"/>
  <c r="G15" i="26"/>
  <c r="C15" i="26"/>
  <c r="D14" i="26"/>
  <c r="E14" i="26"/>
  <c r="F14" i="26"/>
  <c r="G14" i="26"/>
  <c r="C14" i="26"/>
  <c r="D13" i="26"/>
  <c r="E13" i="26"/>
  <c r="F13" i="26"/>
  <c r="G13" i="26"/>
  <c r="C13" i="26"/>
  <c r="D11" i="26"/>
  <c r="E11" i="26"/>
  <c r="F11" i="26"/>
  <c r="G11" i="26"/>
  <c r="C11" i="26"/>
  <c r="D10" i="26"/>
  <c r="E10" i="26"/>
  <c r="F10" i="26"/>
  <c r="G10" i="26"/>
  <c r="C10" i="26"/>
  <c r="D23" i="26"/>
  <c r="E23" i="26"/>
  <c r="F23" i="26"/>
  <c r="G23" i="26"/>
  <c r="C23" i="26"/>
  <c r="D8" i="26"/>
  <c r="E8" i="26"/>
  <c r="F8" i="26"/>
  <c r="G8" i="26"/>
  <c r="C8" i="26"/>
  <c r="B4" i="26"/>
  <c r="D85" i="25"/>
  <c r="E85" i="25"/>
  <c r="F85" i="25"/>
  <c r="G85" i="25"/>
  <c r="H85" i="25"/>
  <c r="I85" i="25"/>
  <c r="C85" i="25"/>
  <c r="D80" i="25"/>
  <c r="E80" i="25"/>
  <c r="F80" i="25"/>
  <c r="G80" i="25"/>
  <c r="H80" i="25"/>
  <c r="I80" i="25"/>
  <c r="C80" i="25"/>
  <c r="D79" i="25"/>
  <c r="E79" i="25"/>
  <c r="F79" i="25"/>
  <c r="G79" i="25"/>
  <c r="H79" i="25"/>
  <c r="I79" i="25"/>
  <c r="C79" i="25"/>
  <c r="D74" i="25"/>
  <c r="E74" i="25"/>
  <c r="F74" i="25"/>
  <c r="G74" i="25"/>
  <c r="H74" i="25"/>
  <c r="I74" i="25"/>
  <c r="C74" i="25"/>
  <c r="D73" i="25"/>
  <c r="E73" i="25"/>
  <c r="F73" i="25"/>
  <c r="G73" i="25"/>
  <c r="H73" i="25"/>
  <c r="I73" i="25"/>
  <c r="C73" i="25"/>
  <c r="K95" i="8"/>
  <c r="I69" i="25"/>
  <c r="D67" i="25"/>
  <c r="E67" i="25"/>
  <c r="F67" i="25"/>
  <c r="G67" i="25"/>
  <c r="H67" i="25"/>
  <c r="I67" i="25"/>
  <c r="C67" i="25"/>
  <c r="C63" i="25"/>
  <c r="D61" i="25"/>
  <c r="E61" i="25"/>
  <c r="F61" i="25"/>
  <c r="G61" i="25"/>
  <c r="H61" i="25"/>
  <c r="I61" i="25"/>
  <c r="C61" i="25"/>
  <c r="I62" i="25"/>
  <c r="I57" i="25"/>
  <c r="C57" i="25"/>
  <c r="D55" i="25"/>
  <c r="E55" i="25"/>
  <c r="E57" i="25" s="1"/>
  <c r="F55" i="25"/>
  <c r="G55" i="25"/>
  <c r="H55" i="25"/>
  <c r="I55" i="25"/>
  <c r="D56" i="25"/>
  <c r="D57" i="25" s="1"/>
  <c r="E56" i="25"/>
  <c r="E62" i="25" s="1"/>
  <c r="F56" i="25"/>
  <c r="F62" i="25" s="1"/>
  <c r="G56" i="25"/>
  <c r="H56" i="25"/>
  <c r="I56" i="25"/>
  <c r="C56" i="25"/>
  <c r="C55" i="25"/>
  <c r="D54" i="25"/>
  <c r="E54" i="25"/>
  <c r="F54" i="25"/>
  <c r="G54" i="25"/>
  <c r="H54" i="25"/>
  <c r="I54" i="25"/>
  <c r="C54" i="25"/>
  <c r="B5" i="25"/>
  <c r="B3" i="25"/>
  <c r="E81" i="25"/>
  <c r="D81" i="25"/>
  <c r="C81" i="25"/>
  <c r="C75" i="25"/>
  <c r="I75" i="25"/>
  <c r="C60" i="25"/>
  <c r="C66" i="25" s="1"/>
  <c r="C72" i="25" s="1"/>
  <c r="D62" i="25"/>
  <c r="C62" i="25"/>
  <c r="I78" i="25"/>
  <c r="I84" i="25" s="1"/>
  <c r="H78" i="25"/>
  <c r="H84" i="25" s="1"/>
  <c r="G60" i="25"/>
  <c r="G66" i="25" s="1"/>
  <c r="G72" i="25" s="1"/>
  <c r="F78" i="25"/>
  <c r="F84" i="25" s="1"/>
  <c r="E60" i="25"/>
  <c r="E66" i="25" s="1"/>
  <c r="E72" i="25" s="1"/>
  <c r="D78" i="25"/>
  <c r="D84" i="25" s="1"/>
  <c r="C78" i="25"/>
  <c r="C84" i="25" s="1"/>
  <c r="G86" i="24"/>
  <c r="I86" i="24"/>
  <c r="E81" i="24"/>
  <c r="J76" i="24"/>
  <c r="J82" i="24" s="1"/>
  <c r="E77" i="24"/>
  <c r="E86" i="24" s="1"/>
  <c r="G77" i="24"/>
  <c r="I77" i="24"/>
  <c r="E75" i="24"/>
  <c r="G68" i="24"/>
  <c r="H68" i="24"/>
  <c r="I68" i="24"/>
  <c r="J68" i="24"/>
  <c r="E69" i="24"/>
  <c r="F69" i="24"/>
  <c r="G69" i="24"/>
  <c r="H69" i="24"/>
  <c r="I69" i="24"/>
  <c r="I66" i="24"/>
  <c r="H66" i="24"/>
  <c r="H77" i="24" s="1"/>
  <c r="H86" i="24" s="1"/>
  <c r="G66" i="24"/>
  <c r="F66" i="24"/>
  <c r="F68" i="24" s="1"/>
  <c r="E66" i="24"/>
  <c r="E68" i="24" s="1"/>
  <c r="D66" i="24"/>
  <c r="D68" i="24" s="1"/>
  <c r="J66" i="24"/>
  <c r="J77" i="24" s="1"/>
  <c r="J86" i="24" s="1"/>
  <c r="J65" i="24"/>
  <c r="J83" i="24" s="1"/>
  <c r="J85" i="24" s="1"/>
  <c r="J87" i="24" s="1"/>
  <c r="D65" i="24"/>
  <c r="D83" i="24" s="1"/>
  <c r="D85" i="24" s="1"/>
  <c r="E62" i="24"/>
  <c r="F62" i="24"/>
  <c r="F65" i="24" s="1"/>
  <c r="F67" i="24" s="1"/>
  <c r="G62" i="24"/>
  <c r="G65" i="24" s="1"/>
  <c r="G83" i="24" s="1"/>
  <c r="G85" i="24" s="1"/>
  <c r="G87" i="24" s="1"/>
  <c r="H62" i="24"/>
  <c r="H65" i="24" s="1"/>
  <c r="H83" i="24" s="1"/>
  <c r="H85" i="24" s="1"/>
  <c r="H87" i="24" s="1"/>
  <c r="I62" i="24"/>
  <c r="I65" i="24" s="1"/>
  <c r="I83" i="24" s="1"/>
  <c r="I85" i="24" s="1"/>
  <c r="I87" i="24" s="1"/>
  <c r="J62" i="24"/>
  <c r="D62" i="24"/>
  <c r="I56" i="24"/>
  <c r="H56" i="24"/>
  <c r="G56" i="24"/>
  <c r="F56" i="24"/>
  <c r="E56" i="24"/>
  <c r="D56" i="24"/>
  <c r="D69" i="24" s="1"/>
  <c r="J56" i="24"/>
  <c r="J69" i="24" s="1"/>
  <c r="E55" i="24"/>
  <c r="F55" i="24"/>
  <c r="G55" i="24"/>
  <c r="H55" i="24"/>
  <c r="I55" i="24"/>
  <c r="J55" i="24"/>
  <c r="J61" i="24" s="1"/>
  <c r="J63" i="24" s="1"/>
  <c r="D55" i="24"/>
  <c r="E54" i="24"/>
  <c r="E60" i="24" s="1"/>
  <c r="F54" i="24"/>
  <c r="F60" i="24" s="1"/>
  <c r="F75" i="24" s="1"/>
  <c r="F81" i="24" s="1"/>
  <c r="G54" i="24"/>
  <c r="G60" i="24" s="1"/>
  <c r="G75" i="24" s="1"/>
  <c r="G81" i="24" s="1"/>
  <c r="H54" i="24"/>
  <c r="H60" i="24" s="1"/>
  <c r="H75" i="24" s="1"/>
  <c r="H81" i="24" s="1"/>
  <c r="I54" i="24"/>
  <c r="J54" i="24"/>
  <c r="J60" i="24" s="1"/>
  <c r="J75" i="24" s="1"/>
  <c r="J81" i="24" s="1"/>
  <c r="D54" i="24"/>
  <c r="D60" i="24" s="1"/>
  <c r="D75" i="24" s="1"/>
  <c r="D81" i="24" s="1"/>
  <c r="B5" i="24"/>
  <c r="B3" i="24"/>
  <c r="K8" i="22"/>
  <c r="M8" i="23"/>
  <c r="L12" i="23"/>
  <c r="I2" i="23"/>
  <c r="L14" i="23"/>
  <c r="M14" i="23" s="1"/>
  <c r="J14" i="23"/>
  <c r="L13" i="23"/>
  <c r="M13" i="23" s="1"/>
  <c r="J13" i="23"/>
  <c r="M12" i="23"/>
  <c r="J12" i="23"/>
  <c r="G4" i="23"/>
  <c r="G5" i="23"/>
  <c r="G6" i="23"/>
  <c r="G7" i="23"/>
  <c r="G8" i="23"/>
  <c r="G9" i="23"/>
  <c r="G10" i="23"/>
  <c r="G11" i="23"/>
  <c r="G12" i="23"/>
  <c r="G13" i="23"/>
  <c r="G14" i="23"/>
  <c r="G15" i="23"/>
  <c r="G16" i="23"/>
  <c r="G17" i="23"/>
  <c r="G18" i="23"/>
  <c r="G19" i="23"/>
  <c r="G20" i="23"/>
  <c r="G21" i="23"/>
  <c r="G22" i="23"/>
  <c r="G23" i="23"/>
  <c r="G24" i="23"/>
  <c r="G25" i="23"/>
  <c r="G26" i="23"/>
  <c r="G27" i="23"/>
  <c r="G28" i="23"/>
  <c r="G29" i="23"/>
  <c r="G30" i="23"/>
  <c r="G31" i="23"/>
  <c r="G32" i="23"/>
  <c r="G33" i="23"/>
  <c r="G34" i="23"/>
  <c r="G35" i="23"/>
  <c r="G36" i="23"/>
  <c r="G37" i="23"/>
  <c r="G38" i="23"/>
  <c r="G39" i="23"/>
  <c r="G40" i="23"/>
  <c r="G41" i="23"/>
  <c r="G42" i="23"/>
  <c r="G43" i="23"/>
  <c r="G44" i="23"/>
  <c r="G45" i="23"/>
  <c r="G46" i="23"/>
  <c r="G47" i="23"/>
  <c r="G48" i="23"/>
  <c r="G49" i="23"/>
  <c r="G50" i="23"/>
  <c r="G51" i="23"/>
  <c r="G52" i="23"/>
  <c r="G53" i="23"/>
  <c r="G54" i="23"/>
  <c r="G55" i="23"/>
  <c r="G56" i="23"/>
  <c r="G57" i="23"/>
  <c r="G58" i="23"/>
  <c r="G59" i="23"/>
  <c r="G60" i="23"/>
  <c r="G61" i="23"/>
  <c r="G62" i="23"/>
  <c r="G63" i="23"/>
  <c r="G64" i="23"/>
  <c r="G65" i="23"/>
  <c r="G66" i="23"/>
  <c r="G67" i="23"/>
  <c r="G68" i="23"/>
  <c r="G69" i="23"/>
  <c r="G70" i="23"/>
  <c r="G71" i="23"/>
  <c r="G72" i="23"/>
  <c r="G73" i="23"/>
  <c r="G74" i="23"/>
  <c r="G75" i="23"/>
  <c r="G76" i="23"/>
  <c r="G77" i="23"/>
  <c r="G78" i="23"/>
  <c r="G79" i="23"/>
  <c r="G80" i="23"/>
  <c r="G81" i="23"/>
  <c r="G82" i="23"/>
  <c r="G83" i="23"/>
  <c r="G84" i="23"/>
  <c r="G85" i="23"/>
  <c r="G86" i="23"/>
  <c r="G87" i="23"/>
  <c r="G88" i="23"/>
  <c r="G89" i="23"/>
  <c r="G90" i="23"/>
  <c r="G91" i="23"/>
  <c r="G92" i="23"/>
  <c r="G93" i="23"/>
  <c r="G94" i="23"/>
  <c r="G95" i="23"/>
  <c r="G96" i="23"/>
  <c r="G97" i="23"/>
  <c r="G98" i="23"/>
  <c r="G99" i="23"/>
  <c r="G100" i="23"/>
  <c r="G101" i="23"/>
  <c r="G102" i="23"/>
  <c r="G103" i="23"/>
  <c r="G104" i="23"/>
  <c r="G105" i="23"/>
  <c r="G106" i="23"/>
  <c r="G107" i="23"/>
  <c r="G108" i="23"/>
  <c r="G109" i="23"/>
  <c r="G110" i="23"/>
  <c r="G111" i="23"/>
  <c r="G112" i="23"/>
  <c r="G113" i="23"/>
  <c r="G114" i="23"/>
  <c r="G115" i="23"/>
  <c r="G116" i="23"/>
  <c r="G117" i="23"/>
  <c r="G118" i="23"/>
  <c r="G119" i="23"/>
  <c r="G120" i="23"/>
  <c r="G121" i="23"/>
  <c r="G122" i="23"/>
  <c r="G123" i="23"/>
  <c r="G124" i="23"/>
  <c r="G125" i="23"/>
  <c r="G126" i="23"/>
  <c r="G127" i="23"/>
  <c r="G128" i="23"/>
  <c r="G129" i="23"/>
  <c r="G130" i="23"/>
  <c r="G131" i="23"/>
  <c r="G132" i="23"/>
  <c r="G133" i="23"/>
  <c r="G134" i="23"/>
  <c r="G135" i="23"/>
  <c r="G136" i="23"/>
  <c r="G137" i="23"/>
  <c r="G138" i="23"/>
  <c r="G139" i="23"/>
  <c r="G140" i="23"/>
  <c r="G141" i="23"/>
  <c r="G142" i="23"/>
  <c r="G143" i="23"/>
  <c r="G144" i="23"/>
  <c r="G145" i="23"/>
  <c r="G146" i="23"/>
  <c r="G147" i="23"/>
  <c r="G148" i="23"/>
  <c r="G149" i="23"/>
  <c r="G150" i="23"/>
  <c r="G151" i="23"/>
  <c r="G152" i="23"/>
  <c r="G153" i="23"/>
  <c r="G154" i="23"/>
  <c r="G155" i="23"/>
  <c r="G156" i="23"/>
  <c r="G157" i="23"/>
  <c r="G158" i="23"/>
  <c r="G159" i="23"/>
  <c r="G160" i="23"/>
  <c r="G161" i="23"/>
  <c r="G162" i="23"/>
  <c r="G163" i="23"/>
  <c r="G164" i="23"/>
  <c r="G165" i="23"/>
  <c r="G166" i="23"/>
  <c r="G167" i="23"/>
  <c r="G168" i="23"/>
  <c r="G169" i="23"/>
  <c r="G170" i="23"/>
  <c r="G171" i="23"/>
  <c r="G172" i="23"/>
  <c r="G173" i="23"/>
  <c r="G174" i="23"/>
  <c r="G175" i="23"/>
  <c r="G176" i="23"/>
  <c r="G177" i="23"/>
  <c r="G178" i="23"/>
  <c r="G179" i="23"/>
  <c r="G180" i="23"/>
  <c r="G181" i="23"/>
  <c r="G182" i="23"/>
  <c r="G183" i="23"/>
  <c r="G184" i="23"/>
  <c r="G185" i="23"/>
  <c r="G186" i="23"/>
  <c r="G187" i="23"/>
  <c r="G188" i="23"/>
  <c r="G189" i="23"/>
  <c r="G190" i="23"/>
  <c r="G191" i="23"/>
  <c r="G192" i="23"/>
  <c r="G193" i="23"/>
  <c r="G194" i="23"/>
  <c r="G195" i="23"/>
  <c r="G196" i="23"/>
  <c r="G197" i="23"/>
  <c r="G198" i="23"/>
  <c r="G199" i="23"/>
  <c r="G200" i="23"/>
  <c r="G201" i="23"/>
  <c r="G202" i="23"/>
  <c r="G203" i="23"/>
  <c r="G204" i="23"/>
  <c r="G205" i="23"/>
  <c r="G206" i="23"/>
  <c r="G207" i="23"/>
  <c r="G208" i="23"/>
  <c r="G209" i="23"/>
  <c r="G210" i="23"/>
  <c r="G211" i="23"/>
  <c r="G212" i="23"/>
  <c r="G213" i="23"/>
  <c r="G214" i="23"/>
  <c r="G215" i="23"/>
  <c r="G216" i="23"/>
  <c r="G217" i="23"/>
  <c r="G218" i="23"/>
  <c r="G219" i="23"/>
  <c r="G220" i="23"/>
  <c r="G221" i="23"/>
  <c r="G222" i="23"/>
  <c r="G223" i="23"/>
  <c r="G224" i="23"/>
  <c r="G225" i="23"/>
  <c r="G226" i="23"/>
  <c r="G227" i="23"/>
  <c r="G228" i="23"/>
  <c r="G229" i="23"/>
  <c r="G230" i="23"/>
  <c r="G231" i="23"/>
  <c r="G232" i="23"/>
  <c r="G233" i="23"/>
  <c r="G234" i="23"/>
  <c r="G235" i="23"/>
  <c r="G236" i="23"/>
  <c r="G237" i="23"/>
  <c r="G238" i="23"/>
  <c r="G239" i="23"/>
  <c r="G240" i="23"/>
  <c r="G241" i="23"/>
  <c r="G242" i="23"/>
  <c r="G243" i="23"/>
  <c r="G244" i="23"/>
  <c r="G245" i="23"/>
  <c r="G246" i="23"/>
  <c r="G247" i="23"/>
  <c r="G248" i="23"/>
  <c r="G249" i="23"/>
  <c r="G250" i="23"/>
  <c r="G251" i="23"/>
  <c r="G252" i="23"/>
  <c r="G253" i="23"/>
  <c r="G254" i="23"/>
  <c r="G255" i="23"/>
  <c r="G256" i="23"/>
  <c r="G257" i="23"/>
  <c r="G258" i="23"/>
  <c r="G259" i="23"/>
  <c r="G260" i="23"/>
  <c r="G261" i="23"/>
  <c r="G262" i="23"/>
  <c r="G263" i="23"/>
  <c r="G264" i="23"/>
  <c r="G265" i="23"/>
  <c r="G266" i="23"/>
  <c r="G267" i="23"/>
  <c r="G268" i="23"/>
  <c r="G269" i="23"/>
  <c r="G270" i="23"/>
  <c r="G271" i="23"/>
  <c r="G272" i="23"/>
  <c r="G273" i="23"/>
  <c r="G274" i="23"/>
  <c r="G275" i="23"/>
  <c r="G276" i="23"/>
  <c r="G277" i="23"/>
  <c r="G278" i="23"/>
  <c r="G279" i="23"/>
  <c r="G280" i="23"/>
  <c r="G281" i="23"/>
  <c r="G282" i="23"/>
  <c r="G283" i="23"/>
  <c r="G284" i="23"/>
  <c r="G285" i="23"/>
  <c r="G286" i="23"/>
  <c r="G287" i="23"/>
  <c r="G288" i="23"/>
  <c r="G289" i="23"/>
  <c r="G290" i="23"/>
  <c r="G291" i="23"/>
  <c r="G292" i="23"/>
  <c r="G293" i="23"/>
  <c r="G294" i="23"/>
  <c r="G295" i="23"/>
  <c r="G296" i="23"/>
  <c r="G297" i="23"/>
  <c r="G298" i="23"/>
  <c r="G299" i="23"/>
  <c r="G300" i="23"/>
  <c r="G301" i="23"/>
  <c r="G302" i="23"/>
  <c r="G303" i="23"/>
  <c r="G304" i="23"/>
  <c r="G305" i="23"/>
  <c r="G306" i="23"/>
  <c r="G307" i="23"/>
  <c r="G308" i="23"/>
  <c r="G309" i="23"/>
  <c r="G310" i="23"/>
  <c r="G311" i="23"/>
  <c r="G312" i="23"/>
  <c r="G313" i="23"/>
  <c r="G314" i="23"/>
  <c r="G315" i="23"/>
  <c r="G316" i="23"/>
  <c r="G317" i="23"/>
  <c r="G318" i="23"/>
  <c r="G319" i="23"/>
  <c r="G320" i="23"/>
  <c r="G321" i="23"/>
  <c r="G322" i="23"/>
  <c r="G323" i="23"/>
  <c r="G324" i="23"/>
  <c r="G325" i="23"/>
  <c r="G326" i="23"/>
  <c r="G327" i="23"/>
  <c r="G328" i="23"/>
  <c r="G329" i="23"/>
  <c r="G330" i="23"/>
  <c r="G331" i="23"/>
  <c r="G332" i="23"/>
  <c r="G333" i="23"/>
  <c r="G334" i="23"/>
  <c r="G335" i="23"/>
  <c r="G336" i="23"/>
  <c r="G337" i="23"/>
  <c r="G338" i="23"/>
  <c r="G339" i="23"/>
  <c r="G340" i="23"/>
  <c r="G341" i="23"/>
  <c r="G342" i="23"/>
  <c r="G343" i="23"/>
  <c r="G344" i="23"/>
  <c r="G345" i="23"/>
  <c r="G346" i="23"/>
  <c r="G347" i="23"/>
  <c r="G348" i="23"/>
  <c r="G349" i="23"/>
  <c r="G350" i="23"/>
  <c r="G351" i="23"/>
  <c r="G352" i="23"/>
  <c r="G353" i="23"/>
  <c r="G354" i="23"/>
  <c r="G355" i="23"/>
  <c r="G356" i="23"/>
  <c r="G357" i="23"/>
  <c r="G358" i="23"/>
  <c r="G359" i="23"/>
  <c r="G360" i="23"/>
  <c r="G361" i="23"/>
  <c r="G362" i="23"/>
  <c r="G363" i="23"/>
  <c r="G364" i="23"/>
  <c r="G365" i="23"/>
  <c r="G366" i="23"/>
  <c r="G367" i="23"/>
  <c r="G368" i="23"/>
  <c r="G369" i="23"/>
  <c r="G370" i="23"/>
  <c r="G371" i="23"/>
  <c r="G372" i="23"/>
  <c r="G373" i="23"/>
  <c r="G374" i="23"/>
  <c r="G375" i="23"/>
  <c r="G376" i="23"/>
  <c r="G377" i="23"/>
  <c r="G378" i="23"/>
  <c r="G379" i="23"/>
  <c r="G380" i="23"/>
  <c r="G381" i="23"/>
  <c r="G382" i="23"/>
  <c r="G383" i="23"/>
  <c r="G384" i="23"/>
  <c r="G385" i="23"/>
  <c r="G386" i="23"/>
  <c r="G387" i="23"/>
  <c r="G388" i="23"/>
  <c r="G389" i="23"/>
  <c r="G390" i="23"/>
  <c r="G391" i="23"/>
  <c r="G392" i="23"/>
  <c r="G393" i="23"/>
  <c r="G394" i="23"/>
  <c r="G395" i="23"/>
  <c r="G396" i="23"/>
  <c r="G397" i="23"/>
  <c r="G398" i="23"/>
  <c r="G399" i="23"/>
  <c r="G400" i="23"/>
  <c r="G401" i="23"/>
  <c r="G402" i="23"/>
  <c r="G403" i="23"/>
  <c r="G404" i="23"/>
  <c r="G405" i="23"/>
  <c r="G406" i="23"/>
  <c r="G407" i="23"/>
  <c r="G408" i="23"/>
  <c r="G409" i="23"/>
  <c r="G410" i="23"/>
  <c r="G411" i="23"/>
  <c r="G412" i="23"/>
  <c r="G413" i="23"/>
  <c r="G414" i="23"/>
  <c r="G415" i="23"/>
  <c r="G416" i="23"/>
  <c r="G417" i="23"/>
  <c r="G418" i="23"/>
  <c r="G419" i="23"/>
  <c r="G420" i="23"/>
  <c r="G421" i="23"/>
  <c r="G422" i="23"/>
  <c r="G423" i="23"/>
  <c r="G424" i="23"/>
  <c r="G425" i="23"/>
  <c r="G426" i="23"/>
  <c r="G427" i="23"/>
  <c r="G428" i="23"/>
  <c r="G429" i="23"/>
  <c r="G430" i="23"/>
  <c r="G431" i="23"/>
  <c r="G432" i="23"/>
  <c r="G433" i="23"/>
  <c r="G434" i="23"/>
  <c r="G435" i="23"/>
  <c r="G436" i="23"/>
  <c r="G437" i="23"/>
  <c r="G438" i="23"/>
  <c r="G439" i="23"/>
  <c r="G440" i="23"/>
  <c r="G441" i="23"/>
  <c r="G442" i="23"/>
  <c r="G443" i="23"/>
  <c r="G444" i="23"/>
  <c r="G445" i="23"/>
  <c r="G446" i="23"/>
  <c r="G447" i="23"/>
  <c r="G448" i="23"/>
  <c r="G449" i="23"/>
  <c r="G450" i="23"/>
  <c r="G451" i="23"/>
  <c r="G452" i="23"/>
  <c r="G453" i="23"/>
  <c r="G454" i="23"/>
  <c r="G455" i="23"/>
  <c r="G456" i="23"/>
  <c r="G457" i="23"/>
  <c r="G458" i="23"/>
  <c r="G459" i="23"/>
  <c r="G460" i="23"/>
  <c r="G461" i="23"/>
  <c r="G462" i="23"/>
  <c r="G463" i="23"/>
  <c r="G464" i="23"/>
  <c r="G465" i="23"/>
  <c r="G466" i="23"/>
  <c r="G467" i="23"/>
  <c r="G468" i="23"/>
  <c r="G469" i="23"/>
  <c r="G470" i="23"/>
  <c r="G471" i="23"/>
  <c r="G472" i="23"/>
  <c r="G473" i="23"/>
  <c r="G474" i="23"/>
  <c r="G475" i="23"/>
  <c r="G476" i="23"/>
  <c r="G477" i="23"/>
  <c r="G478" i="23"/>
  <c r="G479" i="23"/>
  <c r="G480" i="23"/>
  <c r="G481" i="23"/>
  <c r="G482" i="23"/>
  <c r="G483" i="23"/>
  <c r="G484" i="23"/>
  <c r="G485" i="23"/>
  <c r="G486" i="23"/>
  <c r="G487" i="23"/>
  <c r="G488" i="23"/>
  <c r="G489" i="23"/>
  <c r="G490" i="23"/>
  <c r="G491" i="23"/>
  <c r="G492" i="23"/>
  <c r="G493" i="23"/>
  <c r="G494" i="23"/>
  <c r="G495" i="23"/>
  <c r="G496" i="23"/>
  <c r="G497" i="23"/>
  <c r="G498" i="23"/>
  <c r="G499" i="23"/>
  <c r="G500" i="23"/>
  <c r="G501" i="23"/>
  <c r="G502" i="23"/>
  <c r="G503" i="23"/>
  <c r="G504" i="23"/>
  <c r="G505" i="23"/>
  <c r="G506" i="23"/>
  <c r="G507" i="23"/>
  <c r="G508" i="23"/>
  <c r="G509" i="23"/>
  <c r="G510" i="23"/>
  <c r="G511" i="23"/>
  <c r="G512" i="23"/>
  <c r="G513" i="23"/>
  <c r="G514" i="23"/>
  <c r="G515" i="23"/>
  <c r="G516" i="23"/>
  <c r="G517" i="23"/>
  <c r="G518" i="23"/>
  <c r="G519" i="23"/>
  <c r="G520" i="23"/>
  <c r="G521" i="23"/>
  <c r="G522" i="23"/>
  <c r="G523" i="23"/>
  <c r="G524" i="23"/>
  <c r="G525" i="23"/>
  <c r="G526" i="23"/>
  <c r="G527" i="23"/>
  <c r="G528" i="23"/>
  <c r="G529" i="23"/>
  <c r="G530" i="23"/>
  <c r="G531" i="23"/>
  <c r="G532" i="23"/>
  <c r="G533" i="23"/>
  <c r="G534" i="23"/>
  <c r="G535" i="23"/>
  <c r="G536" i="23"/>
  <c r="G537" i="23"/>
  <c r="G538" i="23"/>
  <c r="G539" i="23"/>
  <c r="G540" i="23"/>
  <c r="G541" i="23"/>
  <c r="G542" i="23"/>
  <c r="G543" i="23"/>
  <c r="G544" i="23"/>
  <c r="G545" i="23"/>
  <c r="G546" i="23"/>
  <c r="G547" i="23"/>
  <c r="G548" i="23"/>
  <c r="G549" i="23"/>
  <c r="G550" i="23"/>
  <c r="G551" i="23"/>
  <c r="G552" i="23"/>
  <c r="G553" i="23"/>
  <c r="G554" i="23"/>
  <c r="G555" i="23"/>
  <c r="G556" i="23"/>
  <c r="G557" i="23"/>
  <c r="G558" i="23"/>
  <c r="G559" i="23"/>
  <c r="G560" i="23"/>
  <c r="G561" i="23"/>
  <c r="G562" i="23"/>
  <c r="G563" i="23"/>
  <c r="G564" i="23"/>
  <c r="G565" i="23"/>
  <c r="G566" i="23"/>
  <c r="G567" i="23"/>
  <c r="G568" i="23"/>
  <c r="G569" i="23"/>
  <c r="G570" i="23"/>
  <c r="G571" i="23"/>
  <c r="G572" i="23"/>
  <c r="G573" i="23"/>
  <c r="G574" i="23"/>
  <c r="G575" i="23"/>
  <c r="G576" i="23"/>
  <c r="G577" i="23"/>
  <c r="G578" i="23"/>
  <c r="G579" i="23"/>
  <c r="G580" i="23"/>
  <c r="G581" i="23"/>
  <c r="G582" i="23"/>
  <c r="G583" i="23"/>
  <c r="G584" i="23"/>
  <c r="G585" i="23"/>
  <c r="G586" i="23"/>
  <c r="G587" i="23"/>
  <c r="G588" i="23"/>
  <c r="G589" i="23"/>
  <c r="G590" i="23"/>
  <c r="G591" i="23"/>
  <c r="G592" i="23"/>
  <c r="G593" i="23"/>
  <c r="G594" i="23"/>
  <c r="G595" i="23"/>
  <c r="G596" i="23"/>
  <c r="G597" i="23"/>
  <c r="G598" i="23"/>
  <c r="G599" i="23"/>
  <c r="G600" i="23"/>
  <c r="G601" i="23"/>
  <c r="G602" i="23"/>
  <c r="G603" i="23"/>
  <c r="G604" i="23"/>
  <c r="G605" i="23"/>
  <c r="G606" i="23"/>
  <c r="G607" i="23"/>
  <c r="G608" i="23"/>
  <c r="G609" i="23"/>
  <c r="G610" i="23"/>
  <c r="G611" i="23"/>
  <c r="G612" i="23"/>
  <c r="G613" i="23"/>
  <c r="G614" i="23"/>
  <c r="G615" i="23"/>
  <c r="G616" i="23"/>
  <c r="G617" i="23"/>
  <c r="G618" i="23"/>
  <c r="G619" i="23"/>
  <c r="G620" i="23"/>
  <c r="G621" i="23"/>
  <c r="G622" i="23"/>
  <c r="G623" i="23"/>
  <c r="G624" i="23"/>
  <c r="G625" i="23"/>
  <c r="G626" i="23"/>
  <c r="G627" i="23"/>
  <c r="G628" i="23"/>
  <c r="G629" i="23"/>
  <c r="G630" i="23"/>
  <c r="G631" i="23"/>
  <c r="G632" i="23"/>
  <c r="G633" i="23"/>
  <c r="G634" i="23"/>
  <c r="G635" i="23"/>
  <c r="G636" i="23"/>
  <c r="G637" i="23"/>
  <c r="G638" i="23"/>
  <c r="G639" i="23"/>
  <c r="G640" i="23"/>
  <c r="G641" i="23"/>
  <c r="G642" i="23"/>
  <c r="G643" i="23"/>
  <c r="G644" i="23"/>
  <c r="G645" i="23"/>
  <c r="G646" i="23"/>
  <c r="G647" i="23"/>
  <c r="G648" i="23"/>
  <c r="G649" i="23"/>
  <c r="G650" i="23"/>
  <c r="G651" i="23"/>
  <c r="G652" i="23"/>
  <c r="G653" i="23"/>
  <c r="G654" i="23"/>
  <c r="G655" i="23"/>
  <c r="G656" i="23"/>
  <c r="G657" i="23"/>
  <c r="G658" i="23"/>
  <c r="G659" i="23"/>
  <c r="G660" i="23"/>
  <c r="G661" i="23"/>
  <c r="G662" i="23"/>
  <c r="G663" i="23"/>
  <c r="G664" i="23"/>
  <c r="G665" i="23"/>
  <c r="G666" i="23"/>
  <c r="G667" i="23"/>
  <c r="G668" i="23"/>
  <c r="G669" i="23"/>
  <c r="G670" i="23"/>
  <c r="G671" i="23"/>
  <c r="G672" i="23"/>
  <c r="G673" i="23"/>
  <c r="G674" i="23"/>
  <c r="G675" i="23"/>
  <c r="G676" i="23"/>
  <c r="G677" i="23"/>
  <c r="G678" i="23"/>
  <c r="G679" i="23"/>
  <c r="G680" i="23"/>
  <c r="G681" i="23"/>
  <c r="G682" i="23"/>
  <c r="G683" i="23"/>
  <c r="G684" i="23"/>
  <c r="G685" i="23"/>
  <c r="G686" i="23"/>
  <c r="G687" i="23"/>
  <c r="G688" i="23"/>
  <c r="G689" i="23"/>
  <c r="G690" i="23"/>
  <c r="G691" i="23"/>
  <c r="G692" i="23"/>
  <c r="G693" i="23"/>
  <c r="G694" i="23"/>
  <c r="G695" i="23"/>
  <c r="G696" i="23"/>
  <c r="G697" i="23"/>
  <c r="G698" i="23"/>
  <c r="G699" i="23"/>
  <c r="G700" i="23"/>
  <c r="G701" i="23"/>
  <c r="G702" i="23"/>
  <c r="G703" i="23"/>
  <c r="G704" i="23"/>
  <c r="G705" i="23"/>
  <c r="G706" i="23"/>
  <c r="G707" i="23"/>
  <c r="G708" i="23"/>
  <c r="G709" i="23"/>
  <c r="G710" i="23"/>
  <c r="G711" i="23"/>
  <c r="G712" i="23"/>
  <c r="G713" i="23"/>
  <c r="G714" i="23"/>
  <c r="G715" i="23"/>
  <c r="G716" i="23"/>
  <c r="G717" i="23"/>
  <c r="G718" i="23"/>
  <c r="G719" i="23"/>
  <c r="G720" i="23"/>
  <c r="G721" i="23"/>
  <c r="G722" i="23"/>
  <c r="G723" i="23"/>
  <c r="G724" i="23"/>
  <c r="G725" i="23"/>
  <c r="G726" i="23"/>
  <c r="G727" i="23"/>
  <c r="G728" i="23"/>
  <c r="G729" i="23"/>
  <c r="G730" i="23"/>
  <c r="G731" i="23"/>
  <c r="G732" i="23"/>
  <c r="G733" i="23"/>
  <c r="G734" i="23"/>
  <c r="G735" i="23"/>
  <c r="G736" i="23"/>
  <c r="G737" i="23"/>
  <c r="G738" i="23"/>
  <c r="G739" i="23"/>
  <c r="G740" i="23"/>
  <c r="G741" i="23"/>
  <c r="G742" i="23"/>
  <c r="G743" i="23"/>
  <c r="G744" i="23"/>
  <c r="G745" i="23"/>
  <c r="G746" i="23"/>
  <c r="G747" i="23"/>
  <c r="G748" i="23"/>
  <c r="G749" i="23"/>
  <c r="G750" i="23"/>
  <c r="G751" i="23"/>
  <c r="G752" i="23"/>
  <c r="G753" i="23"/>
  <c r="G754" i="23"/>
  <c r="G755" i="23"/>
  <c r="G756" i="23"/>
  <c r="G757" i="23"/>
  <c r="G758" i="23"/>
  <c r="G759" i="23"/>
  <c r="G760" i="23"/>
  <c r="G761" i="23"/>
  <c r="G762" i="23"/>
  <c r="G763" i="23"/>
  <c r="G764" i="23"/>
  <c r="G765" i="23"/>
  <c r="G766" i="23"/>
  <c r="G767" i="23"/>
  <c r="G768" i="23"/>
  <c r="G769" i="23"/>
  <c r="G770" i="23"/>
  <c r="G771" i="23"/>
  <c r="G772" i="23"/>
  <c r="G773" i="23"/>
  <c r="G774" i="23"/>
  <c r="G775" i="23"/>
  <c r="G776" i="23"/>
  <c r="G777" i="23"/>
  <c r="G778" i="23"/>
  <c r="G779" i="23"/>
  <c r="G780" i="23"/>
  <c r="G781" i="23"/>
  <c r="G782" i="23"/>
  <c r="G783" i="23"/>
  <c r="G784" i="23"/>
  <c r="G785" i="23"/>
  <c r="G786" i="23"/>
  <c r="G787" i="23"/>
  <c r="G788" i="23"/>
  <c r="G789" i="23"/>
  <c r="G790" i="23"/>
  <c r="G791" i="23"/>
  <c r="G792" i="23"/>
  <c r="G793" i="23"/>
  <c r="G794" i="23"/>
  <c r="G795" i="23"/>
  <c r="G796" i="23"/>
  <c r="G797" i="23"/>
  <c r="G798" i="23"/>
  <c r="G799" i="23"/>
  <c r="G800" i="23"/>
  <c r="G801" i="23"/>
  <c r="G802" i="23"/>
  <c r="G803" i="23"/>
  <c r="G804" i="23"/>
  <c r="G805" i="23"/>
  <c r="G806" i="23"/>
  <c r="G807" i="23"/>
  <c r="G808" i="23"/>
  <c r="G809" i="23"/>
  <c r="G810" i="23"/>
  <c r="G811" i="23"/>
  <c r="G812" i="23"/>
  <c r="G813" i="23"/>
  <c r="G814" i="23"/>
  <c r="G815" i="23"/>
  <c r="G816" i="23"/>
  <c r="G817" i="23"/>
  <c r="G818" i="23"/>
  <c r="G819" i="23"/>
  <c r="G820" i="23"/>
  <c r="G821" i="23"/>
  <c r="G822" i="23"/>
  <c r="G823" i="23"/>
  <c r="G824" i="23"/>
  <c r="G825" i="23"/>
  <c r="G826" i="23"/>
  <c r="G827" i="23"/>
  <c r="G828" i="23"/>
  <c r="G829" i="23"/>
  <c r="G830" i="23"/>
  <c r="G831" i="23"/>
  <c r="G832" i="23"/>
  <c r="G833" i="23"/>
  <c r="G834" i="23"/>
  <c r="G835" i="23"/>
  <c r="G836" i="23"/>
  <c r="G837" i="23"/>
  <c r="G838" i="23"/>
  <c r="G839" i="23"/>
  <c r="G840" i="23"/>
  <c r="G841" i="23"/>
  <c r="G842" i="23"/>
  <c r="G843" i="23"/>
  <c r="G844" i="23"/>
  <c r="G845" i="23"/>
  <c r="G846" i="23"/>
  <c r="G847" i="23"/>
  <c r="G848" i="23"/>
  <c r="G849" i="23"/>
  <c r="G850" i="23"/>
  <c r="G851" i="23"/>
  <c r="G852" i="23"/>
  <c r="G853" i="23"/>
  <c r="G854" i="23"/>
  <c r="G855" i="23"/>
  <c r="G856" i="23"/>
  <c r="G857" i="23"/>
  <c r="G858" i="23"/>
  <c r="G859" i="23"/>
  <c r="G860" i="23"/>
  <c r="G861" i="23"/>
  <c r="G862" i="23"/>
  <c r="G863" i="23"/>
  <c r="G864" i="23"/>
  <c r="G865" i="23"/>
  <c r="G866" i="23"/>
  <c r="G867" i="23"/>
  <c r="G868" i="23"/>
  <c r="G869" i="23"/>
  <c r="G870" i="23"/>
  <c r="G871" i="23"/>
  <c r="G872" i="23"/>
  <c r="G873" i="23"/>
  <c r="G874" i="23"/>
  <c r="G875" i="23"/>
  <c r="G876" i="23"/>
  <c r="G877" i="23"/>
  <c r="G878" i="23"/>
  <c r="G879" i="23"/>
  <c r="G880" i="23"/>
  <c r="G881" i="23"/>
  <c r="G882" i="23"/>
  <c r="G883" i="23"/>
  <c r="G884" i="23"/>
  <c r="G885" i="23"/>
  <c r="G886" i="23"/>
  <c r="G887" i="23"/>
  <c r="G888" i="23"/>
  <c r="G889" i="23"/>
  <c r="G890" i="23"/>
  <c r="G891" i="23"/>
  <c r="G892" i="23"/>
  <c r="G893" i="23"/>
  <c r="G894" i="23"/>
  <c r="G895" i="23"/>
  <c r="G896" i="23"/>
  <c r="G897" i="23"/>
  <c r="G898" i="23"/>
  <c r="G899" i="23"/>
  <c r="G900" i="23"/>
  <c r="G901" i="23"/>
  <c r="G902" i="23"/>
  <c r="G903" i="23"/>
  <c r="G904" i="23"/>
  <c r="G905" i="23"/>
  <c r="G906" i="23"/>
  <c r="G907" i="23"/>
  <c r="G908" i="23"/>
  <c r="G909" i="23"/>
  <c r="G910" i="23"/>
  <c r="G911" i="23"/>
  <c r="G912" i="23"/>
  <c r="G913" i="23"/>
  <c r="G914" i="23"/>
  <c r="G915" i="23"/>
  <c r="G916" i="23"/>
  <c r="G917" i="23"/>
  <c r="G918" i="23"/>
  <c r="G919" i="23"/>
  <c r="G920" i="23"/>
  <c r="G921" i="23"/>
  <c r="G922" i="23"/>
  <c r="G923" i="23"/>
  <c r="G924" i="23"/>
  <c r="G925" i="23"/>
  <c r="G926" i="23"/>
  <c r="G927" i="23"/>
  <c r="G928" i="23"/>
  <c r="G929" i="23"/>
  <c r="G930" i="23"/>
  <c r="G931" i="23"/>
  <c r="G932" i="23"/>
  <c r="G933" i="23"/>
  <c r="G934" i="23"/>
  <c r="G935" i="23"/>
  <c r="G936" i="23"/>
  <c r="G937" i="23"/>
  <c r="G938" i="23"/>
  <c r="G939" i="23"/>
  <c r="G940" i="23"/>
  <c r="G941" i="23"/>
  <c r="G942" i="23"/>
  <c r="G943" i="23"/>
  <c r="G944" i="23"/>
  <c r="G945" i="23"/>
  <c r="G946" i="23"/>
  <c r="G947" i="23"/>
  <c r="G948" i="23"/>
  <c r="G949" i="23"/>
  <c r="G950" i="23"/>
  <c r="G951" i="23"/>
  <c r="G952" i="23"/>
  <c r="G953" i="23"/>
  <c r="G954" i="23"/>
  <c r="G955" i="23"/>
  <c r="G956" i="23"/>
  <c r="G957" i="23"/>
  <c r="G958" i="23"/>
  <c r="G959" i="23"/>
  <c r="G960" i="23"/>
  <c r="G961" i="23"/>
  <c r="G962" i="23"/>
  <c r="G963" i="23"/>
  <c r="G964" i="23"/>
  <c r="G965" i="23"/>
  <c r="G966" i="23"/>
  <c r="G967" i="23"/>
  <c r="G968" i="23"/>
  <c r="G969" i="23"/>
  <c r="G970" i="23"/>
  <c r="G971" i="23"/>
  <c r="G972" i="23"/>
  <c r="G973" i="23"/>
  <c r="G974" i="23"/>
  <c r="G975" i="23"/>
  <c r="G976" i="23"/>
  <c r="G977" i="23"/>
  <c r="G978" i="23"/>
  <c r="G979" i="23"/>
  <c r="G980" i="23"/>
  <c r="G981" i="23"/>
  <c r="G982" i="23"/>
  <c r="G983" i="23"/>
  <c r="G984" i="23"/>
  <c r="G985" i="23"/>
  <c r="G986" i="23"/>
  <c r="G987" i="23"/>
  <c r="G988" i="23"/>
  <c r="G989" i="23"/>
  <c r="G990" i="23"/>
  <c r="G991" i="23"/>
  <c r="G992" i="23"/>
  <c r="G993" i="23"/>
  <c r="G994" i="23"/>
  <c r="G995" i="23"/>
  <c r="G996" i="23"/>
  <c r="G997" i="23"/>
  <c r="G998" i="23"/>
  <c r="G999" i="23"/>
  <c r="G1000" i="23"/>
  <c r="G1001" i="23"/>
  <c r="G1002" i="23"/>
  <c r="G1003" i="23"/>
  <c r="G1004" i="23"/>
  <c r="G1005" i="23"/>
  <c r="G1006" i="23"/>
  <c r="G1007" i="23"/>
  <c r="G1008" i="23"/>
  <c r="G1009" i="23"/>
  <c r="G1010" i="23"/>
  <c r="G1011" i="23"/>
  <c r="G1012" i="23"/>
  <c r="G1013" i="23"/>
  <c r="G1014" i="23"/>
  <c r="G1015" i="23"/>
  <c r="G1016" i="23"/>
  <c r="G1017" i="23"/>
  <c r="G1018" i="23"/>
  <c r="G1019" i="23"/>
  <c r="G1020" i="23"/>
  <c r="G1021" i="23"/>
  <c r="G1022" i="23"/>
  <c r="G1023" i="23"/>
  <c r="G1024" i="23"/>
  <c r="G1025" i="23"/>
  <c r="G1026" i="23"/>
  <c r="G1027" i="23"/>
  <c r="G1028" i="23"/>
  <c r="G1029" i="23"/>
  <c r="G1030" i="23"/>
  <c r="G1031" i="23"/>
  <c r="G1032" i="23"/>
  <c r="G1033" i="23"/>
  <c r="G1034" i="23"/>
  <c r="G1035" i="23"/>
  <c r="G1036" i="23"/>
  <c r="G1037" i="23"/>
  <c r="G1038" i="23"/>
  <c r="G1039" i="23"/>
  <c r="G1040" i="23"/>
  <c r="G1041" i="23"/>
  <c r="G1042" i="23"/>
  <c r="G1043" i="23"/>
  <c r="G1044" i="23"/>
  <c r="G1045" i="23"/>
  <c r="G1046" i="23"/>
  <c r="G1047" i="23"/>
  <c r="G1048" i="23"/>
  <c r="G1049" i="23"/>
  <c r="G1050" i="23"/>
  <c r="G1051" i="23"/>
  <c r="G1052" i="23"/>
  <c r="G1053" i="23"/>
  <c r="G1054" i="23"/>
  <c r="G1055" i="23"/>
  <c r="G1056" i="23"/>
  <c r="G1057" i="23"/>
  <c r="G1058" i="23"/>
  <c r="G1059" i="23"/>
  <c r="G1060" i="23"/>
  <c r="G1061" i="23"/>
  <c r="G1062" i="23"/>
  <c r="G1063" i="23"/>
  <c r="G1064" i="23"/>
  <c r="G1065" i="23"/>
  <c r="G1066" i="23"/>
  <c r="G1067" i="23"/>
  <c r="G1068" i="23"/>
  <c r="G1069" i="23"/>
  <c r="G1070" i="23"/>
  <c r="G1071" i="23"/>
  <c r="G1072" i="23"/>
  <c r="G1073" i="23"/>
  <c r="G1074" i="23"/>
  <c r="G1075" i="23"/>
  <c r="G1076" i="23"/>
  <c r="G1077" i="23"/>
  <c r="G1078" i="23"/>
  <c r="G1079" i="23"/>
  <c r="G1080" i="23"/>
  <c r="G1081" i="23"/>
  <c r="G1082" i="23"/>
  <c r="G1083" i="23"/>
  <c r="G1084" i="23"/>
  <c r="G1085" i="23"/>
  <c r="G1086" i="23"/>
  <c r="G1087" i="23"/>
  <c r="G1088" i="23"/>
  <c r="G1089" i="23"/>
  <c r="G1090" i="23"/>
  <c r="G1091" i="23"/>
  <c r="G1092" i="23"/>
  <c r="G1093" i="23"/>
  <c r="G1094" i="23"/>
  <c r="G1095" i="23"/>
  <c r="G1096" i="23"/>
  <c r="G1097" i="23"/>
  <c r="G1098" i="23"/>
  <c r="G1099" i="23"/>
  <c r="G1100" i="23"/>
  <c r="G1101" i="23"/>
  <c r="G1102" i="23"/>
  <c r="G1103" i="23"/>
  <c r="G1104" i="23"/>
  <c r="G1105" i="23"/>
  <c r="G1106" i="23"/>
  <c r="G1107" i="23"/>
  <c r="G1108" i="23"/>
  <c r="G1109" i="23"/>
  <c r="G1110" i="23"/>
  <c r="G1111" i="23"/>
  <c r="G1112" i="23"/>
  <c r="G1113" i="23"/>
  <c r="G1114" i="23"/>
  <c r="G1115" i="23"/>
  <c r="G1116" i="23"/>
  <c r="G1117" i="23"/>
  <c r="G1118" i="23"/>
  <c r="G1119" i="23"/>
  <c r="G1120" i="23"/>
  <c r="G1121" i="23"/>
  <c r="G1122" i="23"/>
  <c r="G1123" i="23"/>
  <c r="G1124" i="23"/>
  <c r="G1125" i="23"/>
  <c r="G1126" i="23"/>
  <c r="G1127" i="23"/>
  <c r="G1128" i="23"/>
  <c r="G1129" i="23"/>
  <c r="G1130" i="23"/>
  <c r="G1131" i="23"/>
  <c r="G1132" i="23"/>
  <c r="G1133" i="23"/>
  <c r="G1134" i="23"/>
  <c r="G1135" i="23"/>
  <c r="G1136" i="23"/>
  <c r="G1137" i="23"/>
  <c r="G1138" i="23"/>
  <c r="G1139" i="23"/>
  <c r="G1140" i="23"/>
  <c r="G1141" i="23"/>
  <c r="G1142" i="23"/>
  <c r="G1143" i="23"/>
  <c r="G1144" i="23"/>
  <c r="G1145" i="23"/>
  <c r="G1146" i="23"/>
  <c r="G1147" i="23"/>
  <c r="G1148" i="23"/>
  <c r="G1149" i="23"/>
  <c r="G1150" i="23"/>
  <c r="G1151" i="23"/>
  <c r="G1152" i="23"/>
  <c r="G1153" i="23"/>
  <c r="G1154" i="23"/>
  <c r="G1155" i="23"/>
  <c r="G1156" i="23"/>
  <c r="G1157" i="23"/>
  <c r="G1158" i="23"/>
  <c r="G1159" i="23"/>
  <c r="G1160" i="23"/>
  <c r="G1161" i="23"/>
  <c r="G1162" i="23"/>
  <c r="G1163" i="23"/>
  <c r="G1164" i="23"/>
  <c r="G1165" i="23"/>
  <c r="G1166" i="23"/>
  <c r="G1167" i="23"/>
  <c r="G1168" i="23"/>
  <c r="G1169" i="23"/>
  <c r="G1170" i="23"/>
  <c r="G1171" i="23"/>
  <c r="G1172" i="23"/>
  <c r="G1173" i="23"/>
  <c r="G1174" i="23"/>
  <c r="G1175" i="23"/>
  <c r="G1176" i="23"/>
  <c r="G1177" i="23"/>
  <c r="G1178" i="23"/>
  <c r="G1179" i="23"/>
  <c r="G1180" i="23"/>
  <c r="G1181" i="23"/>
  <c r="G1182" i="23"/>
  <c r="G1183" i="23"/>
  <c r="G1184" i="23"/>
  <c r="G1185" i="23"/>
  <c r="G1186" i="23"/>
  <c r="G1187" i="23"/>
  <c r="G1188" i="23"/>
  <c r="G1189" i="23"/>
  <c r="G1190" i="23"/>
  <c r="G1191" i="23"/>
  <c r="G1192" i="23"/>
  <c r="G1193" i="23"/>
  <c r="G1194" i="23"/>
  <c r="G1195" i="23"/>
  <c r="G1196" i="23"/>
  <c r="G1197" i="23"/>
  <c r="G1198" i="23"/>
  <c r="G1199" i="23"/>
  <c r="G1200" i="23"/>
  <c r="G1201" i="23"/>
  <c r="G1202" i="23"/>
  <c r="G1203" i="23"/>
  <c r="G1204" i="23"/>
  <c r="G1205" i="23"/>
  <c r="G1206" i="23"/>
  <c r="G1207" i="23"/>
  <c r="G1208" i="23"/>
  <c r="G1209" i="23"/>
  <c r="G1210" i="23"/>
  <c r="G1211" i="23"/>
  <c r="G1212" i="23"/>
  <c r="G1213" i="23"/>
  <c r="G1214" i="23"/>
  <c r="G1215" i="23"/>
  <c r="G1216" i="23"/>
  <c r="G1217" i="23"/>
  <c r="G1218" i="23"/>
  <c r="G1219" i="23"/>
  <c r="G1220" i="23"/>
  <c r="G1221" i="23"/>
  <c r="G1222" i="23"/>
  <c r="G1223" i="23"/>
  <c r="G1224" i="23"/>
  <c r="G1225" i="23"/>
  <c r="G1226" i="23"/>
  <c r="G1227" i="23"/>
  <c r="G1228" i="23"/>
  <c r="G1229" i="23"/>
  <c r="G1230" i="23"/>
  <c r="G1231" i="23"/>
  <c r="G1232" i="23"/>
  <c r="G1233" i="23"/>
  <c r="G1234" i="23"/>
  <c r="G1235" i="23"/>
  <c r="G1236" i="23"/>
  <c r="G1237" i="23"/>
  <c r="G1238" i="23"/>
  <c r="G1239" i="23"/>
  <c r="G1240" i="23"/>
  <c r="G1241" i="23"/>
  <c r="G1242" i="23"/>
  <c r="G1243" i="23"/>
  <c r="G1244" i="23"/>
  <c r="G1245" i="23"/>
  <c r="G1246" i="23"/>
  <c r="G1247" i="23"/>
  <c r="G1248" i="23"/>
  <c r="G1249" i="23"/>
  <c r="G1250" i="23"/>
  <c r="G1251" i="23"/>
  <c r="G1252" i="23"/>
  <c r="G1253" i="23"/>
  <c r="G1254" i="23"/>
  <c r="G1255" i="23"/>
  <c r="G1256" i="23"/>
  <c r="G1257" i="23"/>
  <c r="G1258" i="23"/>
  <c r="G1259" i="23"/>
  <c r="G1260" i="23"/>
  <c r="G1261" i="23"/>
  <c r="G1262" i="23"/>
  <c r="G1263" i="23"/>
  <c r="G1264" i="23"/>
  <c r="G1265" i="23"/>
  <c r="G1266" i="23"/>
  <c r="G1267" i="23"/>
  <c r="G1268" i="23"/>
  <c r="G1269" i="23"/>
  <c r="G1270" i="23"/>
  <c r="G1271" i="23"/>
  <c r="G1272" i="23"/>
  <c r="G1273" i="23"/>
  <c r="G1274" i="23"/>
  <c r="G1275" i="23"/>
  <c r="G1276" i="23"/>
  <c r="G1277" i="23"/>
  <c r="G1278" i="23"/>
  <c r="G1279" i="23"/>
  <c r="G1280" i="23"/>
  <c r="G1281" i="23"/>
  <c r="G1282" i="23"/>
  <c r="G1283" i="23"/>
  <c r="G1284" i="23"/>
  <c r="G1285" i="23"/>
  <c r="G1286" i="23"/>
  <c r="G1287" i="23"/>
  <c r="G1288" i="23"/>
  <c r="G1289" i="23"/>
  <c r="G1290" i="23"/>
  <c r="G1291" i="23"/>
  <c r="G1292" i="23"/>
  <c r="G1293" i="23"/>
  <c r="G1294" i="23"/>
  <c r="G1295" i="23"/>
  <c r="G1296" i="23"/>
  <c r="G1297" i="23"/>
  <c r="G1298" i="23"/>
  <c r="G1299" i="23"/>
  <c r="G1300" i="23"/>
  <c r="G1301" i="23"/>
  <c r="G1302" i="23"/>
  <c r="G1303" i="23"/>
  <c r="G1304" i="23"/>
  <c r="G1305" i="23"/>
  <c r="G1306" i="23"/>
  <c r="G1307" i="23"/>
  <c r="G1308" i="23"/>
  <c r="G1309" i="23"/>
  <c r="G1310" i="23"/>
  <c r="G1311" i="23"/>
  <c r="G1312" i="23"/>
  <c r="G1313" i="23"/>
  <c r="G1314" i="23"/>
  <c r="G1315" i="23"/>
  <c r="G1316" i="23"/>
  <c r="G1317" i="23"/>
  <c r="G1318" i="23"/>
  <c r="G1319" i="23"/>
  <c r="G1320" i="23"/>
  <c r="G1321" i="23"/>
  <c r="G1322" i="23"/>
  <c r="G1323" i="23"/>
  <c r="G1324" i="23"/>
  <c r="G1325" i="23"/>
  <c r="G1326" i="23"/>
  <c r="G1327" i="23"/>
  <c r="G1328" i="23"/>
  <c r="G1329" i="23"/>
  <c r="G1330" i="23"/>
  <c r="G1331" i="23"/>
  <c r="G1332" i="23"/>
  <c r="G1333" i="23"/>
  <c r="G1334" i="23"/>
  <c r="G1335" i="23"/>
  <c r="G1336" i="23"/>
  <c r="G1337" i="23"/>
  <c r="G1338" i="23"/>
  <c r="G1339" i="23"/>
  <c r="G1340" i="23"/>
  <c r="G1341" i="23"/>
  <c r="G1342" i="23"/>
  <c r="G1343" i="23"/>
  <c r="G1344" i="23"/>
  <c r="G1345" i="23"/>
  <c r="G1346" i="23"/>
  <c r="G1347" i="23"/>
  <c r="G1348" i="23"/>
  <c r="G1349" i="23"/>
  <c r="G1350" i="23"/>
  <c r="G1351" i="23"/>
  <c r="G1352" i="23"/>
  <c r="G1353" i="23"/>
  <c r="G1354" i="23"/>
  <c r="G1355" i="23"/>
  <c r="G1356" i="23"/>
  <c r="G1357" i="23"/>
  <c r="G1358" i="23"/>
  <c r="G1359" i="23"/>
  <c r="G1360" i="23"/>
  <c r="G3" i="23"/>
  <c r="D1361" i="23"/>
  <c r="D1360" i="23"/>
  <c r="D1359" i="23"/>
  <c r="D1358" i="23"/>
  <c r="D1357" i="23"/>
  <c r="D1356" i="23"/>
  <c r="D1355" i="23"/>
  <c r="D1354" i="23"/>
  <c r="D1353" i="23"/>
  <c r="D1352" i="23"/>
  <c r="D1351" i="23"/>
  <c r="D1350" i="23"/>
  <c r="D1349" i="23"/>
  <c r="D1348" i="23"/>
  <c r="D1347" i="23"/>
  <c r="D1346" i="23"/>
  <c r="D1345" i="23"/>
  <c r="D1344" i="23"/>
  <c r="D1343" i="23"/>
  <c r="D1342" i="23"/>
  <c r="D1341" i="23"/>
  <c r="D1340" i="23"/>
  <c r="D1339" i="23"/>
  <c r="D1338" i="23"/>
  <c r="D1337" i="23"/>
  <c r="D1336" i="23"/>
  <c r="D1335" i="23"/>
  <c r="D1334" i="23"/>
  <c r="D1333" i="23"/>
  <c r="D1332" i="23"/>
  <c r="D1331" i="23"/>
  <c r="D1330" i="23"/>
  <c r="D1329" i="23"/>
  <c r="D1328" i="23"/>
  <c r="D1327" i="23"/>
  <c r="D1326" i="23"/>
  <c r="D1325" i="23"/>
  <c r="D1324" i="23"/>
  <c r="D1323" i="23"/>
  <c r="D1322" i="23"/>
  <c r="D1321" i="23"/>
  <c r="D1320" i="23"/>
  <c r="D1319" i="23"/>
  <c r="D1318" i="23"/>
  <c r="D1317" i="23"/>
  <c r="D1316" i="23"/>
  <c r="D1315" i="23"/>
  <c r="D1314" i="23"/>
  <c r="D1313" i="23"/>
  <c r="D1312" i="23"/>
  <c r="D1311" i="23"/>
  <c r="D1310" i="23"/>
  <c r="D1309" i="23"/>
  <c r="D1308" i="23"/>
  <c r="D1307" i="23"/>
  <c r="D1306" i="23"/>
  <c r="D1305" i="23"/>
  <c r="D1304" i="23"/>
  <c r="D1303" i="23"/>
  <c r="D1302" i="23"/>
  <c r="D1301" i="23"/>
  <c r="D1300" i="23"/>
  <c r="D1299" i="23"/>
  <c r="D1298" i="23"/>
  <c r="D1297" i="23"/>
  <c r="D1296" i="23"/>
  <c r="D1295" i="23"/>
  <c r="D1294" i="23"/>
  <c r="D1293" i="23"/>
  <c r="D1292" i="23"/>
  <c r="D1291" i="23"/>
  <c r="D1290" i="23"/>
  <c r="D1289" i="23"/>
  <c r="D1288" i="23"/>
  <c r="D1287" i="23"/>
  <c r="D1286" i="23"/>
  <c r="D1285" i="23"/>
  <c r="D1284" i="23"/>
  <c r="D1283" i="23"/>
  <c r="D1282" i="23"/>
  <c r="D1281" i="23"/>
  <c r="D1280" i="23"/>
  <c r="D1279" i="23"/>
  <c r="D1278" i="23"/>
  <c r="D1277" i="23"/>
  <c r="D1276" i="23"/>
  <c r="D1275" i="23"/>
  <c r="D1274" i="23"/>
  <c r="D1273" i="23"/>
  <c r="D1272" i="23"/>
  <c r="D1271" i="23"/>
  <c r="D1270" i="23"/>
  <c r="D1269" i="23"/>
  <c r="D1268" i="23"/>
  <c r="D1267" i="23"/>
  <c r="D1266" i="23"/>
  <c r="D1265" i="23"/>
  <c r="D1264" i="23"/>
  <c r="D1263" i="23"/>
  <c r="D1262" i="23"/>
  <c r="D1261" i="23"/>
  <c r="D1260" i="23"/>
  <c r="D1259" i="23"/>
  <c r="D1258" i="23"/>
  <c r="D1257" i="23"/>
  <c r="D1256" i="23"/>
  <c r="D1255" i="23"/>
  <c r="D1254" i="23"/>
  <c r="D1253" i="23"/>
  <c r="D1252" i="23"/>
  <c r="D1251" i="23"/>
  <c r="D1250" i="23"/>
  <c r="D1249" i="23"/>
  <c r="D1248" i="23"/>
  <c r="D1247" i="23"/>
  <c r="D1246" i="23"/>
  <c r="D1245" i="23"/>
  <c r="D1244" i="23"/>
  <c r="D1243" i="23"/>
  <c r="D1242" i="23"/>
  <c r="D1241" i="23"/>
  <c r="D1240" i="23"/>
  <c r="D1239" i="23"/>
  <c r="D1238" i="23"/>
  <c r="D1237" i="23"/>
  <c r="D1236" i="23"/>
  <c r="D1235" i="23"/>
  <c r="D1234" i="23"/>
  <c r="D1233" i="23"/>
  <c r="D1232" i="23"/>
  <c r="D1231" i="23"/>
  <c r="D1230" i="23"/>
  <c r="D1229" i="23"/>
  <c r="D1228" i="23"/>
  <c r="D1227" i="23"/>
  <c r="D1226" i="23"/>
  <c r="D1225" i="23"/>
  <c r="D1224" i="23"/>
  <c r="D1223" i="23"/>
  <c r="D1222" i="23"/>
  <c r="D1221" i="23"/>
  <c r="D1220" i="23"/>
  <c r="D1219" i="23"/>
  <c r="D1218" i="23"/>
  <c r="D1217" i="23"/>
  <c r="D1216" i="23"/>
  <c r="D1215" i="23"/>
  <c r="D1214" i="23"/>
  <c r="D1213" i="23"/>
  <c r="D1212" i="23"/>
  <c r="D1211" i="23"/>
  <c r="D1210" i="23"/>
  <c r="D1209" i="23"/>
  <c r="D1208" i="23"/>
  <c r="D1207" i="23"/>
  <c r="D1206" i="23"/>
  <c r="D1205" i="23"/>
  <c r="D1204" i="23"/>
  <c r="D1203" i="23"/>
  <c r="D1202" i="23"/>
  <c r="D1201" i="23"/>
  <c r="D1200" i="23"/>
  <c r="D1199" i="23"/>
  <c r="D1198" i="23"/>
  <c r="D1197" i="23"/>
  <c r="D1196" i="23"/>
  <c r="D1195" i="23"/>
  <c r="D1194" i="23"/>
  <c r="D1193" i="23"/>
  <c r="D1192" i="23"/>
  <c r="D1191" i="23"/>
  <c r="D1190" i="23"/>
  <c r="D1189" i="23"/>
  <c r="D1188" i="23"/>
  <c r="D1187" i="23"/>
  <c r="D1186" i="23"/>
  <c r="D1185" i="23"/>
  <c r="D1184" i="23"/>
  <c r="D1183" i="23"/>
  <c r="D1182" i="23"/>
  <c r="D1181" i="23"/>
  <c r="D1180" i="23"/>
  <c r="D1179" i="23"/>
  <c r="D1178" i="23"/>
  <c r="D1177" i="23"/>
  <c r="D1176" i="23"/>
  <c r="D1175" i="23"/>
  <c r="D1174" i="23"/>
  <c r="D1173" i="23"/>
  <c r="D1172" i="23"/>
  <c r="D1171" i="23"/>
  <c r="D1170" i="23"/>
  <c r="D1169" i="23"/>
  <c r="D1168" i="23"/>
  <c r="D1167" i="23"/>
  <c r="D1166" i="23"/>
  <c r="D1165" i="23"/>
  <c r="D1164" i="23"/>
  <c r="D1163" i="23"/>
  <c r="D1162" i="23"/>
  <c r="D1161" i="23"/>
  <c r="D1160" i="23"/>
  <c r="D1159" i="23"/>
  <c r="D1158" i="23"/>
  <c r="D1157" i="23"/>
  <c r="D1156" i="23"/>
  <c r="D1155" i="23"/>
  <c r="D1154" i="23"/>
  <c r="D1153" i="23"/>
  <c r="D1152" i="23"/>
  <c r="D1151" i="23"/>
  <c r="D1150" i="23"/>
  <c r="D1149" i="23"/>
  <c r="D1148" i="23"/>
  <c r="D1147" i="23"/>
  <c r="D1146" i="23"/>
  <c r="D1145" i="23"/>
  <c r="D1144" i="23"/>
  <c r="D1143" i="23"/>
  <c r="D1142" i="23"/>
  <c r="D1141" i="23"/>
  <c r="D1140" i="23"/>
  <c r="D1139" i="23"/>
  <c r="D1138" i="23"/>
  <c r="D1137" i="23"/>
  <c r="D1136" i="23"/>
  <c r="D1135" i="23"/>
  <c r="D1134" i="23"/>
  <c r="D1133" i="23"/>
  <c r="D1132" i="23"/>
  <c r="D1131" i="23"/>
  <c r="D1130" i="23"/>
  <c r="D1129" i="23"/>
  <c r="D1128" i="23"/>
  <c r="D1127" i="23"/>
  <c r="D1126" i="23"/>
  <c r="D1125" i="23"/>
  <c r="D1124" i="23"/>
  <c r="D1123" i="23"/>
  <c r="D1122" i="23"/>
  <c r="D1121" i="23"/>
  <c r="D1120" i="23"/>
  <c r="D1119" i="23"/>
  <c r="D1118" i="23"/>
  <c r="D1117" i="23"/>
  <c r="D1116" i="23"/>
  <c r="D1115" i="23"/>
  <c r="D1114" i="23"/>
  <c r="D1113" i="23"/>
  <c r="D1112" i="23"/>
  <c r="D1111" i="23"/>
  <c r="D1110" i="23"/>
  <c r="D1109" i="23"/>
  <c r="D1108" i="23"/>
  <c r="D1107" i="23"/>
  <c r="D1106" i="23"/>
  <c r="D1105" i="23"/>
  <c r="D1104" i="23"/>
  <c r="D1103" i="23"/>
  <c r="D1102" i="23"/>
  <c r="D1101" i="23"/>
  <c r="D1100" i="23"/>
  <c r="D1099" i="23"/>
  <c r="D1098" i="23"/>
  <c r="D1097" i="23"/>
  <c r="D1096" i="23"/>
  <c r="D1095" i="23"/>
  <c r="D1094" i="23"/>
  <c r="D1093" i="23"/>
  <c r="D1092" i="23"/>
  <c r="D1091" i="23"/>
  <c r="D1090" i="23"/>
  <c r="D1089" i="23"/>
  <c r="D1088" i="23"/>
  <c r="D1087" i="23"/>
  <c r="D1086" i="23"/>
  <c r="D1085" i="23"/>
  <c r="D1084" i="23"/>
  <c r="D1083" i="23"/>
  <c r="D1082" i="23"/>
  <c r="D1081" i="23"/>
  <c r="D1080" i="23"/>
  <c r="D1079" i="23"/>
  <c r="D1078" i="23"/>
  <c r="D1077" i="23"/>
  <c r="D1076" i="23"/>
  <c r="D1075" i="23"/>
  <c r="D1074" i="23"/>
  <c r="D1073" i="23"/>
  <c r="D1072" i="23"/>
  <c r="D1071" i="23"/>
  <c r="D1070" i="23"/>
  <c r="D1069" i="23"/>
  <c r="D1068" i="23"/>
  <c r="D1067" i="23"/>
  <c r="D1066" i="23"/>
  <c r="D1065" i="23"/>
  <c r="D1064" i="23"/>
  <c r="D1063" i="23"/>
  <c r="D1062" i="23"/>
  <c r="D1061" i="23"/>
  <c r="D1060" i="23"/>
  <c r="D1059" i="23"/>
  <c r="D1058" i="23"/>
  <c r="D1057" i="23"/>
  <c r="D1056" i="23"/>
  <c r="D1055" i="23"/>
  <c r="D1054" i="23"/>
  <c r="D1053" i="23"/>
  <c r="D1052" i="23"/>
  <c r="D1051" i="23"/>
  <c r="D1050" i="23"/>
  <c r="D1049" i="23"/>
  <c r="D1048" i="23"/>
  <c r="D1047" i="23"/>
  <c r="D1046" i="23"/>
  <c r="D1045" i="23"/>
  <c r="D1044" i="23"/>
  <c r="D1043" i="23"/>
  <c r="D1042" i="23"/>
  <c r="D1041" i="23"/>
  <c r="D1040" i="23"/>
  <c r="D1039" i="23"/>
  <c r="D1038" i="23"/>
  <c r="D1037" i="23"/>
  <c r="D1036" i="23"/>
  <c r="D1035" i="23"/>
  <c r="D1034" i="23"/>
  <c r="D1033" i="23"/>
  <c r="D1032" i="23"/>
  <c r="D1031" i="23"/>
  <c r="D1030" i="23"/>
  <c r="D1029" i="23"/>
  <c r="D1028" i="23"/>
  <c r="D1027" i="23"/>
  <c r="D1026" i="23"/>
  <c r="D1025" i="23"/>
  <c r="D1024" i="23"/>
  <c r="D1023" i="23"/>
  <c r="D1022" i="23"/>
  <c r="D1021" i="23"/>
  <c r="D1020" i="23"/>
  <c r="D1019" i="23"/>
  <c r="D1018" i="23"/>
  <c r="D1017" i="23"/>
  <c r="D1016" i="23"/>
  <c r="D1015" i="23"/>
  <c r="D1014" i="23"/>
  <c r="D1013" i="23"/>
  <c r="D1012" i="23"/>
  <c r="D1011" i="23"/>
  <c r="D1010" i="23"/>
  <c r="D1009" i="23"/>
  <c r="D1008" i="23"/>
  <c r="D1007" i="23"/>
  <c r="D1006" i="23"/>
  <c r="D1005" i="23"/>
  <c r="D1004" i="23"/>
  <c r="D1003" i="23"/>
  <c r="D1002" i="23"/>
  <c r="D1001" i="23"/>
  <c r="D1000" i="23"/>
  <c r="D999" i="23"/>
  <c r="D998" i="23"/>
  <c r="D997" i="23"/>
  <c r="D996" i="23"/>
  <c r="D995" i="23"/>
  <c r="D994" i="23"/>
  <c r="D993" i="23"/>
  <c r="D992" i="23"/>
  <c r="D991" i="23"/>
  <c r="D990" i="23"/>
  <c r="D989" i="23"/>
  <c r="D988" i="23"/>
  <c r="D987" i="23"/>
  <c r="D986" i="23"/>
  <c r="D985" i="23"/>
  <c r="D984" i="23"/>
  <c r="D983" i="23"/>
  <c r="D982" i="23"/>
  <c r="D981" i="23"/>
  <c r="D980" i="23"/>
  <c r="D979" i="23"/>
  <c r="D978" i="23"/>
  <c r="D977" i="23"/>
  <c r="D976" i="23"/>
  <c r="D975" i="23"/>
  <c r="D974" i="23"/>
  <c r="D973" i="23"/>
  <c r="D972" i="23"/>
  <c r="D971" i="23"/>
  <c r="D970" i="23"/>
  <c r="D969" i="23"/>
  <c r="D968" i="23"/>
  <c r="D967" i="23"/>
  <c r="D966" i="23"/>
  <c r="D965" i="23"/>
  <c r="D964" i="23"/>
  <c r="D963" i="23"/>
  <c r="D962" i="23"/>
  <c r="D961" i="23"/>
  <c r="D960" i="23"/>
  <c r="D959" i="23"/>
  <c r="D958" i="23"/>
  <c r="D957" i="23"/>
  <c r="D956" i="23"/>
  <c r="D955" i="23"/>
  <c r="D954" i="23"/>
  <c r="D953" i="23"/>
  <c r="D952" i="23"/>
  <c r="D951" i="23"/>
  <c r="D950" i="23"/>
  <c r="D949" i="23"/>
  <c r="D948" i="23"/>
  <c r="D947" i="23"/>
  <c r="D946" i="23"/>
  <c r="D945" i="23"/>
  <c r="D944" i="23"/>
  <c r="D943" i="23"/>
  <c r="D942" i="23"/>
  <c r="D941" i="23"/>
  <c r="D940" i="23"/>
  <c r="D939" i="23"/>
  <c r="D938" i="23"/>
  <c r="D937" i="23"/>
  <c r="D936" i="23"/>
  <c r="D935" i="23"/>
  <c r="D934" i="23"/>
  <c r="D933" i="23"/>
  <c r="D932" i="23"/>
  <c r="D931" i="23"/>
  <c r="D930" i="23"/>
  <c r="D929" i="23"/>
  <c r="D928" i="23"/>
  <c r="D927" i="23"/>
  <c r="D926" i="23"/>
  <c r="D925" i="23"/>
  <c r="D924" i="23"/>
  <c r="D923" i="23"/>
  <c r="D922" i="23"/>
  <c r="D921" i="23"/>
  <c r="D920" i="23"/>
  <c r="D919" i="23"/>
  <c r="D918" i="23"/>
  <c r="D917" i="23"/>
  <c r="D916" i="23"/>
  <c r="D915" i="23"/>
  <c r="D914" i="23"/>
  <c r="D913" i="23"/>
  <c r="D912" i="23"/>
  <c r="D911" i="23"/>
  <c r="D910" i="23"/>
  <c r="D909" i="23"/>
  <c r="D908" i="23"/>
  <c r="D907" i="23"/>
  <c r="D906" i="23"/>
  <c r="D905" i="23"/>
  <c r="D904" i="23"/>
  <c r="D903" i="23"/>
  <c r="D902" i="23"/>
  <c r="D901" i="23"/>
  <c r="D900" i="23"/>
  <c r="D899" i="23"/>
  <c r="D898" i="23"/>
  <c r="D897" i="23"/>
  <c r="D896" i="23"/>
  <c r="D895" i="23"/>
  <c r="D894" i="23"/>
  <c r="D893" i="23"/>
  <c r="D892" i="23"/>
  <c r="D891" i="23"/>
  <c r="D890" i="23"/>
  <c r="D889" i="23"/>
  <c r="D888" i="23"/>
  <c r="D887" i="23"/>
  <c r="D886" i="23"/>
  <c r="D885" i="23"/>
  <c r="D884" i="23"/>
  <c r="D883" i="23"/>
  <c r="D882" i="23"/>
  <c r="D881" i="23"/>
  <c r="D880" i="23"/>
  <c r="D879" i="23"/>
  <c r="D878" i="23"/>
  <c r="D877" i="23"/>
  <c r="D876" i="23"/>
  <c r="D875" i="23"/>
  <c r="D874" i="23"/>
  <c r="D873" i="23"/>
  <c r="D872" i="23"/>
  <c r="D871" i="23"/>
  <c r="D870" i="23"/>
  <c r="D869" i="23"/>
  <c r="D868" i="23"/>
  <c r="D867" i="23"/>
  <c r="D866" i="23"/>
  <c r="D865" i="23"/>
  <c r="D864" i="23"/>
  <c r="D863" i="23"/>
  <c r="D862" i="23"/>
  <c r="D861" i="23"/>
  <c r="D860" i="23"/>
  <c r="D859" i="23"/>
  <c r="D858" i="23"/>
  <c r="D857" i="23"/>
  <c r="D856" i="23"/>
  <c r="D855" i="23"/>
  <c r="D854" i="23"/>
  <c r="D853" i="23"/>
  <c r="D852" i="23"/>
  <c r="D851" i="23"/>
  <c r="D850" i="23"/>
  <c r="D849" i="23"/>
  <c r="D848" i="23"/>
  <c r="D847" i="23"/>
  <c r="D846" i="23"/>
  <c r="D845" i="23"/>
  <c r="D844" i="23"/>
  <c r="D843" i="23"/>
  <c r="D842" i="23"/>
  <c r="D841" i="23"/>
  <c r="D840" i="23"/>
  <c r="D839" i="23"/>
  <c r="D838" i="23"/>
  <c r="D837" i="23"/>
  <c r="D836" i="23"/>
  <c r="D835" i="23"/>
  <c r="D834" i="23"/>
  <c r="D833" i="23"/>
  <c r="D832" i="23"/>
  <c r="D831" i="23"/>
  <c r="D830" i="23"/>
  <c r="D829" i="23"/>
  <c r="D828" i="23"/>
  <c r="D827" i="23"/>
  <c r="D826" i="23"/>
  <c r="D825" i="23"/>
  <c r="D824" i="23"/>
  <c r="D823" i="23"/>
  <c r="D822" i="23"/>
  <c r="D821" i="23"/>
  <c r="D820" i="23"/>
  <c r="D819" i="23"/>
  <c r="D818" i="23"/>
  <c r="D817" i="23"/>
  <c r="D816" i="23"/>
  <c r="D815" i="23"/>
  <c r="D814" i="23"/>
  <c r="D813" i="23"/>
  <c r="D812" i="23"/>
  <c r="D811" i="23"/>
  <c r="D810" i="23"/>
  <c r="D809" i="23"/>
  <c r="D808" i="23"/>
  <c r="D807" i="23"/>
  <c r="D806" i="23"/>
  <c r="D805" i="23"/>
  <c r="D804" i="23"/>
  <c r="D803" i="23"/>
  <c r="D802" i="23"/>
  <c r="D801" i="23"/>
  <c r="D800" i="23"/>
  <c r="D799" i="23"/>
  <c r="D798" i="23"/>
  <c r="D797" i="23"/>
  <c r="D796" i="23"/>
  <c r="D795" i="23"/>
  <c r="D794" i="23"/>
  <c r="D793" i="23"/>
  <c r="D792" i="23"/>
  <c r="D791" i="23"/>
  <c r="D790" i="23"/>
  <c r="D789" i="23"/>
  <c r="D788" i="23"/>
  <c r="D787" i="23"/>
  <c r="D786" i="23"/>
  <c r="D785" i="23"/>
  <c r="D784" i="23"/>
  <c r="D783" i="23"/>
  <c r="D782" i="23"/>
  <c r="D781" i="23"/>
  <c r="D780" i="23"/>
  <c r="D779" i="23"/>
  <c r="D778" i="23"/>
  <c r="D777" i="23"/>
  <c r="D776" i="23"/>
  <c r="D775" i="23"/>
  <c r="D774" i="23"/>
  <c r="D773" i="23"/>
  <c r="D772" i="23"/>
  <c r="D771" i="23"/>
  <c r="D770" i="23"/>
  <c r="D769" i="23"/>
  <c r="D768" i="23"/>
  <c r="D767" i="23"/>
  <c r="D766" i="23"/>
  <c r="D765" i="23"/>
  <c r="D764" i="23"/>
  <c r="D763" i="23"/>
  <c r="D762" i="23"/>
  <c r="D761" i="23"/>
  <c r="D760" i="23"/>
  <c r="D759" i="23"/>
  <c r="D758" i="23"/>
  <c r="D757" i="23"/>
  <c r="D756" i="23"/>
  <c r="D755" i="23"/>
  <c r="D754" i="23"/>
  <c r="D753" i="23"/>
  <c r="D752" i="23"/>
  <c r="D751" i="23"/>
  <c r="D750" i="23"/>
  <c r="D749" i="23"/>
  <c r="D748" i="23"/>
  <c r="D747" i="23"/>
  <c r="D746" i="23"/>
  <c r="D745" i="23"/>
  <c r="D744" i="23"/>
  <c r="D743" i="23"/>
  <c r="D742" i="23"/>
  <c r="D741" i="23"/>
  <c r="D740" i="23"/>
  <c r="D739" i="23"/>
  <c r="D738" i="23"/>
  <c r="D737" i="23"/>
  <c r="D736" i="23"/>
  <c r="D735" i="23"/>
  <c r="D734" i="23"/>
  <c r="D733" i="23"/>
  <c r="D732" i="23"/>
  <c r="D731" i="23"/>
  <c r="D730" i="23"/>
  <c r="D729" i="23"/>
  <c r="D728" i="23"/>
  <c r="D727" i="23"/>
  <c r="D726" i="23"/>
  <c r="D725" i="23"/>
  <c r="D724" i="23"/>
  <c r="D723" i="23"/>
  <c r="D722" i="23"/>
  <c r="D721" i="23"/>
  <c r="D720" i="23"/>
  <c r="D719" i="23"/>
  <c r="D718" i="23"/>
  <c r="D717" i="23"/>
  <c r="D716" i="23"/>
  <c r="D715" i="23"/>
  <c r="D714" i="23"/>
  <c r="D713" i="23"/>
  <c r="D712" i="23"/>
  <c r="D711" i="23"/>
  <c r="D710" i="23"/>
  <c r="D709" i="23"/>
  <c r="D708" i="23"/>
  <c r="D707" i="23"/>
  <c r="D706" i="23"/>
  <c r="D705" i="23"/>
  <c r="D704" i="23"/>
  <c r="D703" i="23"/>
  <c r="D702" i="23"/>
  <c r="D701" i="23"/>
  <c r="D700" i="23"/>
  <c r="D699" i="23"/>
  <c r="D698" i="23"/>
  <c r="D697" i="23"/>
  <c r="D696" i="23"/>
  <c r="D695" i="23"/>
  <c r="D694" i="23"/>
  <c r="D693" i="23"/>
  <c r="D692" i="23"/>
  <c r="D691" i="23"/>
  <c r="D690" i="23"/>
  <c r="D689" i="23"/>
  <c r="D688" i="23"/>
  <c r="D687" i="23"/>
  <c r="D686" i="23"/>
  <c r="D685" i="23"/>
  <c r="D684" i="23"/>
  <c r="D683" i="23"/>
  <c r="D682" i="23"/>
  <c r="D681" i="23"/>
  <c r="D680" i="23"/>
  <c r="D679" i="23"/>
  <c r="D678" i="23"/>
  <c r="D677" i="23"/>
  <c r="D676" i="23"/>
  <c r="D675" i="23"/>
  <c r="D674" i="23"/>
  <c r="D673" i="23"/>
  <c r="D672" i="23"/>
  <c r="D671" i="23"/>
  <c r="D670" i="23"/>
  <c r="D669" i="23"/>
  <c r="D668" i="23"/>
  <c r="D667" i="23"/>
  <c r="D666" i="23"/>
  <c r="D665" i="23"/>
  <c r="D664" i="23"/>
  <c r="D663" i="23"/>
  <c r="D662" i="23"/>
  <c r="D661" i="23"/>
  <c r="D660" i="23"/>
  <c r="D659" i="23"/>
  <c r="D658" i="23"/>
  <c r="D657" i="23"/>
  <c r="D656" i="23"/>
  <c r="D655" i="23"/>
  <c r="D654" i="23"/>
  <c r="D653" i="23"/>
  <c r="D652" i="23"/>
  <c r="D651" i="23"/>
  <c r="D650" i="23"/>
  <c r="D649" i="23"/>
  <c r="D648" i="23"/>
  <c r="D647" i="23"/>
  <c r="D646" i="23"/>
  <c r="D645" i="23"/>
  <c r="D644" i="23"/>
  <c r="D643" i="23"/>
  <c r="D642" i="23"/>
  <c r="D641" i="23"/>
  <c r="D640" i="23"/>
  <c r="D639" i="23"/>
  <c r="D638" i="23"/>
  <c r="D637" i="23"/>
  <c r="D636" i="23"/>
  <c r="D635" i="23"/>
  <c r="D634" i="23"/>
  <c r="D633" i="23"/>
  <c r="D632" i="23"/>
  <c r="D631" i="23"/>
  <c r="D630" i="23"/>
  <c r="D629" i="23"/>
  <c r="D628" i="23"/>
  <c r="D627" i="23"/>
  <c r="D626" i="23"/>
  <c r="D625" i="23"/>
  <c r="D624" i="23"/>
  <c r="D623" i="23"/>
  <c r="D622" i="23"/>
  <c r="D621" i="23"/>
  <c r="D620" i="23"/>
  <c r="D619" i="23"/>
  <c r="D618" i="23"/>
  <c r="D617" i="23"/>
  <c r="D616" i="23"/>
  <c r="D615" i="23"/>
  <c r="D614" i="23"/>
  <c r="D613" i="23"/>
  <c r="D612" i="23"/>
  <c r="D611" i="23"/>
  <c r="D610" i="23"/>
  <c r="D609" i="23"/>
  <c r="D608" i="23"/>
  <c r="D607" i="23"/>
  <c r="D606" i="23"/>
  <c r="D605" i="23"/>
  <c r="D604" i="23"/>
  <c r="D603" i="23"/>
  <c r="D602" i="23"/>
  <c r="D601" i="23"/>
  <c r="D600" i="23"/>
  <c r="D599" i="23"/>
  <c r="D598" i="23"/>
  <c r="D597" i="23"/>
  <c r="D596" i="23"/>
  <c r="D595" i="23"/>
  <c r="D594" i="23"/>
  <c r="D593" i="23"/>
  <c r="D592" i="23"/>
  <c r="D591" i="23"/>
  <c r="D590" i="23"/>
  <c r="D589" i="23"/>
  <c r="D588" i="23"/>
  <c r="D587" i="23"/>
  <c r="D586" i="23"/>
  <c r="D585" i="23"/>
  <c r="D584" i="23"/>
  <c r="D583" i="23"/>
  <c r="D582" i="23"/>
  <c r="D581" i="23"/>
  <c r="D580" i="23"/>
  <c r="D579" i="23"/>
  <c r="D578" i="23"/>
  <c r="D577" i="23"/>
  <c r="D576" i="23"/>
  <c r="D575" i="23"/>
  <c r="D574" i="23"/>
  <c r="D573" i="23"/>
  <c r="D572" i="23"/>
  <c r="D571" i="23"/>
  <c r="D570" i="23"/>
  <c r="D569" i="23"/>
  <c r="D568" i="23"/>
  <c r="D567" i="23"/>
  <c r="D566" i="23"/>
  <c r="D565" i="23"/>
  <c r="D564" i="23"/>
  <c r="D563" i="23"/>
  <c r="D562" i="23"/>
  <c r="D561" i="23"/>
  <c r="D560" i="23"/>
  <c r="D559" i="23"/>
  <c r="D558" i="23"/>
  <c r="D557" i="23"/>
  <c r="D556" i="23"/>
  <c r="D555" i="23"/>
  <c r="D554" i="23"/>
  <c r="D553" i="23"/>
  <c r="D552" i="23"/>
  <c r="D551" i="23"/>
  <c r="D550" i="23"/>
  <c r="D549" i="23"/>
  <c r="D548" i="23"/>
  <c r="D547" i="23"/>
  <c r="D546" i="23"/>
  <c r="D545" i="23"/>
  <c r="D544" i="23"/>
  <c r="D543" i="23"/>
  <c r="D542" i="23"/>
  <c r="D541" i="23"/>
  <c r="D540" i="23"/>
  <c r="D539" i="23"/>
  <c r="D538" i="23"/>
  <c r="D537" i="23"/>
  <c r="D536" i="23"/>
  <c r="D535" i="23"/>
  <c r="D534" i="23"/>
  <c r="D533" i="23"/>
  <c r="D532" i="23"/>
  <c r="D531" i="23"/>
  <c r="D530" i="23"/>
  <c r="D529" i="23"/>
  <c r="D528" i="23"/>
  <c r="D527" i="23"/>
  <c r="D526" i="23"/>
  <c r="D525" i="23"/>
  <c r="D524" i="23"/>
  <c r="D523" i="23"/>
  <c r="D522" i="23"/>
  <c r="D521" i="23"/>
  <c r="D520" i="23"/>
  <c r="D519" i="23"/>
  <c r="D518" i="23"/>
  <c r="D517" i="23"/>
  <c r="D516" i="23"/>
  <c r="D515" i="23"/>
  <c r="D514" i="23"/>
  <c r="D513" i="23"/>
  <c r="D512" i="23"/>
  <c r="D511" i="23"/>
  <c r="D510" i="23"/>
  <c r="D509" i="23"/>
  <c r="D508" i="23"/>
  <c r="D507" i="23"/>
  <c r="D506" i="23"/>
  <c r="D505" i="23"/>
  <c r="D504" i="23"/>
  <c r="D503" i="23"/>
  <c r="D502" i="23"/>
  <c r="D501" i="23"/>
  <c r="D500" i="23"/>
  <c r="D499" i="23"/>
  <c r="D498" i="23"/>
  <c r="D497" i="23"/>
  <c r="D496" i="23"/>
  <c r="D495" i="23"/>
  <c r="D494" i="23"/>
  <c r="D493" i="23"/>
  <c r="D492" i="23"/>
  <c r="D491" i="23"/>
  <c r="D490" i="23"/>
  <c r="D489" i="23"/>
  <c r="D488" i="23"/>
  <c r="D487" i="23"/>
  <c r="D486" i="23"/>
  <c r="D485" i="23"/>
  <c r="D484" i="23"/>
  <c r="D483" i="23"/>
  <c r="D482" i="23"/>
  <c r="D481" i="23"/>
  <c r="D480" i="23"/>
  <c r="D479" i="23"/>
  <c r="D478" i="23"/>
  <c r="D477" i="23"/>
  <c r="D476" i="23"/>
  <c r="D475" i="23"/>
  <c r="D474" i="23"/>
  <c r="D473" i="23"/>
  <c r="D472" i="23"/>
  <c r="D471" i="23"/>
  <c r="D470" i="23"/>
  <c r="D469" i="23"/>
  <c r="D468" i="23"/>
  <c r="D467" i="23"/>
  <c r="D466" i="23"/>
  <c r="D465" i="23"/>
  <c r="D464" i="23"/>
  <c r="D463" i="23"/>
  <c r="D462" i="23"/>
  <c r="D461" i="23"/>
  <c r="D460" i="23"/>
  <c r="D459" i="23"/>
  <c r="D458" i="23"/>
  <c r="D457" i="23"/>
  <c r="D456" i="23"/>
  <c r="D455" i="23"/>
  <c r="D454" i="23"/>
  <c r="D453" i="23"/>
  <c r="D452" i="23"/>
  <c r="D451" i="23"/>
  <c r="D450" i="23"/>
  <c r="D449" i="23"/>
  <c r="D448" i="23"/>
  <c r="D447" i="23"/>
  <c r="D446" i="23"/>
  <c r="D445" i="23"/>
  <c r="D444" i="23"/>
  <c r="D443" i="23"/>
  <c r="D442" i="23"/>
  <c r="D441" i="23"/>
  <c r="D440" i="23"/>
  <c r="D439" i="23"/>
  <c r="D438" i="23"/>
  <c r="D437" i="23"/>
  <c r="D436" i="23"/>
  <c r="D435" i="23"/>
  <c r="D434" i="23"/>
  <c r="D433" i="23"/>
  <c r="D432" i="23"/>
  <c r="D431" i="23"/>
  <c r="D430" i="23"/>
  <c r="D429" i="23"/>
  <c r="D428" i="23"/>
  <c r="D427" i="23"/>
  <c r="D426" i="23"/>
  <c r="D425" i="23"/>
  <c r="D424" i="23"/>
  <c r="D423" i="23"/>
  <c r="D422" i="23"/>
  <c r="D421" i="23"/>
  <c r="D420" i="23"/>
  <c r="D419" i="23"/>
  <c r="D418" i="23"/>
  <c r="D417" i="23"/>
  <c r="D416" i="23"/>
  <c r="D415" i="23"/>
  <c r="D414" i="23"/>
  <c r="D413" i="23"/>
  <c r="D412" i="23"/>
  <c r="D411" i="23"/>
  <c r="D410" i="23"/>
  <c r="D409" i="23"/>
  <c r="D408" i="23"/>
  <c r="D407" i="23"/>
  <c r="D406" i="23"/>
  <c r="D405" i="23"/>
  <c r="D404" i="23"/>
  <c r="D403" i="23"/>
  <c r="D402" i="23"/>
  <c r="D401" i="23"/>
  <c r="D400" i="23"/>
  <c r="D399" i="23"/>
  <c r="D398" i="23"/>
  <c r="D397" i="23"/>
  <c r="D396" i="23"/>
  <c r="D395" i="23"/>
  <c r="D394" i="23"/>
  <c r="D393" i="23"/>
  <c r="D392" i="23"/>
  <c r="D391" i="23"/>
  <c r="D390" i="23"/>
  <c r="D389" i="23"/>
  <c r="D388" i="23"/>
  <c r="D387" i="23"/>
  <c r="D386" i="23"/>
  <c r="D385" i="23"/>
  <c r="D384" i="23"/>
  <c r="D383" i="23"/>
  <c r="D382" i="23"/>
  <c r="D381" i="23"/>
  <c r="D380" i="23"/>
  <c r="D379" i="23"/>
  <c r="D378" i="23"/>
  <c r="D377" i="23"/>
  <c r="D376" i="23"/>
  <c r="D375" i="23"/>
  <c r="D374" i="23"/>
  <c r="D373" i="23"/>
  <c r="D372" i="23"/>
  <c r="D371" i="23"/>
  <c r="D370" i="23"/>
  <c r="D369" i="23"/>
  <c r="D368" i="23"/>
  <c r="D367" i="23"/>
  <c r="D366" i="23"/>
  <c r="D365" i="23"/>
  <c r="D364" i="23"/>
  <c r="D363" i="23"/>
  <c r="D362" i="23"/>
  <c r="D361" i="23"/>
  <c r="D360" i="23"/>
  <c r="D359" i="23"/>
  <c r="D358" i="23"/>
  <c r="D357" i="23"/>
  <c r="D356" i="23"/>
  <c r="D355" i="23"/>
  <c r="D354" i="23"/>
  <c r="D353" i="23"/>
  <c r="D352" i="23"/>
  <c r="D351" i="23"/>
  <c r="D350" i="23"/>
  <c r="D349" i="23"/>
  <c r="D348" i="23"/>
  <c r="D347" i="23"/>
  <c r="D346" i="23"/>
  <c r="D345" i="23"/>
  <c r="D344" i="23"/>
  <c r="D343" i="23"/>
  <c r="D342" i="23"/>
  <c r="D341" i="23"/>
  <c r="D340" i="23"/>
  <c r="D339" i="23"/>
  <c r="D338" i="23"/>
  <c r="D337" i="23"/>
  <c r="D336" i="23"/>
  <c r="D335" i="23"/>
  <c r="D334" i="23"/>
  <c r="D333" i="23"/>
  <c r="D332" i="23"/>
  <c r="D331" i="23"/>
  <c r="D330" i="23"/>
  <c r="D329" i="23"/>
  <c r="D328" i="23"/>
  <c r="D327" i="23"/>
  <c r="D326" i="23"/>
  <c r="D325" i="23"/>
  <c r="D324" i="23"/>
  <c r="D323" i="23"/>
  <c r="D322" i="23"/>
  <c r="D321" i="23"/>
  <c r="D320" i="23"/>
  <c r="D319" i="23"/>
  <c r="D318" i="23"/>
  <c r="D317" i="23"/>
  <c r="D316" i="23"/>
  <c r="D315" i="23"/>
  <c r="D314" i="23"/>
  <c r="D313" i="23"/>
  <c r="D312" i="23"/>
  <c r="D311" i="23"/>
  <c r="D310" i="23"/>
  <c r="D309" i="23"/>
  <c r="D308" i="23"/>
  <c r="D307" i="23"/>
  <c r="D306" i="23"/>
  <c r="D305" i="23"/>
  <c r="D304" i="23"/>
  <c r="D303" i="23"/>
  <c r="D302" i="23"/>
  <c r="D301" i="23"/>
  <c r="D300" i="23"/>
  <c r="D299" i="23"/>
  <c r="D298" i="23"/>
  <c r="D297" i="23"/>
  <c r="D296" i="23"/>
  <c r="D295" i="23"/>
  <c r="D294" i="23"/>
  <c r="D293" i="23"/>
  <c r="D292" i="23"/>
  <c r="D291" i="23"/>
  <c r="D290" i="23"/>
  <c r="D289" i="23"/>
  <c r="D288" i="23"/>
  <c r="D287" i="23"/>
  <c r="D286" i="23"/>
  <c r="D285" i="23"/>
  <c r="D284" i="23"/>
  <c r="D283" i="23"/>
  <c r="D282" i="23"/>
  <c r="D281" i="23"/>
  <c r="D280" i="23"/>
  <c r="D279" i="23"/>
  <c r="D278" i="23"/>
  <c r="D277" i="23"/>
  <c r="D276" i="23"/>
  <c r="D275" i="23"/>
  <c r="D274" i="23"/>
  <c r="D273" i="23"/>
  <c r="D272" i="23"/>
  <c r="D271" i="23"/>
  <c r="D270" i="23"/>
  <c r="D269" i="23"/>
  <c r="D268" i="23"/>
  <c r="D267" i="23"/>
  <c r="D266" i="23"/>
  <c r="D265" i="23"/>
  <c r="D264" i="23"/>
  <c r="D263" i="23"/>
  <c r="D262" i="23"/>
  <c r="D261" i="23"/>
  <c r="D260" i="23"/>
  <c r="D259" i="23"/>
  <c r="D258" i="23"/>
  <c r="D257" i="23"/>
  <c r="D256" i="23"/>
  <c r="D255" i="23"/>
  <c r="D254" i="23"/>
  <c r="D253" i="23"/>
  <c r="D252" i="23"/>
  <c r="D251" i="23"/>
  <c r="D250" i="23"/>
  <c r="D249" i="23"/>
  <c r="D248" i="23"/>
  <c r="D247" i="23"/>
  <c r="D246" i="23"/>
  <c r="D245" i="23"/>
  <c r="D244" i="23"/>
  <c r="D243" i="23"/>
  <c r="D242" i="23"/>
  <c r="D241" i="23"/>
  <c r="D240" i="23"/>
  <c r="D239" i="23"/>
  <c r="D238" i="23"/>
  <c r="D237" i="23"/>
  <c r="D236" i="23"/>
  <c r="D235" i="23"/>
  <c r="D234" i="23"/>
  <c r="D233" i="23"/>
  <c r="D232" i="23"/>
  <c r="D231" i="23"/>
  <c r="D230" i="23"/>
  <c r="D229" i="23"/>
  <c r="D228" i="23"/>
  <c r="D227" i="23"/>
  <c r="D226" i="23"/>
  <c r="D225" i="23"/>
  <c r="D224" i="23"/>
  <c r="D223" i="23"/>
  <c r="D222" i="23"/>
  <c r="D221" i="23"/>
  <c r="D220" i="23"/>
  <c r="D219" i="23"/>
  <c r="D218" i="23"/>
  <c r="D217" i="23"/>
  <c r="D216" i="23"/>
  <c r="D215" i="23"/>
  <c r="D214" i="23"/>
  <c r="D213" i="23"/>
  <c r="D212" i="23"/>
  <c r="D211" i="23"/>
  <c r="D210" i="23"/>
  <c r="D209" i="23"/>
  <c r="D208" i="23"/>
  <c r="D207" i="23"/>
  <c r="D206" i="23"/>
  <c r="D205" i="23"/>
  <c r="D204" i="23"/>
  <c r="D203" i="23"/>
  <c r="D202" i="23"/>
  <c r="D201" i="23"/>
  <c r="D200" i="23"/>
  <c r="D199" i="23"/>
  <c r="D198" i="23"/>
  <c r="D197" i="23"/>
  <c r="D196" i="23"/>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D5" i="23"/>
  <c r="D4" i="23"/>
  <c r="D3" i="23"/>
  <c r="J12" i="22"/>
  <c r="K12" i="22" s="1"/>
  <c r="I14" i="22"/>
  <c r="I13" i="22"/>
  <c r="I12" i="22"/>
  <c r="K7" i="22"/>
  <c r="K6" i="22"/>
  <c r="K5" i="22"/>
  <c r="K4" i="22"/>
  <c r="D1361" i="22"/>
  <c r="D1360" i="22"/>
  <c r="D3" i="22"/>
  <c r="D1359" i="22"/>
  <c r="D1358" i="22"/>
  <c r="D1357" i="22"/>
  <c r="D1356" i="22"/>
  <c r="D1355" i="22"/>
  <c r="D1354" i="22"/>
  <c r="D1353" i="22"/>
  <c r="D1352" i="22"/>
  <c r="D1351" i="22"/>
  <c r="D1350" i="22"/>
  <c r="D1349" i="22"/>
  <c r="D1348" i="22"/>
  <c r="D1347" i="22"/>
  <c r="D1346" i="22"/>
  <c r="D1345" i="22"/>
  <c r="D1344" i="22"/>
  <c r="D1343" i="22"/>
  <c r="D1342" i="22"/>
  <c r="D1341" i="22"/>
  <c r="D1340" i="22"/>
  <c r="D1339" i="22"/>
  <c r="D1338" i="22"/>
  <c r="D1337" i="22"/>
  <c r="D1336" i="22"/>
  <c r="D1335" i="22"/>
  <c r="D1334" i="22"/>
  <c r="D1333" i="22"/>
  <c r="D1332" i="22"/>
  <c r="D1331" i="22"/>
  <c r="D1330" i="22"/>
  <c r="D1329" i="22"/>
  <c r="D1328" i="22"/>
  <c r="D1327" i="22"/>
  <c r="D1326" i="22"/>
  <c r="D1325" i="22"/>
  <c r="D1324" i="22"/>
  <c r="D1323" i="22"/>
  <c r="D1322" i="22"/>
  <c r="D1321" i="22"/>
  <c r="D1320" i="22"/>
  <c r="D1319" i="22"/>
  <c r="D1318" i="22"/>
  <c r="D1317" i="22"/>
  <c r="D1316" i="22"/>
  <c r="D1315" i="22"/>
  <c r="D1314" i="22"/>
  <c r="D1313" i="22"/>
  <c r="D1312" i="22"/>
  <c r="D1311" i="22"/>
  <c r="D1310" i="22"/>
  <c r="D1309" i="22"/>
  <c r="D1308" i="22"/>
  <c r="D1307" i="22"/>
  <c r="D1306" i="22"/>
  <c r="D1305" i="22"/>
  <c r="D1304" i="22"/>
  <c r="D1303" i="22"/>
  <c r="D1302" i="22"/>
  <c r="D1301" i="22"/>
  <c r="D1300" i="22"/>
  <c r="D1299" i="22"/>
  <c r="D1298" i="22"/>
  <c r="D1297" i="22"/>
  <c r="D1296" i="22"/>
  <c r="D1295" i="22"/>
  <c r="D1294" i="22"/>
  <c r="D1293" i="22"/>
  <c r="D1292" i="22"/>
  <c r="D1291" i="22"/>
  <c r="D1290" i="22"/>
  <c r="D1289" i="22"/>
  <c r="D1288" i="22"/>
  <c r="D1287" i="22"/>
  <c r="D1286" i="22"/>
  <c r="D1285" i="22"/>
  <c r="D1284" i="22"/>
  <c r="D1283" i="22"/>
  <c r="D1282" i="22"/>
  <c r="D1281" i="22"/>
  <c r="D1280" i="22"/>
  <c r="D1279" i="22"/>
  <c r="D1278" i="22"/>
  <c r="D1277" i="22"/>
  <c r="D1276" i="22"/>
  <c r="D1275" i="22"/>
  <c r="D1274" i="22"/>
  <c r="D1273" i="22"/>
  <c r="D1272" i="22"/>
  <c r="D1271" i="22"/>
  <c r="D1270" i="22"/>
  <c r="D1269" i="22"/>
  <c r="D1268" i="22"/>
  <c r="D1267" i="22"/>
  <c r="D1266" i="22"/>
  <c r="D1265" i="22"/>
  <c r="D1264" i="22"/>
  <c r="D1263" i="22"/>
  <c r="D1262" i="22"/>
  <c r="D1261" i="22"/>
  <c r="D1260" i="22"/>
  <c r="D1259" i="22"/>
  <c r="D1258" i="22"/>
  <c r="D1257" i="22"/>
  <c r="D1256" i="22"/>
  <c r="D1255" i="22"/>
  <c r="D1254" i="22"/>
  <c r="D1253" i="22"/>
  <c r="D1252" i="22"/>
  <c r="D1251" i="22"/>
  <c r="D1250" i="22"/>
  <c r="D1249" i="22"/>
  <c r="D1248" i="22"/>
  <c r="D1247" i="22"/>
  <c r="D1246" i="22"/>
  <c r="D1245" i="22"/>
  <c r="D1244" i="22"/>
  <c r="D1243" i="22"/>
  <c r="D1242" i="22"/>
  <c r="D1241" i="22"/>
  <c r="D1240" i="22"/>
  <c r="D1239" i="22"/>
  <c r="D1238" i="22"/>
  <c r="D1237" i="22"/>
  <c r="D1236" i="22"/>
  <c r="D1235" i="22"/>
  <c r="D1234" i="22"/>
  <c r="D1233" i="22"/>
  <c r="D1232" i="22"/>
  <c r="D1231" i="22"/>
  <c r="D1230" i="22"/>
  <c r="D1229" i="22"/>
  <c r="D1228" i="22"/>
  <c r="D1227" i="22"/>
  <c r="D1226" i="22"/>
  <c r="D1225" i="22"/>
  <c r="D1224" i="22"/>
  <c r="D1223" i="22"/>
  <c r="D1222" i="22"/>
  <c r="D1221" i="22"/>
  <c r="D1220" i="22"/>
  <c r="D1219" i="22"/>
  <c r="D1218" i="22"/>
  <c r="D1217" i="22"/>
  <c r="D1216" i="22"/>
  <c r="D1215" i="22"/>
  <c r="D1214" i="22"/>
  <c r="D1213" i="22"/>
  <c r="D1212" i="22"/>
  <c r="D1211" i="22"/>
  <c r="D1210" i="22"/>
  <c r="D1209" i="22"/>
  <c r="D1208" i="22"/>
  <c r="D1207" i="22"/>
  <c r="D1206" i="22"/>
  <c r="D1205" i="22"/>
  <c r="D1204" i="22"/>
  <c r="D1203" i="22"/>
  <c r="D1202" i="22"/>
  <c r="D1201" i="22"/>
  <c r="D1200" i="22"/>
  <c r="D1199" i="22"/>
  <c r="D1198" i="22"/>
  <c r="D1197" i="22"/>
  <c r="D1196" i="22"/>
  <c r="D1195" i="22"/>
  <c r="D1194" i="22"/>
  <c r="D1193" i="22"/>
  <c r="D1192" i="22"/>
  <c r="D1191" i="22"/>
  <c r="D1190" i="22"/>
  <c r="D1189" i="22"/>
  <c r="D1188" i="22"/>
  <c r="D1187" i="22"/>
  <c r="D1186" i="22"/>
  <c r="D1185" i="22"/>
  <c r="D1184" i="22"/>
  <c r="D1183" i="22"/>
  <c r="D1182" i="22"/>
  <c r="D1181" i="22"/>
  <c r="D1180" i="22"/>
  <c r="D1179" i="22"/>
  <c r="D1178" i="22"/>
  <c r="D1177" i="22"/>
  <c r="D1176" i="22"/>
  <c r="D1175" i="22"/>
  <c r="D1174" i="22"/>
  <c r="D1173" i="22"/>
  <c r="D1172" i="22"/>
  <c r="D1171" i="22"/>
  <c r="D1170" i="22"/>
  <c r="D1169" i="22"/>
  <c r="D1168" i="22"/>
  <c r="D1167" i="22"/>
  <c r="D1166" i="22"/>
  <c r="D1165" i="22"/>
  <c r="D1164" i="22"/>
  <c r="D1163" i="22"/>
  <c r="D1162" i="22"/>
  <c r="D1161" i="22"/>
  <c r="D1160" i="22"/>
  <c r="D1159" i="22"/>
  <c r="D1158" i="22"/>
  <c r="D1157" i="22"/>
  <c r="D1156" i="22"/>
  <c r="D1155" i="22"/>
  <c r="D1154" i="22"/>
  <c r="D1153" i="22"/>
  <c r="D1152" i="22"/>
  <c r="D1151" i="22"/>
  <c r="D1150" i="22"/>
  <c r="D1149" i="22"/>
  <c r="D1148" i="22"/>
  <c r="D1147" i="22"/>
  <c r="D1146" i="22"/>
  <c r="D1145" i="22"/>
  <c r="D1144" i="22"/>
  <c r="D1143" i="22"/>
  <c r="D1142" i="22"/>
  <c r="D1141" i="22"/>
  <c r="D1140" i="22"/>
  <c r="D1139" i="22"/>
  <c r="D1138" i="22"/>
  <c r="D1137" i="22"/>
  <c r="D1136" i="22"/>
  <c r="D1135" i="22"/>
  <c r="D1134" i="22"/>
  <c r="D1133" i="22"/>
  <c r="D1132" i="22"/>
  <c r="D1131" i="22"/>
  <c r="D1130" i="22"/>
  <c r="D1129" i="22"/>
  <c r="D1128" i="22"/>
  <c r="D1127" i="22"/>
  <c r="D1126" i="22"/>
  <c r="D1125" i="22"/>
  <c r="D1124" i="22"/>
  <c r="D1123" i="22"/>
  <c r="D1122" i="22"/>
  <c r="D1121" i="22"/>
  <c r="D1120" i="22"/>
  <c r="D1119" i="22"/>
  <c r="D1118" i="22"/>
  <c r="D1117" i="22"/>
  <c r="D1116" i="22"/>
  <c r="D1115" i="22"/>
  <c r="D1114" i="22"/>
  <c r="D1113" i="22"/>
  <c r="D1112" i="22"/>
  <c r="D1111" i="22"/>
  <c r="D1110" i="22"/>
  <c r="D1109" i="22"/>
  <c r="D1108" i="22"/>
  <c r="D1107" i="22"/>
  <c r="D1106" i="22"/>
  <c r="D1105" i="22"/>
  <c r="D1104" i="22"/>
  <c r="D1103" i="22"/>
  <c r="D1102" i="22"/>
  <c r="D1101" i="22"/>
  <c r="D1100" i="22"/>
  <c r="D1099" i="22"/>
  <c r="D1098" i="22"/>
  <c r="D1097" i="22"/>
  <c r="D1096" i="22"/>
  <c r="D1095" i="22"/>
  <c r="D1094" i="22"/>
  <c r="D1093" i="22"/>
  <c r="D1092" i="22"/>
  <c r="D1091" i="22"/>
  <c r="D1090" i="22"/>
  <c r="D1089" i="22"/>
  <c r="D1088" i="22"/>
  <c r="D1087" i="22"/>
  <c r="D1086" i="22"/>
  <c r="D1085" i="22"/>
  <c r="D1084" i="22"/>
  <c r="D1083" i="22"/>
  <c r="D1082" i="22"/>
  <c r="D1081" i="22"/>
  <c r="D1080" i="22"/>
  <c r="D1079" i="22"/>
  <c r="D1078" i="22"/>
  <c r="D1077" i="22"/>
  <c r="D1076" i="22"/>
  <c r="D1075" i="22"/>
  <c r="D1074" i="22"/>
  <c r="D1073" i="22"/>
  <c r="D1072" i="22"/>
  <c r="D1071" i="22"/>
  <c r="D1070" i="22"/>
  <c r="D1069" i="22"/>
  <c r="D1068" i="22"/>
  <c r="D1067" i="22"/>
  <c r="D1066" i="22"/>
  <c r="D1065" i="22"/>
  <c r="D1064" i="22"/>
  <c r="D1063" i="22"/>
  <c r="D1062" i="22"/>
  <c r="D1061" i="22"/>
  <c r="D1060" i="22"/>
  <c r="D1059" i="22"/>
  <c r="D1058" i="22"/>
  <c r="D1057" i="22"/>
  <c r="D1056" i="22"/>
  <c r="D1055" i="22"/>
  <c r="D1054" i="22"/>
  <c r="D1053" i="22"/>
  <c r="D1052" i="22"/>
  <c r="D1051" i="22"/>
  <c r="D1050" i="22"/>
  <c r="D1049" i="22"/>
  <c r="D1048" i="22"/>
  <c r="D1047" i="22"/>
  <c r="D1046" i="22"/>
  <c r="D1045" i="22"/>
  <c r="D1044" i="22"/>
  <c r="D1043" i="22"/>
  <c r="D1042" i="22"/>
  <c r="D1041" i="22"/>
  <c r="D1040" i="22"/>
  <c r="D1039" i="22"/>
  <c r="D1038" i="22"/>
  <c r="D1037" i="22"/>
  <c r="D1036" i="22"/>
  <c r="D1035" i="22"/>
  <c r="D1034" i="22"/>
  <c r="D1033" i="22"/>
  <c r="D1032" i="22"/>
  <c r="D1031" i="22"/>
  <c r="D1030" i="22"/>
  <c r="D1029" i="22"/>
  <c r="D1028" i="22"/>
  <c r="D1027" i="22"/>
  <c r="D1026" i="22"/>
  <c r="D1025" i="22"/>
  <c r="D1024" i="22"/>
  <c r="D1023" i="22"/>
  <c r="D1022" i="22"/>
  <c r="D1021" i="22"/>
  <c r="D1020" i="22"/>
  <c r="D1019" i="22"/>
  <c r="D1018" i="22"/>
  <c r="D1017" i="22"/>
  <c r="D1016" i="22"/>
  <c r="D1015" i="22"/>
  <c r="D1014" i="22"/>
  <c r="D1013" i="22"/>
  <c r="D1012" i="22"/>
  <c r="D1011" i="22"/>
  <c r="D1010" i="22"/>
  <c r="D1009" i="22"/>
  <c r="D1008" i="22"/>
  <c r="D1007" i="22"/>
  <c r="D1006" i="22"/>
  <c r="D1005" i="22"/>
  <c r="D1004" i="22"/>
  <c r="D1003" i="22"/>
  <c r="D1002" i="22"/>
  <c r="D1001" i="22"/>
  <c r="D1000" i="22"/>
  <c r="D999" i="22"/>
  <c r="D998" i="22"/>
  <c r="D997" i="22"/>
  <c r="D996" i="22"/>
  <c r="D995" i="22"/>
  <c r="D994" i="22"/>
  <c r="D993" i="22"/>
  <c r="D992" i="22"/>
  <c r="D991" i="22"/>
  <c r="D990" i="22"/>
  <c r="D989" i="22"/>
  <c r="D988" i="22"/>
  <c r="D987" i="22"/>
  <c r="D986" i="22"/>
  <c r="D985" i="22"/>
  <c r="D984" i="22"/>
  <c r="D983" i="22"/>
  <c r="D982" i="22"/>
  <c r="D981" i="22"/>
  <c r="D980" i="22"/>
  <c r="D979" i="22"/>
  <c r="D978" i="22"/>
  <c r="D977" i="22"/>
  <c r="D976" i="22"/>
  <c r="D975" i="22"/>
  <c r="D974" i="22"/>
  <c r="D973" i="22"/>
  <c r="D972" i="22"/>
  <c r="D971" i="22"/>
  <c r="D970" i="22"/>
  <c r="D969" i="22"/>
  <c r="D968" i="22"/>
  <c r="D967" i="22"/>
  <c r="D966" i="22"/>
  <c r="D965" i="22"/>
  <c r="D964" i="22"/>
  <c r="D963" i="22"/>
  <c r="D962" i="22"/>
  <c r="D961" i="22"/>
  <c r="D960" i="22"/>
  <c r="D959" i="22"/>
  <c r="D958" i="22"/>
  <c r="D957" i="22"/>
  <c r="D956" i="22"/>
  <c r="D955" i="22"/>
  <c r="D954" i="22"/>
  <c r="D953" i="22"/>
  <c r="D952" i="22"/>
  <c r="D951" i="22"/>
  <c r="D950" i="22"/>
  <c r="D949" i="22"/>
  <c r="D948" i="22"/>
  <c r="D947" i="22"/>
  <c r="D946" i="22"/>
  <c r="D945" i="22"/>
  <c r="D944" i="22"/>
  <c r="D943" i="22"/>
  <c r="D942" i="22"/>
  <c r="D941" i="22"/>
  <c r="D940" i="22"/>
  <c r="D939" i="22"/>
  <c r="D938" i="22"/>
  <c r="D937" i="22"/>
  <c r="D936" i="22"/>
  <c r="D935" i="22"/>
  <c r="D934" i="22"/>
  <c r="D933" i="22"/>
  <c r="D932" i="22"/>
  <c r="D931" i="22"/>
  <c r="D930" i="22"/>
  <c r="D929" i="22"/>
  <c r="D928" i="22"/>
  <c r="D927" i="22"/>
  <c r="D926" i="22"/>
  <c r="D925" i="22"/>
  <c r="D924" i="22"/>
  <c r="D923" i="22"/>
  <c r="D922" i="22"/>
  <c r="D921" i="22"/>
  <c r="D920" i="22"/>
  <c r="D919" i="22"/>
  <c r="D918" i="22"/>
  <c r="D917" i="22"/>
  <c r="D916" i="22"/>
  <c r="D915" i="22"/>
  <c r="D914" i="22"/>
  <c r="D913" i="22"/>
  <c r="D912" i="22"/>
  <c r="D911" i="22"/>
  <c r="D910" i="22"/>
  <c r="D909" i="22"/>
  <c r="D908" i="22"/>
  <c r="D907" i="22"/>
  <c r="D906" i="22"/>
  <c r="D905" i="22"/>
  <c r="D904" i="22"/>
  <c r="D903" i="22"/>
  <c r="D902" i="22"/>
  <c r="D901" i="22"/>
  <c r="D900" i="22"/>
  <c r="D899" i="22"/>
  <c r="D898" i="22"/>
  <c r="D897" i="22"/>
  <c r="D896" i="22"/>
  <c r="D895" i="22"/>
  <c r="D894" i="22"/>
  <c r="D893" i="22"/>
  <c r="D892" i="22"/>
  <c r="D891" i="22"/>
  <c r="D890" i="22"/>
  <c r="D889" i="22"/>
  <c r="D888" i="22"/>
  <c r="D887" i="22"/>
  <c r="D886" i="22"/>
  <c r="D885" i="22"/>
  <c r="D884" i="22"/>
  <c r="D883" i="22"/>
  <c r="D882" i="22"/>
  <c r="D881" i="22"/>
  <c r="D880" i="22"/>
  <c r="D879" i="22"/>
  <c r="D878" i="22"/>
  <c r="D877" i="22"/>
  <c r="D876" i="22"/>
  <c r="D875" i="22"/>
  <c r="D874" i="22"/>
  <c r="D873" i="22"/>
  <c r="D872" i="22"/>
  <c r="D871" i="22"/>
  <c r="D870" i="22"/>
  <c r="D869" i="22"/>
  <c r="D868" i="22"/>
  <c r="D867" i="22"/>
  <c r="D866" i="22"/>
  <c r="D865" i="22"/>
  <c r="D864" i="22"/>
  <c r="D863" i="22"/>
  <c r="D862" i="22"/>
  <c r="D861" i="22"/>
  <c r="D860" i="22"/>
  <c r="D859" i="22"/>
  <c r="D858" i="22"/>
  <c r="D857" i="22"/>
  <c r="D856" i="22"/>
  <c r="D855" i="22"/>
  <c r="D854" i="22"/>
  <c r="D853" i="22"/>
  <c r="D852" i="22"/>
  <c r="D851" i="22"/>
  <c r="D850" i="22"/>
  <c r="D849" i="22"/>
  <c r="D848" i="22"/>
  <c r="D847" i="22"/>
  <c r="D846" i="22"/>
  <c r="D845" i="22"/>
  <c r="D844" i="22"/>
  <c r="D843" i="22"/>
  <c r="D842" i="22"/>
  <c r="D841" i="22"/>
  <c r="D840" i="22"/>
  <c r="D839" i="22"/>
  <c r="D838" i="22"/>
  <c r="D837" i="22"/>
  <c r="D836" i="22"/>
  <c r="D835" i="22"/>
  <c r="D834" i="22"/>
  <c r="D833" i="22"/>
  <c r="D832" i="22"/>
  <c r="D831" i="22"/>
  <c r="D830" i="22"/>
  <c r="D829" i="22"/>
  <c r="D828" i="22"/>
  <c r="D827" i="22"/>
  <c r="D826" i="22"/>
  <c r="D825" i="22"/>
  <c r="D824" i="22"/>
  <c r="D823" i="22"/>
  <c r="D822" i="22"/>
  <c r="D821" i="22"/>
  <c r="D820" i="22"/>
  <c r="D819" i="22"/>
  <c r="D818" i="22"/>
  <c r="D817" i="22"/>
  <c r="D816" i="22"/>
  <c r="D815" i="22"/>
  <c r="D814" i="22"/>
  <c r="D813" i="22"/>
  <c r="D812" i="22"/>
  <c r="D811" i="22"/>
  <c r="D810" i="22"/>
  <c r="D809" i="22"/>
  <c r="D808" i="22"/>
  <c r="D807" i="22"/>
  <c r="D806" i="22"/>
  <c r="D805" i="22"/>
  <c r="D804" i="22"/>
  <c r="D803" i="22"/>
  <c r="D802" i="22"/>
  <c r="D801" i="22"/>
  <c r="D800" i="22"/>
  <c r="D799" i="22"/>
  <c r="D798" i="22"/>
  <c r="D797" i="22"/>
  <c r="D796" i="22"/>
  <c r="D795" i="22"/>
  <c r="D794" i="22"/>
  <c r="D793" i="22"/>
  <c r="D792" i="22"/>
  <c r="D791" i="22"/>
  <c r="D790" i="22"/>
  <c r="D789" i="22"/>
  <c r="D788" i="22"/>
  <c r="D787" i="22"/>
  <c r="D786" i="22"/>
  <c r="D785" i="22"/>
  <c r="D784" i="22"/>
  <c r="D783" i="22"/>
  <c r="D782" i="22"/>
  <c r="D781" i="22"/>
  <c r="D780" i="22"/>
  <c r="D779" i="22"/>
  <c r="D778" i="22"/>
  <c r="D777" i="22"/>
  <c r="D776" i="22"/>
  <c r="D775" i="22"/>
  <c r="D774" i="22"/>
  <c r="D773" i="22"/>
  <c r="D772" i="22"/>
  <c r="D771" i="22"/>
  <c r="D770" i="22"/>
  <c r="D769" i="22"/>
  <c r="D768" i="22"/>
  <c r="D767" i="22"/>
  <c r="D766" i="22"/>
  <c r="D765" i="22"/>
  <c r="D764" i="22"/>
  <c r="D763" i="22"/>
  <c r="D762" i="22"/>
  <c r="D761" i="22"/>
  <c r="D760" i="22"/>
  <c r="D759" i="22"/>
  <c r="D758" i="22"/>
  <c r="D757" i="22"/>
  <c r="D756" i="22"/>
  <c r="D755" i="22"/>
  <c r="D754" i="22"/>
  <c r="D753" i="22"/>
  <c r="D752" i="22"/>
  <c r="D751" i="22"/>
  <c r="D750" i="22"/>
  <c r="D749" i="22"/>
  <c r="D748" i="22"/>
  <c r="D747" i="22"/>
  <c r="D746" i="22"/>
  <c r="D745" i="22"/>
  <c r="D744" i="22"/>
  <c r="D743" i="22"/>
  <c r="D742" i="22"/>
  <c r="D741" i="22"/>
  <c r="D740" i="22"/>
  <c r="D739" i="22"/>
  <c r="D738" i="22"/>
  <c r="D737" i="22"/>
  <c r="D736" i="22"/>
  <c r="D735" i="22"/>
  <c r="D734" i="22"/>
  <c r="D733" i="22"/>
  <c r="D732" i="22"/>
  <c r="D731" i="22"/>
  <c r="D730" i="22"/>
  <c r="D729" i="22"/>
  <c r="D728" i="22"/>
  <c r="D727" i="22"/>
  <c r="D726" i="22"/>
  <c r="D725" i="22"/>
  <c r="D724" i="22"/>
  <c r="D723" i="22"/>
  <c r="D722" i="22"/>
  <c r="D721" i="22"/>
  <c r="D720" i="22"/>
  <c r="D719" i="22"/>
  <c r="D718" i="22"/>
  <c r="D717" i="22"/>
  <c r="D716" i="22"/>
  <c r="D715" i="22"/>
  <c r="D714" i="22"/>
  <c r="D713" i="22"/>
  <c r="D712" i="22"/>
  <c r="D711" i="22"/>
  <c r="D710" i="22"/>
  <c r="D709" i="22"/>
  <c r="D708" i="22"/>
  <c r="D707" i="22"/>
  <c r="D706" i="22"/>
  <c r="D705" i="22"/>
  <c r="D704" i="22"/>
  <c r="D703" i="22"/>
  <c r="D702" i="22"/>
  <c r="D701" i="22"/>
  <c r="D700" i="22"/>
  <c r="D699" i="22"/>
  <c r="D698" i="22"/>
  <c r="D697" i="22"/>
  <c r="D696" i="22"/>
  <c r="D695" i="22"/>
  <c r="D694" i="22"/>
  <c r="D693" i="22"/>
  <c r="D692" i="22"/>
  <c r="D691" i="22"/>
  <c r="D690" i="22"/>
  <c r="D689" i="22"/>
  <c r="D688" i="22"/>
  <c r="D687" i="22"/>
  <c r="D686" i="22"/>
  <c r="D685" i="22"/>
  <c r="D684" i="22"/>
  <c r="D683" i="22"/>
  <c r="D682" i="22"/>
  <c r="D681" i="22"/>
  <c r="D680" i="22"/>
  <c r="D679" i="22"/>
  <c r="D678" i="22"/>
  <c r="D677" i="22"/>
  <c r="D676" i="22"/>
  <c r="D675" i="22"/>
  <c r="D674" i="22"/>
  <c r="D673" i="22"/>
  <c r="D672" i="22"/>
  <c r="D671" i="22"/>
  <c r="D670" i="22"/>
  <c r="D669" i="22"/>
  <c r="D668" i="22"/>
  <c r="D667" i="22"/>
  <c r="D666" i="22"/>
  <c r="D665" i="22"/>
  <c r="D664" i="22"/>
  <c r="D663" i="22"/>
  <c r="D662" i="22"/>
  <c r="D661" i="22"/>
  <c r="D660" i="22"/>
  <c r="D659" i="22"/>
  <c r="D658" i="22"/>
  <c r="D657" i="22"/>
  <c r="D656" i="22"/>
  <c r="D655" i="22"/>
  <c r="D654" i="22"/>
  <c r="D653" i="22"/>
  <c r="D652" i="22"/>
  <c r="D651" i="22"/>
  <c r="D650" i="22"/>
  <c r="D649" i="22"/>
  <c r="D648" i="22"/>
  <c r="D647" i="22"/>
  <c r="D646" i="22"/>
  <c r="D645" i="22"/>
  <c r="D644" i="22"/>
  <c r="D643" i="22"/>
  <c r="D642" i="22"/>
  <c r="D641" i="22"/>
  <c r="D640" i="22"/>
  <c r="D639" i="22"/>
  <c r="D638" i="22"/>
  <c r="D637" i="22"/>
  <c r="D636" i="22"/>
  <c r="D635" i="22"/>
  <c r="D634" i="22"/>
  <c r="D633" i="22"/>
  <c r="D632" i="22"/>
  <c r="D631" i="22"/>
  <c r="D630" i="22"/>
  <c r="D629" i="22"/>
  <c r="D628" i="22"/>
  <c r="D627" i="22"/>
  <c r="D626" i="22"/>
  <c r="D625" i="22"/>
  <c r="D624" i="22"/>
  <c r="D623" i="22"/>
  <c r="D622" i="22"/>
  <c r="D621" i="22"/>
  <c r="D620" i="22"/>
  <c r="D619" i="22"/>
  <c r="D618" i="22"/>
  <c r="D617" i="22"/>
  <c r="D616" i="22"/>
  <c r="D615" i="22"/>
  <c r="D614" i="22"/>
  <c r="D613" i="22"/>
  <c r="D612" i="22"/>
  <c r="D611" i="22"/>
  <c r="D610" i="22"/>
  <c r="D609" i="22"/>
  <c r="D608" i="22"/>
  <c r="D607" i="22"/>
  <c r="D606" i="22"/>
  <c r="D605" i="22"/>
  <c r="D604" i="22"/>
  <c r="D603" i="22"/>
  <c r="D602" i="22"/>
  <c r="D601" i="22"/>
  <c r="D600" i="22"/>
  <c r="D599" i="22"/>
  <c r="D598" i="22"/>
  <c r="D597" i="22"/>
  <c r="D596" i="22"/>
  <c r="D595" i="22"/>
  <c r="D594" i="22"/>
  <c r="D593" i="22"/>
  <c r="D592" i="22"/>
  <c r="D591" i="22"/>
  <c r="D590" i="22"/>
  <c r="D589" i="22"/>
  <c r="D588" i="22"/>
  <c r="D587" i="22"/>
  <c r="D586" i="22"/>
  <c r="D585" i="22"/>
  <c r="D584" i="22"/>
  <c r="D583" i="22"/>
  <c r="D582" i="22"/>
  <c r="D581" i="22"/>
  <c r="D580" i="22"/>
  <c r="D579" i="22"/>
  <c r="D578" i="22"/>
  <c r="D577" i="22"/>
  <c r="D576" i="22"/>
  <c r="D575" i="22"/>
  <c r="D574" i="22"/>
  <c r="D573" i="22"/>
  <c r="D572" i="22"/>
  <c r="D571" i="22"/>
  <c r="D570" i="22"/>
  <c r="D569" i="22"/>
  <c r="D568" i="22"/>
  <c r="D567" i="22"/>
  <c r="D566" i="22"/>
  <c r="D565" i="22"/>
  <c r="D564" i="22"/>
  <c r="D563" i="22"/>
  <c r="D562" i="22"/>
  <c r="D561" i="22"/>
  <c r="D560" i="22"/>
  <c r="D559" i="22"/>
  <c r="D558" i="22"/>
  <c r="D557" i="22"/>
  <c r="D556" i="22"/>
  <c r="D555" i="22"/>
  <c r="D554" i="22"/>
  <c r="D553" i="22"/>
  <c r="D552" i="22"/>
  <c r="D551" i="22"/>
  <c r="D550" i="22"/>
  <c r="D549" i="22"/>
  <c r="D548" i="22"/>
  <c r="D547" i="22"/>
  <c r="D546" i="22"/>
  <c r="D545" i="22"/>
  <c r="D544" i="22"/>
  <c r="D543" i="22"/>
  <c r="D542" i="22"/>
  <c r="D541" i="22"/>
  <c r="D540" i="22"/>
  <c r="D539" i="22"/>
  <c r="D538" i="22"/>
  <c r="D537" i="22"/>
  <c r="D536" i="22"/>
  <c r="D535" i="22"/>
  <c r="D534" i="22"/>
  <c r="D533" i="22"/>
  <c r="D532" i="22"/>
  <c r="D531" i="22"/>
  <c r="D530" i="22"/>
  <c r="D529" i="22"/>
  <c r="D528" i="22"/>
  <c r="D527" i="22"/>
  <c r="D526" i="22"/>
  <c r="D525" i="22"/>
  <c r="D524" i="22"/>
  <c r="D523" i="22"/>
  <c r="D522" i="22"/>
  <c r="D521" i="22"/>
  <c r="D520" i="22"/>
  <c r="D519" i="22"/>
  <c r="D518" i="22"/>
  <c r="D517" i="22"/>
  <c r="D516" i="22"/>
  <c r="D515" i="22"/>
  <c r="D514" i="22"/>
  <c r="D513" i="22"/>
  <c r="D512" i="22"/>
  <c r="D511" i="22"/>
  <c r="D510" i="22"/>
  <c r="D509" i="22"/>
  <c r="D508" i="22"/>
  <c r="D507" i="22"/>
  <c r="D506" i="22"/>
  <c r="D505" i="22"/>
  <c r="D504" i="22"/>
  <c r="D503" i="22"/>
  <c r="D502" i="22"/>
  <c r="D501" i="22"/>
  <c r="D500" i="22"/>
  <c r="D499" i="22"/>
  <c r="D498" i="22"/>
  <c r="D497" i="22"/>
  <c r="D496" i="22"/>
  <c r="D495" i="22"/>
  <c r="D494" i="22"/>
  <c r="D493" i="22"/>
  <c r="D492" i="22"/>
  <c r="D491" i="22"/>
  <c r="D490" i="22"/>
  <c r="D489" i="22"/>
  <c r="D488" i="22"/>
  <c r="D487" i="22"/>
  <c r="D486" i="22"/>
  <c r="D485" i="22"/>
  <c r="D484" i="22"/>
  <c r="D483" i="22"/>
  <c r="D482" i="22"/>
  <c r="D481" i="22"/>
  <c r="D480" i="22"/>
  <c r="D479" i="22"/>
  <c r="D478" i="22"/>
  <c r="D477" i="22"/>
  <c r="D476" i="22"/>
  <c r="D475" i="22"/>
  <c r="D474" i="22"/>
  <c r="D473" i="22"/>
  <c r="D472" i="22"/>
  <c r="D471" i="22"/>
  <c r="D470" i="22"/>
  <c r="D469" i="22"/>
  <c r="D468" i="22"/>
  <c r="D467" i="22"/>
  <c r="D466" i="22"/>
  <c r="D465" i="22"/>
  <c r="D464" i="22"/>
  <c r="D463" i="22"/>
  <c r="D462" i="22"/>
  <c r="D461" i="22"/>
  <c r="D460" i="22"/>
  <c r="D459" i="22"/>
  <c r="D458" i="22"/>
  <c r="D457" i="22"/>
  <c r="D456" i="22"/>
  <c r="D455" i="22"/>
  <c r="D454" i="22"/>
  <c r="D453" i="22"/>
  <c r="D452" i="22"/>
  <c r="D451" i="22"/>
  <c r="D450" i="22"/>
  <c r="D449" i="22"/>
  <c r="D448" i="22"/>
  <c r="D447" i="22"/>
  <c r="D446" i="22"/>
  <c r="D445" i="22"/>
  <c r="D444" i="22"/>
  <c r="D443" i="22"/>
  <c r="D442" i="22"/>
  <c r="D441" i="22"/>
  <c r="D440" i="22"/>
  <c r="D439" i="22"/>
  <c r="D438" i="22"/>
  <c r="D437" i="22"/>
  <c r="D436" i="22"/>
  <c r="D435" i="22"/>
  <c r="D434" i="22"/>
  <c r="D433" i="22"/>
  <c r="D432" i="22"/>
  <c r="D431" i="22"/>
  <c r="D430" i="22"/>
  <c r="D429" i="22"/>
  <c r="D428" i="22"/>
  <c r="D427" i="22"/>
  <c r="D426" i="22"/>
  <c r="D425" i="22"/>
  <c r="D424" i="22"/>
  <c r="D423" i="22"/>
  <c r="D422" i="22"/>
  <c r="D421" i="22"/>
  <c r="D420" i="22"/>
  <c r="D419" i="22"/>
  <c r="D418" i="22"/>
  <c r="D417" i="22"/>
  <c r="D416" i="22"/>
  <c r="D415" i="22"/>
  <c r="D414" i="22"/>
  <c r="D413" i="22"/>
  <c r="D412" i="22"/>
  <c r="D411" i="22"/>
  <c r="D410" i="22"/>
  <c r="D409" i="22"/>
  <c r="D408" i="22"/>
  <c r="D407" i="22"/>
  <c r="D406" i="22"/>
  <c r="D405" i="22"/>
  <c r="D404" i="22"/>
  <c r="D403" i="22"/>
  <c r="D402" i="22"/>
  <c r="D401" i="22"/>
  <c r="D400" i="22"/>
  <c r="D399" i="22"/>
  <c r="D398" i="22"/>
  <c r="D397" i="22"/>
  <c r="D396" i="22"/>
  <c r="D395" i="22"/>
  <c r="D394" i="22"/>
  <c r="D393" i="22"/>
  <c r="D392" i="22"/>
  <c r="D391" i="22"/>
  <c r="D390" i="22"/>
  <c r="D389" i="22"/>
  <c r="D388" i="22"/>
  <c r="D387" i="22"/>
  <c r="D386" i="22"/>
  <c r="D385" i="22"/>
  <c r="D384" i="22"/>
  <c r="D383" i="22"/>
  <c r="D382" i="22"/>
  <c r="D381" i="22"/>
  <c r="D380" i="22"/>
  <c r="D379" i="22"/>
  <c r="D378" i="22"/>
  <c r="D377" i="22"/>
  <c r="D376" i="22"/>
  <c r="D375" i="22"/>
  <c r="D374" i="22"/>
  <c r="D373" i="22"/>
  <c r="D372" i="22"/>
  <c r="D371" i="22"/>
  <c r="D370" i="22"/>
  <c r="D369" i="22"/>
  <c r="D368" i="22"/>
  <c r="D367" i="22"/>
  <c r="D366" i="22"/>
  <c r="D365" i="22"/>
  <c r="D364" i="22"/>
  <c r="D363" i="22"/>
  <c r="D362" i="22"/>
  <c r="D361" i="22"/>
  <c r="D360" i="22"/>
  <c r="D359" i="22"/>
  <c r="D358" i="22"/>
  <c r="D357" i="22"/>
  <c r="D356" i="22"/>
  <c r="D355" i="22"/>
  <c r="D354" i="22"/>
  <c r="D353" i="22"/>
  <c r="D352" i="22"/>
  <c r="D351" i="22"/>
  <c r="D350" i="22"/>
  <c r="D349" i="22"/>
  <c r="D348" i="22"/>
  <c r="D347" i="22"/>
  <c r="D346" i="22"/>
  <c r="D345" i="22"/>
  <c r="D344" i="22"/>
  <c r="D343" i="22"/>
  <c r="D342" i="22"/>
  <c r="D341" i="22"/>
  <c r="D340" i="22"/>
  <c r="D339" i="22"/>
  <c r="D338" i="22"/>
  <c r="D337" i="22"/>
  <c r="D336" i="22"/>
  <c r="D335" i="22"/>
  <c r="D334" i="22"/>
  <c r="D333" i="22"/>
  <c r="D332" i="22"/>
  <c r="D331" i="22"/>
  <c r="D330" i="22"/>
  <c r="D329" i="22"/>
  <c r="D328" i="22"/>
  <c r="D327" i="22"/>
  <c r="D326" i="22"/>
  <c r="D325" i="22"/>
  <c r="D324" i="22"/>
  <c r="D323" i="22"/>
  <c r="D322" i="22"/>
  <c r="D321" i="22"/>
  <c r="D320" i="22"/>
  <c r="D319" i="22"/>
  <c r="D318" i="22"/>
  <c r="D317" i="22"/>
  <c r="D316" i="22"/>
  <c r="D315" i="22"/>
  <c r="D314" i="22"/>
  <c r="D313" i="22"/>
  <c r="D312" i="22"/>
  <c r="D311" i="22"/>
  <c r="D310" i="22"/>
  <c r="D309" i="22"/>
  <c r="D308" i="22"/>
  <c r="D307" i="22"/>
  <c r="D306" i="22"/>
  <c r="D305" i="22"/>
  <c r="D304" i="22"/>
  <c r="D303" i="22"/>
  <c r="D302" i="22"/>
  <c r="D301" i="22"/>
  <c r="D300" i="22"/>
  <c r="D299" i="22"/>
  <c r="D298" i="22"/>
  <c r="D297" i="22"/>
  <c r="D296" i="22"/>
  <c r="D295" i="22"/>
  <c r="D294" i="22"/>
  <c r="D293" i="22"/>
  <c r="D292" i="22"/>
  <c r="D291" i="22"/>
  <c r="D290" i="22"/>
  <c r="D289" i="22"/>
  <c r="D288" i="22"/>
  <c r="D287" i="22"/>
  <c r="D286" i="22"/>
  <c r="D285" i="22"/>
  <c r="D284" i="22"/>
  <c r="D283" i="22"/>
  <c r="D282" i="22"/>
  <c r="D281" i="22"/>
  <c r="D280" i="22"/>
  <c r="D279" i="22"/>
  <c r="D278" i="22"/>
  <c r="D277" i="22"/>
  <c r="D276" i="22"/>
  <c r="D275" i="22"/>
  <c r="D274" i="22"/>
  <c r="D273" i="22"/>
  <c r="D272" i="22"/>
  <c r="D271" i="22"/>
  <c r="D270" i="22"/>
  <c r="D269" i="22"/>
  <c r="D268" i="22"/>
  <c r="D267" i="22"/>
  <c r="D266" i="22"/>
  <c r="D265" i="22"/>
  <c r="D264" i="22"/>
  <c r="D263" i="22"/>
  <c r="D262" i="22"/>
  <c r="D261" i="22"/>
  <c r="D260" i="22"/>
  <c r="D259" i="22"/>
  <c r="D258" i="22"/>
  <c r="D257" i="22"/>
  <c r="D256" i="22"/>
  <c r="D255" i="22"/>
  <c r="D254" i="22"/>
  <c r="D253" i="22"/>
  <c r="D252" i="22"/>
  <c r="D251" i="22"/>
  <c r="D250" i="22"/>
  <c r="D249" i="22"/>
  <c r="D248" i="22"/>
  <c r="D247" i="22"/>
  <c r="D246" i="22"/>
  <c r="D245" i="22"/>
  <c r="D244" i="22"/>
  <c r="D243" i="22"/>
  <c r="D242" i="22"/>
  <c r="D241" i="22"/>
  <c r="D240" i="22"/>
  <c r="D239" i="22"/>
  <c r="D238" i="22"/>
  <c r="D237" i="22"/>
  <c r="D236" i="22"/>
  <c r="D235" i="22"/>
  <c r="D234" i="22"/>
  <c r="D233" i="22"/>
  <c r="D232" i="22"/>
  <c r="D231" i="22"/>
  <c r="D230" i="22"/>
  <c r="D229" i="22"/>
  <c r="D228" i="22"/>
  <c r="D227" i="22"/>
  <c r="D226" i="22"/>
  <c r="D225" i="22"/>
  <c r="D224" i="22"/>
  <c r="D223" i="22"/>
  <c r="D222" i="22"/>
  <c r="D221" i="22"/>
  <c r="D220" i="22"/>
  <c r="D219" i="22"/>
  <c r="D218" i="22"/>
  <c r="D217" i="22"/>
  <c r="D216" i="22"/>
  <c r="D215" i="22"/>
  <c r="D214" i="22"/>
  <c r="D213" i="22"/>
  <c r="D212" i="22"/>
  <c r="D211" i="22"/>
  <c r="D210" i="22"/>
  <c r="D209" i="22"/>
  <c r="D208" i="22"/>
  <c r="D207" i="22"/>
  <c r="D206" i="22"/>
  <c r="D205" i="22"/>
  <c r="D204" i="22"/>
  <c r="D203" i="22"/>
  <c r="D202" i="22"/>
  <c r="D201" i="22"/>
  <c r="D200" i="22"/>
  <c r="D199" i="22"/>
  <c r="D198" i="22"/>
  <c r="D197" i="22"/>
  <c r="D196" i="22"/>
  <c r="D195" i="22"/>
  <c r="D194" i="22"/>
  <c r="D193" i="22"/>
  <c r="D192" i="22"/>
  <c r="D191" i="22"/>
  <c r="D190" i="22"/>
  <c r="D189" i="22"/>
  <c r="D188" i="22"/>
  <c r="D187" i="22"/>
  <c r="D186" i="22"/>
  <c r="D185" i="22"/>
  <c r="D184" i="22"/>
  <c r="D183" i="22"/>
  <c r="D182" i="22"/>
  <c r="D181" i="22"/>
  <c r="D180" i="22"/>
  <c r="D179" i="22"/>
  <c r="D178" i="22"/>
  <c r="D177" i="22"/>
  <c r="D176" i="22"/>
  <c r="D175" i="22"/>
  <c r="D174" i="22"/>
  <c r="D173" i="22"/>
  <c r="D172" i="22"/>
  <c r="D171" i="22"/>
  <c r="D170" i="22"/>
  <c r="D169" i="22"/>
  <c r="D168" i="22"/>
  <c r="D167" i="22"/>
  <c r="D166" i="22"/>
  <c r="D165" i="22"/>
  <c r="D164" i="22"/>
  <c r="D163" i="22"/>
  <c r="D162" i="22"/>
  <c r="D161" i="22"/>
  <c r="D160" i="22"/>
  <c r="D159" i="22"/>
  <c r="D158" i="22"/>
  <c r="D157" i="22"/>
  <c r="D156" i="22"/>
  <c r="D155" i="22"/>
  <c r="D154" i="22"/>
  <c r="D153" i="22"/>
  <c r="D152" i="22"/>
  <c r="D151" i="22"/>
  <c r="D150" i="22"/>
  <c r="D149" i="22"/>
  <c r="D148" i="22"/>
  <c r="D147" i="22"/>
  <c r="D146" i="22"/>
  <c r="D145" i="22"/>
  <c r="D144" i="22"/>
  <c r="D143" i="22"/>
  <c r="D142" i="22"/>
  <c r="D141" i="22"/>
  <c r="D140" i="22"/>
  <c r="D139" i="22"/>
  <c r="D138" i="22"/>
  <c r="D137" i="22"/>
  <c r="D136" i="22"/>
  <c r="D135" i="22"/>
  <c r="D134" i="22"/>
  <c r="D133" i="22"/>
  <c r="D132" i="22"/>
  <c r="D131" i="22"/>
  <c r="D130" i="22"/>
  <c r="D129" i="22"/>
  <c r="D128" i="22"/>
  <c r="D127" i="22"/>
  <c r="D126" i="22"/>
  <c r="D125" i="22"/>
  <c r="D124" i="22"/>
  <c r="D123" i="22"/>
  <c r="D122" i="22"/>
  <c r="D121" i="22"/>
  <c r="D120" i="22"/>
  <c r="D119" i="22"/>
  <c r="D118" i="22"/>
  <c r="D117" i="22"/>
  <c r="D116" i="22"/>
  <c r="D115" i="22"/>
  <c r="D114" i="22"/>
  <c r="D113" i="22"/>
  <c r="D112" i="22"/>
  <c r="D111" i="22"/>
  <c r="D110" i="22"/>
  <c r="D109" i="22"/>
  <c r="D108" i="22"/>
  <c r="D107" i="22"/>
  <c r="D106" i="22"/>
  <c r="D105" i="22"/>
  <c r="D104" i="22"/>
  <c r="D103" i="22"/>
  <c r="D102" i="22"/>
  <c r="D101" i="22"/>
  <c r="D100" i="22"/>
  <c r="D99" i="22"/>
  <c r="D98" i="22"/>
  <c r="D97" i="22"/>
  <c r="D96" i="22"/>
  <c r="D95" i="22"/>
  <c r="D94" i="22"/>
  <c r="D93" i="22"/>
  <c r="D92" i="22"/>
  <c r="D91" i="22"/>
  <c r="D90" i="22"/>
  <c r="D89" i="22"/>
  <c r="D88" i="22"/>
  <c r="D87" i="22"/>
  <c r="D86" i="22"/>
  <c r="D85" i="22"/>
  <c r="D84" i="22"/>
  <c r="D83" i="22"/>
  <c r="D82" i="22"/>
  <c r="D81" i="22"/>
  <c r="D80" i="22"/>
  <c r="D79" i="22"/>
  <c r="D78" i="22"/>
  <c r="D77" i="22"/>
  <c r="D76" i="22"/>
  <c r="D75" i="22"/>
  <c r="D74" i="22"/>
  <c r="D73" i="22"/>
  <c r="D72" i="22"/>
  <c r="D71" i="22"/>
  <c r="D70" i="22"/>
  <c r="D69" i="22"/>
  <c r="D68" i="22"/>
  <c r="D67" i="22"/>
  <c r="D66" i="22"/>
  <c r="D65" i="22"/>
  <c r="D64" i="22"/>
  <c r="D63" i="22"/>
  <c r="D62" i="22"/>
  <c r="D61" i="22"/>
  <c r="D60" i="22"/>
  <c r="D59" i="22"/>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17" i="22"/>
  <c r="D16" i="22"/>
  <c r="D15" i="22"/>
  <c r="D14" i="22"/>
  <c r="D13" i="22"/>
  <c r="D12" i="22"/>
  <c r="D11" i="22"/>
  <c r="D10" i="22"/>
  <c r="D9" i="22"/>
  <c r="D8" i="22"/>
  <c r="D7" i="22"/>
  <c r="D6" i="22"/>
  <c r="D5" i="22"/>
  <c r="D4" i="22"/>
  <c r="H13" i="22"/>
  <c r="H14" i="22"/>
  <c r="H12" i="22"/>
  <c r="E68" i="25" l="1"/>
  <c r="E63" i="25"/>
  <c r="C68" i="25"/>
  <c r="C69" i="25" s="1"/>
  <c r="D68" i="25"/>
  <c r="D69" i="25" s="1"/>
  <c r="D63" i="25"/>
  <c r="H60" i="25"/>
  <c r="H66" i="25" s="1"/>
  <c r="H72" i="25" s="1"/>
  <c r="I60" i="25"/>
  <c r="I66" i="25" s="1"/>
  <c r="I72" i="25" s="1"/>
  <c r="F81" i="25"/>
  <c r="G81" i="25"/>
  <c r="G75" i="25"/>
  <c r="H75" i="25"/>
  <c r="G57" i="25"/>
  <c r="H57" i="25"/>
  <c r="E69" i="25"/>
  <c r="D75" i="25"/>
  <c r="E75" i="25"/>
  <c r="F75" i="25"/>
  <c r="H81" i="25"/>
  <c r="I81" i="25"/>
  <c r="I68" i="25"/>
  <c r="I63" i="25"/>
  <c r="F68" i="25"/>
  <c r="F69" i="25" s="1"/>
  <c r="F63" i="25"/>
  <c r="E78" i="25"/>
  <c r="E84" i="25" s="1"/>
  <c r="F57" i="25"/>
  <c r="D60" i="25"/>
  <c r="D66" i="25" s="1"/>
  <c r="D72" i="25" s="1"/>
  <c r="G62" i="25"/>
  <c r="F60" i="25"/>
  <c r="F66" i="25" s="1"/>
  <c r="F72" i="25" s="1"/>
  <c r="H62" i="25"/>
  <c r="G78" i="25"/>
  <c r="G84" i="25" s="1"/>
  <c r="H70" i="24"/>
  <c r="G70" i="24"/>
  <c r="E70" i="24"/>
  <c r="F70" i="24"/>
  <c r="I70" i="24"/>
  <c r="J78" i="24"/>
  <c r="D77" i="24"/>
  <c r="D86" i="24" s="1"/>
  <c r="D87" i="24" s="1"/>
  <c r="F77" i="24"/>
  <c r="F86" i="24" s="1"/>
  <c r="D70" i="24"/>
  <c r="J70" i="24"/>
  <c r="J84" i="24"/>
  <c r="J89" i="24" s="1"/>
  <c r="F83" i="24"/>
  <c r="F85" i="24" s="1"/>
  <c r="F87" i="24" s="1"/>
  <c r="F57" i="24"/>
  <c r="G57" i="24"/>
  <c r="E57" i="24"/>
  <c r="J67" i="24"/>
  <c r="D61" i="24"/>
  <c r="I57" i="24"/>
  <c r="H57" i="24"/>
  <c r="H67" i="24"/>
  <c r="J57" i="24"/>
  <c r="I61" i="24"/>
  <c r="H61" i="24"/>
  <c r="G61" i="24"/>
  <c r="F61" i="24"/>
  <c r="I67" i="24"/>
  <c r="I60" i="24"/>
  <c r="I75" i="24" s="1"/>
  <c r="I81" i="24" s="1"/>
  <c r="E61" i="24"/>
  <c r="D57" i="24"/>
  <c r="D67" i="24"/>
  <c r="G67" i="24"/>
  <c r="E65" i="24"/>
  <c r="K12" i="23"/>
  <c r="M7" i="23"/>
  <c r="M6" i="23"/>
  <c r="M4" i="23"/>
  <c r="M5" i="23"/>
  <c r="K14" i="23"/>
  <c r="K13" i="23"/>
  <c r="J14" i="22"/>
  <c r="K14" i="22" s="1"/>
  <c r="J13" i="22"/>
  <c r="K13" i="22" s="1"/>
  <c r="I86" i="25" l="1"/>
  <c r="C86" i="25"/>
  <c r="D86" i="25"/>
  <c r="E86" i="25"/>
  <c r="H63" i="25"/>
  <c r="H68" i="25"/>
  <c r="H69" i="25" s="1"/>
  <c r="G68" i="25"/>
  <c r="G69" i="25" s="1"/>
  <c r="G63" i="25"/>
  <c r="G86" i="25" s="1"/>
  <c r="F86" i="25"/>
  <c r="J72" i="24"/>
  <c r="E67" i="24"/>
  <c r="E83" i="24"/>
  <c r="E85" i="24" s="1"/>
  <c r="E87" i="24" s="1"/>
  <c r="E63" i="24"/>
  <c r="E76" i="24"/>
  <c r="F63" i="24"/>
  <c r="F72" i="24" s="1"/>
  <c r="F76" i="24"/>
  <c r="H63" i="24"/>
  <c r="H72" i="24" s="1"/>
  <c r="H76" i="24"/>
  <c r="I63" i="24"/>
  <c r="I72" i="24" s="1"/>
  <c r="I76" i="24"/>
  <c r="D63" i="24"/>
  <c r="D72" i="24" s="1"/>
  <c r="D76" i="24"/>
  <c r="G63" i="24"/>
  <c r="G72" i="24" s="1"/>
  <c r="G76" i="24"/>
  <c r="H86" i="25" l="1"/>
  <c r="F82" i="24"/>
  <c r="F84" i="24" s="1"/>
  <c r="F89" i="24" s="1"/>
  <c r="F78" i="24"/>
  <c r="E72" i="24"/>
  <c r="D78" i="24"/>
  <c r="D82" i="24"/>
  <c r="D84" i="24" s="1"/>
  <c r="D89" i="24" s="1"/>
  <c r="H82" i="24"/>
  <c r="H84" i="24" s="1"/>
  <c r="H89" i="24" s="1"/>
  <c r="H78" i="24"/>
  <c r="I82" i="24"/>
  <c r="I84" i="24" s="1"/>
  <c r="I89" i="24" s="1"/>
  <c r="I78" i="24"/>
  <c r="E82" i="24"/>
  <c r="E84" i="24" s="1"/>
  <c r="E89" i="24" s="1"/>
  <c r="E78" i="24"/>
  <c r="G82" i="24"/>
  <c r="G84" i="24" s="1"/>
  <c r="G89" i="24" s="1"/>
  <c r="G78" i="24"/>
  <c r="F7" i="21" l="1"/>
  <c r="F8" i="21"/>
  <c r="F9" i="21"/>
  <c r="F10" i="21"/>
  <c r="D7" i="21"/>
  <c r="D8" i="21"/>
  <c r="D9" i="21"/>
  <c r="D10" i="21"/>
  <c r="G9" i="21"/>
  <c r="E9" i="21"/>
  <c r="G8" i="21"/>
  <c r="E8" i="21"/>
  <c r="G7" i="21"/>
  <c r="E7" i="21"/>
  <c r="F6" i="21"/>
  <c r="D6" i="21"/>
  <c r="G6" i="21"/>
  <c r="E6" i="21"/>
  <c r="B2" i="21"/>
  <c r="P31" i="18"/>
  <c r="Q31" i="18"/>
  <c r="O31" i="18"/>
  <c r="P29" i="18"/>
  <c r="Q29" i="18"/>
  <c r="O29" i="18"/>
  <c r="P28" i="18"/>
  <c r="Q28" i="18"/>
  <c r="O28" i="18"/>
  <c r="Q25" i="18"/>
  <c r="Q27" i="18"/>
  <c r="P27" i="18"/>
  <c r="O27" i="18"/>
  <c r="P26" i="18"/>
  <c r="Q26" i="18"/>
  <c r="O26" i="18"/>
  <c r="P25" i="18"/>
  <c r="O25" i="18"/>
  <c r="Q21" i="18"/>
  <c r="P21" i="18"/>
  <c r="Q20" i="18"/>
  <c r="P20" i="18"/>
  <c r="Q19" i="18"/>
  <c r="P19" i="18"/>
  <c r="Q18" i="18"/>
  <c r="P18" i="18"/>
  <c r="Q17" i="18"/>
  <c r="P17" i="18"/>
  <c r="O21" i="18"/>
  <c r="O20" i="18"/>
  <c r="O19" i="18"/>
  <c r="O18" i="18"/>
  <c r="O17" i="18"/>
  <c r="Q16" i="18"/>
  <c r="P16" i="18"/>
  <c r="O16" i="18"/>
  <c r="O14" i="18"/>
  <c r="P14" i="18"/>
  <c r="Q14" i="18"/>
  <c r="Q13" i="18"/>
  <c r="P13" i="18"/>
  <c r="O13" i="18"/>
  <c r="Q12" i="18"/>
  <c r="P12" i="18"/>
  <c r="O12" i="18"/>
  <c r="Q11" i="18"/>
  <c r="P11" i="18"/>
  <c r="O11" i="18"/>
  <c r="Q10" i="18"/>
  <c r="P10" i="18"/>
  <c r="O10" i="18"/>
  <c r="Q9" i="18"/>
  <c r="P9" i="18"/>
  <c r="O9" i="18"/>
  <c r="Q8" i="18"/>
  <c r="P8" i="18"/>
  <c r="O8" i="18"/>
  <c r="M14" i="18"/>
  <c r="M13" i="18"/>
  <c r="M12" i="18"/>
  <c r="M11" i="18"/>
  <c r="M10" i="18"/>
  <c r="M9" i="18"/>
  <c r="M8" i="18"/>
  <c r="L14" i="18"/>
  <c r="L13" i="18"/>
  <c r="L12" i="18"/>
  <c r="L11" i="18"/>
  <c r="L10" i="18"/>
  <c r="L9" i="18"/>
  <c r="L8" i="18"/>
  <c r="K14" i="18"/>
  <c r="K13" i="18"/>
  <c r="K12" i="18"/>
  <c r="K11" i="18"/>
  <c r="K10" i="18"/>
  <c r="K9" i="18"/>
  <c r="K8" i="18"/>
  <c r="J4" i="19"/>
  <c r="J5" i="19"/>
  <c r="J6" i="19"/>
  <c r="J7" i="19"/>
  <c r="J8" i="19"/>
  <c r="J9" i="19"/>
  <c r="J3" i="19"/>
  <c r="H9" i="18"/>
  <c r="I9" i="18" s="1"/>
  <c r="H8" i="18"/>
  <c r="H14" i="18"/>
  <c r="I14" i="18" s="1"/>
  <c r="H13" i="18"/>
  <c r="I13" i="18" s="1"/>
  <c r="H12" i="18"/>
  <c r="I12" i="18" s="1"/>
  <c r="H11" i="18"/>
  <c r="I11" i="18" s="1"/>
  <c r="H10" i="18"/>
  <c r="I10" i="18" s="1"/>
  <c r="I8" i="18"/>
  <c r="G14" i="18"/>
  <c r="G13" i="18"/>
  <c r="G12" i="18"/>
  <c r="G11" i="18"/>
  <c r="G10" i="18"/>
  <c r="G9" i="18"/>
  <c r="G8" i="18"/>
  <c r="G29" i="17" l="1"/>
  <c r="J26" i="17"/>
  <c r="D43" i="17"/>
  <c r="D40" i="17"/>
  <c r="D38" i="17"/>
  <c r="D37" i="17"/>
  <c r="D27" i="17"/>
  <c r="D21" i="17"/>
  <c r="H15" i="17" s="1"/>
  <c r="I14" i="17"/>
  <c r="J14" i="17" s="1"/>
  <c r="K14" i="17" s="1"/>
  <c r="L14" i="17" s="1"/>
  <c r="M14" i="17" s="1"/>
  <c r="J10" i="17"/>
  <c r="K10" i="17"/>
  <c r="L10" i="17"/>
  <c r="M10" i="17"/>
  <c r="I10" i="17"/>
  <c r="J55" i="5"/>
  <c r="K55" i="5"/>
  <c r="L55" i="5"/>
  <c r="M55" i="5"/>
  <c r="I55" i="5"/>
  <c r="J54" i="5"/>
  <c r="K54" i="5"/>
  <c r="L54" i="5"/>
  <c r="M54" i="5"/>
  <c r="I54" i="5"/>
  <c r="I6" i="17"/>
  <c r="J6" i="17"/>
  <c r="K6" i="17"/>
  <c r="L6" i="17"/>
  <c r="M6" i="17"/>
  <c r="F47" i="15"/>
  <c r="M15" i="17" l="1"/>
  <c r="L15" i="17"/>
  <c r="K15" i="17"/>
  <c r="J15" i="17"/>
  <c r="I15" i="17"/>
  <c r="D26" i="17"/>
  <c r="E34" i="10" l="1"/>
  <c r="D34" i="10"/>
  <c r="D33" i="10"/>
  <c r="D28" i="10"/>
  <c r="E28" i="10"/>
  <c r="E33" i="10"/>
  <c r="B55" i="15"/>
  <c r="B56" i="15"/>
  <c r="F53" i="15"/>
  <c r="G53" i="15"/>
  <c r="H53" i="15"/>
  <c r="I53" i="15"/>
  <c r="E53" i="15"/>
  <c r="F41" i="15"/>
  <c r="G41" i="15"/>
  <c r="H41" i="15"/>
  <c r="I41" i="15"/>
  <c r="E41" i="15"/>
  <c r="G47" i="15"/>
  <c r="H47" i="15"/>
  <c r="I47" i="15"/>
  <c r="F44" i="15"/>
  <c r="G44" i="15"/>
  <c r="H44" i="15"/>
  <c r="I44" i="15"/>
  <c r="E44" i="15"/>
  <c r="G42" i="15"/>
  <c r="H42" i="15"/>
  <c r="I42" i="15"/>
  <c r="F42" i="15"/>
  <c r="B45" i="15"/>
  <c r="B44" i="15"/>
  <c r="F39" i="15"/>
  <c r="G39" i="15"/>
  <c r="H39" i="15"/>
  <c r="I39" i="15"/>
  <c r="E39" i="15"/>
  <c r="E33" i="15"/>
  <c r="F34" i="15"/>
  <c r="G34" i="15"/>
  <c r="H34" i="15"/>
  <c r="I34" i="15"/>
  <c r="E34" i="15"/>
  <c r="F33" i="15"/>
  <c r="G33" i="15"/>
  <c r="H33" i="15"/>
  <c r="F31" i="15"/>
  <c r="G31" i="15"/>
  <c r="H31" i="15"/>
  <c r="I31" i="15"/>
  <c r="I33" i="15" s="1"/>
  <c r="E31" i="15"/>
  <c r="F20" i="15"/>
  <c r="G20" i="15"/>
  <c r="H20" i="15"/>
  <c r="I20" i="15"/>
  <c r="F21" i="15"/>
  <c r="G21" i="15"/>
  <c r="H21" i="15"/>
  <c r="I21" i="15"/>
  <c r="F22" i="15"/>
  <c r="G22" i="15"/>
  <c r="H22" i="15"/>
  <c r="I22" i="15"/>
  <c r="F23" i="15"/>
  <c r="G23" i="15"/>
  <c r="H23" i="15"/>
  <c r="I23" i="15"/>
  <c r="F24" i="15"/>
  <c r="G24" i="15"/>
  <c r="H24" i="15"/>
  <c r="I24" i="15"/>
  <c r="F25" i="15"/>
  <c r="G25" i="15"/>
  <c r="H25" i="15"/>
  <c r="I25" i="15"/>
  <c r="F26" i="15"/>
  <c r="G26" i="15"/>
  <c r="H26" i="15"/>
  <c r="I26" i="15"/>
  <c r="F27" i="15"/>
  <c r="G27" i="15"/>
  <c r="H27" i="15"/>
  <c r="I27" i="15"/>
  <c r="F28" i="15"/>
  <c r="G28" i="15"/>
  <c r="H28" i="15"/>
  <c r="I28" i="15"/>
  <c r="F29" i="15"/>
  <c r="G29" i="15"/>
  <c r="H29" i="15"/>
  <c r="I29" i="15"/>
  <c r="F30" i="15"/>
  <c r="G30" i="15"/>
  <c r="H30" i="15"/>
  <c r="I30" i="15"/>
  <c r="E21" i="15"/>
  <c r="E22" i="15"/>
  <c r="E23" i="15"/>
  <c r="E24" i="15"/>
  <c r="E25" i="15"/>
  <c r="E26" i="15"/>
  <c r="E27" i="15"/>
  <c r="E28" i="15"/>
  <c r="E29" i="15"/>
  <c r="E30" i="15"/>
  <c r="E20" i="15"/>
  <c r="B21" i="15"/>
  <c r="B22" i="15"/>
  <c r="B23" i="15"/>
  <c r="B24" i="15"/>
  <c r="B25" i="15"/>
  <c r="B26" i="15"/>
  <c r="B27" i="15"/>
  <c r="B28" i="15"/>
  <c r="B29" i="15"/>
  <c r="B30" i="15"/>
  <c r="B20" i="15"/>
  <c r="F17" i="15"/>
  <c r="G17" i="15"/>
  <c r="H17" i="15"/>
  <c r="I17" i="15"/>
  <c r="E17" i="15"/>
  <c r="F15" i="15"/>
  <c r="G15" i="15"/>
  <c r="H15" i="15"/>
  <c r="I15" i="15"/>
  <c r="E15" i="15"/>
  <c r="F12" i="15"/>
  <c r="G12" i="15"/>
  <c r="H12" i="15"/>
  <c r="I12" i="15"/>
  <c r="F13" i="15"/>
  <c r="G13" i="15"/>
  <c r="H13" i="15"/>
  <c r="I13" i="15"/>
  <c r="F14" i="15"/>
  <c r="G14" i="15"/>
  <c r="H14" i="15"/>
  <c r="I14" i="15"/>
  <c r="E13" i="15"/>
  <c r="E14" i="15"/>
  <c r="E12" i="15"/>
  <c r="B13" i="15"/>
  <c r="B14" i="15"/>
  <c r="B12" i="15"/>
  <c r="F9" i="15"/>
  <c r="G9" i="15"/>
  <c r="H9" i="15"/>
  <c r="I9" i="15"/>
  <c r="E9" i="15"/>
  <c r="F7" i="15"/>
  <c r="G7" i="15"/>
  <c r="H7" i="15"/>
  <c r="I7" i="15"/>
  <c r="F8" i="15"/>
  <c r="G8" i="15"/>
  <c r="H8" i="15"/>
  <c r="I8" i="15"/>
  <c r="E8" i="15"/>
  <c r="E7" i="15"/>
  <c r="F5" i="15"/>
  <c r="G5" i="15"/>
  <c r="H5" i="15"/>
  <c r="I5" i="15"/>
  <c r="F6" i="15"/>
  <c r="G6" i="15"/>
  <c r="H6" i="15"/>
  <c r="I6" i="15"/>
  <c r="E6" i="15"/>
  <c r="E5" i="15"/>
  <c r="B8" i="15"/>
  <c r="B7" i="15"/>
  <c r="B6" i="15"/>
  <c r="B5" i="15"/>
  <c r="D79" i="16"/>
  <c r="E79" i="16"/>
  <c r="D77" i="16"/>
  <c r="E77" i="16"/>
  <c r="F77" i="16"/>
  <c r="F79" i="16" s="1"/>
  <c r="G77" i="16"/>
  <c r="G79" i="16" s="1"/>
  <c r="H77" i="16"/>
  <c r="H79" i="16" s="1"/>
  <c r="I77" i="16"/>
  <c r="I79" i="16" s="1"/>
  <c r="J77" i="16"/>
  <c r="K77" i="16"/>
  <c r="L77" i="16"/>
  <c r="M77" i="16"/>
  <c r="N77" i="16"/>
  <c r="C77" i="16"/>
  <c r="D68" i="16"/>
  <c r="E68" i="16"/>
  <c r="F68" i="16"/>
  <c r="G68" i="16"/>
  <c r="H68" i="16"/>
  <c r="I68" i="16"/>
  <c r="J68" i="16"/>
  <c r="J79" i="16" s="1"/>
  <c r="K68" i="16"/>
  <c r="K79" i="16" s="1"/>
  <c r="L68" i="16"/>
  <c r="L79" i="16" s="1"/>
  <c r="M68" i="16"/>
  <c r="M79" i="16" s="1"/>
  <c r="N68" i="16"/>
  <c r="C68" i="16"/>
  <c r="D55" i="16"/>
  <c r="E55" i="16"/>
  <c r="F55" i="16"/>
  <c r="G55" i="16"/>
  <c r="H55" i="16"/>
  <c r="I55" i="16"/>
  <c r="J55" i="16"/>
  <c r="K55" i="16"/>
  <c r="L55" i="16"/>
  <c r="M55" i="16"/>
  <c r="N55" i="16"/>
  <c r="N79" i="16" s="1"/>
  <c r="C55" i="16"/>
  <c r="C79" i="16" s="1"/>
  <c r="D30" i="16"/>
  <c r="D41" i="16" s="1"/>
  <c r="E30" i="16"/>
  <c r="E41" i="16" s="1"/>
  <c r="F30" i="16"/>
  <c r="F41" i="16" s="1"/>
  <c r="G30" i="16"/>
  <c r="G41" i="16" s="1"/>
  <c r="H30" i="16"/>
  <c r="H41" i="16" s="1"/>
  <c r="I30" i="16"/>
  <c r="I41" i="16" s="1"/>
  <c r="J30" i="16"/>
  <c r="J41" i="16" s="1"/>
  <c r="K30" i="16"/>
  <c r="K41" i="16" s="1"/>
  <c r="L30" i="16"/>
  <c r="L41" i="16" s="1"/>
  <c r="M30" i="16"/>
  <c r="M41" i="16" s="1"/>
  <c r="N30" i="16"/>
  <c r="N41" i="16" s="1"/>
  <c r="C30" i="16"/>
  <c r="C41" i="16" s="1"/>
  <c r="F2" i="15"/>
  <c r="G2" i="15"/>
  <c r="H2" i="15"/>
  <c r="I2" i="15"/>
  <c r="E2" i="15"/>
  <c r="J23" i="10" l="1"/>
  <c r="J11" i="10"/>
  <c r="J12" i="10"/>
  <c r="J13" i="10"/>
  <c r="J10" i="10"/>
  <c r="J28" i="10"/>
  <c r="J38" i="10" l="1"/>
  <c r="J29" i="10"/>
  <c r="J15" i="10"/>
  <c r="J21" i="10"/>
  <c r="G8" i="14"/>
  <c r="G10" i="14" s="1"/>
  <c r="G4" i="14"/>
  <c r="G6" i="14" s="1"/>
  <c r="E29" i="10"/>
  <c r="J16" i="10" l="1"/>
  <c r="J27" i="10" s="1"/>
  <c r="J30" i="10" s="1"/>
  <c r="J22" i="10" s="1"/>
  <c r="I16" i="10"/>
  <c r="I15" i="10"/>
  <c r="H15" i="10"/>
  <c r="H16" i="10"/>
  <c r="G15" i="10"/>
  <c r="G16" i="10"/>
  <c r="F16" i="10"/>
  <c r="F15" i="10"/>
  <c r="D15" i="10"/>
  <c r="D16" i="10"/>
  <c r="E16" i="10"/>
  <c r="E15" i="10"/>
  <c r="I13" i="10"/>
  <c r="I12" i="10"/>
  <c r="I11" i="10"/>
  <c r="AD3" i="13"/>
  <c r="I10" i="10"/>
  <c r="H13" i="10"/>
  <c r="G13" i="10"/>
  <c r="M6" i="11"/>
  <c r="AE9" i="13"/>
  <c r="AE10" i="13"/>
  <c r="AE11" i="13"/>
  <c r="AE12" i="13"/>
  <c r="AE13" i="13"/>
  <c r="AE14" i="13"/>
  <c r="AE15" i="13"/>
  <c r="AE16" i="13"/>
  <c r="AE17" i="13"/>
  <c r="AE18" i="13"/>
  <c r="AE19" i="13"/>
  <c r="AE20" i="13"/>
  <c r="AE21" i="13"/>
  <c r="AE22" i="13"/>
  <c r="AE23" i="13"/>
  <c r="AE24" i="13"/>
  <c r="AE25" i="13"/>
  <c r="AE26" i="13"/>
  <c r="AE27" i="13"/>
  <c r="AE28" i="13"/>
  <c r="AE29" i="13"/>
  <c r="AE30" i="13"/>
  <c r="AE31" i="13"/>
  <c r="AE32" i="13"/>
  <c r="AE33" i="13"/>
  <c r="AE34" i="13"/>
  <c r="AE35" i="13"/>
  <c r="AE36" i="13"/>
  <c r="AE37" i="13"/>
  <c r="AE38" i="13"/>
  <c r="AE39" i="13"/>
  <c r="AE40" i="13"/>
  <c r="AE41" i="13"/>
  <c r="AE42" i="13"/>
  <c r="AE43" i="13"/>
  <c r="AE44" i="13"/>
  <c r="AE45" i="13"/>
  <c r="AE46" i="13"/>
  <c r="AE47" i="13"/>
  <c r="AE48" i="13"/>
  <c r="AE49" i="13"/>
  <c r="AE50" i="13"/>
  <c r="AE51" i="13"/>
  <c r="AE52" i="13"/>
  <c r="AE53" i="13"/>
  <c r="AE54" i="13"/>
  <c r="AE55" i="13"/>
  <c r="AE56" i="13"/>
  <c r="AE57" i="13"/>
  <c r="AE58" i="13"/>
  <c r="AE59" i="13"/>
  <c r="AE60" i="13"/>
  <c r="AE61" i="13"/>
  <c r="AE62" i="13"/>
  <c r="AE63" i="13"/>
  <c r="AE64" i="13"/>
  <c r="AE65" i="13"/>
  <c r="AE66" i="13"/>
  <c r="AE67" i="13"/>
  <c r="AE68" i="13"/>
  <c r="AE69" i="13"/>
  <c r="AE70" i="13"/>
  <c r="AE71" i="13"/>
  <c r="AE72" i="13"/>
  <c r="AE73" i="13"/>
  <c r="AE74" i="13"/>
  <c r="AE75" i="13"/>
  <c r="AE76" i="13"/>
  <c r="AE77" i="13"/>
  <c r="AE78" i="13"/>
  <c r="AE79" i="13"/>
  <c r="AE80" i="13"/>
  <c r="AE81" i="13"/>
  <c r="AE82" i="13"/>
  <c r="AE83" i="13"/>
  <c r="AE84" i="13"/>
  <c r="AE85" i="13"/>
  <c r="AE86" i="13"/>
  <c r="AE87" i="13"/>
  <c r="AE88" i="13"/>
  <c r="AE89" i="13"/>
  <c r="AE90" i="13"/>
  <c r="AE91" i="13"/>
  <c r="AE92" i="13"/>
  <c r="AE93" i="13"/>
  <c r="AE94" i="13"/>
  <c r="AE95" i="13"/>
  <c r="AE96" i="13"/>
  <c r="AE97" i="13"/>
  <c r="AE98" i="13"/>
  <c r="AE99" i="13"/>
  <c r="AE100" i="13"/>
  <c r="AE101" i="13"/>
  <c r="AE102" i="13"/>
  <c r="AE103" i="13"/>
  <c r="AE104" i="13"/>
  <c r="AE105" i="13"/>
  <c r="AE106" i="13"/>
  <c r="AE107" i="13"/>
  <c r="AE108" i="13"/>
  <c r="AE109" i="13"/>
  <c r="AE110" i="13"/>
  <c r="AE111" i="13"/>
  <c r="AE112" i="13"/>
  <c r="AE113" i="13"/>
  <c r="AE114" i="13"/>
  <c r="AE115" i="13"/>
  <c r="AE116" i="13"/>
  <c r="AE117" i="13"/>
  <c r="AE118" i="13"/>
  <c r="AE119" i="13"/>
  <c r="AE120" i="13"/>
  <c r="AE121" i="13"/>
  <c r="AE122" i="13"/>
  <c r="AE123" i="13"/>
  <c r="AE124" i="13"/>
  <c r="AE125" i="13"/>
  <c r="AE126" i="13"/>
  <c r="AE127" i="13"/>
  <c r="AE128" i="13"/>
  <c r="AE129" i="13"/>
  <c r="AE130" i="13"/>
  <c r="AE131" i="13"/>
  <c r="AE132" i="13"/>
  <c r="AE133" i="13"/>
  <c r="AE134" i="13"/>
  <c r="AE135" i="13"/>
  <c r="AE136" i="13"/>
  <c r="AE137" i="13"/>
  <c r="AE138" i="13"/>
  <c r="AE139" i="13"/>
  <c r="AE140" i="13"/>
  <c r="AE141" i="13"/>
  <c r="AE142" i="13"/>
  <c r="AE143" i="13"/>
  <c r="AE144" i="13"/>
  <c r="AE145" i="13"/>
  <c r="AE146" i="13"/>
  <c r="AE147" i="13"/>
  <c r="AE148" i="13"/>
  <c r="AE149" i="13"/>
  <c r="AE150" i="13"/>
  <c r="AE151" i="13"/>
  <c r="AE152" i="13"/>
  <c r="AE153" i="13"/>
  <c r="AE154" i="13"/>
  <c r="AE155" i="13"/>
  <c r="AE156" i="13"/>
  <c r="AE157" i="13"/>
  <c r="AE158" i="13"/>
  <c r="AE159" i="13"/>
  <c r="AE160" i="13"/>
  <c r="AE161" i="13"/>
  <c r="AE162" i="13"/>
  <c r="AE163" i="13"/>
  <c r="AE164" i="13"/>
  <c r="AE165" i="13"/>
  <c r="AE166" i="13"/>
  <c r="AE167" i="13"/>
  <c r="AE168" i="13"/>
  <c r="AE169" i="13"/>
  <c r="AE170" i="13"/>
  <c r="AE171" i="13"/>
  <c r="AE172" i="13"/>
  <c r="AE173" i="13"/>
  <c r="AE174" i="13"/>
  <c r="AE175" i="13"/>
  <c r="AE176" i="13"/>
  <c r="AE177" i="13"/>
  <c r="AE178" i="13"/>
  <c r="AE179" i="13"/>
  <c r="AE180" i="13"/>
  <c r="AE181" i="13"/>
  <c r="AE182" i="13"/>
  <c r="AE183" i="13"/>
  <c r="AE184" i="13"/>
  <c r="AE185" i="13"/>
  <c r="AE186" i="13"/>
  <c r="AE187" i="13"/>
  <c r="AE188" i="13"/>
  <c r="AE189" i="13"/>
  <c r="AE190" i="13"/>
  <c r="AE191" i="13"/>
  <c r="AE192" i="13"/>
  <c r="AE193" i="13"/>
  <c r="AE194" i="13"/>
  <c r="AE195" i="13"/>
  <c r="AE196" i="13"/>
  <c r="AE197" i="13"/>
  <c r="AE198" i="13"/>
  <c r="AE199" i="13"/>
  <c r="AE200" i="13"/>
  <c r="AE201" i="13"/>
  <c r="AE202" i="13"/>
  <c r="AE203" i="13"/>
  <c r="AE204" i="13"/>
  <c r="AE205" i="13"/>
  <c r="AE206" i="13"/>
  <c r="AE207" i="13"/>
  <c r="AE208" i="13"/>
  <c r="AE209" i="13"/>
  <c r="AE210" i="13"/>
  <c r="AE211" i="13"/>
  <c r="AE212" i="13"/>
  <c r="AE213" i="13"/>
  <c r="AE214" i="13"/>
  <c r="AE215" i="13"/>
  <c r="AE216" i="13"/>
  <c r="AE217" i="13"/>
  <c r="AE218" i="13"/>
  <c r="AE219" i="13"/>
  <c r="AE220" i="13"/>
  <c r="AE221" i="13"/>
  <c r="AE222" i="13"/>
  <c r="AE223" i="13"/>
  <c r="AE224" i="13"/>
  <c r="AE225" i="13"/>
  <c r="AE226" i="13"/>
  <c r="AE227" i="13"/>
  <c r="AE228" i="13"/>
  <c r="AE229" i="13"/>
  <c r="AE230" i="13"/>
  <c r="AE231" i="13"/>
  <c r="AE232" i="13"/>
  <c r="AE233" i="13"/>
  <c r="AE234" i="13"/>
  <c r="AE235" i="13"/>
  <c r="AE236" i="13"/>
  <c r="AE237" i="13"/>
  <c r="AE238" i="13"/>
  <c r="AE239" i="13"/>
  <c r="AE240" i="13"/>
  <c r="AE241" i="13"/>
  <c r="AE242" i="13"/>
  <c r="AE243" i="13"/>
  <c r="AE244" i="13"/>
  <c r="AE245" i="13"/>
  <c r="AE246" i="13"/>
  <c r="AE247" i="13"/>
  <c r="AE248" i="13"/>
  <c r="AE249" i="13"/>
  <c r="AE250" i="13"/>
  <c r="AE251" i="13"/>
  <c r="AE252" i="13"/>
  <c r="AE253" i="13"/>
  <c r="AE254" i="13"/>
  <c r="AE255" i="13"/>
  <c r="AE256" i="13"/>
  <c r="AE257" i="13"/>
  <c r="AE258" i="13"/>
  <c r="AE259" i="13"/>
  <c r="AE260" i="13"/>
  <c r="AE261" i="13"/>
  <c r="AE8" i="13"/>
  <c r="Z3" i="13"/>
  <c r="AA9" i="13"/>
  <c r="AA10" i="13"/>
  <c r="AA11" i="13"/>
  <c r="AA12" i="13"/>
  <c r="AA13" i="13"/>
  <c r="AA14" i="13"/>
  <c r="AA15" i="13"/>
  <c r="AA16" i="13"/>
  <c r="AA17" i="13"/>
  <c r="AA18" i="13"/>
  <c r="AA19" i="13"/>
  <c r="AA20" i="13"/>
  <c r="AA21" i="13"/>
  <c r="AA22" i="13"/>
  <c r="AA23" i="13"/>
  <c r="AA24" i="13"/>
  <c r="AA25" i="13"/>
  <c r="AA26" i="13"/>
  <c r="AA27" i="13"/>
  <c r="AA28" i="13"/>
  <c r="AA29" i="13"/>
  <c r="AA30" i="13"/>
  <c r="AA31" i="13"/>
  <c r="AA32" i="13"/>
  <c r="AA33" i="13"/>
  <c r="AA34" i="13"/>
  <c r="AA35" i="13"/>
  <c r="AA36" i="13"/>
  <c r="AA37" i="13"/>
  <c r="AA38" i="13"/>
  <c r="AA39" i="13"/>
  <c r="AA40" i="13"/>
  <c r="AA41" i="13"/>
  <c r="AA42" i="13"/>
  <c r="AA43" i="13"/>
  <c r="AA44" i="13"/>
  <c r="AA45" i="13"/>
  <c r="AA46" i="13"/>
  <c r="AA47" i="13"/>
  <c r="AA48" i="13"/>
  <c r="AA49" i="13"/>
  <c r="AA50" i="13"/>
  <c r="AA51" i="13"/>
  <c r="AA52" i="13"/>
  <c r="AA53" i="13"/>
  <c r="AA54" i="13"/>
  <c r="AA55" i="13"/>
  <c r="AA56" i="13"/>
  <c r="AA57" i="13"/>
  <c r="AA58" i="13"/>
  <c r="AA59" i="13"/>
  <c r="AA60" i="13"/>
  <c r="AA61" i="13"/>
  <c r="AA62" i="13"/>
  <c r="AA63" i="13"/>
  <c r="AA64" i="13"/>
  <c r="AA65" i="13"/>
  <c r="AA66" i="13"/>
  <c r="AA67" i="13"/>
  <c r="AA68" i="13"/>
  <c r="AA69" i="13"/>
  <c r="AA70" i="13"/>
  <c r="AA71" i="13"/>
  <c r="AA72" i="13"/>
  <c r="AA73" i="13"/>
  <c r="AA74" i="13"/>
  <c r="AA75" i="13"/>
  <c r="AA76" i="13"/>
  <c r="AA77" i="13"/>
  <c r="AA78" i="13"/>
  <c r="AA79" i="13"/>
  <c r="AA80" i="13"/>
  <c r="AA81" i="13"/>
  <c r="AA82" i="13"/>
  <c r="AA83" i="13"/>
  <c r="AA84" i="13"/>
  <c r="AA85" i="13"/>
  <c r="AA86" i="13"/>
  <c r="AA87" i="13"/>
  <c r="AA88" i="13"/>
  <c r="AA89" i="13"/>
  <c r="AA90" i="13"/>
  <c r="AA91" i="13"/>
  <c r="AA92" i="13"/>
  <c r="AA93" i="13"/>
  <c r="AA94" i="13"/>
  <c r="AA95" i="13"/>
  <c r="AA96" i="13"/>
  <c r="AA97" i="13"/>
  <c r="AA98" i="13"/>
  <c r="AA99" i="13"/>
  <c r="AA100" i="13"/>
  <c r="AA101" i="13"/>
  <c r="AA102" i="13"/>
  <c r="AA103" i="13"/>
  <c r="AA104" i="13"/>
  <c r="AA105" i="13"/>
  <c r="AA106" i="13"/>
  <c r="AA107" i="13"/>
  <c r="AA108" i="13"/>
  <c r="AA109" i="13"/>
  <c r="AA110" i="13"/>
  <c r="AA111" i="13"/>
  <c r="AA112" i="13"/>
  <c r="AA113" i="13"/>
  <c r="AA114" i="13"/>
  <c r="AA115" i="13"/>
  <c r="AA116" i="13"/>
  <c r="AA117" i="13"/>
  <c r="AA118" i="13"/>
  <c r="AA119" i="13"/>
  <c r="AA120" i="13"/>
  <c r="AA121" i="13"/>
  <c r="AA122" i="13"/>
  <c r="AA123" i="13"/>
  <c r="AA124" i="13"/>
  <c r="AA125" i="13"/>
  <c r="AA126" i="13"/>
  <c r="AA127" i="13"/>
  <c r="AA128" i="13"/>
  <c r="AA129" i="13"/>
  <c r="AA130" i="13"/>
  <c r="AA131" i="13"/>
  <c r="AA132" i="13"/>
  <c r="AA133" i="13"/>
  <c r="AA134" i="13"/>
  <c r="AA135" i="13"/>
  <c r="AA136" i="13"/>
  <c r="AA137" i="13"/>
  <c r="AA138" i="13"/>
  <c r="AA139" i="13"/>
  <c r="AA140" i="13"/>
  <c r="AA141" i="13"/>
  <c r="AA142" i="13"/>
  <c r="AA143" i="13"/>
  <c r="AA144" i="13"/>
  <c r="AA145" i="13"/>
  <c r="AA146" i="13"/>
  <c r="AA147" i="13"/>
  <c r="AA148" i="13"/>
  <c r="AA149" i="13"/>
  <c r="AA150" i="13"/>
  <c r="AA151" i="13"/>
  <c r="AA152" i="13"/>
  <c r="AA153" i="13"/>
  <c r="AA154" i="13"/>
  <c r="AA155" i="13"/>
  <c r="AA156" i="13"/>
  <c r="AA157" i="13"/>
  <c r="AA158" i="13"/>
  <c r="AA159" i="13"/>
  <c r="AA160" i="13"/>
  <c r="AA161" i="13"/>
  <c r="AA162" i="13"/>
  <c r="AA163" i="13"/>
  <c r="AA164" i="13"/>
  <c r="AA165" i="13"/>
  <c r="AA166" i="13"/>
  <c r="AA167" i="13"/>
  <c r="AA168" i="13"/>
  <c r="AA169" i="13"/>
  <c r="AA170" i="13"/>
  <c r="AA171" i="13"/>
  <c r="AA172" i="13"/>
  <c r="AA173" i="13"/>
  <c r="AA174" i="13"/>
  <c r="AA175" i="13"/>
  <c r="AA176" i="13"/>
  <c r="AA177" i="13"/>
  <c r="AA178" i="13"/>
  <c r="AA179" i="13"/>
  <c r="AA180" i="13"/>
  <c r="AA181" i="13"/>
  <c r="AA182" i="13"/>
  <c r="AA183" i="13"/>
  <c r="AA184" i="13"/>
  <c r="AA185" i="13"/>
  <c r="AA186" i="13"/>
  <c r="AA187" i="13"/>
  <c r="AA188" i="13"/>
  <c r="AA189" i="13"/>
  <c r="AA190" i="13"/>
  <c r="AA191" i="13"/>
  <c r="AA192" i="13"/>
  <c r="AA193" i="13"/>
  <c r="AA194" i="13"/>
  <c r="AA195" i="13"/>
  <c r="AA196" i="13"/>
  <c r="AA197" i="13"/>
  <c r="AA198" i="13"/>
  <c r="AA199" i="13"/>
  <c r="AA200" i="13"/>
  <c r="AA201" i="13"/>
  <c r="AA202" i="13"/>
  <c r="AA203" i="13"/>
  <c r="AA204" i="13"/>
  <c r="AA205" i="13"/>
  <c r="AA206" i="13"/>
  <c r="AA207" i="13"/>
  <c r="AA208" i="13"/>
  <c r="AA209" i="13"/>
  <c r="AA210" i="13"/>
  <c r="AA211" i="13"/>
  <c r="AA212" i="13"/>
  <c r="AA213" i="13"/>
  <c r="AA214" i="13"/>
  <c r="AA215" i="13"/>
  <c r="AA216" i="13"/>
  <c r="AA217" i="13"/>
  <c r="AA218" i="13"/>
  <c r="AA219" i="13"/>
  <c r="AA220" i="13"/>
  <c r="AA221" i="13"/>
  <c r="AA222" i="13"/>
  <c r="AA223" i="13"/>
  <c r="AA224" i="13"/>
  <c r="AA225" i="13"/>
  <c r="AA226" i="13"/>
  <c r="AA227" i="13"/>
  <c r="AA228" i="13"/>
  <c r="AA229" i="13"/>
  <c r="AA230" i="13"/>
  <c r="AA231" i="13"/>
  <c r="AA232" i="13"/>
  <c r="AA233" i="13"/>
  <c r="AA234" i="13"/>
  <c r="AA235" i="13"/>
  <c r="AA236" i="13"/>
  <c r="AA237" i="13"/>
  <c r="AA238" i="13"/>
  <c r="AA239" i="13"/>
  <c r="AA240" i="13"/>
  <c r="AA241" i="13"/>
  <c r="AA242" i="13"/>
  <c r="AA243" i="13"/>
  <c r="AA244" i="13"/>
  <c r="AA245" i="13"/>
  <c r="AA246" i="13"/>
  <c r="AA247" i="13"/>
  <c r="AA248" i="13"/>
  <c r="AA249" i="13"/>
  <c r="AA250" i="13"/>
  <c r="AA251" i="13"/>
  <c r="AA252" i="13"/>
  <c r="AA253" i="13"/>
  <c r="AA254" i="13"/>
  <c r="AA255" i="13"/>
  <c r="AA256" i="13"/>
  <c r="AA257" i="13"/>
  <c r="AA258" i="13"/>
  <c r="AA259" i="13"/>
  <c r="AA260" i="13"/>
  <c r="AA261" i="13"/>
  <c r="AA8" i="13"/>
  <c r="V3" i="13"/>
  <c r="W9" i="13"/>
  <c r="W10" i="13"/>
  <c r="W11" i="13"/>
  <c r="W12" i="13"/>
  <c r="W13"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W43" i="13"/>
  <c r="W44" i="13"/>
  <c r="W45" i="13"/>
  <c r="W46" i="13"/>
  <c r="W47" i="13"/>
  <c r="W48" i="13"/>
  <c r="W49" i="13"/>
  <c r="W50" i="13"/>
  <c r="W51" i="13"/>
  <c r="W52" i="13"/>
  <c r="W53" i="13"/>
  <c r="W54" i="13"/>
  <c r="W55" i="13"/>
  <c r="W56" i="13"/>
  <c r="W57" i="13"/>
  <c r="W58" i="13"/>
  <c r="W59" i="13"/>
  <c r="W60" i="13"/>
  <c r="W61" i="13"/>
  <c r="W62" i="13"/>
  <c r="W63" i="13"/>
  <c r="W64" i="13"/>
  <c r="W65" i="13"/>
  <c r="W66" i="13"/>
  <c r="W67" i="13"/>
  <c r="W68" i="13"/>
  <c r="W69" i="13"/>
  <c r="W70" i="13"/>
  <c r="W71" i="13"/>
  <c r="W72" i="13"/>
  <c r="W73" i="13"/>
  <c r="W74" i="13"/>
  <c r="W75" i="13"/>
  <c r="W76" i="13"/>
  <c r="W77" i="13"/>
  <c r="W78" i="13"/>
  <c r="W79" i="13"/>
  <c r="W80" i="13"/>
  <c r="W81" i="13"/>
  <c r="W82" i="13"/>
  <c r="W83" i="13"/>
  <c r="W84" i="13"/>
  <c r="W85" i="13"/>
  <c r="W86" i="13"/>
  <c r="W87" i="13"/>
  <c r="W88" i="13"/>
  <c r="W89" i="13"/>
  <c r="W90" i="13"/>
  <c r="W91" i="13"/>
  <c r="W92" i="13"/>
  <c r="W93" i="13"/>
  <c r="W94" i="13"/>
  <c r="W95" i="13"/>
  <c r="W96" i="13"/>
  <c r="W97" i="13"/>
  <c r="W98" i="13"/>
  <c r="W99" i="13"/>
  <c r="W100" i="13"/>
  <c r="W101" i="13"/>
  <c r="W102" i="13"/>
  <c r="W103" i="13"/>
  <c r="W104" i="13"/>
  <c r="W105" i="13"/>
  <c r="W106" i="13"/>
  <c r="W107" i="13"/>
  <c r="W108" i="13"/>
  <c r="W109" i="13"/>
  <c r="W110" i="13"/>
  <c r="W111" i="13"/>
  <c r="W112" i="13"/>
  <c r="W113" i="13"/>
  <c r="W114" i="13"/>
  <c r="W115" i="13"/>
  <c r="W116" i="13"/>
  <c r="W117" i="13"/>
  <c r="W118" i="13"/>
  <c r="W119" i="13"/>
  <c r="W120" i="13"/>
  <c r="W121" i="13"/>
  <c r="W122" i="13"/>
  <c r="W123" i="13"/>
  <c r="W124" i="13"/>
  <c r="W125" i="13"/>
  <c r="W126" i="13"/>
  <c r="W127" i="13"/>
  <c r="W128" i="13"/>
  <c r="W129" i="13"/>
  <c r="W130" i="13"/>
  <c r="W131" i="13"/>
  <c r="W132" i="13"/>
  <c r="W133" i="13"/>
  <c r="W134" i="13"/>
  <c r="W135" i="13"/>
  <c r="W136" i="13"/>
  <c r="W137" i="13"/>
  <c r="W138" i="13"/>
  <c r="W139" i="13"/>
  <c r="W140" i="13"/>
  <c r="W141" i="13"/>
  <c r="W142" i="13"/>
  <c r="W143" i="13"/>
  <c r="W144" i="13"/>
  <c r="W145" i="13"/>
  <c r="W146" i="13"/>
  <c r="W147" i="13"/>
  <c r="W148" i="13"/>
  <c r="W149" i="13"/>
  <c r="W150" i="13"/>
  <c r="W151" i="13"/>
  <c r="W152" i="13"/>
  <c r="W153" i="13"/>
  <c r="W154" i="13"/>
  <c r="W155" i="13"/>
  <c r="W156" i="13"/>
  <c r="W157" i="13"/>
  <c r="W158" i="13"/>
  <c r="W159" i="13"/>
  <c r="W160" i="13"/>
  <c r="W161" i="13"/>
  <c r="W162" i="13"/>
  <c r="W163" i="13"/>
  <c r="W164" i="13"/>
  <c r="W165" i="13"/>
  <c r="W166" i="13"/>
  <c r="W167" i="13"/>
  <c r="W168" i="13"/>
  <c r="W169" i="13"/>
  <c r="W170" i="13"/>
  <c r="W171" i="13"/>
  <c r="W172" i="13"/>
  <c r="W173" i="13"/>
  <c r="W174" i="13"/>
  <c r="W175" i="13"/>
  <c r="W176" i="13"/>
  <c r="W177" i="13"/>
  <c r="W178" i="13"/>
  <c r="W179" i="13"/>
  <c r="W180" i="13"/>
  <c r="W181" i="13"/>
  <c r="W182" i="13"/>
  <c r="W183" i="13"/>
  <c r="W184" i="13"/>
  <c r="W185" i="13"/>
  <c r="W186" i="13"/>
  <c r="W187" i="13"/>
  <c r="W188" i="13"/>
  <c r="W189" i="13"/>
  <c r="W190" i="13"/>
  <c r="W191" i="13"/>
  <c r="W192" i="13"/>
  <c r="W193" i="13"/>
  <c r="W194" i="13"/>
  <c r="W195" i="13"/>
  <c r="W196" i="13"/>
  <c r="W197" i="13"/>
  <c r="W198" i="13"/>
  <c r="W199" i="13"/>
  <c r="W200" i="13"/>
  <c r="W201" i="13"/>
  <c r="W202" i="13"/>
  <c r="W203" i="13"/>
  <c r="W204" i="13"/>
  <c r="W205" i="13"/>
  <c r="W206" i="13"/>
  <c r="W207" i="13"/>
  <c r="W208" i="13"/>
  <c r="W209" i="13"/>
  <c r="W210" i="13"/>
  <c r="W211" i="13"/>
  <c r="W212" i="13"/>
  <c r="W213" i="13"/>
  <c r="W214" i="13"/>
  <c r="W215" i="13"/>
  <c r="W216" i="13"/>
  <c r="W217" i="13"/>
  <c r="W218" i="13"/>
  <c r="W219" i="13"/>
  <c r="W220" i="13"/>
  <c r="W221" i="13"/>
  <c r="W222" i="13"/>
  <c r="W223" i="13"/>
  <c r="W224" i="13"/>
  <c r="W225" i="13"/>
  <c r="W226" i="13"/>
  <c r="W227" i="13"/>
  <c r="W228" i="13"/>
  <c r="W229" i="13"/>
  <c r="W230" i="13"/>
  <c r="W231" i="13"/>
  <c r="W232" i="13"/>
  <c r="W233" i="13"/>
  <c r="W234" i="13"/>
  <c r="W235" i="13"/>
  <c r="W236" i="13"/>
  <c r="W237" i="13"/>
  <c r="W238" i="13"/>
  <c r="W239" i="13"/>
  <c r="W240" i="13"/>
  <c r="W241" i="13"/>
  <c r="W242" i="13"/>
  <c r="W243" i="13"/>
  <c r="W244" i="13"/>
  <c r="W245" i="13"/>
  <c r="W246" i="13"/>
  <c r="W247" i="13"/>
  <c r="W248" i="13"/>
  <c r="W249" i="13"/>
  <c r="W250" i="13"/>
  <c r="W251" i="13"/>
  <c r="W252" i="13"/>
  <c r="W253" i="13"/>
  <c r="W254" i="13"/>
  <c r="W255" i="13"/>
  <c r="W256" i="13"/>
  <c r="W257" i="13"/>
  <c r="W258" i="13"/>
  <c r="W259" i="13"/>
  <c r="W260" i="13"/>
  <c r="W261" i="13"/>
  <c r="W8" i="13"/>
  <c r="D8" i="13"/>
  <c r="H8" i="13"/>
  <c r="D9" i="13"/>
  <c r="H9" i="13"/>
  <c r="D10" i="13"/>
  <c r="H10" i="13"/>
  <c r="D11" i="13"/>
  <c r="H11" i="13"/>
  <c r="D12" i="13"/>
  <c r="H12" i="13"/>
  <c r="D13" i="13"/>
  <c r="H13" i="13"/>
  <c r="D14" i="13"/>
  <c r="H14" i="13"/>
  <c r="D15" i="13"/>
  <c r="H15" i="13"/>
  <c r="D16" i="13"/>
  <c r="H16" i="13"/>
  <c r="D17" i="13"/>
  <c r="H17" i="13"/>
  <c r="N17" i="13"/>
  <c r="M8" i="13" s="1"/>
  <c r="M14" i="13" s="1"/>
  <c r="D18" i="13"/>
  <c r="H18" i="13"/>
  <c r="D19" i="13"/>
  <c r="H19" i="13"/>
  <c r="D20" i="13"/>
  <c r="H20" i="13"/>
  <c r="D21" i="13"/>
  <c r="H21" i="13"/>
  <c r="D22" i="13"/>
  <c r="H22" i="13"/>
  <c r="D23" i="13"/>
  <c r="H23" i="13"/>
  <c r="D24" i="13"/>
  <c r="H24" i="13"/>
  <c r="D25" i="13"/>
  <c r="H25" i="13"/>
  <c r="D26" i="13"/>
  <c r="H26" i="13"/>
  <c r="D27" i="13"/>
  <c r="H27" i="13"/>
  <c r="D28" i="13"/>
  <c r="H28" i="13"/>
  <c r="D29" i="13"/>
  <c r="H29" i="13"/>
  <c r="D30" i="13"/>
  <c r="H30" i="13"/>
  <c r="D31" i="13"/>
  <c r="H31" i="13"/>
  <c r="D32" i="13"/>
  <c r="H32" i="13"/>
  <c r="D33" i="13"/>
  <c r="H33" i="13"/>
  <c r="D34" i="13"/>
  <c r="H34" i="13"/>
  <c r="D35" i="13"/>
  <c r="H35" i="13"/>
  <c r="D36" i="13"/>
  <c r="H36" i="13"/>
  <c r="D37" i="13"/>
  <c r="H37" i="13"/>
  <c r="D38" i="13"/>
  <c r="H38" i="13"/>
  <c r="D39" i="13"/>
  <c r="H39" i="13"/>
  <c r="D40" i="13"/>
  <c r="H40" i="13"/>
  <c r="D41" i="13"/>
  <c r="H41" i="13"/>
  <c r="D42" i="13"/>
  <c r="H42" i="13"/>
  <c r="D43" i="13"/>
  <c r="H43" i="13"/>
  <c r="D44" i="13"/>
  <c r="H44" i="13"/>
  <c r="D45" i="13"/>
  <c r="H45" i="13"/>
  <c r="D46" i="13"/>
  <c r="H46" i="13"/>
  <c r="D47" i="13"/>
  <c r="H47" i="13"/>
  <c r="D48" i="13"/>
  <c r="H48" i="13"/>
  <c r="D49" i="13"/>
  <c r="H49" i="13"/>
  <c r="D50" i="13"/>
  <c r="H50" i="13"/>
  <c r="D51" i="13"/>
  <c r="H51" i="13"/>
  <c r="D52" i="13"/>
  <c r="H52" i="13"/>
  <c r="D53" i="13"/>
  <c r="H53" i="13"/>
  <c r="D54" i="13"/>
  <c r="H54" i="13"/>
  <c r="D55" i="13"/>
  <c r="H55" i="13"/>
  <c r="D56" i="13"/>
  <c r="H56" i="13"/>
  <c r="D57" i="13"/>
  <c r="H57" i="13"/>
  <c r="D58" i="13"/>
  <c r="H58" i="13"/>
  <c r="D59" i="13"/>
  <c r="H59" i="13"/>
  <c r="D60" i="13"/>
  <c r="H60" i="13"/>
  <c r="D61" i="13"/>
  <c r="H61" i="13"/>
  <c r="D62" i="13"/>
  <c r="H62" i="13"/>
  <c r="D63" i="13"/>
  <c r="H63" i="13"/>
  <c r="D64" i="13"/>
  <c r="H64" i="13"/>
  <c r="D65" i="13"/>
  <c r="H65" i="13"/>
  <c r="D66" i="13"/>
  <c r="H66" i="13"/>
  <c r="D67" i="13"/>
  <c r="H67" i="13"/>
  <c r="D68" i="13"/>
  <c r="H68" i="13"/>
  <c r="D69" i="13"/>
  <c r="H69" i="13"/>
  <c r="D70" i="13"/>
  <c r="H70" i="13"/>
  <c r="D71" i="13"/>
  <c r="H71" i="13"/>
  <c r="D72" i="13"/>
  <c r="H72" i="13"/>
  <c r="D73" i="13"/>
  <c r="H73" i="13"/>
  <c r="D74" i="13"/>
  <c r="H74" i="13"/>
  <c r="D75" i="13"/>
  <c r="H75" i="13"/>
  <c r="D76" i="13"/>
  <c r="H76" i="13"/>
  <c r="D77" i="13"/>
  <c r="H77" i="13"/>
  <c r="D78" i="13"/>
  <c r="H78" i="13"/>
  <c r="D79" i="13"/>
  <c r="H79" i="13"/>
  <c r="D80" i="13"/>
  <c r="H80" i="13"/>
  <c r="D81" i="13"/>
  <c r="H81" i="13"/>
  <c r="D82" i="13"/>
  <c r="H82" i="13"/>
  <c r="D83" i="13"/>
  <c r="H83" i="13"/>
  <c r="D84" i="13"/>
  <c r="H84" i="13"/>
  <c r="D85" i="13"/>
  <c r="H85" i="13"/>
  <c r="D86" i="13"/>
  <c r="H86" i="13"/>
  <c r="D87" i="13"/>
  <c r="H87" i="13"/>
  <c r="D88" i="13"/>
  <c r="H88" i="13"/>
  <c r="D89" i="13"/>
  <c r="H89" i="13"/>
  <c r="D90" i="13"/>
  <c r="H90" i="13"/>
  <c r="D91" i="13"/>
  <c r="H91" i="13"/>
  <c r="D92" i="13"/>
  <c r="H92" i="13"/>
  <c r="D93" i="13"/>
  <c r="H93" i="13"/>
  <c r="D94" i="13"/>
  <c r="H94" i="13"/>
  <c r="D95" i="13"/>
  <c r="H95" i="13"/>
  <c r="D96" i="13"/>
  <c r="H96" i="13"/>
  <c r="D97" i="13"/>
  <c r="H97" i="13"/>
  <c r="D98" i="13"/>
  <c r="H98" i="13"/>
  <c r="D99" i="13"/>
  <c r="H99" i="13"/>
  <c r="D100" i="13"/>
  <c r="H100" i="13"/>
  <c r="D101" i="13"/>
  <c r="H101" i="13"/>
  <c r="D102" i="13"/>
  <c r="H102" i="13"/>
  <c r="D103" i="13"/>
  <c r="H103" i="13"/>
  <c r="D104" i="13"/>
  <c r="H104" i="13"/>
  <c r="D105" i="13"/>
  <c r="H105" i="13"/>
  <c r="D106" i="13"/>
  <c r="H106" i="13"/>
  <c r="D107" i="13"/>
  <c r="H107" i="13"/>
  <c r="D108" i="13"/>
  <c r="H108" i="13"/>
  <c r="D109" i="13"/>
  <c r="H109" i="13"/>
  <c r="D110" i="13"/>
  <c r="H110" i="13"/>
  <c r="D111" i="13"/>
  <c r="H111" i="13"/>
  <c r="D112" i="13"/>
  <c r="H112" i="13"/>
  <c r="D113" i="13"/>
  <c r="H113" i="13"/>
  <c r="D114" i="13"/>
  <c r="H114" i="13"/>
  <c r="D115" i="13"/>
  <c r="H115" i="13"/>
  <c r="D116" i="13"/>
  <c r="H116" i="13"/>
  <c r="D117" i="13"/>
  <c r="H117" i="13"/>
  <c r="D118" i="13"/>
  <c r="H118" i="13"/>
  <c r="D119" i="13"/>
  <c r="H119" i="13"/>
  <c r="D120" i="13"/>
  <c r="H120" i="13"/>
  <c r="D121" i="13"/>
  <c r="H121" i="13"/>
  <c r="D122" i="13"/>
  <c r="H122" i="13"/>
  <c r="D123" i="13"/>
  <c r="H123" i="13"/>
  <c r="D124" i="13"/>
  <c r="H124" i="13"/>
  <c r="D125" i="13"/>
  <c r="H125" i="13"/>
  <c r="D126" i="13"/>
  <c r="H126" i="13"/>
  <c r="D127" i="13"/>
  <c r="H127" i="13"/>
  <c r="D128" i="13"/>
  <c r="H128" i="13"/>
  <c r="D129" i="13"/>
  <c r="H129" i="13"/>
  <c r="D130" i="13"/>
  <c r="H130" i="13"/>
  <c r="D131" i="13"/>
  <c r="H131" i="13"/>
  <c r="D132" i="13"/>
  <c r="H132" i="13"/>
  <c r="D133" i="13"/>
  <c r="H133" i="13"/>
  <c r="D134" i="13"/>
  <c r="H134" i="13"/>
  <c r="D135" i="13"/>
  <c r="H135" i="13"/>
  <c r="D136" i="13"/>
  <c r="H136" i="13"/>
  <c r="D137" i="13"/>
  <c r="H137" i="13"/>
  <c r="D138" i="13"/>
  <c r="H138" i="13"/>
  <c r="D139" i="13"/>
  <c r="H139" i="13"/>
  <c r="D140" i="13"/>
  <c r="H140" i="13"/>
  <c r="D141" i="13"/>
  <c r="H141" i="13"/>
  <c r="D142" i="13"/>
  <c r="H142" i="13"/>
  <c r="D143" i="13"/>
  <c r="H143" i="13"/>
  <c r="D144" i="13"/>
  <c r="H144" i="13"/>
  <c r="D145" i="13"/>
  <c r="H145" i="13"/>
  <c r="D146" i="13"/>
  <c r="H146" i="13"/>
  <c r="D147" i="13"/>
  <c r="H147" i="13"/>
  <c r="D148" i="13"/>
  <c r="H148" i="13"/>
  <c r="D149" i="13"/>
  <c r="H149" i="13"/>
  <c r="D150" i="13"/>
  <c r="H150" i="13"/>
  <c r="D151" i="13"/>
  <c r="H151" i="13"/>
  <c r="D152" i="13"/>
  <c r="H152" i="13"/>
  <c r="D153" i="13"/>
  <c r="H153" i="13"/>
  <c r="D154" i="13"/>
  <c r="H154" i="13"/>
  <c r="D155" i="13"/>
  <c r="H155" i="13"/>
  <c r="D156" i="13"/>
  <c r="H156" i="13"/>
  <c r="D157" i="13"/>
  <c r="H157" i="13"/>
  <c r="D158" i="13"/>
  <c r="H158" i="13"/>
  <c r="D159" i="13"/>
  <c r="H159" i="13"/>
  <c r="D160" i="13"/>
  <c r="H160" i="13"/>
  <c r="D161" i="13"/>
  <c r="H161" i="13"/>
  <c r="D162" i="13"/>
  <c r="H162" i="13"/>
  <c r="D163" i="13"/>
  <c r="H163" i="13"/>
  <c r="D164" i="13"/>
  <c r="H164" i="13"/>
  <c r="D165" i="13"/>
  <c r="H165" i="13"/>
  <c r="D166" i="13"/>
  <c r="H166" i="13"/>
  <c r="D167" i="13"/>
  <c r="H167" i="13"/>
  <c r="D168" i="13"/>
  <c r="H168" i="13"/>
  <c r="D169" i="13"/>
  <c r="H169" i="13"/>
  <c r="D170" i="13"/>
  <c r="H170" i="13"/>
  <c r="D171" i="13"/>
  <c r="H171" i="13"/>
  <c r="D172" i="13"/>
  <c r="H172" i="13"/>
  <c r="D173" i="13"/>
  <c r="H173" i="13"/>
  <c r="D174" i="13"/>
  <c r="H174" i="13"/>
  <c r="D175" i="13"/>
  <c r="H175" i="13"/>
  <c r="D176" i="13"/>
  <c r="H176" i="13"/>
  <c r="D177" i="13"/>
  <c r="H177" i="13"/>
  <c r="D178" i="13"/>
  <c r="H178" i="13"/>
  <c r="D179" i="13"/>
  <c r="H179" i="13"/>
  <c r="D180" i="13"/>
  <c r="H180" i="13"/>
  <c r="D181" i="13"/>
  <c r="H181" i="13"/>
  <c r="D182" i="13"/>
  <c r="H182" i="13"/>
  <c r="D183" i="13"/>
  <c r="H183" i="13"/>
  <c r="D184" i="13"/>
  <c r="H184" i="13"/>
  <c r="D185" i="13"/>
  <c r="H185" i="13"/>
  <c r="D186" i="13"/>
  <c r="H186" i="13"/>
  <c r="D187" i="13"/>
  <c r="H187" i="13"/>
  <c r="D188" i="13"/>
  <c r="H188" i="13"/>
  <c r="D189" i="13"/>
  <c r="H189" i="13"/>
  <c r="D190" i="13"/>
  <c r="H190" i="13"/>
  <c r="D191" i="13"/>
  <c r="H191" i="13"/>
  <c r="D192" i="13"/>
  <c r="H192" i="13"/>
  <c r="D193" i="13"/>
  <c r="H193" i="13"/>
  <c r="D194" i="13"/>
  <c r="H194" i="13"/>
  <c r="D195" i="13"/>
  <c r="H195" i="13"/>
  <c r="D196" i="13"/>
  <c r="H196" i="13"/>
  <c r="D197" i="13"/>
  <c r="H197" i="13"/>
  <c r="D198" i="13"/>
  <c r="H198" i="13"/>
  <c r="D199" i="13"/>
  <c r="H199" i="13"/>
  <c r="D200" i="13"/>
  <c r="H200" i="13"/>
  <c r="D201" i="13"/>
  <c r="H201" i="13"/>
  <c r="D202" i="13"/>
  <c r="H202" i="13"/>
  <c r="D203" i="13"/>
  <c r="H203" i="13"/>
  <c r="D204" i="13"/>
  <c r="H204" i="13"/>
  <c r="D205" i="13"/>
  <c r="H205" i="13"/>
  <c r="D206" i="13"/>
  <c r="H206" i="13"/>
  <c r="D207" i="13"/>
  <c r="H207" i="13"/>
  <c r="D208" i="13"/>
  <c r="H208" i="13"/>
  <c r="D209" i="13"/>
  <c r="H209" i="13"/>
  <c r="D210" i="13"/>
  <c r="H210" i="13"/>
  <c r="D211" i="13"/>
  <c r="H211" i="13"/>
  <c r="D212" i="13"/>
  <c r="H212" i="13"/>
  <c r="D213" i="13"/>
  <c r="H213" i="13"/>
  <c r="D214" i="13"/>
  <c r="H214" i="13"/>
  <c r="D215" i="13"/>
  <c r="H215" i="13"/>
  <c r="D216" i="13"/>
  <c r="H216" i="13"/>
  <c r="D217" i="13"/>
  <c r="H217" i="13"/>
  <c r="D218" i="13"/>
  <c r="H218" i="13"/>
  <c r="D219" i="13"/>
  <c r="H219" i="13"/>
  <c r="D220" i="13"/>
  <c r="H220" i="13"/>
  <c r="D221" i="13"/>
  <c r="H221" i="13"/>
  <c r="D222" i="13"/>
  <c r="H222" i="13"/>
  <c r="D223" i="13"/>
  <c r="H223" i="13"/>
  <c r="D224" i="13"/>
  <c r="H224" i="13"/>
  <c r="D225" i="13"/>
  <c r="H225" i="13"/>
  <c r="D226" i="13"/>
  <c r="H226" i="13"/>
  <c r="D227" i="13"/>
  <c r="H227" i="13"/>
  <c r="D228" i="13"/>
  <c r="H228" i="13"/>
  <c r="D229" i="13"/>
  <c r="H229" i="13"/>
  <c r="D230" i="13"/>
  <c r="H230" i="13"/>
  <c r="D231" i="13"/>
  <c r="H231" i="13"/>
  <c r="D232" i="13"/>
  <c r="H232" i="13"/>
  <c r="D233" i="13"/>
  <c r="H233" i="13"/>
  <c r="D234" i="13"/>
  <c r="H234" i="13"/>
  <c r="D235" i="13"/>
  <c r="H235" i="13"/>
  <c r="D236" i="13"/>
  <c r="H236" i="13"/>
  <c r="D237" i="13"/>
  <c r="H237" i="13"/>
  <c r="D238" i="13"/>
  <c r="H238" i="13"/>
  <c r="D239" i="13"/>
  <c r="H239" i="13"/>
  <c r="D240" i="13"/>
  <c r="H240" i="13"/>
  <c r="D241" i="13"/>
  <c r="H241" i="13"/>
  <c r="D242" i="13"/>
  <c r="H242" i="13"/>
  <c r="D243" i="13"/>
  <c r="H243" i="13"/>
  <c r="D244" i="13"/>
  <c r="H244" i="13"/>
  <c r="D245" i="13"/>
  <c r="H245" i="13"/>
  <c r="D246" i="13"/>
  <c r="H246" i="13"/>
  <c r="D247" i="13"/>
  <c r="H247" i="13"/>
  <c r="D248" i="13"/>
  <c r="H248" i="13"/>
  <c r="D249" i="13"/>
  <c r="H249" i="13"/>
  <c r="D250" i="13"/>
  <c r="H250" i="13"/>
  <c r="D251" i="13"/>
  <c r="H251" i="13"/>
  <c r="D252" i="13"/>
  <c r="H252" i="13"/>
  <c r="D253" i="13"/>
  <c r="H253" i="13"/>
  <c r="D254" i="13"/>
  <c r="H254" i="13"/>
  <c r="D255" i="13"/>
  <c r="H255" i="13"/>
  <c r="D256" i="13"/>
  <c r="H256" i="13"/>
  <c r="D257" i="13"/>
  <c r="H257" i="13"/>
  <c r="D258" i="13"/>
  <c r="H258" i="13"/>
  <c r="D259" i="13"/>
  <c r="H259" i="13"/>
  <c r="D260" i="13"/>
  <c r="H260" i="13"/>
  <c r="D261" i="13"/>
  <c r="H261" i="13"/>
  <c r="C29" i="10" l="1"/>
  <c r="C28" i="10"/>
  <c r="E21" i="10"/>
  <c r="H11" i="10"/>
  <c r="H12" i="10"/>
  <c r="H10" i="10"/>
  <c r="G11" i="10"/>
  <c r="G12" i="10"/>
  <c r="G10" i="10"/>
  <c r="M4" i="11"/>
  <c r="M5" i="11"/>
  <c r="M3" i="11"/>
  <c r="E22" i="10" l="1"/>
  <c r="J34" i="10" s="1"/>
  <c r="C30" i="10"/>
  <c r="D30" i="10" s="1"/>
  <c r="J35" i="10"/>
  <c r="E30" i="10" l="1"/>
  <c r="D29" i="10"/>
  <c r="J37" i="10" l="1"/>
  <c r="J40" i="10" s="1"/>
  <c r="K74" i="8"/>
  <c r="J74" i="8"/>
  <c r="I74" i="8"/>
  <c r="H74" i="8"/>
  <c r="G74" i="8"/>
  <c r="F74" i="8"/>
  <c r="E74" i="8"/>
  <c r="D74" i="8"/>
  <c r="C74" i="8"/>
  <c r="B74" i="8"/>
  <c r="B6" i="8"/>
  <c r="E1" i="8"/>
  <c r="F69" i="6"/>
  <c r="E69" i="6"/>
  <c r="G68" i="6"/>
  <c r="F68" i="6"/>
  <c r="E68" i="6"/>
  <c r="G67" i="6"/>
  <c r="B60" i="6"/>
  <c r="F53" i="6"/>
  <c r="G86" i="6" s="1"/>
  <c r="G52" i="6"/>
  <c r="E48" i="6"/>
  <c r="F47" i="6"/>
  <c r="F76" i="6" s="1"/>
  <c r="L46" i="6"/>
  <c r="K46" i="6"/>
  <c r="J46" i="6"/>
  <c r="I46" i="6"/>
  <c r="H46" i="6"/>
  <c r="C46" i="6"/>
  <c r="C45" i="6"/>
  <c r="G42" i="6"/>
  <c r="D40" i="6"/>
  <c r="E39" i="6"/>
  <c r="E38" i="6"/>
  <c r="D38" i="6"/>
  <c r="C38" i="6"/>
  <c r="B36" i="6"/>
  <c r="L32" i="6"/>
  <c r="K32" i="6"/>
  <c r="J32" i="6"/>
  <c r="I32" i="6"/>
  <c r="H32" i="6"/>
  <c r="C31" i="6"/>
  <c r="C71" i="6" s="1"/>
  <c r="G27" i="6"/>
  <c r="E22" i="6"/>
  <c r="E64" i="6" s="1"/>
  <c r="D6" i="6"/>
  <c r="C6" i="6"/>
  <c r="B4" i="6"/>
  <c r="B2" i="6"/>
  <c r="M51" i="5"/>
  <c r="L51" i="5"/>
  <c r="K51" i="5"/>
  <c r="J51" i="5"/>
  <c r="I51" i="5"/>
  <c r="M50" i="5"/>
  <c r="L50" i="5"/>
  <c r="K50" i="5"/>
  <c r="J50" i="5"/>
  <c r="I50" i="5"/>
  <c r="D35" i="5"/>
  <c r="C35" i="5"/>
  <c r="D34" i="5"/>
  <c r="D33" i="5"/>
  <c r="C33" i="5"/>
  <c r="M27" i="5"/>
  <c r="L27" i="5"/>
  <c r="K27" i="5"/>
  <c r="J27" i="5"/>
  <c r="I27" i="5"/>
  <c r="G22" i="5"/>
  <c r="B22" i="5"/>
  <c r="F21" i="5"/>
  <c r="B21" i="5"/>
  <c r="B20" i="5"/>
  <c r="C14" i="5"/>
  <c r="D13" i="5"/>
  <c r="B11" i="5"/>
  <c r="M10" i="5"/>
  <c r="L16" i="6" s="1"/>
  <c r="L10" i="5"/>
  <c r="K16" i="6" s="1"/>
  <c r="K10" i="5"/>
  <c r="J16" i="6" s="1"/>
  <c r="J10" i="5"/>
  <c r="I16" i="6" s="1"/>
  <c r="I10" i="5"/>
  <c r="H16" i="6" s="1"/>
  <c r="B10" i="5"/>
  <c r="B9" i="5"/>
  <c r="M8" i="5"/>
  <c r="M9" i="5" s="1"/>
  <c r="L8" i="5"/>
  <c r="K10" i="6" s="1"/>
  <c r="K8" i="5"/>
  <c r="J10" i="6" s="1"/>
  <c r="J8" i="5"/>
  <c r="I10" i="6" s="1"/>
  <c r="I8" i="5"/>
  <c r="H10" i="6" s="1"/>
  <c r="B8" i="5"/>
  <c r="M7" i="5"/>
  <c r="L7" i="6" s="1"/>
  <c r="L7" i="5"/>
  <c r="K7" i="6" s="1"/>
  <c r="K7" i="5"/>
  <c r="J7" i="6" s="1"/>
  <c r="J7" i="5"/>
  <c r="I7" i="6" s="1"/>
  <c r="I7" i="5"/>
  <c r="H7" i="6" s="1"/>
  <c r="B7" i="5"/>
  <c r="H5" i="5"/>
  <c r="G5" i="6" s="1"/>
  <c r="G5" i="5"/>
  <c r="G19" i="5" s="1"/>
  <c r="G25" i="5" s="1"/>
  <c r="G30" i="5" s="1"/>
  <c r="F5" i="5"/>
  <c r="F19" i="5" s="1"/>
  <c r="F25" i="5" s="1"/>
  <c r="F30" i="5" s="1"/>
  <c r="E5" i="5"/>
  <c r="D5" i="5"/>
  <c r="C5" i="5"/>
  <c r="C19" i="5" s="1"/>
  <c r="C25" i="5" s="1"/>
  <c r="C30" i="5" s="1"/>
  <c r="B2" i="5"/>
  <c r="L41" i="4"/>
  <c r="K41" i="4"/>
  <c r="J41" i="4"/>
  <c r="I41" i="4"/>
  <c r="H41" i="4"/>
  <c r="G41" i="4"/>
  <c r="F41" i="4"/>
  <c r="E41" i="4"/>
  <c r="D41" i="4"/>
  <c r="C41" i="4"/>
  <c r="B41" i="4"/>
  <c r="L40" i="4"/>
  <c r="K40" i="4"/>
  <c r="J40" i="4"/>
  <c r="I40" i="4"/>
  <c r="H40" i="4"/>
  <c r="G40" i="4"/>
  <c r="F40" i="4"/>
  <c r="E40" i="4"/>
  <c r="D40" i="4"/>
  <c r="C40" i="4"/>
  <c r="B40" i="4"/>
  <c r="L39" i="4"/>
  <c r="K39" i="4"/>
  <c r="J39" i="4"/>
  <c r="I39" i="4"/>
  <c r="H39" i="4"/>
  <c r="G39" i="4"/>
  <c r="F39" i="4"/>
  <c r="E39" i="4"/>
  <c r="D39" i="4"/>
  <c r="C39" i="4"/>
  <c r="B39" i="4"/>
  <c r="L38" i="4"/>
  <c r="K38" i="4"/>
  <c r="J38" i="4"/>
  <c r="I38" i="4"/>
  <c r="H38" i="4"/>
  <c r="G38" i="4"/>
  <c r="F38" i="4"/>
  <c r="E38" i="4"/>
  <c r="D38" i="4"/>
  <c r="C38" i="4"/>
  <c r="B38" i="4"/>
  <c r="L37" i="4"/>
  <c r="K37" i="4"/>
  <c r="J37" i="4"/>
  <c r="I37" i="4"/>
  <c r="H37" i="4"/>
  <c r="G37" i="4"/>
  <c r="F37" i="4"/>
  <c r="E37" i="4"/>
  <c r="D37" i="4"/>
  <c r="C37" i="4"/>
  <c r="B37" i="4"/>
  <c r="L36" i="4"/>
  <c r="K36" i="4"/>
  <c r="J36" i="4"/>
  <c r="I36" i="4"/>
  <c r="H36" i="4"/>
  <c r="G36" i="4"/>
  <c r="F36" i="4"/>
  <c r="E36" i="4"/>
  <c r="D36" i="4"/>
  <c r="C36" i="4"/>
  <c r="B36" i="4"/>
  <c r="L35" i="4"/>
  <c r="K35" i="4"/>
  <c r="J35" i="4"/>
  <c r="I35" i="4"/>
  <c r="H35" i="4"/>
  <c r="G35" i="4"/>
  <c r="F35" i="4"/>
  <c r="E35" i="4"/>
  <c r="D35" i="4"/>
  <c r="C35" i="4"/>
  <c r="B35" i="4"/>
  <c r="L34" i="4"/>
  <c r="K34" i="4"/>
  <c r="J34" i="4"/>
  <c r="I34" i="4"/>
  <c r="H34" i="4"/>
  <c r="G34" i="4"/>
  <c r="F34" i="4"/>
  <c r="E34" i="4"/>
  <c r="D34" i="4"/>
  <c r="C34" i="4"/>
  <c r="L32" i="4"/>
  <c r="K32" i="4"/>
  <c r="J32" i="4"/>
  <c r="I32" i="4"/>
  <c r="H32" i="4"/>
  <c r="G32" i="4"/>
  <c r="F32" i="4"/>
  <c r="E32" i="4"/>
  <c r="D32" i="4"/>
  <c r="C32" i="4"/>
  <c r="B32" i="4"/>
  <c r="L31" i="4"/>
  <c r="K31" i="4"/>
  <c r="J31" i="4"/>
  <c r="I31" i="4"/>
  <c r="H31" i="4"/>
  <c r="G31" i="4"/>
  <c r="F31" i="4"/>
  <c r="E31" i="4"/>
  <c r="D31" i="4"/>
  <c r="C31" i="4"/>
  <c r="B31" i="4"/>
  <c r="L30" i="4"/>
  <c r="K30" i="4"/>
  <c r="J30" i="4"/>
  <c r="I30" i="4"/>
  <c r="H30" i="4"/>
  <c r="G30" i="4"/>
  <c r="F30" i="4"/>
  <c r="E30" i="4"/>
  <c r="D30" i="4"/>
  <c r="C30" i="4"/>
  <c r="B30" i="4"/>
  <c r="L29" i="4"/>
  <c r="K29" i="4"/>
  <c r="J29" i="4"/>
  <c r="I29" i="4"/>
  <c r="H29" i="4"/>
  <c r="G29" i="4"/>
  <c r="F29" i="4"/>
  <c r="E29" i="4"/>
  <c r="D29" i="4"/>
  <c r="C29" i="4"/>
  <c r="B29" i="4"/>
  <c r="L28" i="4"/>
  <c r="K28" i="4"/>
  <c r="J28" i="4"/>
  <c r="I28" i="4"/>
  <c r="H28" i="4"/>
  <c r="G28" i="4"/>
  <c r="F28" i="4"/>
  <c r="E28" i="4"/>
  <c r="D28" i="4"/>
  <c r="C28" i="4"/>
  <c r="B28" i="4"/>
  <c r="L27" i="4"/>
  <c r="K27" i="4"/>
  <c r="J27" i="4"/>
  <c r="I27" i="4"/>
  <c r="H27" i="4"/>
  <c r="G27" i="4"/>
  <c r="F27" i="4"/>
  <c r="E27" i="4"/>
  <c r="D27" i="4"/>
  <c r="C27" i="4"/>
  <c r="J25" i="4"/>
  <c r="H25" i="4"/>
  <c r="G25" i="4"/>
  <c r="D25" i="4"/>
  <c r="C25" i="4"/>
  <c r="B23" i="4"/>
  <c r="B21" i="4"/>
  <c r="L20" i="4"/>
  <c r="K20" i="4"/>
  <c r="J20" i="4"/>
  <c r="I20" i="4"/>
  <c r="H20" i="4"/>
  <c r="G20" i="4"/>
  <c r="F20" i="4"/>
  <c r="E20" i="4"/>
  <c r="D20" i="4"/>
  <c r="C20" i="4"/>
  <c r="B20" i="4"/>
  <c r="L19" i="4"/>
  <c r="K19" i="4"/>
  <c r="J19" i="4"/>
  <c r="I19" i="4"/>
  <c r="H19" i="4"/>
  <c r="G19" i="4"/>
  <c r="F19" i="4"/>
  <c r="E19" i="4"/>
  <c r="D19" i="4"/>
  <c r="C19" i="4"/>
  <c r="B19" i="4"/>
  <c r="L18" i="4"/>
  <c r="K18" i="4"/>
  <c r="J18" i="4"/>
  <c r="I18" i="4"/>
  <c r="H18" i="4"/>
  <c r="G18" i="4"/>
  <c r="F18" i="4"/>
  <c r="E18" i="4"/>
  <c r="D18" i="4"/>
  <c r="C18" i="4"/>
  <c r="B18" i="4"/>
  <c r="L17" i="4"/>
  <c r="K17" i="4"/>
  <c r="J17" i="4"/>
  <c r="I17" i="4"/>
  <c r="H17" i="4"/>
  <c r="G17" i="4"/>
  <c r="F17" i="4"/>
  <c r="E17" i="4"/>
  <c r="D17" i="4"/>
  <c r="C17" i="4"/>
  <c r="B17" i="4"/>
  <c r="L16" i="4"/>
  <c r="K16" i="4"/>
  <c r="J16" i="4"/>
  <c r="I16" i="4"/>
  <c r="H16" i="4"/>
  <c r="G16" i="4"/>
  <c r="F16" i="4"/>
  <c r="E16" i="4"/>
  <c r="D16" i="4"/>
  <c r="C16" i="4"/>
  <c r="B16" i="4"/>
  <c r="L15" i="4"/>
  <c r="K15" i="4"/>
  <c r="J15" i="4"/>
  <c r="I15" i="4"/>
  <c r="H15" i="4"/>
  <c r="G15" i="4"/>
  <c r="F15" i="4"/>
  <c r="E15" i="4"/>
  <c r="D15" i="4"/>
  <c r="C15" i="4"/>
  <c r="B15" i="4"/>
  <c r="L14" i="4"/>
  <c r="K14" i="4"/>
  <c r="J14" i="4"/>
  <c r="I14" i="4"/>
  <c r="H14" i="4"/>
  <c r="G14" i="4"/>
  <c r="F14" i="4"/>
  <c r="E14" i="4"/>
  <c r="D14" i="4"/>
  <c r="C14" i="4"/>
  <c r="B14" i="4"/>
  <c r="L13" i="4"/>
  <c r="K13" i="4"/>
  <c r="J13" i="4"/>
  <c r="I13" i="4"/>
  <c r="H13" i="4"/>
  <c r="G13" i="4"/>
  <c r="F13" i="4"/>
  <c r="E13" i="4"/>
  <c r="D13" i="4"/>
  <c r="C13" i="4"/>
  <c r="B13" i="4"/>
  <c r="L12" i="4"/>
  <c r="K12" i="4"/>
  <c r="J12" i="4"/>
  <c r="I12" i="4"/>
  <c r="H12" i="4"/>
  <c r="G12" i="4"/>
  <c r="F12" i="4"/>
  <c r="E12" i="4"/>
  <c r="D12" i="4"/>
  <c r="C12" i="4"/>
  <c r="B12" i="4"/>
  <c r="L11" i="4"/>
  <c r="K11" i="4"/>
  <c r="J11" i="4"/>
  <c r="I11" i="4"/>
  <c r="H11" i="4"/>
  <c r="G11" i="4"/>
  <c r="F11" i="4"/>
  <c r="E11" i="4"/>
  <c r="D11" i="4"/>
  <c r="C11" i="4"/>
  <c r="B11" i="4"/>
  <c r="L10" i="4"/>
  <c r="K10" i="4"/>
  <c r="J10" i="4"/>
  <c r="I10" i="4"/>
  <c r="H10" i="4"/>
  <c r="G10" i="4"/>
  <c r="F10" i="4"/>
  <c r="E10" i="4"/>
  <c r="D10" i="4"/>
  <c r="C10" i="4"/>
  <c r="B10" i="4"/>
  <c r="L9" i="4"/>
  <c r="K9" i="4"/>
  <c r="J9" i="4"/>
  <c r="I9" i="4"/>
  <c r="H9" i="4"/>
  <c r="G9" i="4"/>
  <c r="F9" i="4"/>
  <c r="E9" i="4"/>
  <c r="D9" i="4"/>
  <c r="C9" i="4"/>
  <c r="B9" i="4"/>
  <c r="L8" i="4"/>
  <c r="K8" i="4"/>
  <c r="J8" i="4"/>
  <c r="I8" i="4"/>
  <c r="H8" i="4"/>
  <c r="G8" i="4"/>
  <c r="F8" i="4"/>
  <c r="E8" i="4"/>
  <c r="D8" i="4"/>
  <c r="C8" i="4"/>
  <c r="B8" i="4"/>
  <c r="L7" i="4"/>
  <c r="K7" i="4"/>
  <c r="J7" i="4"/>
  <c r="I7" i="4"/>
  <c r="H7" i="4"/>
  <c r="G7" i="4"/>
  <c r="F7" i="4"/>
  <c r="E7" i="4"/>
  <c r="D7" i="4"/>
  <c r="C7" i="4"/>
  <c r="B7" i="4"/>
  <c r="L6" i="4"/>
  <c r="K6" i="4"/>
  <c r="J6" i="4"/>
  <c r="I6" i="4"/>
  <c r="H6" i="4"/>
  <c r="G6" i="4"/>
  <c r="F6" i="4"/>
  <c r="E6" i="4"/>
  <c r="D6" i="4"/>
  <c r="C6" i="4"/>
  <c r="B6" i="4"/>
  <c r="L4" i="4"/>
  <c r="L25" i="4" s="1"/>
  <c r="K4" i="4"/>
  <c r="K25" i="4" s="1"/>
  <c r="J4" i="4"/>
  <c r="I4" i="4"/>
  <c r="I25" i="4" s="1"/>
  <c r="H4" i="4"/>
  <c r="G4" i="4"/>
  <c r="F4" i="4"/>
  <c r="F25" i="4" s="1"/>
  <c r="E4" i="4"/>
  <c r="E25" i="4" s="1"/>
  <c r="D4" i="4"/>
  <c r="C4" i="4"/>
  <c r="B2" i="4"/>
  <c r="I40" i="3"/>
  <c r="C40" i="3"/>
  <c r="I38" i="3"/>
  <c r="C35" i="3"/>
  <c r="C33" i="3"/>
  <c r="K30" i="3"/>
  <c r="J30" i="3"/>
  <c r="I30" i="3"/>
  <c r="L29" i="3"/>
  <c r="L35" i="3" s="1"/>
  <c r="H22" i="5" s="1"/>
  <c r="K29" i="3"/>
  <c r="K35" i="3" s="1"/>
  <c r="K28" i="3"/>
  <c r="K34" i="3" s="1"/>
  <c r="J28" i="3"/>
  <c r="J34" i="3" s="1"/>
  <c r="I28" i="3"/>
  <c r="I34" i="3" s="1"/>
  <c r="H28" i="3"/>
  <c r="H34" i="3" s="1"/>
  <c r="G28" i="3"/>
  <c r="G34" i="3" s="1"/>
  <c r="C21" i="5" s="1"/>
  <c r="D28" i="3"/>
  <c r="D34" i="3" s="1"/>
  <c r="C28" i="3"/>
  <c r="J18" i="3"/>
  <c r="H18" i="3"/>
  <c r="G18" i="3"/>
  <c r="G17" i="3"/>
  <c r="F17" i="3"/>
  <c r="E17" i="3"/>
  <c r="D17" i="3"/>
  <c r="E9" i="3"/>
  <c r="D9" i="3"/>
  <c r="D5" i="3"/>
  <c r="L3" i="3"/>
  <c r="D3" i="3"/>
  <c r="B2" i="3"/>
  <c r="L110" i="2"/>
  <c r="K110" i="2"/>
  <c r="J110" i="2"/>
  <c r="I110" i="2"/>
  <c r="H110" i="2"/>
  <c r="G110" i="2"/>
  <c r="F110" i="2"/>
  <c r="E110" i="2"/>
  <c r="D110" i="2"/>
  <c r="C110" i="2"/>
  <c r="L109" i="2"/>
  <c r="K109" i="2"/>
  <c r="J109" i="2"/>
  <c r="I109" i="2"/>
  <c r="H109" i="2"/>
  <c r="G109" i="2"/>
  <c r="F109" i="2"/>
  <c r="E109" i="2"/>
  <c r="D109" i="2"/>
  <c r="C109" i="2"/>
  <c r="L108" i="2"/>
  <c r="K108" i="2"/>
  <c r="J108" i="2"/>
  <c r="I108" i="2"/>
  <c r="H108" i="2"/>
  <c r="G108" i="2"/>
  <c r="F108" i="2"/>
  <c r="E108" i="2"/>
  <c r="D108" i="2"/>
  <c r="C108" i="2"/>
  <c r="L107" i="2"/>
  <c r="K107" i="2"/>
  <c r="J107" i="2"/>
  <c r="I107" i="2"/>
  <c r="H107" i="2"/>
  <c r="G107" i="2"/>
  <c r="G111" i="2" s="1"/>
  <c r="F107" i="2"/>
  <c r="E107" i="2"/>
  <c r="D107" i="2"/>
  <c r="C107" i="2"/>
  <c r="L106" i="2"/>
  <c r="K106" i="2"/>
  <c r="J106" i="2"/>
  <c r="I106" i="2"/>
  <c r="H106" i="2"/>
  <c r="G106" i="2"/>
  <c r="F106" i="2"/>
  <c r="E106" i="2"/>
  <c r="E111" i="2" s="1"/>
  <c r="D106" i="2"/>
  <c r="C106" i="2"/>
  <c r="L105" i="2"/>
  <c r="L111" i="2" s="1"/>
  <c r="K105" i="2"/>
  <c r="K111" i="2" s="1"/>
  <c r="J105" i="2"/>
  <c r="I105" i="2"/>
  <c r="H105" i="2"/>
  <c r="G105" i="2"/>
  <c r="F105" i="2"/>
  <c r="E105" i="2"/>
  <c r="D105" i="2"/>
  <c r="C105" i="2"/>
  <c r="L101" i="2"/>
  <c r="K101" i="2"/>
  <c r="J101" i="2"/>
  <c r="I101" i="2"/>
  <c r="H101" i="2"/>
  <c r="G101" i="2"/>
  <c r="F101" i="2"/>
  <c r="E101" i="2"/>
  <c r="D101" i="2"/>
  <c r="C101" i="2"/>
  <c r="L100" i="2"/>
  <c r="K100" i="2"/>
  <c r="J100" i="2"/>
  <c r="I100" i="2"/>
  <c r="H100" i="2"/>
  <c r="G100" i="2"/>
  <c r="F100" i="2"/>
  <c r="E100" i="2"/>
  <c r="D100" i="2"/>
  <c r="C100" i="2"/>
  <c r="L99" i="2"/>
  <c r="K99" i="2"/>
  <c r="J99" i="2"/>
  <c r="I99" i="2"/>
  <c r="H99" i="2"/>
  <c r="G99" i="2"/>
  <c r="F99" i="2"/>
  <c r="E99" i="2"/>
  <c r="D99" i="2"/>
  <c r="C99" i="2"/>
  <c r="L98" i="2"/>
  <c r="K98" i="2"/>
  <c r="J98" i="2"/>
  <c r="I98" i="2"/>
  <c r="H98" i="2"/>
  <c r="G98" i="2"/>
  <c r="F98" i="2"/>
  <c r="E98" i="2"/>
  <c r="D98" i="2"/>
  <c r="C98" i="2"/>
  <c r="L97" i="2"/>
  <c r="K97" i="2"/>
  <c r="J97" i="2"/>
  <c r="I97" i="2"/>
  <c r="H97" i="2"/>
  <c r="G97" i="2"/>
  <c r="F97" i="2"/>
  <c r="E97" i="2"/>
  <c r="E102" i="2" s="1"/>
  <c r="D97" i="2"/>
  <c r="D102" i="2" s="1"/>
  <c r="C97" i="2"/>
  <c r="L96" i="2"/>
  <c r="K96" i="2"/>
  <c r="J96" i="2"/>
  <c r="I96" i="2"/>
  <c r="H96" i="2"/>
  <c r="G96" i="2"/>
  <c r="F96" i="2"/>
  <c r="E96" i="2"/>
  <c r="D96" i="2"/>
  <c r="C96" i="2"/>
  <c r="L95" i="2"/>
  <c r="K95" i="2"/>
  <c r="J95" i="2"/>
  <c r="I95" i="2"/>
  <c r="H95" i="2"/>
  <c r="G95" i="2"/>
  <c r="F95" i="2"/>
  <c r="E95" i="2"/>
  <c r="D95" i="2"/>
  <c r="C95" i="2"/>
  <c r="L94" i="2"/>
  <c r="K94" i="2"/>
  <c r="J94" i="2"/>
  <c r="I94" i="2"/>
  <c r="H94" i="2"/>
  <c r="G94" i="2"/>
  <c r="F94" i="2"/>
  <c r="E94" i="2"/>
  <c r="D94" i="2"/>
  <c r="C94" i="2"/>
  <c r="L93" i="2"/>
  <c r="K93" i="2"/>
  <c r="J93" i="2"/>
  <c r="I93" i="2"/>
  <c r="H93" i="2"/>
  <c r="G93" i="2"/>
  <c r="F93" i="2"/>
  <c r="E93" i="2"/>
  <c r="D93" i="2"/>
  <c r="C93" i="2"/>
  <c r="L92" i="2"/>
  <c r="H26" i="5" s="1"/>
  <c r="H27" i="5" s="1"/>
  <c r="K92" i="2"/>
  <c r="J92" i="2"/>
  <c r="I92" i="2"/>
  <c r="H92" i="2"/>
  <c r="D26" i="5" s="1"/>
  <c r="C75" i="6" s="1"/>
  <c r="G92" i="2"/>
  <c r="F92" i="2"/>
  <c r="F102" i="2" s="1"/>
  <c r="E92" i="2"/>
  <c r="D92" i="2"/>
  <c r="C92" i="2"/>
  <c r="C89" i="2"/>
  <c r="L88" i="2"/>
  <c r="L89" i="2" s="1"/>
  <c r="K88" i="2"/>
  <c r="K89" i="2" s="1"/>
  <c r="J88" i="2"/>
  <c r="I88" i="2"/>
  <c r="H88" i="2"/>
  <c r="G88" i="2"/>
  <c r="F88" i="2"/>
  <c r="E88" i="2"/>
  <c r="D88" i="2"/>
  <c r="C88" i="2"/>
  <c r="L87" i="2"/>
  <c r="K87" i="2"/>
  <c r="J87" i="2"/>
  <c r="I87" i="2"/>
  <c r="I89" i="2" s="1"/>
  <c r="H87" i="2"/>
  <c r="G87" i="2"/>
  <c r="F87" i="2"/>
  <c r="E87" i="2"/>
  <c r="D87" i="2"/>
  <c r="C87" i="2"/>
  <c r="L86" i="2"/>
  <c r="K86" i="2"/>
  <c r="J86" i="2"/>
  <c r="I86" i="2"/>
  <c r="H86" i="2"/>
  <c r="G86" i="2"/>
  <c r="F86" i="2"/>
  <c r="E86" i="2"/>
  <c r="D86" i="2"/>
  <c r="C86" i="2"/>
  <c r="L85" i="2"/>
  <c r="K85" i="2"/>
  <c r="J85" i="2"/>
  <c r="I85" i="2"/>
  <c r="H85" i="2"/>
  <c r="G85" i="2"/>
  <c r="F85" i="2"/>
  <c r="E85" i="2"/>
  <c r="D85" i="2"/>
  <c r="C85" i="2"/>
  <c r="L84" i="2"/>
  <c r="K84" i="2"/>
  <c r="J84" i="2"/>
  <c r="I84" i="2"/>
  <c r="H84" i="2"/>
  <c r="G84" i="2"/>
  <c r="F84" i="2"/>
  <c r="E84" i="2"/>
  <c r="D84" i="2"/>
  <c r="C84" i="2"/>
  <c r="L83" i="2"/>
  <c r="K83" i="2"/>
  <c r="J83" i="2"/>
  <c r="I83" i="2"/>
  <c r="H83" i="2"/>
  <c r="G83" i="2"/>
  <c r="F83" i="2"/>
  <c r="E83" i="2"/>
  <c r="D83" i="2"/>
  <c r="C83" i="2"/>
  <c r="L82" i="2"/>
  <c r="K82" i="2"/>
  <c r="J82" i="2"/>
  <c r="I82" i="2"/>
  <c r="H82" i="2"/>
  <c r="G82" i="2"/>
  <c r="F82" i="2"/>
  <c r="E82" i="2"/>
  <c r="D82" i="2"/>
  <c r="C82" i="2"/>
  <c r="L81" i="2"/>
  <c r="K81" i="2"/>
  <c r="J81" i="2"/>
  <c r="I81" i="2"/>
  <c r="H81" i="2"/>
  <c r="G81" i="2"/>
  <c r="F81" i="2"/>
  <c r="E81" i="2"/>
  <c r="D81" i="2"/>
  <c r="C81" i="2"/>
  <c r="L80" i="2"/>
  <c r="K80" i="2"/>
  <c r="J80" i="2"/>
  <c r="I80" i="2"/>
  <c r="H80" i="2"/>
  <c r="G80" i="2"/>
  <c r="F80" i="2"/>
  <c r="E80" i="2"/>
  <c r="D80" i="2"/>
  <c r="C80" i="2"/>
  <c r="B78" i="2"/>
  <c r="L72" i="2"/>
  <c r="K72" i="2"/>
  <c r="C72" i="2"/>
  <c r="L71" i="2"/>
  <c r="G53" i="6" s="1"/>
  <c r="H86" i="6" s="1"/>
  <c r="K71" i="2"/>
  <c r="J71" i="2"/>
  <c r="E53" i="6" s="1"/>
  <c r="F86" i="6" s="1"/>
  <c r="I71" i="2"/>
  <c r="D53" i="6" s="1"/>
  <c r="E86" i="6" s="1"/>
  <c r="H71" i="2"/>
  <c r="C53" i="6" s="1"/>
  <c r="D86" i="6" s="1"/>
  <c r="G71" i="2"/>
  <c r="F71" i="2"/>
  <c r="E71" i="2"/>
  <c r="D71" i="2"/>
  <c r="C71" i="2"/>
  <c r="L70" i="2"/>
  <c r="K70" i="2"/>
  <c r="F52" i="6" s="1"/>
  <c r="J70" i="2"/>
  <c r="E52" i="6" s="1"/>
  <c r="I70" i="2"/>
  <c r="D52" i="6" s="1"/>
  <c r="H70" i="2"/>
  <c r="C52" i="6" s="1"/>
  <c r="G70" i="2"/>
  <c r="G72" i="2" s="1"/>
  <c r="F70" i="2"/>
  <c r="F72" i="2" s="1"/>
  <c r="E70" i="2"/>
  <c r="D70" i="2"/>
  <c r="C70" i="2"/>
  <c r="L69" i="2"/>
  <c r="G51" i="6" s="1"/>
  <c r="K69" i="2"/>
  <c r="F51" i="6" s="1"/>
  <c r="J69" i="2"/>
  <c r="E51" i="6" s="1"/>
  <c r="I69" i="2"/>
  <c r="H69" i="2"/>
  <c r="G69" i="2"/>
  <c r="F69" i="2"/>
  <c r="E69" i="2"/>
  <c r="E72" i="2" s="1"/>
  <c r="E74" i="2" s="1"/>
  <c r="D69" i="2"/>
  <c r="C69" i="2"/>
  <c r="C27" i="3" s="1"/>
  <c r="L66" i="2"/>
  <c r="G48" i="6" s="1"/>
  <c r="K66" i="2"/>
  <c r="F48" i="6" s="1"/>
  <c r="F70" i="6" s="1"/>
  <c r="J66" i="2"/>
  <c r="I66" i="2"/>
  <c r="D48" i="6" s="1"/>
  <c r="H66" i="2"/>
  <c r="G66" i="2"/>
  <c r="G32" i="5" s="1"/>
  <c r="F66" i="2"/>
  <c r="E66" i="2"/>
  <c r="D66" i="2"/>
  <c r="D32" i="5" s="1"/>
  <c r="C66" i="2"/>
  <c r="C32" i="5" s="1"/>
  <c r="L65" i="2"/>
  <c r="G47" i="6" s="1"/>
  <c r="K65" i="2"/>
  <c r="J65" i="2"/>
  <c r="E47" i="6" s="1"/>
  <c r="I65" i="2"/>
  <c r="D47" i="6" s="1"/>
  <c r="H65" i="2"/>
  <c r="G65" i="2"/>
  <c r="G34" i="5" s="1"/>
  <c r="F65" i="2"/>
  <c r="F34" i="5" s="1"/>
  <c r="E65" i="2"/>
  <c r="E34" i="5" s="1"/>
  <c r="D65" i="2"/>
  <c r="C65" i="2"/>
  <c r="C34" i="5" s="1"/>
  <c r="L64" i="2"/>
  <c r="K64" i="2"/>
  <c r="J64" i="2"/>
  <c r="E46" i="6" s="1"/>
  <c r="I64" i="2"/>
  <c r="D46" i="6" s="1"/>
  <c r="D77" i="6" s="1"/>
  <c r="H64" i="2"/>
  <c r="H33" i="5" s="1"/>
  <c r="G64" i="2"/>
  <c r="G33" i="5" s="1"/>
  <c r="F64" i="2"/>
  <c r="F33" i="5" s="1"/>
  <c r="E64" i="2"/>
  <c r="E33" i="5" s="1"/>
  <c r="D64" i="2"/>
  <c r="C64" i="2"/>
  <c r="L63" i="2"/>
  <c r="G45" i="6" s="1"/>
  <c r="K63" i="2"/>
  <c r="F45" i="6" s="1"/>
  <c r="J63" i="2"/>
  <c r="E45" i="6" s="1"/>
  <c r="E49" i="6" s="1"/>
  <c r="I63" i="2"/>
  <c r="H63" i="2"/>
  <c r="G63" i="2"/>
  <c r="F63" i="2"/>
  <c r="F67" i="2" s="1"/>
  <c r="E63" i="2"/>
  <c r="E67" i="2" s="1"/>
  <c r="D63" i="2"/>
  <c r="C63" i="2"/>
  <c r="C30" i="3" s="1"/>
  <c r="L60" i="2"/>
  <c r="K60" i="2"/>
  <c r="F42" i="6" s="1"/>
  <c r="J60" i="2"/>
  <c r="E42" i="6" s="1"/>
  <c r="I60" i="2"/>
  <c r="D42" i="6" s="1"/>
  <c r="D43" i="6" s="1"/>
  <c r="H60" i="2"/>
  <c r="G60" i="2"/>
  <c r="G31" i="5" s="1"/>
  <c r="F60" i="2"/>
  <c r="F31" i="5" s="1"/>
  <c r="E60" i="2"/>
  <c r="E31" i="5" s="1"/>
  <c r="D60" i="2"/>
  <c r="D31" i="5" s="1"/>
  <c r="C60" i="2"/>
  <c r="C31" i="5" s="1"/>
  <c r="L59" i="2"/>
  <c r="G41" i="6" s="1"/>
  <c r="G69" i="6" s="1"/>
  <c r="K59" i="2"/>
  <c r="F41" i="6" s="1"/>
  <c r="J59" i="2"/>
  <c r="E41" i="6" s="1"/>
  <c r="I59" i="2"/>
  <c r="D41" i="6" s="1"/>
  <c r="D69" i="6" s="1"/>
  <c r="H59" i="2"/>
  <c r="C41" i="6" s="1"/>
  <c r="G59" i="2"/>
  <c r="F59" i="2"/>
  <c r="E59" i="2"/>
  <c r="D59" i="2"/>
  <c r="C59" i="2"/>
  <c r="L58" i="2"/>
  <c r="G40" i="6" s="1"/>
  <c r="K58" i="2"/>
  <c r="F40" i="6" s="1"/>
  <c r="J58" i="2"/>
  <c r="I58" i="2"/>
  <c r="H58" i="2"/>
  <c r="G58" i="2"/>
  <c r="G35" i="5" s="1"/>
  <c r="F58" i="2"/>
  <c r="F35" i="5" s="1"/>
  <c r="E58" i="2"/>
  <c r="E35" i="5" s="1"/>
  <c r="D58" i="2"/>
  <c r="C58" i="2"/>
  <c r="L57" i="2"/>
  <c r="G39" i="6" s="1"/>
  <c r="K57" i="2"/>
  <c r="F39" i="6" s="1"/>
  <c r="J57" i="2"/>
  <c r="I57" i="2"/>
  <c r="D39" i="6" s="1"/>
  <c r="H57" i="2"/>
  <c r="C39" i="6" s="1"/>
  <c r="G57" i="2"/>
  <c r="F57" i="2"/>
  <c r="E57" i="2"/>
  <c r="D57" i="2"/>
  <c r="C57" i="2"/>
  <c r="L56" i="2"/>
  <c r="K56" i="2"/>
  <c r="J56" i="2"/>
  <c r="F38" i="6" s="1"/>
  <c r="I56" i="2"/>
  <c r="H56" i="2"/>
  <c r="G56" i="2"/>
  <c r="F56" i="2"/>
  <c r="E56" i="2"/>
  <c r="D56" i="2"/>
  <c r="C56" i="2"/>
  <c r="C61" i="2" s="1"/>
  <c r="B55" i="2"/>
  <c r="I50" i="2"/>
  <c r="H50" i="2"/>
  <c r="G50" i="2"/>
  <c r="F50" i="2"/>
  <c r="L45" i="2"/>
  <c r="L50" i="2" s="1"/>
  <c r="K45" i="2"/>
  <c r="K50" i="2" s="1"/>
  <c r="J45" i="2"/>
  <c r="J50" i="2" s="1"/>
  <c r="I45" i="2"/>
  <c r="H45" i="2"/>
  <c r="G45" i="2"/>
  <c r="F45" i="2"/>
  <c r="E45" i="2"/>
  <c r="E50" i="2" s="1"/>
  <c r="D45" i="2"/>
  <c r="D50" i="2" s="1"/>
  <c r="C45" i="2"/>
  <c r="C50" i="2" s="1"/>
  <c r="L39" i="2"/>
  <c r="G31" i="6" s="1"/>
  <c r="K39" i="2"/>
  <c r="F31" i="6" s="1"/>
  <c r="J39" i="2"/>
  <c r="I39" i="2"/>
  <c r="H39" i="2"/>
  <c r="G39" i="2"/>
  <c r="F39" i="2"/>
  <c r="E39" i="2"/>
  <c r="D39" i="2"/>
  <c r="C39" i="2"/>
  <c r="D34" i="2"/>
  <c r="C34" i="2"/>
  <c r="L33" i="2"/>
  <c r="H14" i="5" s="1"/>
  <c r="I14" i="5" s="1"/>
  <c r="J14" i="5" s="1"/>
  <c r="K33" i="2"/>
  <c r="J33" i="2"/>
  <c r="I33" i="2"/>
  <c r="H33" i="2"/>
  <c r="G33" i="2"/>
  <c r="F33" i="2"/>
  <c r="E33" i="2"/>
  <c r="D33" i="2"/>
  <c r="C33" i="2"/>
  <c r="L28" i="2"/>
  <c r="L18" i="3" s="1"/>
  <c r="J28" i="2"/>
  <c r="H28" i="2"/>
  <c r="G28" i="2"/>
  <c r="F28" i="2"/>
  <c r="F18" i="3" s="1"/>
  <c r="E28" i="2"/>
  <c r="E18" i="3" s="1"/>
  <c r="D28" i="2"/>
  <c r="D18" i="3" s="1"/>
  <c r="L27" i="2"/>
  <c r="K27" i="2"/>
  <c r="J27" i="2"/>
  <c r="F13" i="5" s="1"/>
  <c r="I27" i="2"/>
  <c r="H27" i="2"/>
  <c r="C22" i="6" s="1"/>
  <c r="G27" i="2"/>
  <c r="C13" i="5" s="1"/>
  <c r="F27" i="2"/>
  <c r="E27" i="2"/>
  <c r="D27" i="2"/>
  <c r="C27" i="2"/>
  <c r="C28" i="2" s="1"/>
  <c r="C18" i="3" s="1"/>
  <c r="I25" i="2"/>
  <c r="H25" i="2"/>
  <c r="E25" i="2"/>
  <c r="C25" i="2"/>
  <c r="L24" i="2"/>
  <c r="K24" i="2"/>
  <c r="J24" i="2"/>
  <c r="I24" i="2"/>
  <c r="H24" i="2"/>
  <c r="G24" i="2"/>
  <c r="F24" i="2"/>
  <c r="E24" i="2"/>
  <c r="D24" i="2"/>
  <c r="D25" i="2" s="1"/>
  <c r="C24" i="2"/>
  <c r="K19" i="2"/>
  <c r="J19" i="2"/>
  <c r="I19" i="2"/>
  <c r="H19" i="2"/>
  <c r="G19" i="2"/>
  <c r="C10" i="5" s="1"/>
  <c r="F19" i="2"/>
  <c r="E19" i="2"/>
  <c r="D19" i="2"/>
  <c r="C19" i="2"/>
  <c r="C17" i="3" s="1"/>
  <c r="L18" i="2"/>
  <c r="K18" i="2"/>
  <c r="F15" i="6" s="1"/>
  <c r="J18" i="2"/>
  <c r="E15" i="6" s="1"/>
  <c r="I18" i="2"/>
  <c r="D15" i="6" s="1"/>
  <c r="H18" i="2"/>
  <c r="C15" i="6" s="1"/>
  <c r="G18" i="2"/>
  <c r="F18" i="2"/>
  <c r="E18" i="2"/>
  <c r="D18" i="2"/>
  <c r="C18" i="2"/>
  <c r="I16" i="2"/>
  <c r="I15" i="2"/>
  <c r="I21" i="2" s="1"/>
  <c r="L13" i="2"/>
  <c r="H8" i="5" s="1"/>
  <c r="K13" i="2"/>
  <c r="G8" i="5" s="1"/>
  <c r="J13" i="2"/>
  <c r="F8" i="5" s="1"/>
  <c r="I13" i="2"/>
  <c r="E8" i="5" s="1"/>
  <c r="H13" i="2"/>
  <c r="D8" i="5" s="1"/>
  <c r="E13" i="2"/>
  <c r="L12" i="2"/>
  <c r="L28" i="3" s="1"/>
  <c r="L34" i="3" s="1"/>
  <c r="H21" i="5" s="1"/>
  <c r="K12" i="2"/>
  <c r="F9" i="6" s="1"/>
  <c r="J12" i="2"/>
  <c r="I12" i="2"/>
  <c r="H12" i="2"/>
  <c r="G12" i="2"/>
  <c r="F12" i="2"/>
  <c r="E12" i="2"/>
  <c r="D12" i="2"/>
  <c r="C12" i="2"/>
  <c r="C29" i="3" s="1"/>
  <c r="L10" i="2"/>
  <c r="I10" i="2"/>
  <c r="G10" i="2"/>
  <c r="F10" i="2"/>
  <c r="F5" i="3" s="1"/>
  <c r="E10" i="2"/>
  <c r="E5" i="3" s="1"/>
  <c r="D10" i="2"/>
  <c r="L9" i="2"/>
  <c r="K9" i="2"/>
  <c r="J9" i="2"/>
  <c r="I9" i="2"/>
  <c r="H9" i="2"/>
  <c r="H15" i="2" s="1"/>
  <c r="H21" i="2" s="1"/>
  <c r="H30" i="2" s="1"/>
  <c r="G9" i="2"/>
  <c r="F9" i="2"/>
  <c r="E9" i="2"/>
  <c r="E34" i="2" s="1"/>
  <c r="D9" i="2"/>
  <c r="D27" i="3" s="1"/>
  <c r="D33" i="3" s="1"/>
  <c r="C9" i="2"/>
  <c r="C31" i="3" s="1"/>
  <c r="B7" i="2"/>
  <c r="L5" i="2"/>
  <c r="K5" i="2"/>
  <c r="K3" i="3" s="1"/>
  <c r="J5" i="2"/>
  <c r="J3" i="3" s="1"/>
  <c r="I5" i="2"/>
  <c r="I3" i="3" s="1"/>
  <c r="H5" i="2"/>
  <c r="H3" i="3" s="1"/>
  <c r="G5" i="2"/>
  <c r="G3" i="3" s="1"/>
  <c r="F5" i="2"/>
  <c r="F3" i="3" s="1"/>
  <c r="E5" i="2"/>
  <c r="E3" i="3" s="1"/>
  <c r="D5" i="2"/>
  <c r="C5" i="2"/>
  <c r="C3" i="3" s="1"/>
  <c r="B4" i="2"/>
  <c r="G37" i="6" l="1"/>
  <c r="G61" i="6" s="1"/>
  <c r="H2" i="17"/>
  <c r="G75" i="6"/>
  <c r="I77" i="6"/>
  <c r="J77" i="6"/>
  <c r="L77" i="6"/>
  <c r="F5" i="6"/>
  <c r="I9" i="5"/>
  <c r="I11" i="5" s="1"/>
  <c r="H19" i="6" s="1"/>
  <c r="J9" i="5"/>
  <c r="J11" i="5" s="1"/>
  <c r="I19" i="6" s="1"/>
  <c r="K9" i="5"/>
  <c r="K11" i="5" s="1"/>
  <c r="J19" i="6" s="1"/>
  <c r="L10" i="6"/>
  <c r="H31" i="2"/>
  <c r="H13" i="3" s="1"/>
  <c r="H19" i="3" s="1"/>
  <c r="H25" i="3"/>
  <c r="H21" i="3"/>
  <c r="H36" i="2"/>
  <c r="L61" i="2"/>
  <c r="L31" i="3"/>
  <c r="H9" i="3"/>
  <c r="C5" i="6"/>
  <c r="C37" i="6" s="1"/>
  <c r="C61" i="6" s="1"/>
  <c r="D19" i="5"/>
  <c r="D25" i="5" s="1"/>
  <c r="D30" i="5" s="1"/>
  <c r="L19" i="2"/>
  <c r="G15" i="6"/>
  <c r="J9" i="3"/>
  <c r="D89" i="2"/>
  <c r="G9" i="3"/>
  <c r="K74" i="2"/>
  <c r="K39" i="3" s="1"/>
  <c r="E40" i="6"/>
  <c r="J31" i="3"/>
  <c r="J61" i="2"/>
  <c r="E76" i="2"/>
  <c r="C26" i="5"/>
  <c r="C27" i="5" s="1"/>
  <c r="G102" i="2"/>
  <c r="G113" i="2" s="1"/>
  <c r="I102" i="2"/>
  <c r="D51" i="6"/>
  <c r="I72" i="2"/>
  <c r="G21" i="5"/>
  <c r="F46" i="6"/>
  <c r="K67" i="2"/>
  <c r="G13" i="5"/>
  <c r="F22" i="6"/>
  <c r="K28" i="2"/>
  <c r="K18" i="3" s="1"/>
  <c r="O18" i="3" s="1"/>
  <c r="L9" i="3"/>
  <c r="K9" i="3"/>
  <c r="G46" i="6"/>
  <c r="L67" i="2"/>
  <c r="L74" i="2" s="1"/>
  <c r="C48" i="6"/>
  <c r="H32" i="5"/>
  <c r="H67" i="2"/>
  <c r="D72" i="2"/>
  <c r="E89" i="2"/>
  <c r="K40" i="3"/>
  <c r="K38" i="3"/>
  <c r="D21" i="5"/>
  <c r="H36" i="3"/>
  <c r="H72" i="2"/>
  <c r="H74" i="2" s="1"/>
  <c r="H76" i="2" s="1"/>
  <c r="C51" i="6"/>
  <c r="C54" i="6" s="1"/>
  <c r="C56" i="6" s="1"/>
  <c r="D7" i="6"/>
  <c r="I5" i="3"/>
  <c r="E7" i="5"/>
  <c r="D22" i="6"/>
  <c r="I30" i="2"/>
  <c r="I28" i="2"/>
  <c r="I18" i="3" s="1"/>
  <c r="E13" i="5"/>
  <c r="E70" i="6"/>
  <c r="L113" i="2"/>
  <c r="H22" i="2"/>
  <c r="G34" i="8"/>
  <c r="H21" i="4" s="1"/>
  <c r="H35" i="5"/>
  <c r="I35" i="5" s="1"/>
  <c r="C40" i="6"/>
  <c r="C43" i="6" s="1"/>
  <c r="D31" i="3"/>
  <c r="D61" i="2"/>
  <c r="E19" i="5"/>
  <c r="E25" i="5" s="1"/>
  <c r="E30" i="5" s="1"/>
  <c r="D5" i="6"/>
  <c r="D37" i="6" s="1"/>
  <c r="D61" i="6" s="1"/>
  <c r="C7" i="5"/>
  <c r="G5" i="3"/>
  <c r="I6" i="3"/>
  <c r="H34" i="8"/>
  <c r="I21" i="4" s="1"/>
  <c r="I22" i="2"/>
  <c r="E21" i="6"/>
  <c r="F12" i="5"/>
  <c r="J25" i="2"/>
  <c r="C27" i="6"/>
  <c r="D14" i="5"/>
  <c r="H34" i="2"/>
  <c r="D31" i="6"/>
  <c r="G67" i="2"/>
  <c r="G74" i="2" s="1"/>
  <c r="G76" i="2" s="1"/>
  <c r="L38" i="3"/>
  <c r="L40" i="3"/>
  <c r="H16" i="2"/>
  <c r="G12" i="5"/>
  <c r="K25" i="2"/>
  <c r="F21" i="6"/>
  <c r="D27" i="6"/>
  <c r="E14" i="5"/>
  <c r="I34" i="2"/>
  <c r="E31" i="6"/>
  <c r="F74" i="2"/>
  <c r="C111" i="2"/>
  <c r="C113" i="2" s="1"/>
  <c r="C34" i="3"/>
  <c r="H12" i="5"/>
  <c r="I12" i="5" s="1"/>
  <c r="G21" i="6"/>
  <c r="L25" i="2"/>
  <c r="F9" i="3"/>
  <c r="F27" i="6"/>
  <c r="G14" i="5"/>
  <c r="K34" i="2"/>
  <c r="G82" i="6"/>
  <c r="G70" i="6"/>
  <c r="M11" i="5"/>
  <c r="L19" i="6" s="1"/>
  <c r="D29" i="3"/>
  <c r="D35" i="3" s="1"/>
  <c r="D36" i="3" s="1"/>
  <c r="D13" i="2"/>
  <c r="H102" i="2"/>
  <c r="F10" i="5"/>
  <c r="J17" i="3"/>
  <c r="F89" i="2"/>
  <c r="G30" i="3"/>
  <c r="G31" i="3"/>
  <c r="G27" i="3"/>
  <c r="G33" i="3" s="1"/>
  <c r="C20" i="5" s="1"/>
  <c r="C74" i="2"/>
  <c r="C76" i="2" s="1"/>
  <c r="E27" i="6"/>
  <c r="F14" i="5"/>
  <c r="I27" i="6"/>
  <c r="K14" i="5"/>
  <c r="H17" i="3"/>
  <c r="D10" i="5"/>
  <c r="K102" i="2"/>
  <c r="K113" i="2" s="1"/>
  <c r="E28" i="3"/>
  <c r="E34" i="3" s="1"/>
  <c r="E29" i="3"/>
  <c r="E35" i="3" s="1"/>
  <c r="N35" i="3" s="1"/>
  <c r="I17" i="3"/>
  <c r="E10" i="5"/>
  <c r="J67" i="2"/>
  <c r="I111" i="2"/>
  <c r="G34" i="2"/>
  <c r="E61" i="2"/>
  <c r="G15" i="2"/>
  <c r="H89" i="2"/>
  <c r="G26" i="5"/>
  <c r="I31" i="3"/>
  <c r="I27" i="3"/>
  <c r="I33" i="3" s="1"/>
  <c r="E20" i="5" s="1"/>
  <c r="D9" i="6"/>
  <c r="D10" i="6" s="1"/>
  <c r="I29" i="3"/>
  <c r="I35" i="3" s="1"/>
  <c r="E22" i="5" s="1"/>
  <c r="G61" i="2"/>
  <c r="I61" i="2"/>
  <c r="G76" i="6"/>
  <c r="D68" i="6"/>
  <c r="D16" i="6"/>
  <c r="F71" i="6"/>
  <c r="F61" i="2"/>
  <c r="I67" i="2"/>
  <c r="D45" i="6"/>
  <c r="D49" i="6" s="1"/>
  <c r="E5" i="6"/>
  <c r="E37" i="6" s="1"/>
  <c r="E61" i="6" s="1"/>
  <c r="E21" i="5"/>
  <c r="I36" i="3"/>
  <c r="F31" i="3"/>
  <c r="F27" i="3"/>
  <c r="F33" i="3" s="1"/>
  <c r="G29" i="3"/>
  <c r="G35" i="3" s="1"/>
  <c r="C22" i="5" s="1"/>
  <c r="G13" i="2"/>
  <c r="C8" i="5" s="1"/>
  <c r="C9" i="6"/>
  <c r="H29" i="3"/>
  <c r="H35" i="3" s="1"/>
  <c r="D22" i="5" s="1"/>
  <c r="H61" i="2"/>
  <c r="F25" i="2"/>
  <c r="J34" i="2"/>
  <c r="J89" i="2"/>
  <c r="C38" i="3"/>
  <c r="L9" i="5"/>
  <c r="L11" i="5" s="1"/>
  <c r="K19" i="6" s="1"/>
  <c r="E9" i="5"/>
  <c r="I11" i="3"/>
  <c r="F28" i="3"/>
  <c r="F34" i="3" s="1"/>
  <c r="F29" i="3"/>
  <c r="F35" i="3" s="1"/>
  <c r="F13" i="2"/>
  <c r="E26" i="5"/>
  <c r="H31" i="3"/>
  <c r="N31" i="3" s="1"/>
  <c r="H27" i="3"/>
  <c r="H33" i="3" s="1"/>
  <c r="D20" i="5" s="1"/>
  <c r="H10" i="2"/>
  <c r="E9" i="6"/>
  <c r="J29" i="3"/>
  <c r="J35" i="3" s="1"/>
  <c r="F22" i="5" s="1"/>
  <c r="K31" i="3"/>
  <c r="O31" i="3" s="1"/>
  <c r="K27" i="3"/>
  <c r="K33" i="3" s="1"/>
  <c r="G20" i="5" s="1"/>
  <c r="F6" i="6"/>
  <c r="F12" i="6" s="1"/>
  <c r="K10" i="2"/>
  <c r="K15" i="2"/>
  <c r="C12" i="5"/>
  <c r="G25" i="2"/>
  <c r="L34" i="2"/>
  <c r="H111" i="2"/>
  <c r="I9" i="3"/>
  <c r="D27" i="5"/>
  <c r="G9" i="6"/>
  <c r="L5" i="3"/>
  <c r="G7" i="6"/>
  <c r="H31" i="5"/>
  <c r="C42" i="6"/>
  <c r="D70" i="6" s="1"/>
  <c r="J102" i="2"/>
  <c r="H27" i="6"/>
  <c r="E30" i="3"/>
  <c r="N30" i="3" s="1"/>
  <c r="E31" i="3"/>
  <c r="E27" i="3"/>
  <c r="D15" i="2"/>
  <c r="L102" i="2"/>
  <c r="E15" i="2"/>
  <c r="K17" i="3"/>
  <c r="G10" i="5"/>
  <c r="H7" i="5"/>
  <c r="D12" i="5"/>
  <c r="C21" i="6"/>
  <c r="F43" i="6"/>
  <c r="C67" i="2"/>
  <c r="E32" i="5"/>
  <c r="C102" i="2"/>
  <c r="F30" i="3"/>
  <c r="G71" i="6"/>
  <c r="C15" i="2"/>
  <c r="F15" i="2"/>
  <c r="G89" i="2"/>
  <c r="F26" i="5"/>
  <c r="E6" i="6"/>
  <c r="J27" i="3"/>
  <c r="J33" i="3" s="1"/>
  <c r="F20" i="5" s="1"/>
  <c r="J10" i="2"/>
  <c r="J15" i="2"/>
  <c r="M26" i="5"/>
  <c r="L75" i="6" s="1"/>
  <c r="L26" i="5"/>
  <c r="K75" i="6" s="1"/>
  <c r="G6" i="6"/>
  <c r="K26" i="5"/>
  <c r="J75" i="6" s="1"/>
  <c r="J26" i="5"/>
  <c r="I75" i="6" s="1"/>
  <c r="I26" i="5"/>
  <c r="H75" i="6" s="1"/>
  <c r="L15" i="2"/>
  <c r="L30" i="3"/>
  <c r="C13" i="2"/>
  <c r="E12" i="5"/>
  <c r="D21" i="6"/>
  <c r="C64" i="6"/>
  <c r="G38" i="6"/>
  <c r="G43" i="6" s="1"/>
  <c r="K61" i="2"/>
  <c r="D67" i="2"/>
  <c r="E77" i="6"/>
  <c r="F32" i="5"/>
  <c r="J72" i="2"/>
  <c r="J74" i="2" s="1"/>
  <c r="J111" i="2"/>
  <c r="F111" i="2"/>
  <c r="L27" i="3"/>
  <c r="L33" i="3" s="1"/>
  <c r="H20" i="5" s="1"/>
  <c r="H30" i="3"/>
  <c r="K77" i="6"/>
  <c r="E54" i="6"/>
  <c r="E56" i="6" s="1"/>
  <c r="E67" i="6"/>
  <c r="H19" i="5"/>
  <c r="H25" i="5" s="1"/>
  <c r="H30" i="5" s="1"/>
  <c r="I5" i="5"/>
  <c r="H45" i="6"/>
  <c r="G49" i="6"/>
  <c r="C47" i="6"/>
  <c r="C49" i="6" s="1"/>
  <c r="H34" i="5"/>
  <c r="I34" i="5" s="1"/>
  <c r="F34" i="2"/>
  <c r="D76" i="6"/>
  <c r="G54" i="6"/>
  <c r="F54" i="6"/>
  <c r="F67" i="6"/>
  <c r="C16" i="6"/>
  <c r="H13" i="5"/>
  <c r="I13" i="5" s="1"/>
  <c r="G22" i="6"/>
  <c r="D30" i="3"/>
  <c r="E76" i="6"/>
  <c r="D111" i="2"/>
  <c r="D113" i="2" s="1"/>
  <c r="F37" i="6" l="1"/>
  <c r="F61" i="6" s="1"/>
  <c r="G2" i="17"/>
  <c r="G10" i="6"/>
  <c r="E12" i="6"/>
  <c r="E13" i="6" s="1"/>
  <c r="G16" i="6"/>
  <c r="L76" i="2"/>
  <c r="L39" i="3"/>
  <c r="J21" i="2"/>
  <c r="J16" i="2"/>
  <c r="H77" i="6"/>
  <c r="G77" i="6"/>
  <c r="G78" i="6" s="1"/>
  <c r="H10" i="5"/>
  <c r="L17" i="3"/>
  <c r="O17" i="3" s="1"/>
  <c r="J5" i="5"/>
  <c r="I19" i="5"/>
  <c r="I25" i="5" s="1"/>
  <c r="I30" i="5" s="1"/>
  <c r="I38" i="5" s="1"/>
  <c r="H5" i="6"/>
  <c r="O30" i="3"/>
  <c r="E75" i="6"/>
  <c r="E78" i="6" s="1"/>
  <c r="F27" i="5"/>
  <c r="G27" i="5"/>
  <c r="F75" i="6"/>
  <c r="J27" i="6"/>
  <c r="L14" i="5"/>
  <c r="G64" i="6"/>
  <c r="C7" i="6"/>
  <c r="D7" i="5"/>
  <c r="H5" i="3"/>
  <c r="H38" i="3"/>
  <c r="H40" i="3"/>
  <c r="H39" i="3"/>
  <c r="C36" i="3"/>
  <c r="O34" i="3"/>
  <c r="N34" i="3"/>
  <c r="J13" i="5"/>
  <c r="H22" i="6"/>
  <c r="N18" i="3"/>
  <c r="C16" i="2"/>
  <c r="C11" i="3" s="1"/>
  <c r="C21" i="2"/>
  <c r="E21" i="2"/>
  <c r="E16" i="2"/>
  <c r="E11" i="3" s="1"/>
  <c r="D75" i="6"/>
  <c r="D78" i="6" s="1"/>
  <c r="E27" i="5"/>
  <c r="G21" i="2"/>
  <c r="G16" i="2"/>
  <c r="D12" i="6"/>
  <c r="F56" i="6"/>
  <c r="F58" i="6" s="1"/>
  <c r="L16" i="2"/>
  <c r="L21" i="2"/>
  <c r="H113" i="2"/>
  <c r="C10" i="6"/>
  <c r="C12" i="6"/>
  <c r="C39" i="3"/>
  <c r="E40" i="3"/>
  <c r="E38" i="3"/>
  <c r="E39" i="3"/>
  <c r="D40" i="3"/>
  <c r="D38" i="3"/>
  <c r="O38" i="3" s="1"/>
  <c r="H42" i="2"/>
  <c r="H37" i="2"/>
  <c r="H14" i="3" s="1"/>
  <c r="H40" i="2"/>
  <c r="D16" i="5" s="1"/>
  <c r="E35" i="15" s="1"/>
  <c r="D82" i="6"/>
  <c r="N38" i="3"/>
  <c r="J12" i="5"/>
  <c r="H21" i="6"/>
  <c r="G40" i="3"/>
  <c r="G38" i="3"/>
  <c r="G39" i="3"/>
  <c r="O35" i="3"/>
  <c r="F64" i="6"/>
  <c r="F77" i="6"/>
  <c r="F49" i="6"/>
  <c r="E71" i="6"/>
  <c r="L36" i="3"/>
  <c r="F10" i="6"/>
  <c r="G56" i="6"/>
  <c r="G58" i="6" s="1"/>
  <c r="F36" i="3"/>
  <c r="I113" i="2"/>
  <c r="I7" i="3"/>
  <c r="I31" i="2"/>
  <c r="I13" i="3" s="1"/>
  <c r="I19" i="3" s="1"/>
  <c r="I21" i="3"/>
  <c r="I25" i="3"/>
  <c r="I36" i="2"/>
  <c r="D74" i="2"/>
  <c r="D76" i="2" s="1"/>
  <c r="I74" i="2"/>
  <c r="F7" i="6"/>
  <c r="G7" i="5"/>
  <c r="K5" i="3"/>
  <c r="N9" i="3"/>
  <c r="O9" i="3"/>
  <c r="F13" i="6"/>
  <c r="F18" i="6"/>
  <c r="F19" i="6" s="1"/>
  <c r="C58" i="6"/>
  <c r="H12" i="3"/>
  <c r="D11" i="5"/>
  <c r="J39" i="3"/>
  <c r="J40" i="3"/>
  <c r="J38" i="3"/>
  <c r="O28" i="3"/>
  <c r="N28" i="3"/>
  <c r="F21" i="2"/>
  <c r="F16" i="2"/>
  <c r="F11" i="3" s="1"/>
  <c r="E16" i="6"/>
  <c r="E82" i="6"/>
  <c r="E43" i="6"/>
  <c r="E58" i="6" s="1"/>
  <c r="N29" i="3"/>
  <c r="O29" i="3"/>
  <c r="F113" i="2"/>
  <c r="J113" i="2"/>
  <c r="J76" i="2"/>
  <c r="D21" i="2"/>
  <c r="D16" i="2"/>
  <c r="D11" i="3" s="1"/>
  <c r="G36" i="3"/>
  <c r="F82" i="6"/>
  <c r="D64" i="6"/>
  <c r="D67" i="6"/>
  <c r="D54" i="6"/>
  <c r="D56" i="6" s="1"/>
  <c r="D58" i="6" s="1"/>
  <c r="I45" i="6"/>
  <c r="E7" i="6"/>
  <c r="F7" i="5"/>
  <c r="J5" i="3"/>
  <c r="J36" i="3"/>
  <c r="E10" i="6"/>
  <c r="E36" i="3"/>
  <c r="D9" i="5"/>
  <c r="H11" i="3"/>
  <c r="H40" i="6"/>
  <c r="H82" i="6" s="1"/>
  <c r="J35" i="5"/>
  <c r="F16" i="6"/>
  <c r="D71" i="6"/>
  <c r="F76" i="2"/>
  <c r="K76" i="2"/>
  <c r="J34" i="5"/>
  <c r="H47" i="6"/>
  <c r="H76" i="6" s="1"/>
  <c r="H6" i="6"/>
  <c r="G12" i="6"/>
  <c r="E33" i="3"/>
  <c r="O27" i="3"/>
  <c r="N27" i="3"/>
  <c r="F38" i="3"/>
  <c r="F39" i="3"/>
  <c r="F40" i="3"/>
  <c r="I12" i="3"/>
  <c r="E11" i="5"/>
  <c r="K16" i="2"/>
  <c r="K21" i="2"/>
  <c r="E113" i="2"/>
  <c r="K36" i="3"/>
  <c r="F24" i="6" l="1"/>
  <c r="G4" i="17" s="1"/>
  <c r="H78" i="6"/>
  <c r="H37" i="6"/>
  <c r="H61" i="6" s="1"/>
  <c r="I2" i="17"/>
  <c r="E37" i="15"/>
  <c r="E56" i="15" s="1"/>
  <c r="E45" i="15"/>
  <c r="E18" i="6"/>
  <c r="E19" i="6" s="1"/>
  <c r="G11" i="3"/>
  <c r="C9" i="5"/>
  <c r="I5" i="6"/>
  <c r="K5" i="5"/>
  <c r="J19" i="5"/>
  <c r="J25" i="5" s="1"/>
  <c r="J30" i="5" s="1"/>
  <c r="J38" i="5" s="1"/>
  <c r="K35" i="5"/>
  <c r="I40" i="6"/>
  <c r="I82" i="6" s="1"/>
  <c r="I37" i="2"/>
  <c r="I14" i="3" s="1"/>
  <c r="I42" i="2"/>
  <c r="I40" i="2"/>
  <c r="E16" i="5" s="1"/>
  <c r="F35" i="15" s="1"/>
  <c r="D34" i="8"/>
  <c r="E21" i="4" s="1"/>
  <c r="E22" i="2"/>
  <c r="E12" i="3" s="1"/>
  <c r="E6" i="3"/>
  <c r="E30" i="2"/>
  <c r="K27" i="6"/>
  <c r="M14" i="5"/>
  <c r="L27" i="6" s="1"/>
  <c r="J22" i="2"/>
  <c r="J6" i="3"/>
  <c r="I34" i="8"/>
  <c r="J21" i="4" s="1"/>
  <c r="J30" i="2"/>
  <c r="K11" i="3"/>
  <c r="G9" i="5"/>
  <c r="I76" i="2"/>
  <c r="I39" i="3"/>
  <c r="O39" i="3" s="1"/>
  <c r="G6" i="3"/>
  <c r="G22" i="2"/>
  <c r="F34" i="8"/>
  <c r="G21" i="4" s="1"/>
  <c r="G30" i="2"/>
  <c r="H6" i="3"/>
  <c r="K34" i="8"/>
  <c r="L21" i="4" s="1"/>
  <c r="L6" i="3"/>
  <c r="L22" i="2"/>
  <c r="L30" i="2"/>
  <c r="O36" i="3"/>
  <c r="N36" i="3"/>
  <c r="E34" i="8"/>
  <c r="F21" i="4" s="1"/>
  <c r="F22" i="2"/>
  <c r="F12" i="3" s="1"/>
  <c r="F6" i="3"/>
  <c r="F30" i="2"/>
  <c r="N5" i="3"/>
  <c r="O5" i="3"/>
  <c r="O40" i="3"/>
  <c r="N40" i="3"/>
  <c r="D6" i="3"/>
  <c r="C34" i="8"/>
  <c r="D21" i="4" s="1"/>
  <c r="D22" i="2"/>
  <c r="D12" i="3" s="1"/>
  <c r="D30" i="2"/>
  <c r="B34" i="8"/>
  <c r="C21" i="4" s="1"/>
  <c r="C22" i="2"/>
  <c r="C12" i="3" s="1"/>
  <c r="C30" i="2"/>
  <c r="O33" i="3"/>
  <c r="N33" i="3"/>
  <c r="G13" i="6"/>
  <c r="G18" i="6"/>
  <c r="C13" i="6"/>
  <c r="C18" i="6"/>
  <c r="F78" i="6"/>
  <c r="K6" i="3"/>
  <c r="J34" i="8"/>
  <c r="K21" i="4" s="1"/>
  <c r="K22" i="2"/>
  <c r="K30" i="2"/>
  <c r="D13" i="6"/>
  <c r="D18" i="6"/>
  <c r="H22" i="3"/>
  <c r="H43" i="2"/>
  <c r="H15" i="3" s="1"/>
  <c r="H47" i="2"/>
  <c r="D39" i="3"/>
  <c r="N39" i="3"/>
  <c r="I6" i="6"/>
  <c r="H48" i="6"/>
  <c r="H51" i="6"/>
  <c r="H9" i="6"/>
  <c r="H42" i="6"/>
  <c r="H15" i="6"/>
  <c r="K12" i="5"/>
  <c r="I21" i="6"/>
  <c r="H64" i="6"/>
  <c r="H9" i="5"/>
  <c r="L11" i="3"/>
  <c r="F9" i="5"/>
  <c r="J11" i="3"/>
  <c r="O11" i="3" s="1"/>
  <c r="K34" i="5"/>
  <c r="I47" i="6"/>
  <c r="I76" i="6" s="1"/>
  <c r="I78" i="6" s="1"/>
  <c r="I22" i="6"/>
  <c r="K13" i="5"/>
  <c r="J45" i="6" s="1"/>
  <c r="N17" i="3"/>
  <c r="E24" i="6" l="1"/>
  <c r="F29" i="6"/>
  <c r="F25" i="6"/>
  <c r="F45" i="15"/>
  <c r="F48" i="15" s="1"/>
  <c r="F37" i="15"/>
  <c r="F56" i="15" s="1"/>
  <c r="I37" i="6"/>
  <c r="I61" i="6" s="1"/>
  <c r="J2" i="17"/>
  <c r="C36" i="2"/>
  <c r="C31" i="2"/>
  <c r="C13" i="3" s="1"/>
  <c r="C25" i="3"/>
  <c r="C21" i="3"/>
  <c r="L35" i="5"/>
  <c r="J40" i="6"/>
  <c r="J82" i="6" s="1"/>
  <c r="F11" i="5"/>
  <c r="J12" i="3"/>
  <c r="I48" i="6"/>
  <c r="I49" i="6" s="1"/>
  <c r="I42" i="6"/>
  <c r="I15" i="6"/>
  <c r="J6" i="6"/>
  <c r="I9" i="6"/>
  <c r="I51" i="6"/>
  <c r="L36" i="2"/>
  <c r="L25" i="3"/>
  <c r="L31" i="2"/>
  <c r="L13" i="3" s="1"/>
  <c r="L19" i="3" s="1"/>
  <c r="L7" i="3"/>
  <c r="L21" i="3"/>
  <c r="K12" i="3"/>
  <c r="G11" i="5"/>
  <c r="H52" i="6"/>
  <c r="H68" i="6" s="1"/>
  <c r="H41" i="6"/>
  <c r="H69" i="6" s="1"/>
  <c r="F34" i="6"/>
  <c r="F32" i="6"/>
  <c r="E25" i="3"/>
  <c r="E21" i="3"/>
  <c r="E36" i="2"/>
  <c r="E7" i="3"/>
  <c r="E31" i="2"/>
  <c r="E13" i="3" s="1"/>
  <c r="E19" i="3" s="1"/>
  <c r="G19" i="6"/>
  <c r="G24" i="6"/>
  <c r="H4" i="17" s="1"/>
  <c r="F7" i="3"/>
  <c r="F25" i="3"/>
  <c r="F36" i="2"/>
  <c r="F31" i="2"/>
  <c r="F13" i="3" s="1"/>
  <c r="F19" i="3" s="1"/>
  <c r="F21" i="3"/>
  <c r="N11" i="3"/>
  <c r="H51" i="2"/>
  <c r="K45" i="6"/>
  <c r="J31" i="2"/>
  <c r="J13" i="3" s="1"/>
  <c r="J19" i="3" s="1"/>
  <c r="J21" i="3"/>
  <c r="J25" i="3"/>
  <c r="J36" i="2"/>
  <c r="J7" i="3"/>
  <c r="D25" i="3"/>
  <c r="D21" i="3"/>
  <c r="D36" i="2"/>
  <c r="D7" i="3"/>
  <c r="D31" i="2"/>
  <c r="D13" i="3" s="1"/>
  <c r="D19" i="3" s="1"/>
  <c r="H67" i="6"/>
  <c r="L34" i="5"/>
  <c r="J47" i="6"/>
  <c r="J76" i="6" s="1"/>
  <c r="J78" i="6" s="1"/>
  <c r="I22" i="3"/>
  <c r="I8" i="3"/>
  <c r="I43" i="2"/>
  <c r="I15" i="3" s="1"/>
  <c r="I47" i="2"/>
  <c r="O12" i="3"/>
  <c r="L12" i="5"/>
  <c r="J21" i="6"/>
  <c r="H11" i="5"/>
  <c r="L12" i="3"/>
  <c r="K36" i="2"/>
  <c r="K25" i="3"/>
  <c r="K21" i="3"/>
  <c r="K31" i="2"/>
  <c r="K13" i="3" s="1"/>
  <c r="K19" i="3" s="1"/>
  <c r="K7" i="3"/>
  <c r="L5" i="5"/>
  <c r="J5" i="6"/>
  <c r="K19" i="5"/>
  <c r="K25" i="5" s="1"/>
  <c r="K30" i="5" s="1"/>
  <c r="K38" i="5" s="1"/>
  <c r="N6" i="3"/>
  <c r="O6" i="3"/>
  <c r="G25" i="3"/>
  <c r="G21" i="3"/>
  <c r="G7" i="3"/>
  <c r="G36" i="2"/>
  <c r="G31" i="2"/>
  <c r="G13" i="3" s="1"/>
  <c r="G19" i="3" s="1"/>
  <c r="H7" i="3"/>
  <c r="J22" i="6"/>
  <c r="L13" i="5"/>
  <c r="H12" i="6"/>
  <c r="E25" i="6"/>
  <c r="E29" i="6"/>
  <c r="D19" i="6"/>
  <c r="D24" i="6"/>
  <c r="I64" i="6"/>
  <c r="H70" i="6"/>
  <c r="H49" i="6"/>
  <c r="C19" i="6"/>
  <c r="C24" i="6"/>
  <c r="G12" i="3"/>
  <c r="N12" i="3" s="1"/>
  <c r="C11" i="5"/>
  <c r="J37" i="6" l="1"/>
  <c r="J61" i="6" s="1"/>
  <c r="K2" i="17"/>
  <c r="F55" i="15"/>
  <c r="F58" i="15" s="1"/>
  <c r="I70" i="6"/>
  <c r="E42" i="2"/>
  <c r="E37" i="2"/>
  <c r="E14" i="3" s="1"/>
  <c r="E40" i="2"/>
  <c r="D25" i="6"/>
  <c r="D29" i="6"/>
  <c r="K5" i="6"/>
  <c r="M5" i="5"/>
  <c r="L19" i="5"/>
  <c r="L25" i="5" s="1"/>
  <c r="L30" i="5" s="1"/>
  <c r="L38" i="5" s="1"/>
  <c r="E34" i="6"/>
  <c r="E32" i="6"/>
  <c r="F63" i="6"/>
  <c r="F72" i="6" s="1"/>
  <c r="O21" i="3"/>
  <c r="N21" i="3"/>
  <c r="O25" i="3"/>
  <c r="N25" i="3"/>
  <c r="I67" i="6"/>
  <c r="I48" i="2"/>
  <c r="I51" i="2"/>
  <c r="D15" i="5"/>
  <c r="H53" i="2"/>
  <c r="H23" i="3" s="1"/>
  <c r="H24" i="3" s="1"/>
  <c r="K22" i="6"/>
  <c r="M13" i="5"/>
  <c r="L22" i="6" s="1"/>
  <c r="N7" i="3"/>
  <c r="O7" i="3"/>
  <c r="D42" i="2"/>
  <c r="D37" i="2"/>
  <c r="D14" i="3" s="1"/>
  <c r="D40" i="2"/>
  <c r="F42" i="2"/>
  <c r="F37" i="2"/>
  <c r="F14" i="3" s="1"/>
  <c r="F40" i="2"/>
  <c r="G42" i="2"/>
  <c r="G37" i="2"/>
  <c r="G14" i="3" s="1"/>
  <c r="G40" i="2"/>
  <c r="C16" i="5" s="1"/>
  <c r="C19" i="3"/>
  <c r="N13" i="3"/>
  <c r="O13" i="3"/>
  <c r="J48" i="6"/>
  <c r="J42" i="6"/>
  <c r="J15" i="6"/>
  <c r="K6" i="6"/>
  <c r="J51" i="6"/>
  <c r="J9" i="6"/>
  <c r="J12" i="6" s="1"/>
  <c r="K47" i="6"/>
  <c r="K76" i="6" s="1"/>
  <c r="K78" i="6" s="1"/>
  <c r="M34" i="5"/>
  <c r="L47" i="6" s="1"/>
  <c r="L76" i="6" s="1"/>
  <c r="L78" i="6" s="1"/>
  <c r="K37" i="2"/>
  <c r="K14" i="3" s="1"/>
  <c r="K42" i="2"/>
  <c r="K40" i="2"/>
  <c r="G16" i="5" s="1"/>
  <c r="C29" i="6"/>
  <c r="C25" i="6"/>
  <c r="K21" i="6"/>
  <c r="M12" i="5"/>
  <c r="L21" i="6" s="1"/>
  <c r="G25" i="6"/>
  <c r="G29" i="6"/>
  <c r="C40" i="2"/>
  <c r="C37" i="2"/>
  <c r="C14" i="3" s="1"/>
  <c r="C42" i="2"/>
  <c r="I52" i="6"/>
  <c r="I68" i="6" s="1"/>
  <c r="I41" i="6"/>
  <c r="I69" i="6" s="1"/>
  <c r="I12" i="6"/>
  <c r="H18" i="6"/>
  <c r="H24" i="6" s="1"/>
  <c r="I4" i="17" s="1"/>
  <c r="I8" i="17" s="1"/>
  <c r="I12" i="17" s="1"/>
  <c r="I17" i="17" s="1"/>
  <c r="H13" i="6"/>
  <c r="J64" i="6"/>
  <c r="M35" i="5"/>
  <c r="L40" i="6" s="1"/>
  <c r="K40" i="6"/>
  <c r="K82" i="6" s="1"/>
  <c r="J37" i="2"/>
  <c r="J14" i="3" s="1"/>
  <c r="J42" i="2"/>
  <c r="J40" i="2"/>
  <c r="F16" i="5" s="1"/>
  <c r="G35" i="15" s="1"/>
  <c r="L37" i="2"/>
  <c r="L14" i="3" s="1"/>
  <c r="L42" i="2"/>
  <c r="L40" i="2"/>
  <c r="H16" i="5" s="1"/>
  <c r="K37" i="6" l="1"/>
  <c r="K61" i="6" s="1"/>
  <c r="L2" i="17"/>
  <c r="G37" i="15"/>
  <c r="G56" i="15" s="1"/>
  <c r="G45" i="15"/>
  <c r="G48" i="15" s="1"/>
  <c r="G6" i="17"/>
  <c r="G8" i="17" s="1"/>
  <c r="H35" i="15"/>
  <c r="H6" i="17"/>
  <c r="H8" i="17" s="1"/>
  <c r="I35" i="15"/>
  <c r="J70" i="6"/>
  <c r="E63" i="6"/>
  <c r="E72" i="6" s="1"/>
  <c r="C34" i="6"/>
  <c r="C32" i="6"/>
  <c r="J49" i="6"/>
  <c r="L5" i="6"/>
  <c r="M19" i="5"/>
  <c r="M25" i="5" s="1"/>
  <c r="M30" i="5" s="1"/>
  <c r="M38" i="5" s="1"/>
  <c r="G22" i="3"/>
  <c r="G43" i="2"/>
  <c r="G15" i="3" s="1"/>
  <c r="G8" i="3"/>
  <c r="G47" i="2"/>
  <c r="H8" i="3"/>
  <c r="O14" i="3"/>
  <c r="N14" i="3"/>
  <c r="K48" i="6"/>
  <c r="K42" i="6"/>
  <c r="K15" i="6"/>
  <c r="K9" i="6"/>
  <c r="K12" i="6" s="1"/>
  <c r="L6" i="6"/>
  <c r="K51" i="6"/>
  <c r="L8" i="3"/>
  <c r="L22" i="3"/>
  <c r="L47" i="2"/>
  <c r="L43" i="2"/>
  <c r="L15" i="3" s="1"/>
  <c r="L64" i="6"/>
  <c r="J43" i="2"/>
  <c r="J15" i="3" s="1"/>
  <c r="J22" i="3"/>
  <c r="J8" i="3"/>
  <c r="J47" i="2"/>
  <c r="K64" i="6"/>
  <c r="L82" i="6"/>
  <c r="N19" i="3"/>
  <c r="O19" i="3"/>
  <c r="K22" i="3"/>
  <c r="K8" i="3"/>
  <c r="K43" i="2"/>
  <c r="K15" i="3" s="1"/>
  <c r="K47" i="2"/>
  <c r="E15" i="5"/>
  <c r="I53" i="2"/>
  <c r="I23" i="3" s="1"/>
  <c r="I24" i="3" s="1"/>
  <c r="H29" i="6"/>
  <c r="H25" i="6"/>
  <c r="D34" i="6"/>
  <c r="D32" i="6"/>
  <c r="I18" i="6"/>
  <c r="I24" i="6" s="1"/>
  <c r="J4" i="17" s="1"/>
  <c r="J8" i="17" s="1"/>
  <c r="J12" i="17" s="1"/>
  <c r="J17" i="17" s="1"/>
  <c r="I13" i="6"/>
  <c r="F47" i="2"/>
  <c r="F22" i="3"/>
  <c r="F8" i="3"/>
  <c r="F43" i="2"/>
  <c r="F15" i="3" s="1"/>
  <c r="D47" i="2"/>
  <c r="D8" i="3"/>
  <c r="D43" i="2"/>
  <c r="D15" i="3" s="1"/>
  <c r="D22" i="3"/>
  <c r="J18" i="6"/>
  <c r="J24" i="6" s="1"/>
  <c r="K4" i="17" s="1"/>
  <c r="K8" i="17" s="1"/>
  <c r="K12" i="17" s="1"/>
  <c r="K17" i="17" s="1"/>
  <c r="J13" i="6"/>
  <c r="G34" i="6"/>
  <c r="G32" i="6"/>
  <c r="L45" i="6"/>
  <c r="J52" i="6"/>
  <c r="J68" i="6" s="1"/>
  <c r="J41" i="6"/>
  <c r="J69" i="6" s="1"/>
  <c r="C43" i="2"/>
  <c r="C15" i="3" s="1"/>
  <c r="C47" i="2"/>
  <c r="C53" i="2" s="1"/>
  <c r="C23" i="3" s="1"/>
  <c r="C22" i="3"/>
  <c r="J67" i="6"/>
  <c r="E8" i="3"/>
  <c r="E47" i="2"/>
  <c r="E22" i="3"/>
  <c r="E43" i="2"/>
  <c r="E15" i="3" s="1"/>
  <c r="L37" i="6" l="1"/>
  <c r="L61" i="6" s="1"/>
  <c r="M2" i="17"/>
  <c r="I37" i="15"/>
  <c r="I56" i="15" s="1"/>
  <c r="I45" i="15"/>
  <c r="I48" i="15" s="1"/>
  <c r="H37" i="15"/>
  <c r="H56" i="15" s="1"/>
  <c r="H45" i="15"/>
  <c r="H48" i="15" s="1"/>
  <c r="G55" i="15"/>
  <c r="I50" i="15"/>
  <c r="I51" i="15"/>
  <c r="G58" i="15"/>
  <c r="K18" i="6"/>
  <c r="K24" i="6" s="1"/>
  <c r="L4" i="17" s="1"/>
  <c r="L8" i="17" s="1"/>
  <c r="L12" i="17" s="1"/>
  <c r="L17" i="17" s="1"/>
  <c r="K13" i="6"/>
  <c r="G48" i="2"/>
  <c r="G51" i="2"/>
  <c r="H48" i="2"/>
  <c r="E24" i="3"/>
  <c r="O8" i="3"/>
  <c r="N8" i="3"/>
  <c r="K70" i="6"/>
  <c r="K49" i="6"/>
  <c r="D63" i="6"/>
  <c r="D72" i="6" s="1"/>
  <c r="D81" i="6"/>
  <c r="D83" i="6" s="1"/>
  <c r="D85" i="6" s="1"/>
  <c r="D87" i="6" s="1"/>
  <c r="J29" i="6"/>
  <c r="J25" i="6"/>
  <c r="D24" i="3"/>
  <c r="E51" i="2"/>
  <c r="E53" i="2" s="1"/>
  <c r="E23" i="3" s="1"/>
  <c r="E48" i="2"/>
  <c r="L51" i="2"/>
  <c r="L48" i="2"/>
  <c r="K67" i="6"/>
  <c r="C24" i="3"/>
  <c r="N22" i="3"/>
  <c r="O22" i="3"/>
  <c r="F24" i="3"/>
  <c r="L42" i="6"/>
  <c r="L15" i="6"/>
  <c r="L9" i="6"/>
  <c r="L12" i="6"/>
  <c r="L51" i="6"/>
  <c r="L48" i="6"/>
  <c r="L49" i="6" s="1"/>
  <c r="D48" i="2"/>
  <c r="D51" i="2"/>
  <c r="D53" i="2" s="1"/>
  <c r="D23" i="3" s="1"/>
  <c r="F48" i="2"/>
  <c r="F51" i="2"/>
  <c r="F53" i="2" s="1"/>
  <c r="F23" i="3" s="1"/>
  <c r="C63" i="6"/>
  <c r="C81" i="6"/>
  <c r="C83" i="6" s="1"/>
  <c r="H31" i="6"/>
  <c r="H71" i="6" s="1"/>
  <c r="H34" i="6"/>
  <c r="K48" i="2"/>
  <c r="K51" i="2"/>
  <c r="O15" i="3"/>
  <c r="N15" i="3"/>
  <c r="K52" i="6"/>
  <c r="K68" i="6" s="1"/>
  <c r="K41" i="6"/>
  <c r="K69" i="6" s="1"/>
  <c r="I29" i="6"/>
  <c r="I25" i="6"/>
  <c r="J48" i="2"/>
  <c r="J51" i="2"/>
  <c r="G63" i="6"/>
  <c r="G72" i="6" s="1"/>
  <c r="H55" i="15" l="1"/>
  <c r="H58" i="15" s="1"/>
  <c r="G10" i="17"/>
  <c r="G12" i="17" s="1"/>
  <c r="I55" i="15"/>
  <c r="I58" i="15" s="1"/>
  <c r="H10" i="17"/>
  <c r="H12" i="17" s="1"/>
  <c r="H17" i="17" s="1"/>
  <c r="L52" i="6"/>
  <c r="L68" i="6" s="1"/>
  <c r="L41" i="6"/>
  <c r="L69" i="6" s="1"/>
  <c r="J53" i="2"/>
  <c r="J23" i="3" s="1"/>
  <c r="J24" i="3" s="1"/>
  <c r="F15" i="5"/>
  <c r="E81" i="6" s="1"/>
  <c r="E83" i="6" s="1"/>
  <c r="E85" i="6" s="1"/>
  <c r="E87" i="6" s="1"/>
  <c r="K53" i="2"/>
  <c r="K23" i="3" s="1"/>
  <c r="K24" i="3" s="1"/>
  <c r="G15" i="5"/>
  <c r="F81" i="6" s="1"/>
  <c r="F83" i="6" s="1"/>
  <c r="F85" i="6" s="1"/>
  <c r="F87" i="6" s="1"/>
  <c r="H81" i="6"/>
  <c r="H83" i="6" s="1"/>
  <c r="H63" i="6"/>
  <c r="H72" i="6" s="1"/>
  <c r="H39" i="6"/>
  <c r="N24" i="3"/>
  <c r="O24" i="3"/>
  <c r="O23" i="3"/>
  <c r="I31" i="6"/>
  <c r="I71" i="6" s="1"/>
  <c r="H15" i="5"/>
  <c r="G81" i="6" s="1"/>
  <c r="G83" i="6" s="1"/>
  <c r="G85" i="6" s="1"/>
  <c r="G87" i="6" s="1"/>
  <c r="L53" i="2"/>
  <c r="L23" i="3" s="1"/>
  <c r="L24" i="3" s="1"/>
  <c r="C15" i="5"/>
  <c r="G53" i="2"/>
  <c r="G23" i="3" s="1"/>
  <c r="G24" i="3" s="1"/>
  <c r="L67" i="6"/>
  <c r="L13" i="6"/>
  <c r="L18" i="6"/>
  <c r="L24" i="6" s="1"/>
  <c r="M4" i="17" s="1"/>
  <c r="M8" i="17" s="1"/>
  <c r="M12" i="17" s="1"/>
  <c r="J31" i="6"/>
  <c r="J71" i="6" s="1"/>
  <c r="L70" i="6"/>
  <c r="K29" i="6"/>
  <c r="K25" i="6"/>
  <c r="D25" i="17" l="1"/>
  <c r="D29" i="17" s="1"/>
  <c r="D34" i="17" s="1"/>
  <c r="M17" i="17"/>
  <c r="D33" i="17" s="1"/>
  <c r="I34" i="6"/>
  <c r="I81" i="6" s="1"/>
  <c r="I83" i="6" s="1"/>
  <c r="I61" i="15"/>
  <c r="I60" i="15"/>
  <c r="K31" i="6"/>
  <c r="K71" i="6" s="1"/>
  <c r="H85" i="6"/>
  <c r="H87" i="6" s="1"/>
  <c r="H53" i="6" s="1"/>
  <c r="H43" i="6"/>
  <c r="J34" i="6"/>
  <c r="L29" i="6"/>
  <c r="L25" i="6"/>
  <c r="N23" i="3"/>
  <c r="D35" i="17" l="1"/>
  <c r="D39" i="17" s="1"/>
  <c r="D41" i="17" s="1"/>
  <c r="G26" i="17" s="1"/>
  <c r="I63" i="6"/>
  <c r="I72" i="6" s="1"/>
  <c r="I85" i="6" s="1"/>
  <c r="I39" i="6"/>
  <c r="L31" i="6"/>
  <c r="L71" i="6" s="1"/>
  <c r="J39" i="6"/>
  <c r="I43" i="6"/>
  <c r="J81" i="6"/>
  <c r="J83" i="6" s="1"/>
  <c r="J63" i="6"/>
  <c r="J72" i="6" s="1"/>
  <c r="I86" i="6"/>
  <c r="H54" i="6"/>
  <c r="H56" i="6" s="1"/>
  <c r="H58" i="6" s="1"/>
  <c r="K34" i="6"/>
  <c r="D44" i="17" l="1"/>
  <c r="I87" i="6"/>
  <c r="I53" i="6" s="1"/>
  <c r="J86" i="6" s="1"/>
  <c r="K81" i="6"/>
  <c r="K83" i="6" s="1"/>
  <c r="K63" i="6"/>
  <c r="K72" i="6" s="1"/>
  <c r="J85" i="6"/>
  <c r="K39" i="6"/>
  <c r="J43" i="6"/>
  <c r="L34" i="6"/>
  <c r="J87" i="6" l="1"/>
  <c r="J53" i="6" s="1"/>
  <c r="K86" i="6" s="1"/>
  <c r="I54" i="6"/>
  <c r="I56" i="6" s="1"/>
  <c r="I58" i="6" s="1"/>
  <c r="K43" i="6"/>
  <c r="L39" i="6"/>
  <c r="L43" i="6" s="1"/>
  <c r="K85" i="6"/>
  <c r="L81" i="6"/>
  <c r="L83" i="6" s="1"/>
  <c r="L63" i="6"/>
  <c r="L72" i="6" s="1"/>
  <c r="J54" i="6" l="1"/>
  <c r="J56" i="6" s="1"/>
  <c r="J58" i="6" s="1"/>
  <c r="L85" i="6"/>
  <c r="K87" i="6"/>
  <c r="K53" i="6" s="1"/>
  <c r="L86" i="6" l="1"/>
  <c r="L87" i="6" s="1"/>
  <c r="L53" i="6" s="1"/>
  <c r="L54" i="6" s="1"/>
  <c r="L56" i="6" s="1"/>
  <c r="L58" i="6" s="1"/>
  <c r="K54" i="6"/>
  <c r="K56" i="6" s="1"/>
  <c r="K58"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7" authorId="0" shapeId="0" xr:uid="{00000000-0006-0000-0400-000002000000}">
      <text>
        <r>
          <rPr>
            <sz val="10"/>
            <rFont val="Arial"/>
            <family val="2"/>
          </rPr>
          <t>Sales growth: assumed 18% in FY27, slowing down to 13% by FY31. FY26's actual growth (45%) was unusually high because of rising gold prices and the Damas Jewellery acquisition, so we've brought it down to a more normal, sustainable level.</t>
        </r>
      </text>
    </comment>
    <comment ref="I8" authorId="0" shapeId="0" xr:uid="{00000000-0006-0000-0400-000003000000}">
      <text>
        <r>
          <rPr>
            <sz val="10"/>
            <rFont val="Arial"/>
            <family val="2"/>
          </rPr>
          <t>COGS %: kept close to FY26's high level (84%) and reduced it slowly to 81.5% by FY31, since gold (the main raw material) is expected to stay expensive for a while.</t>
        </r>
      </text>
    </comment>
    <comment ref="I12" authorId="0" shapeId="0" xr:uid="{00000000-0006-0000-0400-000004000000}">
      <text>
        <r>
          <rPr>
            <sz val="10"/>
            <rFont val="Arial"/>
            <family val="2"/>
          </rPr>
          <t>Other Income: grown by 10% every year from the FY26 amount (Rs 450 Cr).</t>
        </r>
      </text>
    </comment>
    <comment ref="I13" authorId="0" shapeId="0" xr:uid="{00000000-0006-0000-0400-000005000000}">
      <text>
        <r>
          <rPr>
            <sz val="10"/>
            <rFont val="Arial"/>
            <family val="2"/>
          </rPr>
          <t>Depreciation: grown by 15% every year from FY26 (Rs 826 Cr), since the company keeps opening new stores and adding assets.</t>
        </r>
      </text>
    </comment>
    <comment ref="I14" authorId="0" shapeId="0" xr:uid="{00000000-0006-0000-0400-000006000000}">
      <text>
        <r>
          <rPr>
            <sz val="10"/>
            <rFont val="Arial"/>
            <family val="2"/>
          </rPr>
          <t>Interest Expense: grows every year but the growth rate slows down (18% to 10%), since the company borrows heavily to fund its jewellery/gold inventory.</t>
        </r>
      </text>
    </comment>
    <comment ref="I20" authorId="0" shapeId="0" xr:uid="{00000000-0006-0000-0400-000007000000}">
      <text>
        <r>
          <rPr>
            <sz val="10"/>
            <rFont val="Arial"/>
            <family val="2"/>
          </rPr>
          <t>Debtor Days: FY26 had an unusually low value (3.8 days), so we've moved it back up towards the normal 6-day average.</t>
        </r>
      </text>
    </comment>
    <comment ref="I22" authorId="0" shapeId="0" xr:uid="{00000000-0006-0000-0400-000008000000}">
      <text>
        <r>
          <rPr>
            <sz val="10"/>
            <rFont val="Arial"/>
            <family val="2"/>
          </rPr>
          <t>Inventory Days: kept high (205 days) since Titan holds a lot of gold inventory, but reduced slowly to 185 days assuming better inventory management.</t>
        </r>
      </text>
    </comment>
    <comment ref="I26" authorId="0" shapeId="0" xr:uid="{00000000-0006-0000-0400-000009000000}">
      <text>
        <r>
          <rPr>
            <sz val="10"/>
            <rFont val="Arial"/>
            <family val="2"/>
          </rPr>
          <t>Capex amount = Expected Sales for that year x Capex % of Sales. Expected Sales is calculated by growing FY26 Sales using the growth rates in row 7.</t>
        </r>
      </text>
    </comment>
    <comment ref="I27" authorId="0" shapeId="0" xr:uid="{00000000-0006-0000-0400-00000A000000}">
      <text>
        <r>
          <rPr>
            <sz val="10"/>
            <rFont val="Arial"/>
            <family val="2"/>
          </rPr>
          <t>Capex % of Sales: kept between 1.1% and 1.2%, similar to recent years, to support new store openings.</t>
        </r>
      </text>
    </comment>
    <comment ref="I31" authorId="0" shapeId="0" xr:uid="{00000000-0006-0000-0400-00000B000000}">
      <text>
        <r>
          <rPr>
            <sz val="10"/>
            <rFont val="Arial"/>
            <family val="2"/>
          </rPr>
          <t>Other Liabilities %: kept steady at around 11.5%, same as the recent 5-year average.</t>
        </r>
      </text>
    </comment>
    <comment ref="I32" authorId="0" shapeId="0" xr:uid="{00000000-0006-0000-0400-00000C000000}">
      <text>
        <r>
          <rPr>
            <sz val="10"/>
            <rFont val="Arial"/>
            <family val="2"/>
          </rPr>
          <t>Other Assets %: increased slightly to 9% and then kept flat, continuing the recent trend.</t>
        </r>
      </text>
    </comment>
    <comment ref="I34" authorId="0" shapeId="0" xr:uid="{00000000-0006-0000-0400-00000D000000}">
      <text>
        <r>
          <rPr>
            <sz val="10"/>
            <rFont val="Arial"/>
            <family val="2"/>
          </rPr>
          <t>Investments: grown by 12% every year from the FY26 amount.</t>
        </r>
      </text>
    </comment>
    <comment ref="I35" authorId="0" shapeId="0" xr:uid="{00000000-0006-0000-0400-00000E000000}">
      <text>
        <r>
          <rPr>
            <sz val="10"/>
            <rFont val="Arial"/>
            <family val="2"/>
          </rPr>
          <t>Borrowings: grows every year but slows down over time (20% to 14%), since jewellery growth needs more borrowed money (working capital).</t>
        </r>
      </text>
    </comment>
    <comment ref="C39" authorId="0" shapeId="0" xr:uid="{00000000-0006-0000-0400-000001000000}">
      <text>
        <r>
          <rPr>
            <sz val="10"/>
            <rFont val="Arial"/>
            <family val="2"/>
          </rPr>
          <t>This dropdown lets you pick which scenario is 'live' - Base or Bull.</t>
        </r>
      </text>
    </comment>
    <comment ref="I41" authorId="0" shapeId="0" xr:uid="{00000000-0006-0000-0400-00000F000000}">
      <text>
        <r>
          <rPr>
            <sz val="10"/>
            <rFont val="Arial"/>
            <family val="2"/>
          </rPr>
          <t>Same numbers as the main Sales Growth assumption above (row 7) - this is the Base Case.</t>
        </r>
      </text>
    </comment>
    <comment ref="I42" authorId="0" shapeId="0" xr:uid="{00000000-0006-0000-0400-000010000000}">
      <text>
        <r>
          <rPr>
            <sz val="10"/>
            <rFont val="Arial"/>
            <family val="2"/>
          </rPr>
          <t>Optimistic case: about 4% higher sales growth than Base Case, assuming faster store expansion and stronger demand.</t>
        </r>
      </text>
    </comment>
    <comment ref="I43" authorId="0" shapeId="0" xr:uid="{00000000-0006-0000-0400-000011000000}">
      <text>
        <r>
          <rPr>
            <sz val="10"/>
            <rFont val="Arial"/>
            <family val="2"/>
          </rPr>
          <t>Same numbers as the main COGS % assumption above (row 8) - this is the Base Case.</t>
        </r>
      </text>
    </comment>
    <comment ref="I44" authorId="0" shapeId="0" xr:uid="{00000000-0006-0000-0400-000012000000}">
      <text>
        <r>
          <rPr>
            <sz val="10"/>
            <rFont val="Arial"/>
            <family val="2"/>
          </rPr>
          <t>Optimistic case: COGS is about 1.5% lower than Base Case, assuming the company manages to buy gold more efficiently.</t>
        </r>
      </text>
    </comment>
    <comment ref="I45" authorId="0" shapeId="0" xr:uid="{00000000-0006-0000-0400-000013000000}">
      <text>
        <r>
          <rPr>
            <sz val="10"/>
            <rFont val="Arial"/>
            <family val="2"/>
          </rPr>
          <t>Same numbers as the main S&amp;G % assumption above (row 10) - this is the Base Case.</t>
        </r>
      </text>
    </comment>
    <comment ref="I46" authorId="0" shapeId="0" xr:uid="{00000000-0006-0000-0400-000014000000}">
      <text>
        <r>
          <rPr>
            <sz val="10"/>
            <rFont val="Arial"/>
            <family val="2"/>
          </rPr>
          <t>Optimistic case: expenses are slightly lower than Base Case, assuming better cost control as the company grows.</t>
        </r>
      </text>
    </comment>
    <comment ref="I47" authorId="0" shapeId="0" xr:uid="{00000000-0006-0000-0400-000015000000}">
      <text>
        <r>
          <rPr>
            <sz val="10"/>
            <rFont val="Arial"/>
            <family val="2"/>
          </rPr>
          <t>Same numbers as the main Capex % assumption above (row 26) - this is the Base Case.</t>
        </r>
      </text>
    </comment>
    <comment ref="I48" authorId="0" shapeId="0" xr:uid="{00000000-0006-0000-0400-000016000000}">
      <text>
        <r>
          <rPr>
            <sz val="10"/>
            <rFont val="Arial"/>
            <family val="2"/>
          </rPr>
          <t>Optimistic case: the company spends more (in Rs Cr) to open stores faster than in the Base Case.</t>
        </r>
      </text>
    </comment>
    <comment ref="I50" authorId="0" shapeId="0" xr:uid="{00000000-0006-0000-0400-000017000000}">
      <text>
        <r>
          <rPr>
            <sz val="10"/>
            <rFont val="Arial"/>
            <family val="2"/>
          </rPr>
          <t>This automatically checks what EBITDA margin the Base Case numbers imply - just a quick sanity check, not linked to the final P&amp;L yet.</t>
        </r>
      </text>
    </comment>
    <comment ref="I51" authorId="0" shapeId="0" xr:uid="{00000000-0006-0000-0400-000018000000}">
      <text>
        <r>
          <rPr>
            <sz val="10"/>
            <rFont val="Arial"/>
            <family val="2"/>
          </rPr>
          <t>This automatically checks what EBITDA margin the Bull Case numbers imply - just a quick sanity check, not linked to the final P&amp;L yet.</t>
        </r>
      </text>
    </comment>
  </commentList>
</comments>
</file>

<file path=xl/sharedStrings.xml><?xml version="1.0" encoding="utf-8"?>
<sst xmlns="http://schemas.openxmlformats.org/spreadsheetml/2006/main" count="883" uniqueCount="578">
  <si>
    <t>Years</t>
  </si>
  <si>
    <t>#</t>
  </si>
  <si>
    <t>Sales</t>
  </si>
  <si>
    <t>Sales Growth</t>
  </si>
  <si>
    <t>COGS</t>
  </si>
  <si>
    <t>COGS % of Sales</t>
  </si>
  <si>
    <t>Gross Profit</t>
  </si>
  <si>
    <t>Gross Margins</t>
  </si>
  <si>
    <t>Selling &amp; General Expenses</t>
  </si>
  <si>
    <t>S&amp;G % of Sales</t>
  </si>
  <si>
    <t>EBITDA</t>
  </si>
  <si>
    <t>EBITDA Margins</t>
  </si>
  <si>
    <t>Other Income</t>
  </si>
  <si>
    <t>Other Income % of Sales</t>
  </si>
  <si>
    <t>Depreciation</t>
  </si>
  <si>
    <t>Depreciation % of Sales</t>
  </si>
  <si>
    <t>EBIT</t>
  </si>
  <si>
    <t>EBIT Margins</t>
  </si>
  <si>
    <t>Interest Expense</t>
  </si>
  <si>
    <t>Interest % of Sales</t>
  </si>
  <si>
    <t>Earning before Tax</t>
  </si>
  <si>
    <t>EBT % of Sales</t>
  </si>
  <si>
    <t>Tax Expense</t>
  </si>
  <si>
    <t>Effective Tax Rate</t>
  </si>
  <si>
    <t>Net Profit</t>
  </si>
  <si>
    <t>Net Profit Margins</t>
  </si>
  <si>
    <t>No of Equity Shares</t>
  </si>
  <si>
    <t>Earnings Per Share</t>
  </si>
  <si>
    <t>EPS Growth Rate</t>
  </si>
  <si>
    <t>Dividend Per Shares</t>
  </si>
  <si>
    <t>Dividend Payout Ratio</t>
  </si>
  <si>
    <t>Retained Earnings</t>
  </si>
  <si>
    <t>Equity Share Capital</t>
  </si>
  <si>
    <t>Reserves</t>
  </si>
  <si>
    <t>Borrowings</t>
  </si>
  <si>
    <t>Trade Payables</t>
  </si>
  <si>
    <t>Other Liabilities</t>
  </si>
  <si>
    <t>Total Liabilities</t>
  </si>
  <si>
    <t>Fixed Assets Net Block</t>
  </si>
  <si>
    <t>Capital Work in Progress</t>
  </si>
  <si>
    <t>Investments</t>
  </si>
  <si>
    <t>Other Assets</t>
  </si>
  <si>
    <t>Total Non Current Assets</t>
  </si>
  <si>
    <t>Receivables</t>
  </si>
  <si>
    <t>Inventory</t>
  </si>
  <si>
    <t>Cash &amp; Bank</t>
  </si>
  <si>
    <t>Total Current Assets</t>
  </si>
  <si>
    <t>Total Assets</t>
  </si>
  <si>
    <t>Check</t>
  </si>
  <si>
    <t>Cash from Operating Activity -</t>
  </si>
  <si>
    <t>Profit from operations</t>
  </si>
  <si>
    <t>Payables</t>
  </si>
  <si>
    <t>Loans Advances</t>
  </si>
  <si>
    <t>Operating borrowings</t>
  </si>
  <si>
    <t>Other WC items</t>
  </si>
  <si>
    <t>Working capital changes</t>
  </si>
  <si>
    <t>Direct taxes</t>
  </si>
  <si>
    <t>Cash from Operating Activity</t>
  </si>
  <si>
    <t>Cash from Investing Activity -</t>
  </si>
  <si>
    <t>Fixed assets purchased</t>
  </si>
  <si>
    <t>Fixed assets sold</t>
  </si>
  <si>
    <t>Investments purchased</t>
  </si>
  <si>
    <t>Investments sold</t>
  </si>
  <si>
    <t>Interest received</t>
  </si>
  <si>
    <t>Invest in subsidiaries</t>
  </si>
  <si>
    <t>Investment in group cos</t>
  </si>
  <si>
    <t>Acquisition of companies</t>
  </si>
  <si>
    <t>Inter corporate deposits</t>
  </si>
  <si>
    <t>Other investing items</t>
  </si>
  <si>
    <t>Cash from Investing Activity</t>
  </si>
  <si>
    <t>Cash from Financing Activity -</t>
  </si>
  <si>
    <t>Proceeds from borrowings</t>
  </si>
  <si>
    <t>Repayment of borrowings</t>
  </si>
  <si>
    <t>Interest paid fin</t>
  </si>
  <si>
    <t>Dividends paid</t>
  </si>
  <si>
    <t>Financial liabilities</t>
  </si>
  <si>
    <t>Other financing items</t>
  </si>
  <si>
    <t>Cash from Financing Activity</t>
  </si>
  <si>
    <t>Net Cash Flow</t>
  </si>
  <si>
    <t>Trend Line</t>
  </si>
  <si>
    <t>Average</t>
  </si>
  <si>
    <t>Median</t>
  </si>
  <si>
    <t>EBITDA Growth</t>
  </si>
  <si>
    <t>EBIT Growth</t>
  </si>
  <si>
    <t>Net Profit Growth</t>
  </si>
  <si>
    <t>Dividend Growth</t>
  </si>
  <si>
    <t>EBT Margins</t>
  </si>
  <si>
    <t>S&amp;E % of Sales</t>
  </si>
  <si>
    <t>Operating Income % of Sales</t>
  </si>
  <si>
    <t>Return on capital employed</t>
  </si>
  <si>
    <t>Return on Equity %</t>
  </si>
  <si>
    <t>Retained Earnings %</t>
  </si>
  <si>
    <t>Self Sustained Growth Rate</t>
  </si>
  <si>
    <t>Interest Coverage Ratio</t>
  </si>
  <si>
    <t>Debtor Turnover Ratio</t>
  </si>
  <si>
    <t>Creditor Turnover Ratio</t>
  </si>
  <si>
    <t>Inventory Turnover Ratio</t>
  </si>
  <si>
    <t>Fixed Asset Turnover Ratio</t>
  </si>
  <si>
    <t>Capital Turnover Ratio</t>
  </si>
  <si>
    <t>Debtor Days</t>
  </si>
  <si>
    <t>Creditor Days</t>
  </si>
  <si>
    <t>Inventory Days</t>
  </si>
  <si>
    <t>Cash Conversion Cycle</t>
  </si>
  <si>
    <t>CFO/Sales</t>
  </si>
  <si>
    <t>CFO/Total Assets</t>
  </si>
  <si>
    <t>CFO/Total Debt</t>
  </si>
  <si>
    <t>Pariculars</t>
  </si>
  <si>
    <t>1. P &amp; L Drivers</t>
  </si>
  <si>
    <t>Other Income (Crs)</t>
  </si>
  <si>
    <t>Depreciation (Crs)</t>
  </si>
  <si>
    <t>Interest Expense (Crs)</t>
  </si>
  <si>
    <t xml:space="preserve">Dividend Payout </t>
  </si>
  <si>
    <t>Tax Rate</t>
  </si>
  <si>
    <t>2. Working Capital Drivers</t>
  </si>
  <si>
    <t>3. Capex &amp; Fixed Assets</t>
  </si>
  <si>
    <t>Capex (Crs)</t>
  </si>
  <si>
    <t>Capex % of Sales</t>
  </si>
  <si>
    <t>4. Balance Sheet Drivers</t>
  </si>
  <si>
    <t>Other Liabilities % of Sales</t>
  </si>
  <si>
    <t>Other Assets % of Sales</t>
  </si>
  <si>
    <t>Capital WIP (Crs)</t>
  </si>
  <si>
    <t>Investments (Crs)</t>
  </si>
  <si>
    <t>Borrowings (Crs)</t>
  </si>
  <si>
    <t>3. Scenario Analysis (Base Case vs Bull Case)</t>
  </si>
  <si>
    <t>Active Scenario (type: Base Case / Bull Case)</t>
  </si>
  <si>
    <t>Sales Growth Rate - Base Case (%)</t>
  </si>
  <si>
    <t>Sales Growth Rate - Bull Case (%)</t>
  </si>
  <si>
    <t>COGS % of Sales - Base Case</t>
  </si>
  <si>
    <t>COGS % of Sales - Bull Case</t>
  </si>
  <si>
    <t>S&amp;G Exp % of Sales - Base Case</t>
  </si>
  <si>
    <t>S&amp;G Exp % of Sales - Bull Case</t>
  </si>
  <si>
    <t>Capex % of Sales - Base Case</t>
  </si>
  <si>
    <t>Capex % of Sales - Bull Case</t>
  </si>
  <si>
    <t>Implied EBITDA Margin - Base Case (%) [memo]</t>
  </si>
  <si>
    <t>Implied EBITDA Margin - Bull Case (%) [memo]</t>
  </si>
  <si>
    <t>Particulars</t>
  </si>
  <si>
    <t>Sales Growth (%)</t>
  </si>
  <si>
    <t>Gross Margin (%)</t>
  </si>
  <si>
    <t>S&amp;G Expenses</t>
  </si>
  <si>
    <t>EBITDA Margin (%)</t>
  </si>
  <si>
    <t>EBIT Margin (%)</t>
  </si>
  <si>
    <t>Earning Before Tax</t>
  </si>
  <si>
    <t>Tax</t>
  </si>
  <si>
    <t>A. Cash Flow From Operations (CFO)</t>
  </si>
  <si>
    <t>Net Profit (PAT) [post-tax]</t>
  </si>
  <si>
    <t>Add: Depreciation</t>
  </si>
  <si>
    <t>Working Capital Change:</t>
  </si>
  <si>
    <t>( - ) Increase in Receivables</t>
  </si>
  <si>
    <t>( - ) Increase in Inventory</t>
  </si>
  <si>
    <t>( + ) Increase in Creditors</t>
  </si>
  <si>
    <t>( +/- ) Other Working Capital Items</t>
  </si>
  <si>
    <t>(Memo) Tax already reflected in PAT above</t>
  </si>
  <si>
    <t>CFO</t>
  </si>
  <si>
    <t>B. Cash Flow From Investing (CFI)</t>
  </si>
  <si>
    <t>( - ) Capex</t>
  </si>
  <si>
    <t>( - ) Increase in Investments</t>
  </si>
  <si>
    <t>( - ) Increase in CWIP</t>
  </si>
  <si>
    <t xml:space="preserve">CFI </t>
  </si>
  <si>
    <t>C. Cash Flow From Financing (CFF)</t>
  </si>
  <si>
    <t>( - ) Dividend Paid</t>
  </si>
  <si>
    <t>(+/-) Net Borrowing Change</t>
  </si>
  <si>
    <t>CFF</t>
  </si>
  <si>
    <t>Net Change in Cash</t>
  </si>
  <si>
    <t>Opening Cash</t>
  </si>
  <si>
    <t>Closing Cash</t>
  </si>
  <si>
    <t>COMPANY NAME</t>
  </si>
  <si>
    <t>TITAN COMPANY LTD</t>
  </si>
  <si>
    <t>LATEST VERSION</t>
  </si>
  <si>
    <t>PLEASE DO NOT MAKE ANY CHANGES TO THIS SHEET</t>
  </si>
  <si>
    <t>CURRENT VERSION</t>
  </si>
  <si>
    <t>META</t>
  </si>
  <si>
    <t>Number of shares</t>
  </si>
  <si>
    <t>Face Value</t>
  </si>
  <si>
    <t>Current Price</t>
  </si>
  <si>
    <t>Market Capitalization</t>
  </si>
  <si>
    <t>PROFIT &amp; LOSS</t>
  </si>
  <si>
    <t>Report Date</t>
  </si>
  <si>
    <t>Raw Material Cost</t>
  </si>
  <si>
    <t>Change in Inventory</t>
  </si>
  <si>
    <t>Power and Fuel</t>
  </si>
  <si>
    <t>Other Mfr. Exp</t>
  </si>
  <si>
    <t>Employee Cost</t>
  </si>
  <si>
    <t>Selling and admin</t>
  </si>
  <si>
    <t>Other Expenses</t>
  </si>
  <si>
    <t>Interest</t>
  </si>
  <si>
    <t>Profit before tax</t>
  </si>
  <si>
    <t>Net profit</t>
  </si>
  <si>
    <t>Dividend Amount</t>
  </si>
  <si>
    <t>Quarters</t>
  </si>
  <si>
    <t>Expenses</t>
  </si>
  <si>
    <t>Operating Profit</t>
  </si>
  <si>
    <t>BALANCE SHEET</t>
  </si>
  <si>
    <t>Total</t>
  </si>
  <si>
    <t>Net Block</t>
  </si>
  <si>
    <t>No. of Equity Shares</t>
  </si>
  <si>
    <t>New Bonus Shares</t>
  </si>
  <si>
    <t>Face value</t>
  </si>
  <si>
    <t>CASH FLOW:</t>
  </si>
  <si>
    <t>PRICE:</t>
  </si>
  <si>
    <t>DERIVED:</t>
  </si>
  <si>
    <t>Adjusted Equity Shares in Cr</t>
  </si>
  <si>
    <t>Base</t>
  </si>
  <si>
    <t xml:space="preserve">Calculation of WACC </t>
  </si>
  <si>
    <t>Peer Comps</t>
  </si>
  <si>
    <t>Company</t>
  </si>
  <si>
    <t>Country</t>
  </si>
  <si>
    <t>Total Debt</t>
  </si>
  <si>
    <t>Total Equity</t>
  </si>
  <si>
    <t>Debt/</t>
  </si>
  <si>
    <t>Equity</t>
  </si>
  <si>
    <t>Capital</t>
  </si>
  <si>
    <t>Levered</t>
  </si>
  <si>
    <t>Unlevered</t>
  </si>
  <si>
    <r>
      <t>Beta</t>
    </r>
    <r>
      <rPr>
        <vertAlign val="superscript"/>
        <sz val="11"/>
        <color theme="1"/>
        <rFont val="Calibri"/>
        <family val="2"/>
      </rPr>
      <t>1</t>
    </r>
  </si>
  <si>
    <r>
      <t>Beta</t>
    </r>
    <r>
      <rPr>
        <vertAlign val="superscript"/>
        <sz val="11"/>
        <color theme="1"/>
        <rFont val="Calibri"/>
        <family val="2"/>
      </rPr>
      <t>2</t>
    </r>
  </si>
  <si>
    <t>S.No.</t>
  </si>
  <si>
    <t>Name</t>
  </si>
  <si>
    <t>CMP Rs.</t>
  </si>
  <si>
    <t>No. Eq. Shares Cr.</t>
  </si>
  <si>
    <t>Debt Rs.Cr.</t>
  </si>
  <si>
    <t>Cash End Rs.Cr.</t>
  </si>
  <si>
    <t>EV Rs.Cr.</t>
  </si>
  <si>
    <t>Sales Rs.Cr.</t>
  </si>
  <si>
    <t>EV / EBITDA</t>
  </si>
  <si>
    <t>NP 12M Rs.Cr.</t>
  </si>
  <si>
    <t>EBIDT Ann Rs.Cr.</t>
  </si>
  <si>
    <t>Titan Company</t>
  </si>
  <si>
    <t>Kalyan Jewellers</t>
  </si>
  <si>
    <t>Thangamayil Jew.</t>
  </si>
  <si>
    <t>India</t>
  </si>
  <si>
    <t>Cost of Debt</t>
  </si>
  <si>
    <t>Pre-Tax Cost of Debt</t>
  </si>
  <si>
    <t>After-Tax Cost of Debt</t>
  </si>
  <si>
    <t>Cost of Equity</t>
  </si>
  <si>
    <t>Risk Free Rate</t>
  </si>
  <si>
    <t>Equity Risk Premium (ERP)</t>
  </si>
  <si>
    <t>Levered Beta</t>
  </si>
  <si>
    <t>Cost Structure</t>
  </si>
  <si>
    <t>Current</t>
  </si>
  <si>
    <t>Target</t>
  </si>
  <si>
    <t>All figures are in INR unless stated otherwise</t>
  </si>
  <si>
    <t>Total Capital</t>
  </si>
  <si>
    <t>Comps Median Unlevered Beta</t>
  </si>
  <si>
    <t>Target Debt/Equity</t>
  </si>
  <si>
    <t>Calculation of WACC</t>
  </si>
  <si>
    <t>Debt Weight</t>
  </si>
  <si>
    <t>Equity Weight</t>
  </si>
  <si>
    <t>WACC</t>
  </si>
  <si>
    <t>Beta Regression</t>
  </si>
  <si>
    <t>Date</t>
  </si>
  <si>
    <t>Close</t>
  </si>
  <si>
    <t>Weekly Return</t>
  </si>
  <si>
    <t>Beta Drifting</t>
  </si>
  <si>
    <t>Levered Raw Beta</t>
  </si>
  <si>
    <t>Raw Beta Weight</t>
  </si>
  <si>
    <t>Market Beta</t>
  </si>
  <si>
    <t>Market Beta Weight</t>
  </si>
  <si>
    <t>Adjusted Beta</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</si>
  <si>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</si>
  <si>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</si>
  <si>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</si>
  <si>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</si>
  <si>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</si>
  <si>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</si>
  <si>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</si>
  <si>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</si>
  <si>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</si>
  <si>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</si>
  <si>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</si>
  <si>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</si>
  <si>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</si>
  <si>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</si>
  <si>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</si>
  <si>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</si>
  <si>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</si>
  <si>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</si>
  <si>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</si>
  <si>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</si>
  <si>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</si>
  <si>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</si>
  <si>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</si>
  <si>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</si>
  <si>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Beta</t>
  </si>
  <si>
    <t>Titan Company Ltd Return</t>
  </si>
  <si>
    <t>NIFTY Return</t>
  </si>
  <si>
    <t>Rajesh Exports</t>
  </si>
  <si>
    <t>Rajesh Exports Limited</t>
  </si>
  <si>
    <t>Return on Market</t>
  </si>
  <si>
    <t>Year</t>
  </si>
  <si>
    <t>Annual</t>
  </si>
  <si>
    <t>Average Return</t>
  </si>
  <si>
    <t>Dividend Yield</t>
  </si>
  <si>
    <r>
      <t>1.30%</t>
    </r>
    <r>
      <rPr>
        <vertAlign val="superscript"/>
        <sz val="11"/>
        <color rgb="FF3333FF"/>
        <rFont val="Calibri"/>
        <family val="2"/>
      </rPr>
      <t>1</t>
    </r>
  </si>
  <si>
    <t>Total Market Return</t>
  </si>
  <si>
    <t>Geometric Mean</t>
  </si>
  <si>
    <t>Debt/Equity</t>
  </si>
  <si>
    <t>1. Tax Rate considered as Marginal Tax Rate for the Country</t>
  </si>
  <si>
    <t>3. Unlevered Beta = Levered Beta/(1+(1-Tax Rate)*Debt/Equity</t>
  </si>
  <si>
    <t>4. Levered Beta = Unlevered Beta*(1+(1-Tax Rate)*Debt/Equity</t>
  </si>
  <si>
    <t>2. Levered Beta is based on 5 year Weekly Data</t>
  </si>
  <si>
    <t>Calculation of ROIC</t>
  </si>
  <si>
    <t>Current Assets</t>
  </si>
  <si>
    <t>Equity Capital</t>
  </si>
  <si>
    <t>Borrowings -</t>
  </si>
  <si>
    <t>Long term Borrowings</t>
  </si>
  <si>
    <t>Short term Borrowings</t>
  </si>
  <si>
    <t>Lease Liabilities</t>
  </si>
  <si>
    <t>Other Borrowings</t>
  </si>
  <si>
    <t>Other Liabilities -</t>
  </si>
  <si>
    <t>Non controlling int</t>
  </si>
  <si>
    <t>Advance from Customers</t>
  </si>
  <si>
    <t>Other liability items</t>
  </si>
  <si>
    <t>Fixed Assets -</t>
  </si>
  <si>
    <t>Land</t>
  </si>
  <si>
    <t>Building</t>
  </si>
  <si>
    <t>Plant Machinery</t>
  </si>
  <si>
    <t>Equipments</t>
  </si>
  <si>
    <t>Computers</t>
  </si>
  <si>
    <t>Furniture n fittings</t>
  </si>
  <si>
    <t>Vehicles</t>
  </si>
  <si>
    <t>Intangible Assets</t>
  </si>
  <si>
    <t>Other fixed assets</t>
  </si>
  <si>
    <t>Gross Block</t>
  </si>
  <si>
    <t>Accumulated Depreciation</t>
  </si>
  <si>
    <t>CWIP</t>
  </si>
  <si>
    <t>Other Assets -</t>
  </si>
  <si>
    <t>Inventories</t>
  </si>
  <si>
    <t>Cash Equivalents</t>
  </si>
  <si>
    <t>Loans n Advances</t>
  </si>
  <si>
    <t>Other asset items</t>
  </si>
  <si>
    <t xml:space="preserve">Trade receivables </t>
  </si>
  <si>
    <t>Free Cash Flow</t>
  </si>
  <si>
    <t>CFO/OP</t>
  </si>
  <si>
    <t>CFI</t>
  </si>
  <si>
    <t>Current Liabilities</t>
  </si>
  <si>
    <t>Total Current Liabilities</t>
  </si>
  <si>
    <t>Net Working Capital</t>
  </si>
  <si>
    <t>Non Current Assets</t>
  </si>
  <si>
    <t>Capital Invested</t>
  </si>
  <si>
    <t>EBIT(1-T)</t>
  </si>
  <si>
    <t xml:space="preserve">ROIC </t>
  </si>
  <si>
    <t>Calculation of Reinvested Capital</t>
  </si>
  <si>
    <t>Change in working capital</t>
  </si>
  <si>
    <t>Reinvestment</t>
  </si>
  <si>
    <t>Reinvestment Rate</t>
  </si>
  <si>
    <t>Net Capex</t>
  </si>
  <si>
    <t>Calculation of Intrinsic Growth</t>
  </si>
  <si>
    <t>Intrinsic Growth</t>
  </si>
  <si>
    <t>Debt/Capital</t>
  </si>
  <si>
    <t>Calculation of PV of FCFF</t>
  </si>
  <si>
    <t>Less: Reinvestment Rate</t>
  </si>
  <si>
    <t>Free Cash Flow To Firm</t>
  </si>
  <si>
    <t>Mid Year Convention</t>
  </si>
  <si>
    <t>Discounting Factor</t>
  </si>
  <si>
    <t>4. DCF Drivers</t>
  </si>
  <si>
    <t>ReInvestment Rate</t>
  </si>
  <si>
    <t>Expected Growth</t>
  </si>
  <si>
    <t>Terminal Growth</t>
  </si>
  <si>
    <t>PV of FCFF</t>
  </si>
  <si>
    <t>Calculation of Terminal Value</t>
  </si>
  <si>
    <t>Calculation of Equity Value</t>
  </si>
  <si>
    <t>FCFF(n+1)</t>
  </si>
  <si>
    <t>Terminal Growth Rate</t>
  </si>
  <si>
    <t>Terminal Value</t>
  </si>
  <si>
    <t>PV of Terminal Value</t>
  </si>
  <si>
    <t>Value of Operating Assets</t>
  </si>
  <si>
    <t>Add: Cash</t>
  </si>
  <si>
    <t>Less: Debt</t>
  </si>
  <si>
    <t>Value of Equity</t>
  </si>
  <si>
    <t>No of Shares</t>
  </si>
  <si>
    <t>Equity Value per Shares</t>
  </si>
  <si>
    <t>Share Price</t>
  </si>
  <si>
    <t>Discount/Premium</t>
  </si>
  <si>
    <t>Scenerio Analysis</t>
  </si>
  <si>
    <t>Growth Rate</t>
  </si>
  <si>
    <t>Comparable Company Valuation</t>
  </si>
  <si>
    <t xml:space="preserve">Market Data </t>
  </si>
  <si>
    <t>Financial</t>
  </si>
  <si>
    <t>Valuation</t>
  </si>
  <si>
    <t>Ticker</t>
  </si>
  <si>
    <t>Price</t>
  </si>
  <si>
    <t xml:space="preserve">Share </t>
  </si>
  <si>
    <t>Outstanding</t>
  </si>
  <si>
    <t>Net Debt</t>
  </si>
  <si>
    <t>Value</t>
  </si>
  <si>
    <t>Enterprise</t>
  </si>
  <si>
    <t>Revenue</t>
  </si>
  <si>
    <t xml:space="preserve">EBITDA </t>
  </si>
  <si>
    <t>Net Income</t>
  </si>
  <si>
    <t>EV/Revenue</t>
  </si>
  <si>
    <t>EV/EBITDA</t>
  </si>
  <si>
    <t>P/E</t>
  </si>
  <si>
    <t>Bluestone Jewel</t>
  </si>
  <si>
    <t>Sky Gold &amp; Diam.</t>
  </si>
  <si>
    <t>PC Jeweller</t>
  </si>
  <si>
    <t>P N Gadgil Jewe.</t>
  </si>
  <si>
    <t>High</t>
  </si>
  <si>
    <t>75th Percentile</t>
  </si>
  <si>
    <t>25th Percentile</t>
  </si>
  <si>
    <t>Low</t>
  </si>
  <si>
    <t>Implied Enterprise Value</t>
  </si>
  <si>
    <t>New Debt</t>
  </si>
  <si>
    <t>Implied Market Value</t>
  </si>
  <si>
    <t>Shares Outstanding</t>
  </si>
  <si>
    <t>Implied Value Per Share</t>
  </si>
  <si>
    <t>Titan Company Ltd Valuation</t>
  </si>
  <si>
    <t>Comps</t>
  </si>
  <si>
    <t>DCF Bear</t>
  </si>
  <si>
    <t>DCF Base</t>
  </si>
  <si>
    <t>DCF Bull</t>
  </si>
  <si>
    <t>52W H/L</t>
  </si>
  <si>
    <t>OpenLow</t>
  </si>
  <si>
    <t>OpenHigh</t>
  </si>
  <si>
    <t>Football Field Analysis</t>
  </si>
  <si>
    <t xml:space="preserve">                                  </t>
  </si>
  <si>
    <t>Return</t>
  </si>
  <si>
    <t>Sorted Return</t>
  </si>
  <si>
    <t>Calculation of VAR</t>
  </si>
  <si>
    <t>Mean</t>
  </si>
  <si>
    <t>Standard Deviation</t>
  </si>
  <si>
    <t>Min.</t>
  </si>
  <si>
    <t>Max.</t>
  </si>
  <si>
    <t>CMP</t>
  </si>
  <si>
    <t>Percentile</t>
  </si>
  <si>
    <t>Confidence</t>
  </si>
  <si>
    <t>VAR%</t>
  </si>
  <si>
    <t>Stock Price</t>
  </si>
  <si>
    <t>VAR(INR)</t>
  </si>
  <si>
    <t>St. Deviation</t>
  </si>
  <si>
    <t>Replication</t>
  </si>
  <si>
    <t>Simulated Return</t>
  </si>
  <si>
    <t>Max</t>
  </si>
  <si>
    <t>Min</t>
  </si>
  <si>
    <t>About The Company</t>
  </si>
  <si>
    <t>Financial Summary</t>
  </si>
  <si>
    <t>DUPONT Analysis - Return on Equity &amp; Return on Assets</t>
  </si>
  <si>
    <t>Return on Equity (ROE)</t>
  </si>
  <si>
    <t>Average Shareholders Equity</t>
  </si>
  <si>
    <t>ROE - DUPONT Equation</t>
  </si>
  <si>
    <t>Net Profit Margin (A)</t>
  </si>
  <si>
    <t>Average Total Assets</t>
  </si>
  <si>
    <t>Asset Turnover Ratio (B)</t>
  </si>
  <si>
    <t xml:space="preserve">Equity Multiplier (C) </t>
  </si>
  <si>
    <t>Return on Equity (A*B*C)</t>
  </si>
  <si>
    <t>Return on Assets (ROA)</t>
  </si>
  <si>
    <t>ROA - DUPONT Equation</t>
  </si>
  <si>
    <t>Return on Assets (A*B)</t>
  </si>
  <si>
    <t xml:space="preserve"> (TITAN | BSE Code: 500114)</t>
  </si>
  <si>
    <t>52 Week (High - INR 4,679.80 &amp; Low - 3,303.10)</t>
  </si>
  <si>
    <t>Titan Company Limited is an Indian fashion accessories company that mainly manufactures items such as jewellery, watches and eyewear. Part of the Tata Group and started as a joint venture with TIDCO, the company has its corporate headquarters in Electronic City, Bangalore and registered office in Hosur, Tamil Nadu.</t>
  </si>
  <si>
    <t>Altman's Z Score Analysis</t>
  </si>
  <si>
    <t>Altman's Z Score Analysis Calculation</t>
  </si>
  <si>
    <t>Working Capital/Total Assets</t>
  </si>
  <si>
    <t>Working Capital</t>
  </si>
  <si>
    <t>Working Capital/Total Assets (A)</t>
  </si>
  <si>
    <t>Retained Earnings/Total Assets</t>
  </si>
  <si>
    <t>Retained Earnings/Total Assets (B)</t>
  </si>
  <si>
    <t>EBIT/Total Assets</t>
  </si>
  <si>
    <t>EBIT/Total Assets (C)</t>
  </si>
  <si>
    <t>Market Cap./Long Term Liabilities</t>
  </si>
  <si>
    <t>Market Capitalization (In Crs)</t>
  </si>
  <si>
    <t>Long Term Liability</t>
  </si>
  <si>
    <t>Market Cap./Long Term Liab. (D)</t>
  </si>
  <si>
    <t>Sales/Total Assets</t>
  </si>
  <si>
    <t>Sales/Total Assets (E)</t>
  </si>
  <si>
    <t>Altman's Z Score</t>
  </si>
  <si>
    <t>Final Score</t>
  </si>
  <si>
    <t>Financial Stability</t>
  </si>
  <si>
    <t>Titan Company Limited is an Indian fashion accessories company that mainly manufactures items such as jewellery, watches and eyewear. Part of the Tata Group and started as a joint venture with TIDCO, the company has its corporate headquarters in Electronic City, Bangalore and registered office in Hosur, Tamil Nadu. In 1994, Titan diversified into jewellery with Tanishq and subsequently into eyewear with Titan Eyeplus.</t>
  </si>
  <si>
    <t>Key Financial Metrics</t>
  </si>
  <si>
    <t>Share Price - 5Y</t>
  </si>
  <si>
    <t>Total Sales</t>
  </si>
  <si>
    <t>Sales Growth (Y-O-Y)</t>
  </si>
  <si>
    <t>Gross Profit Margins (%)</t>
  </si>
  <si>
    <t>EBITDA Margins (%)</t>
  </si>
  <si>
    <t>EBIT Margins (%)</t>
  </si>
  <si>
    <t>Net Profit Margins  (In Rs)</t>
  </si>
  <si>
    <t>Earning Per Share (In Rs)</t>
  </si>
  <si>
    <t>EPS Growth (Y-O-Y)</t>
  </si>
  <si>
    <t>Dividend Per Share</t>
  </si>
  <si>
    <t>Key Financial Ratio</t>
  </si>
  <si>
    <t>Price to Earning</t>
  </si>
  <si>
    <t>EV/Sales</t>
  </si>
  <si>
    <t>Price to Book Value</t>
  </si>
  <si>
    <t>Return on Equity (%)</t>
  </si>
  <si>
    <t>Return on Capital Employed (%)</t>
  </si>
  <si>
    <t>Top 10 Share Holders</t>
  </si>
  <si>
    <t>Market Value (In Cr)</t>
  </si>
  <si>
    <t>Share Holding Pattern</t>
  </si>
  <si>
    <t>Managerial Remuneration</t>
  </si>
  <si>
    <t>Designation</t>
  </si>
  <si>
    <t>Remuneration</t>
  </si>
  <si>
    <t>Ratio to Median</t>
  </si>
  <si>
    <t>Capital Structure</t>
  </si>
  <si>
    <t>No of Share</t>
  </si>
  <si>
    <t>Less: Cash &amp; Equivalent</t>
  </si>
  <si>
    <t>Add: Total Debt</t>
  </si>
  <si>
    <t>Add: Minority Interest</t>
  </si>
  <si>
    <t>Enterprise Value</t>
  </si>
  <si>
    <t>Recent Updates</t>
  </si>
  <si>
    <t>Dividend Growth Rate</t>
  </si>
  <si>
    <t>Market Price per Share</t>
  </si>
  <si>
    <t>Enterprise Value(EV)</t>
  </si>
  <si>
    <t>Book Value</t>
  </si>
  <si>
    <t>Price to book (P/B)</t>
  </si>
  <si>
    <r>
      <t>M</t>
    </r>
    <r>
      <rPr>
        <sz val="11"/>
        <color theme="1"/>
        <rFont val="Calibri"/>
        <family val="2"/>
      </rPr>
      <t>arket Capitalization</t>
    </r>
  </si>
  <si>
    <t>Shareholder's name</t>
  </si>
  <si>
    <t>Shareholding (%)</t>
  </si>
  <si>
    <t>Quarter Ending</t>
  </si>
  <si>
    <t>Tamilnadu Industrial Development Corporation Ltd</t>
  </si>
  <si>
    <t>Tata Sons Private Limited</t>
  </si>
  <si>
    <t>Rekha Jhunjhunwala</t>
  </si>
  <si>
    <t>Life Insurance Corporation Of India</t>
  </si>
  <si>
    <t>Tata Investment Corporation Ltd</t>
  </si>
  <si>
    <t>Sbi Nifty 50 Etf</t>
  </si>
  <si>
    <t>Nps Trust A/C Uti Pension Fund Limited-Scheme State Govt</t>
  </si>
  <si>
    <t>Tata Chemicals Limited</t>
  </si>
  <si>
    <t>Icici Prudential Balanced Advantage Fund</t>
  </si>
  <si>
    <t>Uti Nifty 50 Etf</t>
  </si>
  <si>
    <t>No. of Shares (Cr)</t>
  </si>
  <si>
    <t>Dr. S Vijayakumar, IAS</t>
  </si>
  <si>
    <t>Chairman</t>
  </si>
  <si>
    <t>Mr. N. N. Tata</t>
  </si>
  <si>
    <t>Vice Chairman</t>
  </si>
  <si>
    <t>Mr. Ajoy Chawla</t>
  </si>
  <si>
    <t>Mr. Puneet Chhatwal</t>
  </si>
  <si>
    <t>Director</t>
  </si>
  <si>
    <t>MD</t>
  </si>
  <si>
    <t>Nil</t>
  </si>
  <si>
    <t>Volume</t>
  </si>
  <si>
    <t>Volumes in Million - 5Y</t>
  </si>
  <si>
    <t>3
Sep-24</t>
  </si>
  <si>
    <t>3
Dec-24</t>
  </si>
  <si>
    <t>3
Mar-25</t>
  </si>
  <si>
    <t>3
Jun-25</t>
  </si>
  <si>
    <t>3
Sep-25</t>
  </si>
  <si>
    <t>3
Dec-25</t>
  </si>
  <si>
    <t>3
Mar-26</t>
  </si>
  <si>
    <t>3
Jun-26</t>
  </si>
  <si>
    <t>FII</t>
  </si>
  <si>
    <t>Institutions</t>
  </si>
  <si>
    <t>Promoters</t>
  </si>
  <si>
    <t>Total Public</t>
  </si>
  <si>
    <r>
      <t>Stock Peak:</t>
    </r>
    <r>
      <rPr>
        <sz val="10"/>
        <color theme="1"/>
        <rFont val="Arial"/>
        <family val="2"/>
      </rPr>
      <t xml:space="preserve"> Reached an all-time high of ₹4,858.20 on NSE amid strong luxury retail demand.</t>
    </r>
  </si>
  <si>
    <r>
      <t>AGM Concluded:</t>
    </r>
    <r>
      <rPr>
        <sz val="10"/>
        <color theme="1"/>
        <rFont val="Arial"/>
        <family val="2"/>
      </rPr>
      <t xml:space="preserve"> Held its 42nd AGM on July 27, discussing governance and Noel Tata's upcoming retirement.</t>
    </r>
  </si>
  <si>
    <r>
      <t>Dividend Disbursed:</t>
    </r>
    <r>
      <rPr>
        <sz val="10"/>
        <color theme="1"/>
        <rFont val="Arial"/>
        <family val="2"/>
      </rPr>
      <t xml:space="preserve"> Paid a final dividend of ₹15 per share (1500%) earlier this month.</t>
    </r>
  </si>
  <si>
    <r>
      <t>Earnings Countdown:</t>
    </r>
    <r>
      <rPr>
        <sz val="10"/>
        <color theme="1"/>
        <rFont val="Arial"/>
        <family val="2"/>
      </rPr>
      <t xml:space="preserve"> Board will meet on August 7, 2026, to approve Q1 FY27 financial results.</t>
    </r>
  </si>
  <si>
    <t>-</t>
  </si>
  <si>
    <t>6.91X</t>
  </si>
  <si>
    <t>5.13X</t>
  </si>
  <si>
    <t>Table of Content</t>
  </si>
  <si>
    <t>One Page Profile (Teaser)</t>
  </si>
  <si>
    <t>Ratio Analysis</t>
  </si>
  <si>
    <t>Common Size Staement</t>
  </si>
  <si>
    <t>Assumptions Sheet</t>
  </si>
  <si>
    <t>Forcasted Financial Statements</t>
  </si>
  <si>
    <t>Comps Beta</t>
  </si>
  <si>
    <t>Weighted Average Cost of Capital (WACC)</t>
  </si>
  <si>
    <t>DCF Valuation (FCFF)</t>
  </si>
  <si>
    <t xml:space="preserve">Value at Risk - Historical </t>
  </si>
  <si>
    <t>Value at Risk - Monte Carlo Method</t>
  </si>
  <si>
    <t>DUPONT Analysis (ROE &amp; ROA)</t>
  </si>
  <si>
    <t>In Days</t>
  </si>
  <si>
    <t>Historical Cash Flow Statement</t>
  </si>
  <si>
    <t>Historical Income Statement &amp; Balance Sheet</t>
  </si>
  <si>
    <t>8-10</t>
  </si>
  <si>
    <t>11-13</t>
  </si>
  <si>
    <t>14</t>
  </si>
  <si>
    <t>15</t>
  </si>
  <si>
    <t>16</t>
  </si>
  <si>
    <t>17</t>
  </si>
  <si>
    <t>18</t>
  </si>
  <si>
    <t>19</t>
  </si>
  <si>
    <t>Beta Regression - Titan Company Ltd.</t>
  </si>
  <si>
    <t>20</t>
  </si>
  <si>
    <t>21</t>
  </si>
  <si>
    <t>22-23</t>
  </si>
  <si>
    <t>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</si>
</sst>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 #,##0.00_ ;_ * \-#,##0.00_ ;_ * &quot;-&quot;??_ ;_ @_ "/>
    <numFmt numFmtId="164" formatCode="mmm\-yy"/>
    <numFmt numFmtId="165" formatCode="&quot;₹ &quot;#,##0.0;&quot;₹ (&quot;#,##0.0\);\-"/>
    <numFmt numFmtId="166" formatCode="_(* #,##0.00_);_(* \(#,##0.00\);_(* \-??_);_(@_)"/>
    <numFmt numFmtId="167" formatCode="&quot;₹ &quot;#,##0.00;&quot;₹ (&quot;#,##0.00\);\-"/>
    <numFmt numFmtId="168" formatCode="0.0%"/>
    <numFmt numFmtId="169" formatCode="_ * #,##0.00_ ;_ * \-#,##0.00_ ;_ * \-??_ ;_ @_ "/>
    <numFmt numFmtId="170" formatCode="0.00\x"/>
    <numFmt numFmtId="171" formatCode="yyyy\A"/>
    <numFmt numFmtId="172" formatCode="yyyy\F"/>
    <numFmt numFmtId="173" formatCode="[$-409]mmm\-yy;@"/>
    <numFmt numFmtId="174" formatCode="0.0"/>
    <numFmt numFmtId="175" formatCode="0.000"/>
    <numFmt numFmtId="176" formatCode="&quot;₹&quot;\ #,##0.00"/>
    <numFmt numFmtId="177" formatCode="&quot;₹&quot;\ #,##0.0"/>
    <numFmt numFmtId="178" formatCode="0.00&quot;x&quot;"/>
    <numFmt numFmtId="179" formatCode="#,##0.000"/>
    <numFmt numFmtId="180" formatCode="0.00000"/>
    <numFmt numFmtId="181" formatCode="mmm/yyyy"/>
    <numFmt numFmtId="182" formatCode="0&quot;x&quot;"/>
    <numFmt numFmtId="183" formatCode="#,##0.0;\(#,##0.0\)"/>
    <numFmt numFmtId="184" formatCode="#,##0.0"/>
    <numFmt numFmtId="185" formatCode="mm/yyyy"/>
    <numFmt numFmtId="186" formatCode="0.00\ &quot;d&quot;"/>
    <numFmt numFmtId="187" formatCode="0.00&quot; d&quot;"/>
  </numFmts>
  <fonts count="62" x14ac:knownFonts="1">
    <font>
      <sz val="11"/>
      <color theme="1"/>
      <name val="Calibri"/>
      <family val="2"/>
      <charset val="1"/>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0"/>
      <name val="Arial"/>
    </font>
    <font>
      <b/>
      <sz val="11"/>
      <color theme="0"/>
      <name val="Calibri"/>
      <family val="2"/>
      <charset val="1"/>
    </font>
    <font>
      <b/>
      <sz val="11"/>
      <color theme="1"/>
      <name val="Calibri"/>
      <family val="2"/>
      <charset val="1"/>
    </font>
    <font>
      <i/>
      <sz val="11"/>
      <color theme="0" tint="-0.499984740745262"/>
      <name val="Calibri"/>
      <family val="2"/>
      <charset val="1"/>
    </font>
    <font>
      <b/>
      <i/>
      <sz val="11"/>
      <color theme="1"/>
      <name val="Calibri"/>
      <family val="2"/>
      <charset val="1"/>
    </font>
    <font>
      <i/>
      <sz val="11"/>
      <color theme="1"/>
      <name val="Calibri"/>
      <family val="2"/>
      <charset val="1"/>
    </font>
    <font>
      <b/>
      <sz val="14"/>
      <color theme="0"/>
      <name val="Calibri"/>
      <family val="2"/>
      <charset val="1"/>
    </font>
    <font>
      <b/>
      <sz val="12"/>
      <color theme="0"/>
      <name val="Calibri"/>
      <family val="2"/>
      <charset val="1"/>
    </font>
    <font>
      <sz val="12"/>
      <color theme="1"/>
      <name val="Calibri"/>
      <family val="2"/>
      <charset val="1"/>
    </font>
    <font>
      <sz val="11"/>
      <color rgb="FF0000FF"/>
      <name val="Calibri"/>
      <charset val="1"/>
    </font>
    <font>
      <sz val="11"/>
      <color rgb="FF000000"/>
      <name val="Calibri"/>
      <charset val="1"/>
    </font>
    <font>
      <sz val="11"/>
      <color rgb="FF008000"/>
      <name val="Calibri"/>
      <charset val="1"/>
    </font>
    <font>
      <sz val="10"/>
      <name val="Arial"/>
      <family val="2"/>
    </font>
    <font>
      <sz val="11"/>
      <color rgb="FF0000FF"/>
      <name val="Calibri"/>
      <family val="2"/>
      <charset val="1"/>
    </font>
    <font>
      <u/>
      <sz val="11"/>
      <color theme="10"/>
      <name val="Calibri"/>
      <family val="2"/>
      <charset val="1"/>
    </font>
    <font>
      <sz val="11"/>
      <name val="Calibri"/>
      <family val="2"/>
      <charset val="1"/>
    </font>
    <font>
      <sz val="10"/>
      <color rgb="FF0000FF"/>
      <name val="Arial"/>
      <family val="2"/>
    </font>
    <font>
      <b/>
      <sz val="11"/>
      <color theme="1"/>
      <name val="Calibri"/>
      <family val="2"/>
    </font>
    <font>
      <vertAlign val="superscript"/>
      <sz val="11"/>
      <color theme="1"/>
      <name val="Calibri"/>
      <family val="2"/>
    </font>
    <font>
      <i/>
      <sz val="10"/>
      <color theme="1"/>
      <name val="Calibri"/>
      <family val="2"/>
    </font>
    <font>
      <b/>
      <sz val="12"/>
      <color theme="0"/>
      <name val="Calibri"/>
      <family val="2"/>
    </font>
    <font>
      <b/>
      <sz val="11"/>
      <color theme="0"/>
      <name val="Calibri"/>
      <family val="2"/>
    </font>
    <font>
      <sz val="11"/>
      <color theme="0"/>
      <name val="Calibri"/>
      <family val="2"/>
      <charset val="1"/>
    </font>
    <font>
      <sz val="11"/>
      <color rgb="FF3333FF"/>
      <name val="Calibri"/>
      <family val="2"/>
      <charset val="1"/>
    </font>
    <font>
      <vertAlign val="superscript"/>
      <sz val="11"/>
      <color rgb="FF3333FF"/>
      <name val="Calibri"/>
      <family val="2"/>
    </font>
    <font>
      <i/>
      <sz val="10"/>
      <color theme="1"/>
      <name val="Calibri"/>
      <family val="2"/>
      <charset val="1"/>
    </font>
    <font>
      <sz val="11"/>
      <color theme="0"/>
      <name val="Calibri"/>
      <family val="2"/>
    </font>
    <font>
      <b/>
      <sz val="14"/>
      <color theme="0"/>
      <name val="Calibri"/>
      <family val="2"/>
    </font>
    <font>
      <b/>
      <sz val="10"/>
      <name val="Arial"/>
      <family val="2"/>
    </font>
    <font>
      <sz val="11"/>
      <color theme="1"/>
      <name val="Calibri"/>
      <family val="2"/>
      <charset val="1"/>
    </font>
    <font>
      <sz val="11"/>
      <color rgb="FF3333FF"/>
      <name val="Calibri"/>
      <family val="2"/>
    </font>
    <font>
      <i/>
      <sz val="11"/>
      <color theme="2" tint="-9.9978637043366805E-2"/>
      <name val="Calibri"/>
      <family val="2"/>
    </font>
    <font>
      <sz val="11"/>
      <color rgb="FF00B050"/>
      <name val="Calibri"/>
      <family val="2"/>
      <charset val="1"/>
    </font>
    <font>
      <sz val="14"/>
      <color theme="1"/>
      <name val="Calibri"/>
      <family val="2"/>
      <charset val="1"/>
    </font>
    <font>
      <sz val="11"/>
      <color theme="0" tint="-4.9989318521683403E-2"/>
      <name val="Calibri"/>
      <family val="2"/>
      <charset val="1"/>
    </font>
    <font>
      <b/>
      <sz val="11"/>
      <color theme="0" tint="-4.9989318521683403E-2"/>
      <name val="Calibri"/>
      <family val="2"/>
    </font>
    <font>
      <b/>
      <sz val="14"/>
      <color theme="0" tint="-4.9989318521683403E-2"/>
      <name val="Calibri"/>
      <family val="2"/>
    </font>
    <font>
      <sz val="11"/>
      <color rgb="FFEC6A14"/>
      <name val="Calibri"/>
      <family val="2"/>
      <charset val="1"/>
    </font>
    <font>
      <b/>
      <sz val="13"/>
      <color rgb="FFEC6A14"/>
      <name val="Calibri"/>
      <family val="2"/>
    </font>
    <font>
      <sz val="11"/>
      <color rgb="FF202122"/>
      <name val="Calibri"/>
      <family val="2"/>
      <scheme val="minor"/>
    </font>
    <font>
      <b/>
      <sz val="20"/>
      <color rgb="FF009999"/>
      <name val="Calibri"/>
      <family val="2"/>
    </font>
    <font>
      <b/>
      <sz val="16"/>
      <color rgb="FF009999"/>
      <name val="Calibri"/>
      <family val="2"/>
    </font>
    <font>
      <b/>
      <sz val="13"/>
      <color rgb="FF009999"/>
      <name val="Calibri"/>
      <family val="2"/>
    </font>
    <font>
      <b/>
      <sz val="11"/>
      <name val="Calibri"/>
      <family val="2"/>
    </font>
    <font>
      <b/>
      <sz val="23"/>
      <color rgb="FF009999"/>
      <name val="Calibri"/>
      <family val="2"/>
    </font>
    <font>
      <sz val="10"/>
      <color theme="1"/>
      <name val="Arial"/>
      <family val="2"/>
    </font>
    <font>
      <b/>
      <sz val="10"/>
      <color theme="1"/>
      <name val="Arial"/>
      <family val="2"/>
    </font>
    <font>
      <b/>
      <sz val="36"/>
      <color theme="0"/>
      <name val="Calibri"/>
      <family val="2"/>
    </font>
    <font>
      <sz val="22"/>
      <color theme="1"/>
      <name val="Calibri"/>
      <family val="2"/>
      <charset val="1"/>
    </font>
    <font>
      <sz val="18"/>
      <color theme="1"/>
      <name val="Calibri"/>
      <family val="2"/>
      <charset val="1"/>
    </font>
    <font>
      <sz val="11"/>
      <color rgb="FF9BFFFD"/>
      <name val="Calibri"/>
      <family val="2"/>
      <charset val="1"/>
    </font>
    <font>
      <b/>
      <sz val="22"/>
      <color rgb="FF009999"/>
      <name val="Calibri"/>
      <family val="2"/>
    </font>
    <font>
      <b/>
      <i/>
      <sz val="11"/>
      <color theme="1"/>
      <name val="Calibri"/>
      <family val="2"/>
    </font>
    <font>
      <b/>
      <sz val="16"/>
      <color theme="1"/>
      <name val="Calibri"/>
      <family val="2"/>
    </font>
    <font>
      <b/>
      <sz val="36"/>
      <color theme="1"/>
      <name val="Calibri"/>
      <family val="2"/>
    </font>
    <font>
      <sz val="16"/>
      <color theme="1"/>
      <name val="Calibri"/>
      <family val="2"/>
      <charset val="1"/>
    </font>
  </fonts>
  <fills count="13">
    <fill>
      <patternFill patternType="none"/>
    </fill>
    <fill>
      <patternFill patternType="gray125"/>
    </fill>
    <fill>
      <patternFill patternType="solid">
        <fgColor rgb="FF008080"/>
        <bgColor rgb="FF009999"/>
      </patternFill>
    </fill>
    <fill>
      <patternFill patternType="solid">
        <fgColor rgb="FF009999"/>
        <bgColor rgb="FF008080"/>
      </patternFill>
    </fill>
    <fill>
      <patternFill patternType="solid">
        <fgColor rgb="FF00D6D1"/>
        <bgColor rgb="FF00D2CD"/>
      </patternFill>
    </fill>
    <fill>
      <patternFill patternType="solid">
        <fgColor rgb="FFFFFF00"/>
        <bgColor rgb="FFFFFF00"/>
      </patternFill>
    </fill>
    <fill>
      <patternFill patternType="solid">
        <fgColor theme="9"/>
        <bgColor rgb="FF993366"/>
      </patternFill>
    </fill>
    <fill>
      <patternFill patternType="solid">
        <fgColor rgb="FF0275D8"/>
        <bgColor rgb="FF008080"/>
      </patternFill>
    </fill>
    <fill>
      <patternFill patternType="solid">
        <fgColor rgb="FF009999"/>
        <bgColor indexed="64"/>
      </patternFill>
    </fill>
    <fill>
      <patternFill patternType="solid">
        <fgColor rgb="FF009999"/>
        <bgColor rgb="FF1F4E78"/>
      </patternFill>
    </fill>
    <fill>
      <patternFill patternType="solid">
        <fgColor rgb="FF33CCCC"/>
        <bgColor indexed="64"/>
      </patternFill>
    </fill>
    <fill>
      <patternFill patternType="solid">
        <fgColor rgb="FFBDFFFD"/>
        <bgColor indexed="64"/>
      </patternFill>
    </fill>
    <fill>
      <patternFill patternType="solid">
        <fgColor rgb="FF9BFFFD"/>
        <bgColor indexed="64"/>
      </patternFill>
    </fill>
  </fills>
  <borders count="60">
    <border>
      <left/>
      <right/>
      <top/>
      <bottom/>
      <diagonal/>
    </border>
    <border>
      <left/>
      <right/>
      <top style="dotted">
        <color rgb="FF33CCCC"/>
      </top>
      <bottom style="dotted">
        <color rgb="FF33CCCC"/>
      </bottom>
      <diagonal/>
    </border>
    <border>
      <left/>
      <right/>
      <top style="dotted">
        <color rgb="FF33CCCC"/>
      </top>
      <bottom/>
      <diagonal/>
    </border>
    <border>
      <left/>
      <right/>
      <top/>
      <bottom style="dotted">
        <color rgb="FF33CCCC"/>
      </bottom>
      <diagonal/>
    </border>
    <border>
      <left/>
      <right/>
      <top/>
      <bottom style="thin">
        <color rgb="FF009999"/>
      </bottom>
      <diagonal/>
    </border>
    <border>
      <left/>
      <right/>
      <top style="medium">
        <color rgb="FF009999"/>
      </top>
      <bottom/>
      <diagonal/>
    </border>
    <border>
      <left/>
      <right/>
      <top style="double">
        <color rgb="FF009999"/>
      </top>
      <bottom style="thick">
        <color rgb="FF009999"/>
      </bottom>
      <diagonal/>
    </border>
    <border>
      <left/>
      <right/>
      <top style="medium">
        <color rgb="FF009999"/>
      </top>
      <bottom style="medium">
        <color rgb="FF009999"/>
      </bottom>
      <diagonal/>
    </border>
    <border>
      <left/>
      <right/>
      <top/>
      <bottom style="medium">
        <color rgb="FF009999"/>
      </bottom>
      <diagonal/>
    </border>
    <border>
      <left/>
      <right/>
      <top style="thin">
        <color rgb="FF009999"/>
      </top>
      <bottom/>
      <diagonal/>
    </border>
    <border>
      <left/>
      <right/>
      <top style="dotted">
        <color rgb="FF009999"/>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top style="dotted">
        <color rgb="FF009999"/>
      </top>
      <bottom style="thin">
        <color indexed="64"/>
      </bottom>
      <diagonal/>
    </border>
    <border>
      <left/>
      <right/>
      <top style="dotted">
        <color rgb="FF009999"/>
      </top>
      <bottom style="thin">
        <color indexed="64"/>
      </bottom>
      <diagonal/>
    </border>
    <border>
      <left/>
      <right style="thin">
        <color indexed="64"/>
      </right>
      <top style="dotted">
        <color rgb="FF009999"/>
      </top>
      <bottom style="thin">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
      <left/>
      <right/>
      <top style="thin">
        <color rgb="FF009999"/>
      </top>
      <bottom style="thin">
        <color rgb="FF009999"/>
      </bottom>
      <diagonal/>
    </border>
    <border>
      <left/>
      <right/>
      <top style="medium">
        <color rgb="FF009999"/>
      </top>
      <bottom style="thick">
        <color rgb="FF009999"/>
      </bottom>
      <diagonal/>
    </border>
    <border>
      <left/>
      <right/>
      <top style="medium">
        <color rgb="FF009999"/>
      </top>
      <bottom style="thin">
        <color rgb="FF009999"/>
      </bottom>
      <diagonal/>
    </border>
    <border>
      <left/>
      <right/>
      <top style="thin">
        <color rgb="FF009999"/>
      </top>
      <bottom style="medium">
        <color rgb="FF009999"/>
      </bottom>
      <diagonal/>
    </border>
    <border>
      <left/>
      <right/>
      <top style="thick">
        <color rgb="FF009999"/>
      </top>
      <bottom style="thick">
        <color rgb="FF009999"/>
      </bottom>
      <diagonal/>
    </border>
    <border>
      <left/>
      <right style="thin">
        <color theme="1"/>
      </right>
      <top/>
      <bottom/>
      <diagonal/>
    </border>
    <border>
      <left/>
      <right/>
      <top/>
      <bottom style="thin">
        <color theme="1"/>
      </bottom>
      <diagonal/>
    </border>
    <border>
      <left/>
      <right style="thin">
        <color theme="1"/>
      </right>
      <top/>
      <bottom style="thin">
        <color theme="1"/>
      </bottom>
      <diagonal/>
    </border>
    <border>
      <left style="thin">
        <color rgb="FF009999"/>
      </left>
      <right/>
      <top style="thin">
        <color rgb="FF009999"/>
      </top>
      <bottom/>
      <diagonal/>
    </border>
    <border>
      <left/>
      <right style="thin">
        <color theme="1"/>
      </right>
      <top style="thin">
        <color rgb="FF009999"/>
      </top>
      <bottom/>
      <diagonal/>
    </border>
    <border>
      <left style="thin">
        <color rgb="FF009999"/>
      </left>
      <right/>
      <top/>
      <bottom/>
      <diagonal/>
    </border>
    <border>
      <left style="thin">
        <color rgb="FF009999"/>
      </left>
      <right/>
      <top/>
      <bottom style="thin">
        <color theme="1"/>
      </bottom>
      <diagonal/>
    </border>
    <border>
      <left/>
      <right/>
      <top/>
      <bottom style="medium">
        <color theme="0"/>
      </bottom>
      <diagonal/>
    </border>
    <border>
      <left style="medium">
        <color indexed="64"/>
      </left>
      <right/>
      <top style="medium">
        <color indexed="64"/>
      </top>
      <bottom/>
      <diagonal/>
    </border>
    <border>
      <left/>
      <right/>
      <top style="medium">
        <color auto="1"/>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rgb="FF009999"/>
      </top>
      <bottom style="thin">
        <color rgb="FF009999"/>
      </bottom>
      <diagonal/>
    </border>
    <border>
      <left/>
      <right style="thin">
        <color indexed="64"/>
      </right>
      <top style="thin">
        <color rgb="FF009999"/>
      </top>
      <bottom style="thin">
        <color rgb="FF009999"/>
      </bottom>
      <diagonal/>
    </border>
    <border>
      <left style="thin">
        <color indexed="64"/>
      </left>
      <right/>
      <top style="thin">
        <color rgb="FF009999"/>
      </top>
      <bottom style="thin">
        <color indexed="64"/>
      </bottom>
      <diagonal/>
    </border>
    <border>
      <left/>
      <right/>
      <top style="thin">
        <color rgb="FF009999"/>
      </top>
      <bottom style="thin">
        <color indexed="64"/>
      </bottom>
      <diagonal/>
    </border>
    <border>
      <left/>
      <right style="thin">
        <color indexed="64"/>
      </right>
      <top style="thin">
        <color rgb="FF009999"/>
      </top>
      <bottom style="thin">
        <color indexed="64"/>
      </bottom>
      <diagonal/>
    </border>
    <border>
      <left/>
      <right/>
      <top style="thin">
        <color auto="1"/>
      </top>
      <bottom style="thin">
        <color auto="1"/>
      </bottom>
      <diagonal/>
    </border>
    <border>
      <left/>
      <right/>
      <top style="medium">
        <color auto="1"/>
      </top>
      <bottom style="thick">
        <color auto="1"/>
      </bottom>
      <diagonal/>
    </border>
    <border>
      <left/>
      <right/>
      <top/>
      <bottom style="dotted">
        <color rgb="FF009999"/>
      </bottom>
      <diagonal/>
    </border>
    <border>
      <left/>
      <right/>
      <top/>
      <bottom style="thick">
        <color rgb="FF009999"/>
      </bottom>
      <diagonal/>
    </border>
  </borders>
  <cellStyleXfs count="2">
    <xf numFmtId="0" fontId="0" fillId="0" borderId="0"/>
    <xf numFmtId="9" fontId="6" fillId="0" borderId="0" applyBorder="0" applyAlignment="0" applyProtection="0"/>
  </cellStyleXfs>
  <cellXfs count="389">
    <xf numFmtId="0" fontId="0" fillId="0" borderId="0" xfId="0"/>
    <xf numFmtId="0" fontId="0" fillId="2" borderId="0" xfId="0" applyFill="1"/>
    <xf numFmtId="0" fontId="7" fillId="3" borderId="0" xfId="0" applyFont="1" applyFill="1"/>
    <xf numFmtId="164" fontId="7" fillId="3" borderId="0" xfId="0" applyNumberFormat="1" applyFont="1" applyFill="1"/>
    <xf numFmtId="0" fontId="8" fillId="4" borderId="0" xfId="0" applyFont="1" applyFill="1"/>
    <xf numFmtId="0" fontId="0" fillId="4" borderId="0" xfId="0" applyFill="1"/>
    <xf numFmtId="0" fontId="8" fillId="0" borderId="0" xfId="0" applyFont="1"/>
    <xf numFmtId="165" fontId="8" fillId="0" borderId="0" xfId="0" applyNumberFormat="1" applyFont="1"/>
    <xf numFmtId="0" fontId="9" fillId="0" borderId="0" xfId="0" applyFont="1"/>
    <xf numFmtId="10" fontId="9" fillId="0" borderId="0" xfId="0" applyNumberFormat="1" applyFont="1"/>
    <xf numFmtId="165" fontId="0" fillId="0" borderId="0" xfId="0" applyNumberFormat="1"/>
    <xf numFmtId="0" fontId="8" fillId="0" borderId="1" xfId="0" applyFont="1" applyBorder="1"/>
    <xf numFmtId="165" fontId="8" fillId="0" borderId="1" xfId="0" applyNumberFormat="1" applyFont="1" applyBorder="1"/>
    <xf numFmtId="166" fontId="0" fillId="0" borderId="0" xfId="0" applyNumberFormat="1"/>
    <xf numFmtId="167" fontId="0" fillId="0" borderId="0" xfId="0" applyNumberFormat="1"/>
    <xf numFmtId="168" fontId="9" fillId="0" borderId="0" xfId="0" applyNumberFormat="1" applyFont="1"/>
    <xf numFmtId="0" fontId="0" fillId="0" borderId="1" xfId="0" applyBorder="1"/>
    <xf numFmtId="10" fontId="0" fillId="0" borderId="1" xfId="0" applyNumberFormat="1" applyBorder="1"/>
    <xf numFmtId="169" fontId="0" fillId="0" borderId="0" xfId="0" applyNumberFormat="1"/>
    <xf numFmtId="169" fontId="8" fillId="0" borderId="1" xfId="0" applyNumberFormat="1" applyFont="1" applyBorder="1"/>
    <xf numFmtId="169" fontId="8" fillId="0" borderId="0" xfId="0" applyNumberFormat="1" applyFont="1"/>
    <xf numFmtId="0" fontId="10" fillId="0" borderId="1" xfId="0" applyFont="1" applyBorder="1"/>
    <xf numFmtId="0" fontId="11" fillId="0" borderId="0" xfId="0" applyFont="1"/>
    <xf numFmtId="164" fontId="7" fillId="3" borderId="0" xfId="0" applyNumberFormat="1" applyFont="1" applyFill="1" applyAlignment="1">
      <alignment horizontal="right"/>
    </xf>
    <xf numFmtId="0" fontId="7" fillId="3" borderId="0" xfId="0" applyFont="1" applyFill="1" applyAlignment="1">
      <alignment horizontal="right"/>
    </xf>
    <xf numFmtId="0" fontId="0" fillId="0" borderId="2" xfId="0" applyBorder="1"/>
    <xf numFmtId="10" fontId="0" fillId="0" borderId="2" xfId="0" applyNumberFormat="1" applyBorder="1"/>
    <xf numFmtId="10" fontId="0" fillId="0" borderId="0" xfId="0" applyNumberFormat="1"/>
    <xf numFmtId="0" fontId="0" fillId="0" borderId="3" xfId="0" applyBorder="1"/>
    <xf numFmtId="10" fontId="0" fillId="0" borderId="3" xfId="0" applyNumberFormat="1" applyBorder="1"/>
    <xf numFmtId="170" fontId="0" fillId="0" borderId="3" xfId="0" applyNumberFormat="1" applyBorder="1"/>
    <xf numFmtId="170" fontId="0" fillId="0" borderId="2" xfId="0" applyNumberFormat="1" applyBorder="1"/>
    <xf numFmtId="170" fontId="0" fillId="0" borderId="0" xfId="0" applyNumberFormat="1"/>
    <xf numFmtId="0" fontId="8" fillId="0" borderId="4" xfId="0" applyFont="1" applyBorder="1"/>
    <xf numFmtId="164" fontId="8" fillId="0" borderId="4" xfId="0" applyNumberFormat="1" applyFont="1" applyBorder="1"/>
    <xf numFmtId="10" fontId="8" fillId="0" borderId="0" xfId="0" applyNumberFormat="1" applyFont="1"/>
    <xf numFmtId="0" fontId="13" fillId="3" borderId="0" xfId="0" applyFont="1" applyFill="1"/>
    <xf numFmtId="0" fontId="14" fillId="3" borderId="0" xfId="0" applyFont="1" applyFill="1"/>
    <xf numFmtId="171" fontId="8" fillId="4" borderId="0" xfId="0" applyNumberFormat="1" applyFont="1" applyFill="1"/>
    <xf numFmtId="172" fontId="8" fillId="4" borderId="0" xfId="0" applyNumberFormat="1" applyFont="1" applyFill="1"/>
    <xf numFmtId="10" fontId="15" fillId="0" borderId="0" xfId="0" applyNumberFormat="1" applyFont="1"/>
    <xf numFmtId="10" fontId="16" fillId="0" borderId="0" xfId="0" applyNumberFormat="1" applyFont="1"/>
    <xf numFmtId="167" fontId="16" fillId="0" borderId="0" xfId="0" applyNumberFormat="1" applyFont="1"/>
    <xf numFmtId="168" fontId="0" fillId="0" borderId="0" xfId="0" applyNumberFormat="1"/>
    <xf numFmtId="168" fontId="15" fillId="0" borderId="0" xfId="0" applyNumberFormat="1" applyFont="1"/>
    <xf numFmtId="1" fontId="0" fillId="0" borderId="0" xfId="0" applyNumberFormat="1"/>
    <xf numFmtId="1" fontId="15" fillId="0" borderId="0" xfId="0" applyNumberFormat="1" applyFont="1"/>
    <xf numFmtId="167" fontId="17" fillId="0" borderId="0" xfId="0" applyNumberFormat="1" applyFont="1"/>
    <xf numFmtId="167" fontId="15" fillId="0" borderId="0" xfId="0" applyNumberFormat="1" applyFont="1"/>
    <xf numFmtId="0" fontId="0" fillId="5" borderId="0" xfId="0" applyFill="1"/>
    <xf numFmtId="0" fontId="8" fillId="0" borderId="5" xfId="0" applyFont="1" applyBorder="1"/>
    <xf numFmtId="165" fontId="8" fillId="0" borderId="5" xfId="0" applyNumberFormat="1" applyFont="1" applyBorder="1"/>
    <xf numFmtId="0" fontId="8" fillId="0" borderId="6" xfId="0" applyFont="1" applyBorder="1"/>
    <xf numFmtId="165" fontId="8" fillId="0" borderId="6" xfId="0" applyNumberFormat="1" applyFont="1" applyBorder="1"/>
    <xf numFmtId="165" fontId="19" fillId="0" borderId="0" xfId="0" applyNumberFormat="1" applyFont="1"/>
    <xf numFmtId="0" fontId="8" fillId="0" borderId="7" xfId="0" applyFont="1" applyBorder="1"/>
    <xf numFmtId="165" fontId="8" fillId="0" borderId="7" xfId="0" applyNumberFormat="1" applyFont="1" applyBorder="1"/>
    <xf numFmtId="0" fontId="10" fillId="0" borderId="7" xfId="0" applyFont="1" applyBorder="1"/>
    <xf numFmtId="0" fontId="10" fillId="0" borderId="7" xfId="0" applyFont="1" applyBorder="1" applyAlignment="1">
      <alignment horizontal="right"/>
    </xf>
    <xf numFmtId="0" fontId="0" fillId="0" borderId="7" xfId="0" applyBorder="1"/>
    <xf numFmtId="0" fontId="0" fillId="0" borderId="5" xfId="0" applyBorder="1"/>
    <xf numFmtId="0" fontId="8" fillId="0" borderId="8" xfId="0" applyFont="1" applyBorder="1"/>
    <xf numFmtId="0" fontId="0" fillId="0" borderId="8" xfId="0" applyBorder="1"/>
    <xf numFmtId="165" fontId="8" fillId="0" borderId="8" xfId="0" applyNumberFormat="1" applyFont="1" applyBorder="1"/>
    <xf numFmtId="173" fontId="7" fillId="7" borderId="0" xfId="0" applyNumberFormat="1" applyFont="1" applyFill="1"/>
    <xf numFmtId="173" fontId="7" fillId="7" borderId="0" xfId="0" applyNumberFormat="1" applyFont="1" applyFill="1" applyAlignment="1">
      <alignment horizontal="center"/>
    </xf>
    <xf numFmtId="173" fontId="21" fillId="0" borderId="0" xfId="0" applyNumberFormat="1" applyFont="1"/>
    <xf numFmtId="164" fontId="8" fillId="0" borderId="0" xfId="0" applyNumberFormat="1" applyFont="1"/>
    <xf numFmtId="3" fontId="8" fillId="0" borderId="0" xfId="0" applyNumberFormat="1" applyFont="1"/>
    <xf numFmtId="3" fontId="0" fillId="0" borderId="0" xfId="0" applyNumberFormat="1"/>
    <xf numFmtId="10" fontId="22" fillId="0" borderId="0" xfId="1" applyNumberFormat="1" applyFont="1"/>
    <xf numFmtId="0" fontId="25" fillId="0" borderId="0" xfId="0" applyFont="1"/>
    <xf numFmtId="0" fontId="0" fillId="8" borderId="0" xfId="0" applyFill="1"/>
    <xf numFmtId="0" fontId="26" fillId="8" borderId="0" xfId="0" applyFont="1" applyFill="1"/>
    <xf numFmtId="0" fontId="0" fillId="0" borderId="9" xfId="0" applyBorder="1"/>
    <xf numFmtId="0" fontId="0" fillId="0" borderId="9" xfId="0" applyBorder="1" applyAlignment="1">
      <alignment horizontal="right"/>
    </xf>
    <xf numFmtId="0" fontId="0" fillId="0" borderId="4" xfId="0" applyBorder="1" applyAlignment="1">
      <alignment horizontal="left"/>
    </xf>
    <xf numFmtId="0" fontId="0" fillId="0" borderId="4" xfId="0" applyBorder="1" applyAlignment="1">
      <alignment horizontal="right"/>
    </xf>
    <xf numFmtId="0" fontId="19" fillId="0" borderId="0" xfId="0" applyFont="1"/>
    <xf numFmtId="0" fontId="23" fillId="0" borderId="0" xfId="0" applyFont="1"/>
    <xf numFmtId="174" fontId="0" fillId="0" borderId="0" xfId="0" applyNumberFormat="1"/>
    <xf numFmtId="174" fontId="23" fillId="0" borderId="0" xfId="0" applyNumberFormat="1" applyFont="1"/>
    <xf numFmtId="168" fontId="6" fillId="0" borderId="0" xfId="1" applyNumberFormat="1"/>
    <xf numFmtId="10" fontId="6" fillId="0" borderId="0" xfId="1" applyNumberFormat="1"/>
    <xf numFmtId="10" fontId="19" fillId="0" borderId="0" xfId="0" applyNumberFormat="1" applyFont="1"/>
    <xf numFmtId="0" fontId="23" fillId="0" borderId="9" xfId="0" applyFont="1" applyBorder="1"/>
    <xf numFmtId="10" fontId="6" fillId="0" borderId="9" xfId="1" applyNumberFormat="1" applyBorder="1"/>
    <xf numFmtId="0" fontId="23" fillId="0" borderId="4" xfId="0" applyFont="1" applyBorder="1"/>
    <xf numFmtId="10" fontId="6" fillId="0" borderId="4" xfId="1" applyNumberFormat="1" applyBorder="1"/>
    <xf numFmtId="0" fontId="0" fillId="0" borderId="4" xfId="0" applyBorder="1"/>
    <xf numFmtId="165" fontId="0" fillId="0" borderId="9" xfId="0" applyNumberFormat="1" applyBorder="1"/>
    <xf numFmtId="165" fontId="0" fillId="0" borderId="4" xfId="0" applyNumberFormat="1" applyBorder="1"/>
    <xf numFmtId="0" fontId="23" fillId="0" borderId="0" xfId="0" applyFont="1" applyAlignment="1">
      <alignment horizontal="right"/>
    </xf>
    <xf numFmtId="0" fontId="23" fillId="0" borderId="10" xfId="0" applyFont="1" applyBorder="1"/>
    <xf numFmtId="165" fontId="0" fillId="0" borderId="10" xfId="0" applyNumberFormat="1" applyBorder="1"/>
    <xf numFmtId="10" fontId="6" fillId="0" borderId="10" xfId="1" applyNumberFormat="1" applyBorder="1"/>
    <xf numFmtId="10" fontId="0" fillId="0" borderId="10" xfId="0" applyNumberFormat="1" applyBorder="1"/>
    <xf numFmtId="0" fontId="0" fillId="0" borderId="10" xfId="0" applyBorder="1"/>
    <xf numFmtId="0" fontId="5" fillId="0" borderId="0" xfId="0" applyFont="1"/>
    <xf numFmtId="0" fontId="27" fillId="8" borderId="11" xfId="0" applyFont="1" applyFill="1" applyBorder="1" applyAlignment="1">
      <alignment horizontal="left"/>
    </xf>
    <xf numFmtId="0" fontId="27" fillId="8" borderId="12" xfId="0" applyFont="1" applyFill="1" applyBorder="1" applyAlignment="1">
      <alignment horizontal="right"/>
    </xf>
    <xf numFmtId="0" fontId="27" fillId="8" borderId="13" xfId="0" applyFont="1" applyFill="1" applyBorder="1" applyAlignment="1">
      <alignment horizontal="right"/>
    </xf>
    <xf numFmtId="14" fontId="0" fillId="0" borderId="14" xfId="0" applyNumberFormat="1" applyBorder="1" applyAlignment="1">
      <alignment horizontal="left"/>
    </xf>
    <xf numFmtId="0" fontId="0" fillId="0" borderId="15" xfId="0" applyBorder="1"/>
    <xf numFmtId="10" fontId="6" fillId="0" borderId="15" xfId="1" applyNumberFormat="1" applyBorder="1"/>
    <xf numFmtId="14" fontId="0" fillId="0" borderId="16" xfId="0" applyNumberFormat="1" applyBorder="1" applyAlignment="1">
      <alignment horizontal="left"/>
    </xf>
    <xf numFmtId="0" fontId="0" fillId="0" borderId="17" xfId="0" applyBorder="1"/>
    <xf numFmtId="10" fontId="6" fillId="0" borderId="18" xfId="1" applyNumberFormat="1" applyBorder="1"/>
    <xf numFmtId="0" fontId="0" fillId="0" borderId="0" xfId="0" applyAlignment="1">
      <alignment horizontal="right"/>
    </xf>
    <xf numFmtId="0" fontId="0" fillId="0" borderId="17" xfId="0" applyBorder="1" applyAlignment="1">
      <alignment horizontal="right"/>
    </xf>
    <xf numFmtId="2" fontId="0" fillId="0" borderId="0" xfId="0" applyNumberFormat="1"/>
    <xf numFmtId="0" fontId="0" fillId="0" borderId="14" xfId="0" applyBorder="1"/>
    <xf numFmtId="10" fontId="0" fillId="0" borderId="15" xfId="0" applyNumberFormat="1" applyBorder="1"/>
    <xf numFmtId="2" fontId="0" fillId="0" borderId="15" xfId="0" applyNumberFormat="1" applyBorder="1"/>
    <xf numFmtId="0" fontId="0" fillId="0" borderId="16" xfId="0" applyBorder="1"/>
    <xf numFmtId="0" fontId="0" fillId="0" borderId="19" xfId="0" applyBorder="1"/>
    <xf numFmtId="0" fontId="11" fillId="0" borderId="20" xfId="0" applyFont="1" applyBorder="1" applyAlignment="1">
      <alignment horizontal="center"/>
    </xf>
    <xf numFmtId="0" fontId="11" fillId="0" borderId="20" xfId="0" applyFont="1" applyBorder="1" applyAlignment="1">
      <alignment horizontal="centerContinuous"/>
    </xf>
    <xf numFmtId="0" fontId="27" fillId="8" borderId="21" xfId="0" applyFont="1" applyFill="1" applyBorder="1"/>
    <xf numFmtId="0" fontId="27" fillId="8" borderId="22" xfId="0" applyFont="1" applyFill="1" applyBorder="1"/>
    <xf numFmtId="2" fontId="27" fillId="8" borderId="23" xfId="0" applyNumberFormat="1" applyFont="1" applyFill="1" applyBorder="1"/>
    <xf numFmtId="0" fontId="0" fillId="0" borderId="11" xfId="0" applyBorder="1"/>
    <xf numFmtId="0" fontId="0" fillId="0" borderId="12" xfId="0" applyBorder="1"/>
    <xf numFmtId="0" fontId="0" fillId="0" borderId="13" xfId="0" applyBorder="1"/>
    <xf numFmtId="0" fontId="27" fillId="8" borderId="0" xfId="0" applyFont="1" applyFill="1"/>
    <xf numFmtId="2" fontId="27" fillId="8" borderId="0" xfId="0" applyNumberFormat="1" applyFont="1" applyFill="1"/>
    <xf numFmtId="0" fontId="11" fillId="0" borderId="24" xfId="0" applyFont="1" applyBorder="1" applyAlignment="1">
      <alignment horizontal="centerContinuous"/>
    </xf>
    <xf numFmtId="0" fontId="0" fillId="0" borderId="25" xfId="0" applyBorder="1"/>
    <xf numFmtId="0" fontId="11" fillId="0" borderId="24" xfId="0" applyFont="1" applyBorder="1" applyAlignment="1">
      <alignment horizontal="center"/>
    </xf>
    <xf numFmtId="0" fontId="11" fillId="0" borderId="26" xfId="0" applyFont="1" applyBorder="1" applyAlignment="1">
      <alignment horizontal="center"/>
    </xf>
    <xf numFmtId="0" fontId="0" fillId="0" borderId="27" xfId="0" applyBorder="1"/>
    <xf numFmtId="0" fontId="0" fillId="0" borderId="18" xfId="0" applyBorder="1"/>
    <xf numFmtId="14" fontId="0" fillId="0" borderId="14" xfId="0" applyNumberFormat="1" applyBorder="1"/>
    <xf numFmtId="14" fontId="0" fillId="0" borderId="16" xfId="0" applyNumberFormat="1" applyBorder="1"/>
    <xf numFmtId="2" fontId="23" fillId="0" borderId="0" xfId="0" applyNumberFormat="1" applyFont="1"/>
    <xf numFmtId="2" fontId="0" fillId="0" borderId="9" xfId="0" applyNumberFormat="1" applyBorder="1"/>
    <xf numFmtId="2" fontId="0" fillId="0" borderId="4" xfId="0" applyNumberFormat="1" applyBorder="1"/>
    <xf numFmtId="2" fontId="0" fillId="0" borderId="10" xfId="0" applyNumberFormat="1" applyBorder="1"/>
    <xf numFmtId="10" fontId="0" fillId="0" borderId="13" xfId="0" applyNumberFormat="1" applyBorder="1"/>
    <xf numFmtId="0" fontId="0" fillId="0" borderId="14" xfId="0" applyBorder="1" applyAlignment="1">
      <alignment horizontal="left"/>
    </xf>
    <xf numFmtId="10" fontId="0" fillId="0" borderId="15" xfId="1" applyNumberFormat="1" applyFont="1" applyBorder="1" applyAlignment="1">
      <alignment horizontal="right"/>
    </xf>
    <xf numFmtId="10" fontId="29" fillId="0" borderId="15" xfId="0" applyNumberFormat="1" applyFont="1" applyBorder="1" applyAlignment="1">
      <alignment horizontal="right"/>
    </xf>
    <xf numFmtId="0" fontId="23" fillId="0" borderId="28" xfId="0" applyFont="1" applyBorder="1"/>
    <xf numFmtId="0" fontId="0" fillId="0" borderId="29" xfId="0" applyBorder="1"/>
    <xf numFmtId="10" fontId="0" fillId="0" borderId="30" xfId="0" applyNumberFormat="1" applyBorder="1"/>
    <xf numFmtId="0" fontId="0" fillId="0" borderId="16" xfId="0" applyBorder="1" applyAlignment="1">
      <alignment horizontal="left"/>
    </xf>
    <xf numFmtId="10" fontId="0" fillId="0" borderId="18" xfId="1" applyNumberFormat="1" applyFont="1" applyBorder="1" applyAlignment="1">
      <alignment horizontal="right"/>
    </xf>
    <xf numFmtId="0" fontId="12" fillId="9" borderId="0" xfId="0" applyFont="1" applyFill="1"/>
    <xf numFmtId="0" fontId="28" fillId="9" borderId="0" xfId="0" applyFont="1" applyFill="1"/>
    <xf numFmtId="0" fontId="23" fillId="0" borderId="7" xfId="0" applyFont="1" applyBorder="1"/>
    <xf numFmtId="10" fontId="23" fillId="0" borderId="7" xfId="0" applyNumberFormat="1" applyFont="1" applyBorder="1"/>
    <xf numFmtId="168" fontId="23" fillId="10" borderId="0" xfId="0" applyNumberFormat="1" applyFont="1" applyFill="1"/>
    <xf numFmtId="10" fontId="23" fillId="10" borderId="0" xfId="0" applyNumberFormat="1" applyFont="1" applyFill="1"/>
    <xf numFmtId="0" fontId="31" fillId="0" borderId="0" xfId="0" applyFont="1"/>
    <xf numFmtId="17" fontId="0" fillId="0" borderId="0" xfId="0" applyNumberFormat="1"/>
    <xf numFmtId="0" fontId="33" fillId="8" borderId="0" xfId="0" applyFont="1" applyFill="1"/>
    <xf numFmtId="0" fontId="32" fillId="8" borderId="0" xfId="0" applyFont="1" applyFill="1"/>
    <xf numFmtId="17" fontId="33" fillId="8" borderId="0" xfId="0" applyNumberFormat="1" applyFont="1" applyFill="1"/>
    <xf numFmtId="3" fontId="23" fillId="0" borderId="0" xfId="0" applyNumberFormat="1" applyFont="1"/>
    <xf numFmtId="17" fontId="27" fillId="8" borderId="0" xfId="0" applyNumberFormat="1" applyFont="1" applyFill="1"/>
    <xf numFmtId="0" fontId="23" fillId="0" borderId="31" xfId="0" applyFont="1" applyBorder="1"/>
    <xf numFmtId="0" fontId="0" fillId="0" borderId="31" xfId="0" applyBorder="1"/>
    <xf numFmtId="3" fontId="0" fillId="0" borderId="31" xfId="0" applyNumberFormat="1" applyBorder="1"/>
    <xf numFmtId="0" fontId="23" fillId="0" borderId="32" xfId="0" applyFont="1" applyBorder="1"/>
    <xf numFmtId="165" fontId="0" fillId="0" borderId="31" xfId="0" applyNumberFormat="1" applyBorder="1"/>
    <xf numFmtId="0" fontId="4" fillId="0" borderId="31" xfId="0" applyFont="1" applyBorder="1"/>
    <xf numFmtId="9" fontId="0" fillId="0" borderId="31" xfId="0" applyNumberFormat="1" applyBorder="1"/>
    <xf numFmtId="0" fontId="23" fillId="0" borderId="33" xfId="0" applyFont="1" applyBorder="1"/>
    <xf numFmtId="165" fontId="0" fillId="0" borderId="33" xfId="0" applyNumberFormat="1" applyBorder="1"/>
    <xf numFmtId="0" fontId="0" fillId="0" borderId="34" xfId="0" applyBorder="1"/>
    <xf numFmtId="165" fontId="0" fillId="0" borderId="34" xfId="0" applyNumberFormat="1" applyBorder="1"/>
    <xf numFmtId="165" fontId="0" fillId="0" borderId="32" xfId="0" applyNumberFormat="1" applyBorder="1"/>
    <xf numFmtId="3" fontId="23" fillId="0" borderId="32" xfId="0" applyNumberFormat="1" applyFont="1" applyBorder="1"/>
    <xf numFmtId="0" fontId="23" fillId="0" borderId="35" xfId="0" applyFont="1" applyBorder="1"/>
    <xf numFmtId="3" fontId="23" fillId="0" borderId="35" xfId="0" applyNumberFormat="1" applyFont="1" applyBorder="1"/>
    <xf numFmtId="168" fontId="0" fillId="0" borderId="31" xfId="0" applyNumberFormat="1" applyBorder="1"/>
    <xf numFmtId="0" fontId="8" fillId="0" borderId="32" xfId="0" applyFont="1" applyBorder="1"/>
    <xf numFmtId="0" fontId="0" fillId="0" borderId="32" xfId="0" applyBorder="1"/>
    <xf numFmtId="165" fontId="23" fillId="0" borderId="32" xfId="0" applyNumberFormat="1" applyFont="1" applyBorder="1"/>
    <xf numFmtId="10" fontId="34" fillId="0" borderId="32" xfId="1" applyNumberFormat="1" applyFont="1" applyBorder="1"/>
    <xf numFmtId="10" fontId="23" fillId="0" borderId="31" xfId="0" applyNumberFormat="1" applyFont="1" applyBorder="1"/>
    <xf numFmtId="0" fontId="23" fillId="0" borderId="0" xfId="0" applyFont="1" applyAlignment="1">
      <alignment horizontal="center"/>
    </xf>
    <xf numFmtId="174" fontId="37" fillId="0" borderId="0" xfId="1" applyNumberFormat="1" applyFont="1" applyBorder="1"/>
    <xf numFmtId="9" fontId="29" fillId="0" borderId="0" xfId="1" applyFont="1" applyBorder="1"/>
    <xf numFmtId="9" fontId="29" fillId="0" borderId="15" xfId="1" applyFont="1" applyBorder="1"/>
    <xf numFmtId="177" fontId="0" fillId="0" borderId="0" xfId="1" applyNumberFormat="1" applyFont="1" applyBorder="1"/>
    <xf numFmtId="177" fontId="0" fillId="0" borderId="36" xfId="1" applyNumberFormat="1" applyFont="1" applyBorder="1"/>
    <xf numFmtId="0" fontId="23" fillId="0" borderId="14" xfId="0" applyFont="1" applyBorder="1"/>
    <xf numFmtId="9" fontId="29" fillId="0" borderId="17" xfId="1" applyFont="1" applyBorder="1"/>
    <xf numFmtId="177" fontId="0" fillId="0" borderId="37" xfId="1" applyNumberFormat="1" applyFont="1" applyBorder="1"/>
    <xf numFmtId="177" fontId="0" fillId="0" borderId="38" xfId="1" applyNumberFormat="1" applyFont="1" applyBorder="1"/>
    <xf numFmtId="43" fontId="0" fillId="0" borderId="0" xfId="0" applyNumberFormat="1"/>
    <xf numFmtId="177" fontId="0" fillId="10" borderId="0" xfId="1" applyNumberFormat="1" applyFont="1" applyFill="1" applyBorder="1"/>
    <xf numFmtId="10" fontId="3" fillId="0" borderId="31" xfId="0" applyNumberFormat="1" applyFont="1" applyBorder="1"/>
    <xf numFmtId="10" fontId="0" fillId="0" borderId="31" xfId="0" applyNumberFormat="1" applyBorder="1"/>
    <xf numFmtId="0" fontId="36" fillId="0" borderId="31" xfId="0" applyFont="1" applyBorder="1"/>
    <xf numFmtId="175" fontId="0" fillId="0" borderId="31" xfId="0" applyNumberFormat="1" applyBorder="1"/>
    <xf numFmtId="10" fontId="38" fillId="0" borderId="31" xfId="0" applyNumberFormat="1" applyFont="1" applyBorder="1"/>
    <xf numFmtId="178" fontId="0" fillId="0" borderId="31" xfId="0" applyNumberFormat="1" applyBorder="1"/>
    <xf numFmtId="174" fontId="23" fillId="0" borderId="32" xfId="0" applyNumberFormat="1" applyFont="1" applyBorder="1"/>
    <xf numFmtId="177" fontId="0" fillId="0" borderId="39" xfId="1" applyNumberFormat="1" applyFont="1" applyBorder="1"/>
    <xf numFmtId="177" fontId="0" fillId="0" borderId="9" xfId="1" applyNumberFormat="1" applyFont="1" applyBorder="1"/>
    <xf numFmtId="177" fontId="0" fillId="0" borderId="40" xfId="1" applyNumberFormat="1" applyFont="1" applyBorder="1"/>
    <xf numFmtId="177" fontId="0" fillId="0" borderId="41" xfId="1" applyNumberFormat="1" applyFont="1" applyBorder="1"/>
    <xf numFmtId="177" fontId="0" fillId="0" borderId="42" xfId="1" applyNumberFormat="1" applyFont="1" applyBorder="1"/>
    <xf numFmtId="10" fontId="35" fillId="0" borderId="0" xfId="1" applyNumberFormat="1" applyFont="1" applyBorder="1"/>
    <xf numFmtId="9" fontId="35" fillId="0" borderId="0" xfId="1" applyFont="1" applyBorder="1"/>
    <xf numFmtId="0" fontId="23" fillId="0" borderId="11" xfId="0" applyFont="1" applyBorder="1"/>
    <xf numFmtId="0" fontId="3" fillId="0" borderId="12" xfId="0" applyFont="1" applyBorder="1"/>
    <xf numFmtId="10" fontId="36" fillId="0" borderId="13" xfId="0" applyNumberFormat="1" applyFont="1" applyBorder="1"/>
    <xf numFmtId="0" fontId="3" fillId="0" borderId="0" xfId="0" applyFont="1"/>
    <xf numFmtId="10" fontId="36" fillId="0" borderId="15" xfId="0" applyNumberFormat="1" applyFont="1" applyBorder="1"/>
    <xf numFmtId="0" fontId="23" fillId="0" borderId="16" xfId="0" applyFont="1" applyBorder="1"/>
    <xf numFmtId="0" fontId="3" fillId="0" borderId="17" xfId="0" applyFont="1" applyBorder="1"/>
    <xf numFmtId="10" fontId="23" fillId="0" borderId="18" xfId="0" applyNumberFormat="1" applyFont="1" applyBorder="1"/>
    <xf numFmtId="0" fontId="39" fillId="0" borderId="7" xfId="0" applyFont="1" applyBorder="1"/>
    <xf numFmtId="170" fontId="0" fillId="0" borderId="31" xfId="0" applyNumberFormat="1" applyBorder="1"/>
    <xf numFmtId="0" fontId="40" fillId="8" borderId="0" xfId="0" applyFont="1" applyFill="1"/>
    <xf numFmtId="0" fontId="41" fillId="8" borderId="0" xfId="0" applyFont="1" applyFill="1" applyAlignment="1">
      <alignment horizontal="center"/>
    </xf>
    <xf numFmtId="0" fontId="41" fillId="8" borderId="0" xfId="0" applyFont="1" applyFill="1"/>
    <xf numFmtId="0" fontId="41" fillId="8" borderId="0" xfId="0" applyFont="1" applyFill="1" applyAlignment="1">
      <alignment horizontal="right"/>
    </xf>
    <xf numFmtId="0" fontId="42" fillId="8" borderId="0" xfId="0" applyFont="1" applyFill="1"/>
    <xf numFmtId="0" fontId="42" fillId="8" borderId="0" xfId="0" applyFont="1" applyFill="1" applyAlignment="1">
      <alignment horizontal="center"/>
    </xf>
    <xf numFmtId="0" fontId="42" fillId="8" borderId="0" xfId="0" applyFont="1" applyFill="1" applyAlignment="1">
      <alignment horizontal="right"/>
    </xf>
    <xf numFmtId="0" fontId="0" fillId="0" borderId="11" xfId="0"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0" fillId="0" borderId="15"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applyAlignment="1">
      <alignment horizontal="left"/>
    </xf>
    <xf numFmtId="0" fontId="0" fillId="0" borderId="17" xfId="0" applyBorder="1" applyAlignment="1">
      <alignment horizontal="left"/>
    </xf>
    <xf numFmtId="0" fontId="0" fillId="0" borderId="12" xfId="0" applyBorder="1" applyAlignment="1">
      <alignment horizontal="left"/>
    </xf>
    <xf numFmtId="179" fontId="0" fillId="0" borderId="0" xfId="0" applyNumberFormat="1"/>
    <xf numFmtId="2" fontId="0" fillId="0" borderId="0" xfId="0" applyNumberFormat="1" applyAlignment="1">
      <alignment horizontal="center"/>
    </xf>
    <xf numFmtId="2" fontId="0" fillId="0" borderId="17" xfId="0" applyNumberFormat="1" applyBorder="1" applyAlignment="1">
      <alignment horizontal="center"/>
    </xf>
    <xf numFmtId="0" fontId="0" fillId="11" borderId="31" xfId="0" applyFill="1" applyBorder="1"/>
    <xf numFmtId="170" fontId="0" fillId="11" borderId="31" xfId="0" applyNumberFormat="1" applyFill="1" applyBorder="1"/>
    <xf numFmtId="0" fontId="23" fillId="11" borderId="31" xfId="0" applyFont="1" applyFill="1" applyBorder="1"/>
    <xf numFmtId="170" fontId="23" fillId="11" borderId="31" xfId="0" applyNumberFormat="1" applyFont="1" applyFill="1" applyBorder="1"/>
    <xf numFmtId="0" fontId="23" fillId="11" borderId="0" xfId="0" applyFont="1" applyFill="1"/>
    <xf numFmtId="165" fontId="23" fillId="11" borderId="0" xfId="0" applyNumberFormat="1" applyFont="1" applyFill="1"/>
    <xf numFmtId="170" fontId="23" fillId="11" borderId="0" xfId="0" applyNumberFormat="1" applyFont="1" applyFill="1"/>
    <xf numFmtId="0" fontId="23" fillId="11" borderId="32" xfId="0" applyFont="1" applyFill="1" applyBorder="1"/>
    <xf numFmtId="0" fontId="0" fillId="11" borderId="32" xfId="0" applyFill="1" applyBorder="1"/>
    <xf numFmtId="165" fontId="0" fillId="11" borderId="32" xfId="0" applyNumberFormat="1" applyFill="1" applyBorder="1"/>
    <xf numFmtId="0" fontId="0" fillId="11" borderId="35" xfId="0" applyFill="1" applyBorder="1"/>
    <xf numFmtId="0" fontId="0" fillId="0" borderId="47" xfId="0" applyBorder="1"/>
    <xf numFmtId="0" fontId="0" fillId="0" borderId="48" xfId="0" applyBorder="1" applyAlignment="1">
      <alignment horizontal="right"/>
    </xf>
    <xf numFmtId="165" fontId="0" fillId="0" borderId="48" xfId="0" applyNumberFormat="1" applyBorder="1" applyAlignment="1">
      <alignment horizontal="right"/>
    </xf>
    <xf numFmtId="0" fontId="0" fillId="0" borderId="49" xfId="0" applyBorder="1"/>
    <xf numFmtId="165" fontId="0" fillId="0" borderId="19" xfId="0" applyNumberFormat="1" applyBorder="1" applyAlignment="1">
      <alignment horizontal="right"/>
    </xf>
    <xf numFmtId="165" fontId="0" fillId="0" borderId="0" xfId="0" applyNumberFormat="1" applyAlignment="1">
      <alignment horizontal="right"/>
    </xf>
    <xf numFmtId="165" fontId="0" fillId="0" borderId="50" xfId="0" applyNumberFormat="1" applyBorder="1" applyAlignment="1">
      <alignment horizontal="right"/>
    </xf>
    <xf numFmtId="14" fontId="27" fillId="8" borderId="11" xfId="0" applyNumberFormat="1" applyFont="1" applyFill="1" applyBorder="1" applyAlignment="1">
      <alignment horizontal="left"/>
    </xf>
    <xf numFmtId="0" fontId="27" fillId="8" borderId="0" xfId="0" applyFont="1" applyFill="1" applyAlignment="1">
      <alignment horizontal="right"/>
    </xf>
    <xf numFmtId="10" fontId="6" fillId="0" borderId="31" xfId="1" applyNumberFormat="1" applyBorder="1"/>
    <xf numFmtId="174" fontId="0" fillId="0" borderId="31" xfId="0" applyNumberFormat="1" applyBorder="1"/>
    <xf numFmtId="180" fontId="0" fillId="0" borderId="15" xfId="0" applyNumberFormat="1" applyBorder="1"/>
    <xf numFmtId="180" fontId="0" fillId="0" borderId="18" xfId="0" applyNumberFormat="1" applyBorder="1"/>
    <xf numFmtId="180" fontId="0" fillId="0" borderId="0" xfId="0" applyNumberFormat="1"/>
    <xf numFmtId="180" fontId="0" fillId="0" borderId="17" xfId="0" applyNumberFormat="1" applyBorder="1"/>
    <xf numFmtId="10" fontId="6" fillId="0" borderId="52" xfId="1" applyNumberFormat="1" applyBorder="1"/>
    <xf numFmtId="0" fontId="0" fillId="0" borderId="52" xfId="0" applyBorder="1"/>
    <xf numFmtId="0" fontId="27" fillId="8" borderId="14" xfId="0" applyFont="1" applyFill="1" applyBorder="1" applyAlignment="1">
      <alignment horizontal="left"/>
    </xf>
    <xf numFmtId="0" fontId="27" fillId="8" borderId="15" xfId="0" applyFont="1" applyFill="1" applyBorder="1" applyAlignment="1">
      <alignment horizontal="right"/>
    </xf>
    <xf numFmtId="10" fontId="22" fillId="0" borderId="51" xfId="1" applyNumberFormat="1" applyFont="1" applyBorder="1" applyAlignment="1">
      <alignment horizontal="left"/>
    </xf>
    <xf numFmtId="174" fontId="0" fillId="0" borderId="52" xfId="0" applyNumberFormat="1" applyBorder="1"/>
    <xf numFmtId="10" fontId="22" fillId="0" borderId="53" xfId="1" applyNumberFormat="1" applyFont="1" applyBorder="1" applyAlignment="1">
      <alignment horizontal="left"/>
    </xf>
    <xf numFmtId="10" fontId="0" fillId="0" borderId="54" xfId="0" applyNumberFormat="1" applyBorder="1"/>
    <xf numFmtId="10" fontId="6" fillId="0" borderId="54" xfId="1" applyNumberFormat="1" applyBorder="1"/>
    <xf numFmtId="174" fontId="0" fillId="0" borderId="54" xfId="0" applyNumberFormat="1" applyBorder="1"/>
    <xf numFmtId="174" fontId="0" fillId="0" borderId="55" xfId="0" applyNumberFormat="1" applyBorder="1"/>
    <xf numFmtId="14" fontId="0" fillId="0" borderId="0" xfId="0" applyNumberFormat="1" applyAlignment="1">
      <alignment horizontal="left"/>
    </xf>
    <xf numFmtId="0" fontId="19" fillId="0" borderId="51" xfId="0" applyFont="1" applyBorder="1"/>
    <xf numFmtId="10" fontId="0" fillId="0" borderId="31" xfId="0" applyNumberFormat="1" applyBorder="1" applyAlignment="1">
      <alignment horizontal="right"/>
    </xf>
    <xf numFmtId="10" fontId="0" fillId="0" borderId="31" xfId="1" applyNumberFormat="1" applyFont="1" applyBorder="1" applyAlignment="1">
      <alignment horizontal="right"/>
    </xf>
    <xf numFmtId="165" fontId="0" fillId="0" borderId="31" xfId="0" applyNumberFormat="1" applyBorder="1" applyAlignment="1">
      <alignment horizontal="right"/>
    </xf>
    <xf numFmtId="0" fontId="29" fillId="0" borderId="51" xfId="0" applyFont="1" applyBorder="1"/>
    <xf numFmtId="10" fontId="0" fillId="0" borderId="52" xfId="1" applyNumberFormat="1" applyFont="1" applyBorder="1"/>
    <xf numFmtId="174" fontId="29" fillId="0" borderId="52" xfId="0" applyNumberFormat="1" applyFont="1" applyBorder="1"/>
    <xf numFmtId="10" fontId="29" fillId="0" borderId="51" xfId="0" applyNumberFormat="1" applyFont="1" applyBorder="1" applyAlignment="1">
      <alignment horizontal="left"/>
    </xf>
    <xf numFmtId="165" fontId="0" fillId="0" borderId="52" xfId="0" applyNumberFormat="1" applyBorder="1" applyAlignment="1">
      <alignment horizontal="right"/>
    </xf>
    <xf numFmtId="10" fontId="29" fillId="0" borderId="53" xfId="0" applyNumberFormat="1" applyFont="1" applyBorder="1" applyAlignment="1">
      <alignment horizontal="left"/>
    </xf>
    <xf numFmtId="10" fontId="0" fillId="0" borderId="54" xfId="0" applyNumberFormat="1" applyBorder="1" applyAlignment="1">
      <alignment horizontal="right"/>
    </xf>
    <xf numFmtId="10" fontId="0" fillId="0" borderId="54" xfId="1" applyNumberFormat="1" applyFont="1" applyBorder="1" applyAlignment="1">
      <alignment horizontal="right"/>
    </xf>
    <xf numFmtId="165" fontId="0" fillId="0" borderId="54" xfId="0" applyNumberFormat="1" applyBorder="1" applyAlignment="1">
      <alignment horizontal="right"/>
    </xf>
    <xf numFmtId="165" fontId="0" fillId="0" borderId="55" xfId="0" applyNumberFormat="1" applyBorder="1" applyAlignment="1">
      <alignment horizontal="right"/>
    </xf>
    <xf numFmtId="0" fontId="44" fillId="0" borderId="0" xfId="0" applyFont="1"/>
    <xf numFmtId="181" fontId="23" fillId="0" borderId="0" xfId="0" applyNumberFormat="1" applyFont="1"/>
    <xf numFmtId="0" fontId="43" fillId="8" borderId="0" xfId="0" applyFont="1" applyFill="1"/>
    <xf numFmtId="0" fontId="46" fillId="0" borderId="0" xfId="0" applyFont="1"/>
    <xf numFmtId="0" fontId="47" fillId="0" borderId="0" xfId="0" applyFont="1"/>
    <xf numFmtId="0" fontId="48" fillId="0" borderId="0" xfId="0" applyFont="1"/>
    <xf numFmtId="0" fontId="45" fillId="0" borderId="0" xfId="0" applyFont="1" applyAlignment="1">
      <alignment vertical="top" wrapText="1"/>
    </xf>
    <xf numFmtId="0" fontId="47" fillId="0" borderId="0" xfId="0" applyFont="1" applyAlignment="1">
      <alignment vertical="center"/>
    </xf>
    <xf numFmtId="10" fontId="23" fillId="11" borderId="0" xfId="1" applyNumberFormat="1" applyFont="1" applyFill="1"/>
    <xf numFmtId="170" fontId="23" fillId="11" borderId="0" xfId="1" applyNumberFormat="1" applyFont="1" applyFill="1"/>
    <xf numFmtId="0" fontId="50" fillId="0" borderId="0" xfId="0" applyFont="1" applyAlignment="1">
      <alignment vertical="center"/>
    </xf>
    <xf numFmtId="0" fontId="49" fillId="11" borderId="0" xfId="0" applyFont="1" applyFill="1"/>
    <xf numFmtId="174" fontId="0" fillId="0" borderId="0" xfId="1" applyNumberFormat="1" applyFont="1"/>
    <xf numFmtId="169" fontId="23" fillId="0" borderId="0" xfId="0" applyNumberFormat="1" applyFont="1"/>
    <xf numFmtId="0" fontId="49" fillId="11" borderId="0" xfId="0" applyFont="1" applyFill="1" applyAlignment="1">
      <alignment horizontal="right"/>
    </xf>
    <xf numFmtId="0" fontId="0" fillId="0" borderId="56" xfId="0" applyBorder="1"/>
    <xf numFmtId="174" fontId="0" fillId="0" borderId="56" xfId="0" applyNumberFormat="1" applyBorder="1"/>
    <xf numFmtId="10" fontId="0" fillId="0" borderId="56" xfId="0" applyNumberFormat="1" applyBorder="1"/>
    <xf numFmtId="178" fontId="0" fillId="0" borderId="56" xfId="0" applyNumberFormat="1" applyBorder="1"/>
    <xf numFmtId="10" fontId="0" fillId="0" borderId="56" xfId="1" applyNumberFormat="1" applyFont="1" applyBorder="1"/>
    <xf numFmtId="0" fontId="0" fillId="0" borderId="56" xfId="0" applyBorder="1" applyAlignment="1">
      <alignment horizontal="left"/>
    </xf>
    <xf numFmtId="0" fontId="23" fillId="0" borderId="57" xfId="0" applyFont="1" applyBorder="1"/>
    <xf numFmtId="0" fontId="0" fillId="0" borderId="57" xfId="0" applyBorder="1"/>
    <xf numFmtId="0" fontId="0" fillId="0" borderId="0" xfId="0" applyAlignment="1">
      <alignment horizontal="left" indent="1"/>
    </xf>
    <xf numFmtId="183" fontId="0" fillId="0" borderId="0" xfId="0" applyNumberFormat="1"/>
    <xf numFmtId="0" fontId="0" fillId="0" borderId="56" xfId="0" applyBorder="1" applyAlignment="1">
      <alignment horizontal="left" indent="1"/>
    </xf>
    <xf numFmtId="0" fontId="23" fillId="0" borderId="57" xfId="0" applyFont="1" applyBorder="1" applyAlignment="1">
      <alignment horizontal="left"/>
    </xf>
    <xf numFmtId="174" fontId="0" fillId="0" borderId="57" xfId="0" applyNumberFormat="1" applyBorder="1"/>
    <xf numFmtId="0" fontId="0" fillId="0" borderId="58" xfId="0" applyBorder="1"/>
    <xf numFmtId="17" fontId="27" fillId="8" borderId="0" xfId="0" applyNumberFormat="1" applyFont="1" applyFill="1" applyAlignment="1">
      <alignment horizontal="right"/>
    </xf>
    <xf numFmtId="17" fontId="27" fillId="8" borderId="0" xfId="0" applyNumberFormat="1" applyFont="1" applyFill="1" applyAlignment="1">
      <alignment horizontal="center"/>
    </xf>
    <xf numFmtId="169" fontId="23" fillId="0" borderId="11" xfId="0" applyNumberFormat="1" applyFont="1" applyBorder="1"/>
    <xf numFmtId="169" fontId="23" fillId="0" borderId="12" xfId="0" applyNumberFormat="1" applyFont="1" applyBorder="1"/>
    <xf numFmtId="169" fontId="23" fillId="11" borderId="13" xfId="0" applyNumberFormat="1" applyFont="1" applyFill="1" applyBorder="1"/>
    <xf numFmtId="169" fontId="23" fillId="0" borderId="14" xfId="0" applyNumberFormat="1" applyFont="1" applyBorder="1"/>
    <xf numFmtId="169" fontId="8" fillId="0" borderId="15" xfId="0" applyNumberFormat="1" applyFont="1" applyBorder="1"/>
    <xf numFmtId="168" fontId="34" fillId="0" borderId="0" xfId="1" applyNumberFormat="1" applyFont="1" applyBorder="1"/>
    <xf numFmtId="168" fontId="34" fillId="0" borderId="15" xfId="1" applyNumberFormat="1" applyFont="1" applyBorder="1"/>
    <xf numFmtId="169" fontId="23" fillId="11" borderId="15" xfId="0" applyNumberFormat="1" applyFont="1" applyFill="1" applyBorder="1"/>
    <xf numFmtId="169" fontId="23" fillId="0" borderId="15" xfId="0" applyNumberFormat="1" applyFont="1" applyBorder="1"/>
    <xf numFmtId="169" fontId="23" fillId="0" borderId="16" xfId="0" applyNumberFormat="1" applyFont="1" applyBorder="1"/>
    <xf numFmtId="169" fontId="23" fillId="0" borderId="17" xfId="0" applyNumberFormat="1" applyFont="1" applyBorder="1"/>
    <xf numFmtId="169" fontId="23" fillId="0" borderId="18" xfId="0" applyNumberFormat="1" applyFont="1" applyBorder="1"/>
    <xf numFmtId="184" fontId="0" fillId="0" borderId="0" xfId="0" applyNumberFormat="1"/>
    <xf numFmtId="174" fontId="2" fillId="0" borderId="0" xfId="0" applyNumberFormat="1" applyFont="1" applyAlignment="1">
      <alignment horizontal="right"/>
    </xf>
    <xf numFmtId="0" fontId="27" fillId="0" borderId="0" xfId="0" applyFont="1"/>
    <xf numFmtId="174" fontId="0" fillId="0" borderId="15" xfId="0" applyNumberFormat="1" applyBorder="1"/>
    <xf numFmtId="174" fontId="0" fillId="0" borderId="18" xfId="0" applyNumberFormat="1" applyBorder="1"/>
    <xf numFmtId="185" fontId="0" fillId="0" borderId="12" xfId="0" applyNumberFormat="1" applyBorder="1" applyAlignment="1">
      <alignment horizontal="right"/>
    </xf>
    <xf numFmtId="185" fontId="0" fillId="0" borderId="13" xfId="0" applyNumberFormat="1" applyBorder="1" applyAlignment="1">
      <alignment horizontal="right"/>
    </xf>
    <xf numFmtId="10" fontId="6" fillId="0" borderId="0" xfId="1" applyNumberFormat="1" applyBorder="1" applyAlignment="1">
      <alignment horizontal="right"/>
    </xf>
    <xf numFmtId="10" fontId="6" fillId="0" borderId="15" xfId="1" applyNumberFormat="1" applyBorder="1" applyAlignment="1">
      <alignment horizontal="right"/>
    </xf>
    <xf numFmtId="10" fontId="6" fillId="0" borderId="17" xfId="1" applyNumberFormat="1" applyBorder="1"/>
    <xf numFmtId="0" fontId="52" fillId="0" borderId="0" xfId="0" applyFont="1" applyAlignment="1">
      <alignment horizontal="left" vertical="center" indent="1"/>
    </xf>
    <xf numFmtId="0" fontId="54" fillId="0" borderId="0" xfId="0" applyFont="1"/>
    <xf numFmtId="0" fontId="55" fillId="0" borderId="0" xfId="0" applyFont="1"/>
    <xf numFmtId="0" fontId="53" fillId="8" borderId="0" xfId="0" applyFont="1" applyFill="1"/>
    <xf numFmtId="0" fontId="56" fillId="12" borderId="0" xfId="0" applyFont="1" applyFill="1"/>
    <xf numFmtId="0" fontId="54" fillId="0" borderId="0" xfId="0" applyFont="1" applyAlignment="1">
      <alignment horizontal="left"/>
    </xf>
    <xf numFmtId="186" fontId="0" fillId="0" borderId="2" xfId="0" applyNumberFormat="1" applyBorder="1"/>
    <xf numFmtId="186" fontId="0" fillId="0" borderId="0" xfId="0" applyNumberFormat="1"/>
    <xf numFmtId="186" fontId="0" fillId="0" borderId="3" xfId="0" applyNumberFormat="1" applyBorder="1"/>
    <xf numFmtId="0" fontId="58" fillId="0" borderId="0" xfId="0" applyFont="1"/>
    <xf numFmtId="187" fontId="0" fillId="0" borderId="2" xfId="0" applyNumberFormat="1" applyBorder="1"/>
    <xf numFmtId="187" fontId="0" fillId="0" borderId="0" xfId="0" applyNumberFormat="1"/>
    <xf numFmtId="187" fontId="0" fillId="0" borderId="3" xfId="0" applyNumberFormat="1" applyBorder="1"/>
    <xf numFmtId="0" fontId="61" fillId="0" borderId="0" xfId="0" applyFont="1" applyAlignment="1">
      <alignment horizontal="left"/>
    </xf>
    <xf numFmtId="0" fontId="59" fillId="0" borderId="0" xfId="0" applyFont="1" applyAlignment="1">
      <alignment horizontal="center"/>
    </xf>
    <xf numFmtId="0" fontId="0" fillId="0" borderId="59" xfId="0" applyBorder="1"/>
    <xf numFmtId="0" fontId="0" fillId="0" borderId="59" xfId="0" applyBorder="1" applyAlignment="1">
      <alignment vertical="top"/>
    </xf>
    <xf numFmtId="0" fontId="60" fillId="0" borderId="59" xfId="0" applyFont="1" applyBorder="1" applyAlignment="1">
      <alignment horizontal="center"/>
    </xf>
    <xf numFmtId="0" fontId="0" fillId="12" borderId="0" xfId="0" applyFill="1"/>
    <xf numFmtId="49" fontId="57" fillId="0" borderId="0" xfId="0" applyNumberFormat="1" applyFont="1" applyAlignment="1">
      <alignment horizontal="right"/>
    </xf>
    <xf numFmtId="0" fontId="33" fillId="8" borderId="0" xfId="0" applyFont="1" applyFill="1" applyAlignment="1">
      <alignment horizontal="center"/>
    </xf>
    <xf numFmtId="0" fontId="39" fillId="0" borderId="58" xfId="0" applyFont="1" applyBorder="1" applyAlignment="1">
      <alignment horizontal="left" vertical="center" wrapText="1"/>
    </xf>
    <xf numFmtId="0" fontId="26" fillId="8" borderId="0" xfId="0" applyFont="1" applyFill="1" applyAlignment="1">
      <alignment horizontal="center"/>
    </xf>
    <xf numFmtId="17" fontId="27" fillId="8" borderId="0" xfId="0" applyNumberFormat="1" applyFont="1" applyFill="1" applyAlignment="1">
      <alignment horizontal="right"/>
    </xf>
    <xf numFmtId="3" fontId="0" fillId="0" borderId="56" xfId="0" applyNumberFormat="1" applyBorder="1" applyAlignment="1">
      <alignment horizontal="right"/>
    </xf>
    <xf numFmtId="0" fontId="0" fillId="0" borderId="0" xfId="0" applyAlignment="1">
      <alignment horizontal="center"/>
    </xf>
    <xf numFmtId="0" fontId="14" fillId="0" borderId="0" xfId="0" applyFont="1" applyAlignment="1">
      <alignment horizontal="left" vertical="center" wrapText="1"/>
    </xf>
    <xf numFmtId="0" fontId="0" fillId="0" borderId="56" xfId="0" applyBorder="1" applyAlignment="1">
      <alignment horizontal="right"/>
    </xf>
    <xf numFmtId="182" fontId="0" fillId="0" borderId="56" xfId="0" applyNumberFormat="1" applyBorder="1" applyAlignment="1">
      <alignment horizontal="right"/>
    </xf>
    <xf numFmtId="17" fontId="27" fillId="8" borderId="0" xfId="0" applyNumberFormat="1" applyFont="1" applyFill="1" applyAlignment="1">
      <alignment horizontal="center"/>
    </xf>
    <xf numFmtId="0" fontId="7" fillId="3" borderId="0" xfId="0" applyFont="1" applyFill="1" applyAlignment="1">
      <alignment horizontal="center"/>
    </xf>
    <xf numFmtId="0" fontId="12" fillId="3" borderId="0" xfId="0" applyFont="1" applyFill="1" applyAlignment="1">
      <alignment horizontal="center"/>
    </xf>
    <xf numFmtId="0" fontId="27" fillId="8" borderId="0" xfId="0" applyFont="1" applyFill="1" applyAlignment="1">
      <alignment horizontal="center"/>
    </xf>
    <xf numFmtId="0" fontId="27" fillId="8" borderId="11" xfId="0" applyFont="1" applyFill="1" applyBorder="1" applyAlignment="1">
      <alignment horizontal="center"/>
    </xf>
    <xf numFmtId="0" fontId="27" fillId="8" borderId="12" xfId="0" applyFont="1" applyFill="1" applyBorder="1" applyAlignment="1">
      <alignment horizontal="center"/>
    </xf>
    <xf numFmtId="0" fontId="27" fillId="8" borderId="13" xfId="0" applyFont="1" applyFill="1" applyBorder="1" applyAlignment="1">
      <alignment horizontal="center"/>
    </xf>
    <xf numFmtId="176" fontId="33" fillId="8" borderId="11" xfId="0" applyNumberFormat="1" applyFont="1" applyFill="1" applyBorder="1" applyAlignment="1">
      <alignment horizontal="center"/>
    </xf>
    <xf numFmtId="176" fontId="33" fillId="8" borderId="12" xfId="0" applyNumberFormat="1" applyFont="1" applyFill="1" applyBorder="1" applyAlignment="1">
      <alignment horizontal="center"/>
    </xf>
    <xf numFmtId="176" fontId="33" fillId="8" borderId="13" xfId="0" applyNumberFormat="1" applyFont="1" applyFill="1" applyBorder="1" applyAlignment="1">
      <alignment horizontal="center"/>
    </xf>
    <xf numFmtId="0" fontId="41" fillId="8" borderId="43" xfId="0" applyFont="1" applyFill="1" applyBorder="1" applyAlignment="1">
      <alignment horizontal="center"/>
    </xf>
    <xf numFmtId="0" fontId="27" fillId="8" borderId="44" xfId="0" applyFont="1" applyFill="1" applyBorder="1" applyAlignment="1">
      <alignment horizontal="center"/>
    </xf>
    <xf numFmtId="0" fontId="27" fillId="8" borderId="45" xfId="0" applyFont="1" applyFill="1" applyBorder="1" applyAlignment="1">
      <alignment horizontal="center"/>
    </xf>
    <xf numFmtId="0" fontId="27" fillId="8" borderId="46" xfId="0" applyFont="1" applyFill="1" applyBorder="1" applyAlignment="1">
      <alignment horizontal="center"/>
    </xf>
    <xf numFmtId="0" fontId="45" fillId="0" borderId="0" xfId="0" applyFont="1" applyAlignment="1">
      <alignment horizontal="left" vertical="top" wrapText="1"/>
    </xf>
    <xf numFmtId="0" fontId="46" fillId="0" borderId="0" xfId="0" applyFont="1" applyAlignment="1">
      <alignment horizontal="center"/>
    </xf>
    <xf numFmtId="169" fontId="20" fillId="0" borderId="0" xfId="0" applyNumberFormat="1" applyFont="1" applyAlignment="1">
      <alignment horizontal="center"/>
    </xf>
    <xf numFmtId="169" fontId="7" fillId="6" borderId="0" xfId="0" applyNumberFormat="1" applyFont="1" applyFill="1" applyAlignment="1">
      <alignment horizontal="center"/>
    </xf>
  </cellXfs>
  <cellStyles count="2">
    <cellStyle name="Normal" xfId="0" builtinId="0"/>
    <cellStyle name="Percent" xfId="1" builtinId="5"/>
  </cellStyles>
  <dxfs count="12">
    <dxf>
      <font>
        <b/>
        <color rgb="FFFFFFFF"/>
      </font>
      <fill>
        <patternFill>
          <bgColor theme="5"/>
        </patternFill>
      </fill>
    </dxf>
    <dxf>
      <font>
        <color rgb="FF92D050"/>
      </font>
    </dxf>
    <dxf>
      <font>
        <color rgb="FFFF0000"/>
      </font>
    </dxf>
    <dxf>
      <font>
        <color rgb="FF00B050"/>
      </font>
    </dxf>
    <dxf>
      <fill>
        <patternFill>
          <bgColor rgb="FFFFFFCC"/>
        </patternFill>
      </fill>
    </dxf>
    <dxf>
      <font>
        <color rgb="FF006100"/>
      </font>
      <fill>
        <patternFill>
          <bgColor rgb="FFC6EFCE"/>
        </patternFill>
      </fill>
    </dxf>
    <dxf>
      <font>
        <b/>
        <color rgb="FF000000"/>
      </font>
      <fill>
        <patternFill>
          <bgColor rgb="FF33CC33"/>
        </patternFill>
      </fill>
    </dxf>
    <dxf>
      <fill>
        <patternFill>
          <bgColor rgb="FF99FFCC"/>
        </patternFill>
      </fill>
    </dxf>
    <dxf>
      <fill>
        <patternFill>
          <bgColor rgb="FFFFC7CE"/>
        </patternFill>
      </fill>
    </dxf>
    <dxf>
      <font>
        <sz val="11"/>
        <color rgb="FF000000"/>
        <name val="Calibri"/>
        <family val="2"/>
        <charset val="1"/>
      </font>
    </dxf>
    <dxf>
      <fill>
        <patternFill>
          <bgColor rgb="FF00CC99"/>
        </patternFill>
      </fill>
    </dxf>
    <dxf>
      <fill>
        <patternFill>
          <bgColor rgb="FFCCFFCC"/>
        </patternFill>
      </fill>
    </dxf>
  </dxfs>
  <tableStyles count="0" defaultTableStyle="TableStyleMedium2" defaultPivotStyle="PivotStyleLight16"/>
  <colors>
    <indexedColors>
      <rgbColor rgb="FF000000"/>
      <rgbColor rgb="FFFFFFFF"/>
      <rgbColor rgb="FFFF0000"/>
      <rgbColor rgb="FF33CC33"/>
      <rgbColor rgb="FF0000FF"/>
      <rgbColor rgb="FFFFFF00"/>
      <rgbColor rgb="FFFF00FF"/>
      <rgbColor rgb="FF00D2CD"/>
      <rgbColor rgb="FFC00000"/>
      <rgbColor rgb="FF008000"/>
      <rgbColor rgb="FF000080"/>
      <rgbColor rgb="FF808000"/>
      <rgbColor rgb="FF800080"/>
      <rgbColor rgb="FF008080"/>
      <rgbColor rgb="FFC0C0C0"/>
      <rgbColor rgb="FF808080"/>
      <rgbColor rgb="FF9999FF"/>
      <rgbColor rgb="FF7D3C4A"/>
      <rgbColor rgb="FFFFFFCC"/>
      <rgbColor rgb="FFC6EFCE"/>
      <rgbColor rgb="FF660066"/>
      <rgbColor rgb="FFFF8080"/>
      <rgbColor rgb="FF0275D8"/>
      <rgbColor rgb="FFCCCCFF"/>
      <rgbColor rgb="FF000080"/>
      <rgbColor rgb="FFFF00FF"/>
      <rgbColor rgb="FFFFFF00"/>
      <rgbColor rgb="FF00CC99"/>
      <rgbColor rgb="FF800080"/>
      <rgbColor rgb="FF800000"/>
      <rgbColor rgb="FF009999"/>
      <rgbColor rgb="FF0000FF"/>
      <rgbColor rgb="FF00D6D1"/>
      <rgbColor rgb="FF99FFCC"/>
      <rgbColor rgb="FFCCFFCC"/>
      <rgbColor rgb="FFFFFF99"/>
      <rgbColor rgb="FF99CCFF"/>
      <rgbColor rgb="FFFF99CC"/>
      <rgbColor rgb="FFCC99FF"/>
      <rgbColor rgb="FFFFC7CE"/>
      <rgbColor rgb="FF3366FF"/>
      <rgbColor rgb="FF33CCCC"/>
      <rgbColor rgb="FF92D050"/>
      <rgbColor rgb="FFFFCC00"/>
      <rgbColor rgb="FFFF8119"/>
      <rgbColor rgb="FFFF6600"/>
      <rgbColor rgb="FF666699"/>
      <rgbColor rgb="FF969696"/>
      <rgbColor rgb="FF003366"/>
      <rgbColor rgb="FF00B050"/>
      <rgbColor rgb="FF006100"/>
      <rgbColor rgb="FF333300"/>
      <rgbColor rgb="FFDA1F28"/>
      <rgbColor rgb="FF993366"/>
      <rgbColor rgb="FF333399"/>
      <rgbColor rgb="FF333333"/>
      <rgbColor rgb="00003366"/>
      <rgbColor rgb="00339966"/>
      <rgbColor rgb="00003300"/>
      <rgbColor rgb="00333300"/>
      <rgbColor rgb="00993300"/>
      <rgbColor rgb="00993366"/>
      <rgbColor rgb="00333399"/>
      <rgbColor rgb="00333333"/>
    </indexedColors>
    <mruColors>
      <color rgb="FF009999"/>
      <color rgb="FF9BFFFD"/>
      <color rgb="FF43FFFB"/>
      <color rgb="FFBDFFFD"/>
      <color rgb="FF00D6D1"/>
      <color rgb="FF2DA2BF"/>
      <color rgb="FF33CC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FF0000"/>
            </a:solidFill>
            <a:ln>
              <a:solidFill>
                <a:srgbClr val="00D6D1"/>
              </a:solidFill>
            </a:ln>
            <a:effectLst/>
          </c:spPr>
          <c:invertIfNegative val="0"/>
          <c:cat>
            <c:numRef>
              <c:f>'Raw Data'!$B$3:$B$257</c:f>
              <c:numCache>
                <c:formatCode>m/d/yyyy</c:formatCode>
                <c:ptCount val="255"/>
                <c:pt idx="0">
                  <c:v>46213.645833333336</c:v>
                </c:pt>
                <c:pt idx="1">
                  <c:v>46206.645833333336</c:v>
                </c:pt>
                <c:pt idx="2">
                  <c:v>46198.645833333336</c:v>
                </c:pt>
                <c:pt idx="3">
                  <c:v>46192.645833333336</c:v>
                </c:pt>
                <c:pt idx="4">
                  <c:v>46185.645833333336</c:v>
                </c:pt>
                <c:pt idx="5">
                  <c:v>46178.645833333336</c:v>
                </c:pt>
                <c:pt idx="6">
                  <c:v>46171.645833333336</c:v>
                </c:pt>
                <c:pt idx="7">
                  <c:v>46164.645833333336</c:v>
                </c:pt>
                <c:pt idx="8">
                  <c:v>46157.645833333336</c:v>
                </c:pt>
                <c:pt idx="9">
                  <c:v>46150.645833333336</c:v>
                </c:pt>
                <c:pt idx="10">
                  <c:v>46142.645833333336</c:v>
                </c:pt>
                <c:pt idx="11">
                  <c:v>46136.645833333336</c:v>
                </c:pt>
                <c:pt idx="12">
                  <c:v>46129.645833333336</c:v>
                </c:pt>
                <c:pt idx="13">
                  <c:v>46122.645833333336</c:v>
                </c:pt>
                <c:pt idx="14">
                  <c:v>46114.645833333336</c:v>
                </c:pt>
                <c:pt idx="15">
                  <c:v>46108.645833333336</c:v>
                </c:pt>
                <c:pt idx="16">
                  <c:v>46101.645833333336</c:v>
                </c:pt>
                <c:pt idx="17">
                  <c:v>46094.645833333336</c:v>
                </c:pt>
                <c:pt idx="18">
                  <c:v>46087.645833333336</c:v>
                </c:pt>
                <c:pt idx="19">
                  <c:v>46080.645833333336</c:v>
                </c:pt>
                <c:pt idx="20">
                  <c:v>46073.645833333336</c:v>
                </c:pt>
                <c:pt idx="21">
                  <c:v>46066.645833333336</c:v>
                </c:pt>
                <c:pt idx="22">
                  <c:v>46059.645833333336</c:v>
                </c:pt>
                <c:pt idx="23">
                  <c:v>46052.645833333336</c:v>
                </c:pt>
                <c:pt idx="24">
                  <c:v>46045.645833333336</c:v>
                </c:pt>
                <c:pt idx="25">
                  <c:v>46038.645833333336</c:v>
                </c:pt>
                <c:pt idx="26">
                  <c:v>46031.645833333336</c:v>
                </c:pt>
                <c:pt idx="27">
                  <c:v>46024.645833333336</c:v>
                </c:pt>
                <c:pt idx="28">
                  <c:v>46017.645833333336</c:v>
                </c:pt>
                <c:pt idx="29">
                  <c:v>46010.645833333336</c:v>
                </c:pt>
                <c:pt idx="30">
                  <c:v>46003.645833333336</c:v>
                </c:pt>
                <c:pt idx="31">
                  <c:v>45996.645833333336</c:v>
                </c:pt>
                <c:pt idx="32">
                  <c:v>45989.645833333336</c:v>
                </c:pt>
                <c:pt idx="33">
                  <c:v>45982.645833333336</c:v>
                </c:pt>
                <c:pt idx="34">
                  <c:v>45975.645833333336</c:v>
                </c:pt>
                <c:pt idx="35">
                  <c:v>45968.645833333336</c:v>
                </c:pt>
                <c:pt idx="36">
                  <c:v>45961.645833333336</c:v>
                </c:pt>
                <c:pt idx="37">
                  <c:v>45954.645833333336</c:v>
                </c:pt>
                <c:pt idx="38">
                  <c:v>45947.645833333336</c:v>
                </c:pt>
                <c:pt idx="39">
                  <c:v>45940.645833333336</c:v>
                </c:pt>
                <c:pt idx="40">
                  <c:v>45933.645833333336</c:v>
                </c:pt>
                <c:pt idx="41">
                  <c:v>45926.645833333336</c:v>
                </c:pt>
                <c:pt idx="42">
                  <c:v>45919.645833333336</c:v>
                </c:pt>
                <c:pt idx="43">
                  <c:v>45912.645833333336</c:v>
                </c:pt>
                <c:pt idx="44">
                  <c:v>45905.645833333336</c:v>
                </c:pt>
                <c:pt idx="45">
                  <c:v>45898.645833333336</c:v>
                </c:pt>
                <c:pt idx="46">
                  <c:v>45891.645833333336</c:v>
                </c:pt>
                <c:pt idx="47">
                  <c:v>45883.645833333336</c:v>
                </c:pt>
                <c:pt idx="48">
                  <c:v>45877.645833333336</c:v>
                </c:pt>
                <c:pt idx="49">
                  <c:v>45870.645833333336</c:v>
                </c:pt>
                <c:pt idx="50">
                  <c:v>45863.645833333336</c:v>
                </c:pt>
                <c:pt idx="51">
                  <c:v>45856.645833333336</c:v>
                </c:pt>
                <c:pt idx="52">
                  <c:v>45849.645833333336</c:v>
                </c:pt>
                <c:pt idx="53">
                  <c:v>45842.645833333336</c:v>
                </c:pt>
                <c:pt idx="54">
                  <c:v>45835.645833333336</c:v>
                </c:pt>
                <c:pt idx="55">
                  <c:v>45828.645833333336</c:v>
                </c:pt>
                <c:pt idx="56">
                  <c:v>45821.645833333336</c:v>
                </c:pt>
                <c:pt idx="57">
                  <c:v>45814.645833333336</c:v>
                </c:pt>
                <c:pt idx="58">
                  <c:v>45807.645833333336</c:v>
                </c:pt>
                <c:pt idx="59">
                  <c:v>45800.645833333336</c:v>
                </c:pt>
                <c:pt idx="60">
                  <c:v>45793.645833333336</c:v>
                </c:pt>
                <c:pt idx="61">
                  <c:v>45786.645833333336</c:v>
                </c:pt>
                <c:pt idx="62">
                  <c:v>45779.645833333336</c:v>
                </c:pt>
                <c:pt idx="63">
                  <c:v>45772.645833333336</c:v>
                </c:pt>
                <c:pt idx="64">
                  <c:v>45764.645833333336</c:v>
                </c:pt>
                <c:pt idx="65">
                  <c:v>45758.645833333336</c:v>
                </c:pt>
                <c:pt idx="66">
                  <c:v>45751.645833333336</c:v>
                </c:pt>
                <c:pt idx="67">
                  <c:v>45744.645833333336</c:v>
                </c:pt>
                <c:pt idx="68">
                  <c:v>45737.645833333336</c:v>
                </c:pt>
                <c:pt idx="69">
                  <c:v>45729.645833333336</c:v>
                </c:pt>
                <c:pt idx="70">
                  <c:v>45723.645833333336</c:v>
                </c:pt>
                <c:pt idx="71">
                  <c:v>45716.645833333336</c:v>
                </c:pt>
                <c:pt idx="72">
                  <c:v>45709.645833333336</c:v>
                </c:pt>
                <c:pt idx="73">
                  <c:v>45702.645833333336</c:v>
                </c:pt>
                <c:pt idx="74">
                  <c:v>45695.645833333336</c:v>
                </c:pt>
                <c:pt idx="75">
                  <c:v>45681.645833333336</c:v>
                </c:pt>
                <c:pt idx="76">
                  <c:v>45674.645833333336</c:v>
                </c:pt>
                <c:pt idx="77">
                  <c:v>45667.645833333336</c:v>
                </c:pt>
                <c:pt idx="78">
                  <c:v>45660.645833333336</c:v>
                </c:pt>
                <c:pt idx="79">
                  <c:v>45653.645833333336</c:v>
                </c:pt>
                <c:pt idx="80">
                  <c:v>45646.645833333336</c:v>
                </c:pt>
                <c:pt idx="81">
                  <c:v>45639.645833333336</c:v>
                </c:pt>
                <c:pt idx="82">
                  <c:v>45632.645833333336</c:v>
                </c:pt>
                <c:pt idx="83">
                  <c:v>45625.645833333336</c:v>
                </c:pt>
                <c:pt idx="84">
                  <c:v>45618.645833333336</c:v>
                </c:pt>
                <c:pt idx="85">
                  <c:v>45610.645833333336</c:v>
                </c:pt>
                <c:pt idx="86">
                  <c:v>45604.645833333336</c:v>
                </c:pt>
                <c:pt idx="87">
                  <c:v>45590.645833333336</c:v>
                </c:pt>
                <c:pt idx="88">
                  <c:v>45583.645833333336</c:v>
                </c:pt>
                <c:pt idx="89">
                  <c:v>45576.645833333336</c:v>
                </c:pt>
                <c:pt idx="90">
                  <c:v>45569.645833333336</c:v>
                </c:pt>
                <c:pt idx="91">
                  <c:v>45562.645833333336</c:v>
                </c:pt>
                <c:pt idx="92">
                  <c:v>45555.645833333336</c:v>
                </c:pt>
                <c:pt idx="93">
                  <c:v>45548.645833333336</c:v>
                </c:pt>
                <c:pt idx="94">
                  <c:v>45541.645833333336</c:v>
                </c:pt>
                <c:pt idx="95">
                  <c:v>45534.645833333336</c:v>
                </c:pt>
                <c:pt idx="96">
                  <c:v>45527.645833333336</c:v>
                </c:pt>
                <c:pt idx="97">
                  <c:v>45520.645833333336</c:v>
                </c:pt>
                <c:pt idx="98">
                  <c:v>45513.645833333336</c:v>
                </c:pt>
                <c:pt idx="99">
                  <c:v>45506.645833333336</c:v>
                </c:pt>
                <c:pt idx="100">
                  <c:v>45499.645833333336</c:v>
                </c:pt>
                <c:pt idx="101">
                  <c:v>45492.645833333336</c:v>
                </c:pt>
                <c:pt idx="102">
                  <c:v>45485.645833333336</c:v>
                </c:pt>
                <c:pt idx="103">
                  <c:v>45478.645833333336</c:v>
                </c:pt>
                <c:pt idx="104">
                  <c:v>45471.645833333336</c:v>
                </c:pt>
                <c:pt idx="105">
                  <c:v>45464.645833333336</c:v>
                </c:pt>
                <c:pt idx="106">
                  <c:v>45457.645833333336</c:v>
                </c:pt>
                <c:pt idx="107">
                  <c:v>45450.645833333336</c:v>
                </c:pt>
                <c:pt idx="108">
                  <c:v>45443.645833333336</c:v>
                </c:pt>
                <c:pt idx="109">
                  <c:v>45436.645833333336</c:v>
                </c:pt>
                <c:pt idx="110">
                  <c:v>45422.645833333336</c:v>
                </c:pt>
                <c:pt idx="111">
                  <c:v>45415.645833333336</c:v>
                </c:pt>
                <c:pt idx="112">
                  <c:v>45408.645833333336</c:v>
                </c:pt>
                <c:pt idx="113">
                  <c:v>45401.645833333336</c:v>
                </c:pt>
                <c:pt idx="114">
                  <c:v>45394.645833333336</c:v>
                </c:pt>
                <c:pt idx="115">
                  <c:v>45387.645833333336</c:v>
                </c:pt>
                <c:pt idx="116">
                  <c:v>45379.645833333336</c:v>
                </c:pt>
                <c:pt idx="117">
                  <c:v>45373.645833333336</c:v>
                </c:pt>
                <c:pt idx="118">
                  <c:v>45366.645833333336</c:v>
                </c:pt>
                <c:pt idx="119">
                  <c:v>45358.645833333336</c:v>
                </c:pt>
                <c:pt idx="120">
                  <c:v>45345.645833333336</c:v>
                </c:pt>
                <c:pt idx="121">
                  <c:v>45338.645833333336</c:v>
                </c:pt>
                <c:pt idx="122">
                  <c:v>45331.645833333336</c:v>
                </c:pt>
                <c:pt idx="123">
                  <c:v>45324.645833333336</c:v>
                </c:pt>
                <c:pt idx="124">
                  <c:v>45316.645833333336</c:v>
                </c:pt>
                <c:pt idx="125">
                  <c:v>45303.645833333336</c:v>
                </c:pt>
                <c:pt idx="126">
                  <c:v>45296.645833333336</c:v>
                </c:pt>
                <c:pt idx="127">
                  <c:v>45289.645833333336</c:v>
                </c:pt>
                <c:pt idx="128">
                  <c:v>45282.645833333336</c:v>
                </c:pt>
                <c:pt idx="129">
                  <c:v>45275.645833333336</c:v>
                </c:pt>
                <c:pt idx="130">
                  <c:v>45268.645833333336</c:v>
                </c:pt>
                <c:pt idx="131">
                  <c:v>45261.645833333336</c:v>
                </c:pt>
                <c:pt idx="132">
                  <c:v>45254.645833333336</c:v>
                </c:pt>
                <c:pt idx="133">
                  <c:v>45247.645833333336</c:v>
                </c:pt>
                <c:pt idx="134">
                  <c:v>45240.645833333336</c:v>
                </c:pt>
                <c:pt idx="135">
                  <c:v>45233.645833333336</c:v>
                </c:pt>
                <c:pt idx="136">
                  <c:v>45226.645833333336</c:v>
                </c:pt>
                <c:pt idx="137">
                  <c:v>45219.645833333336</c:v>
                </c:pt>
                <c:pt idx="138">
                  <c:v>45212.645833333336</c:v>
                </c:pt>
                <c:pt idx="139">
                  <c:v>45205.645833333336</c:v>
                </c:pt>
                <c:pt idx="140">
                  <c:v>45198.645833333336</c:v>
                </c:pt>
                <c:pt idx="141">
                  <c:v>45191.645833333336</c:v>
                </c:pt>
                <c:pt idx="142">
                  <c:v>45184.645833333336</c:v>
                </c:pt>
                <c:pt idx="143">
                  <c:v>45177.645833333336</c:v>
                </c:pt>
                <c:pt idx="144">
                  <c:v>45170.645833333336</c:v>
                </c:pt>
                <c:pt idx="145">
                  <c:v>45163.645833333336</c:v>
                </c:pt>
                <c:pt idx="146">
                  <c:v>45156.645833333336</c:v>
                </c:pt>
                <c:pt idx="147">
                  <c:v>45149.645833333336</c:v>
                </c:pt>
                <c:pt idx="148">
                  <c:v>45142.645833333336</c:v>
                </c:pt>
                <c:pt idx="149">
                  <c:v>45135.645833333336</c:v>
                </c:pt>
                <c:pt idx="150">
                  <c:v>45128.645833333336</c:v>
                </c:pt>
                <c:pt idx="151">
                  <c:v>45121.645833333336</c:v>
                </c:pt>
                <c:pt idx="152">
                  <c:v>45114.645833333336</c:v>
                </c:pt>
                <c:pt idx="153">
                  <c:v>45107.645833333336</c:v>
                </c:pt>
                <c:pt idx="154">
                  <c:v>45100.645833333336</c:v>
                </c:pt>
                <c:pt idx="155">
                  <c:v>45093.645833333336</c:v>
                </c:pt>
                <c:pt idx="156">
                  <c:v>45086.645833333336</c:v>
                </c:pt>
                <c:pt idx="157">
                  <c:v>45079.645833333336</c:v>
                </c:pt>
                <c:pt idx="158">
                  <c:v>45072.645833333336</c:v>
                </c:pt>
                <c:pt idx="159">
                  <c:v>45065.645833333336</c:v>
                </c:pt>
                <c:pt idx="160">
                  <c:v>45058.645833333336</c:v>
                </c:pt>
                <c:pt idx="161">
                  <c:v>45051.645833333336</c:v>
                </c:pt>
                <c:pt idx="162">
                  <c:v>45044.645833333336</c:v>
                </c:pt>
                <c:pt idx="163">
                  <c:v>45037.645833333336</c:v>
                </c:pt>
                <c:pt idx="164">
                  <c:v>45029.645833333336</c:v>
                </c:pt>
                <c:pt idx="165">
                  <c:v>45022.645833333336</c:v>
                </c:pt>
                <c:pt idx="166">
                  <c:v>45016.645833333336</c:v>
                </c:pt>
                <c:pt idx="167">
                  <c:v>45009.645833333336</c:v>
                </c:pt>
                <c:pt idx="168">
                  <c:v>45002.645833333336</c:v>
                </c:pt>
                <c:pt idx="169">
                  <c:v>44995.645833333336</c:v>
                </c:pt>
                <c:pt idx="170">
                  <c:v>44988.645833333336</c:v>
                </c:pt>
                <c:pt idx="171">
                  <c:v>44981.645833333336</c:v>
                </c:pt>
                <c:pt idx="172">
                  <c:v>44974.645833333336</c:v>
                </c:pt>
                <c:pt idx="173">
                  <c:v>44967.645833333336</c:v>
                </c:pt>
                <c:pt idx="174">
                  <c:v>44960.645833333336</c:v>
                </c:pt>
                <c:pt idx="175">
                  <c:v>44953.645833333336</c:v>
                </c:pt>
                <c:pt idx="176">
                  <c:v>44946.645833333336</c:v>
                </c:pt>
                <c:pt idx="177">
                  <c:v>44939.645833333336</c:v>
                </c:pt>
                <c:pt idx="178">
                  <c:v>44932.645833333336</c:v>
                </c:pt>
                <c:pt idx="179">
                  <c:v>44925.645833333336</c:v>
                </c:pt>
                <c:pt idx="180">
                  <c:v>44918.645833333336</c:v>
                </c:pt>
                <c:pt idx="181">
                  <c:v>44911.645833333336</c:v>
                </c:pt>
                <c:pt idx="182">
                  <c:v>44904.645833333336</c:v>
                </c:pt>
                <c:pt idx="183">
                  <c:v>44897.645833333336</c:v>
                </c:pt>
                <c:pt idx="184">
                  <c:v>44890.645833333336</c:v>
                </c:pt>
                <c:pt idx="185">
                  <c:v>44883.645833333336</c:v>
                </c:pt>
                <c:pt idx="186">
                  <c:v>44876.645833333336</c:v>
                </c:pt>
                <c:pt idx="187">
                  <c:v>44869.645833333336</c:v>
                </c:pt>
                <c:pt idx="188">
                  <c:v>44862.645833333336</c:v>
                </c:pt>
                <c:pt idx="189">
                  <c:v>44855.645833333336</c:v>
                </c:pt>
                <c:pt idx="190">
                  <c:v>44848.645833333336</c:v>
                </c:pt>
                <c:pt idx="191">
                  <c:v>44841.645833333336</c:v>
                </c:pt>
                <c:pt idx="192">
                  <c:v>44834.645833333336</c:v>
                </c:pt>
                <c:pt idx="193">
                  <c:v>44827.645833333336</c:v>
                </c:pt>
                <c:pt idx="194">
                  <c:v>44820.645833333336</c:v>
                </c:pt>
                <c:pt idx="195">
                  <c:v>44813.645833333336</c:v>
                </c:pt>
                <c:pt idx="196">
                  <c:v>44806.645833333336</c:v>
                </c:pt>
                <c:pt idx="197">
                  <c:v>44799.645833333336</c:v>
                </c:pt>
                <c:pt idx="198">
                  <c:v>44792.645833333336</c:v>
                </c:pt>
                <c:pt idx="199">
                  <c:v>44785.645833333336</c:v>
                </c:pt>
                <c:pt idx="200">
                  <c:v>44778.645833333336</c:v>
                </c:pt>
                <c:pt idx="201">
                  <c:v>44771.645833333336</c:v>
                </c:pt>
                <c:pt idx="202">
                  <c:v>44764.645833333336</c:v>
                </c:pt>
                <c:pt idx="203">
                  <c:v>44757.645833333336</c:v>
                </c:pt>
                <c:pt idx="204">
                  <c:v>44750.645833333336</c:v>
                </c:pt>
                <c:pt idx="205">
                  <c:v>44743.645833333336</c:v>
                </c:pt>
                <c:pt idx="206">
                  <c:v>44736.645833333336</c:v>
                </c:pt>
                <c:pt idx="207">
                  <c:v>44729.645833333336</c:v>
                </c:pt>
                <c:pt idx="208">
                  <c:v>44722.645833333336</c:v>
                </c:pt>
                <c:pt idx="209">
                  <c:v>44715.645833333336</c:v>
                </c:pt>
                <c:pt idx="210">
                  <c:v>44708.645833333336</c:v>
                </c:pt>
                <c:pt idx="211">
                  <c:v>44701.645833333336</c:v>
                </c:pt>
                <c:pt idx="212">
                  <c:v>44694.645833333336</c:v>
                </c:pt>
                <c:pt idx="213">
                  <c:v>44687.645833333336</c:v>
                </c:pt>
                <c:pt idx="214">
                  <c:v>44680.645833333336</c:v>
                </c:pt>
                <c:pt idx="215">
                  <c:v>44673.645833333336</c:v>
                </c:pt>
                <c:pt idx="216">
                  <c:v>44664.645833333336</c:v>
                </c:pt>
                <c:pt idx="217">
                  <c:v>44659.645833333336</c:v>
                </c:pt>
                <c:pt idx="218">
                  <c:v>44652.645833333336</c:v>
                </c:pt>
                <c:pt idx="219">
                  <c:v>44645.645833333336</c:v>
                </c:pt>
                <c:pt idx="220">
                  <c:v>44637.645833333336</c:v>
                </c:pt>
                <c:pt idx="221">
                  <c:v>44631.645833333336</c:v>
                </c:pt>
                <c:pt idx="222">
                  <c:v>44624.645833333336</c:v>
                </c:pt>
                <c:pt idx="223">
                  <c:v>44617.645833333336</c:v>
                </c:pt>
                <c:pt idx="224">
                  <c:v>44610.645833333336</c:v>
                </c:pt>
                <c:pt idx="225">
                  <c:v>44603.645833333336</c:v>
                </c:pt>
                <c:pt idx="226">
                  <c:v>44596.645833333336</c:v>
                </c:pt>
                <c:pt idx="227">
                  <c:v>44589.645833333336</c:v>
                </c:pt>
                <c:pt idx="228">
                  <c:v>44582.645833333336</c:v>
                </c:pt>
                <c:pt idx="229">
                  <c:v>44575.645833333336</c:v>
                </c:pt>
                <c:pt idx="230">
                  <c:v>44568.645833333336</c:v>
                </c:pt>
                <c:pt idx="231">
                  <c:v>44561.645833333336</c:v>
                </c:pt>
                <c:pt idx="232">
                  <c:v>44554.645833333336</c:v>
                </c:pt>
                <c:pt idx="233">
                  <c:v>44547.645833333336</c:v>
                </c:pt>
                <c:pt idx="234">
                  <c:v>44540.645833333336</c:v>
                </c:pt>
                <c:pt idx="235">
                  <c:v>44533.645833333336</c:v>
                </c:pt>
                <c:pt idx="236">
                  <c:v>44526.645833333336</c:v>
                </c:pt>
                <c:pt idx="237">
                  <c:v>44518.645833333336</c:v>
                </c:pt>
                <c:pt idx="238">
                  <c:v>44512.645833333336</c:v>
                </c:pt>
                <c:pt idx="239">
                  <c:v>44504.802083333336</c:v>
                </c:pt>
                <c:pt idx="240">
                  <c:v>44498.645833333336</c:v>
                </c:pt>
                <c:pt idx="241">
                  <c:v>44491.645833333336</c:v>
                </c:pt>
                <c:pt idx="242">
                  <c:v>44483.645833333336</c:v>
                </c:pt>
                <c:pt idx="243">
                  <c:v>44477.645833333336</c:v>
                </c:pt>
                <c:pt idx="244">
                  <c:v>44470.645833333336</c:v>
                </c:pt>
                <c:pt idx="245">
                  <c:v>44463.645833333336</c:v>
                </c:pt>
                <c:pt idx="246">
                  <c:v>44456.645833333336</c:v>
                </c:pt>
                <c:pt idx="247">
                  <c:v>44448.645833333336</c:v>
                </c:pt>
                <c:pt idx="248">
                  <c:v>44442.645833333336</c:v>
                </c:pt>
                <c:pt idx="249">
                  <c:v>44435.645833333336</c:v>
                </c:pt>
                <c:pt idx="250">
                  <c:v>44428.645833333336</c:v>
                </c:pt>
                <c:pt idx="251">
                  <c:v>44421.645833333336</c:v>
                </c:pt>
                <c:pt idx="252">
                  <c:v>44414.645833333336</c:v>
                </c:pt>
                <c:pt idx="253">
                  <c:v>44407.645833333336</c:v>
                </c:pt>
                <c:pt idx="254">
                  <c:v>44400.645833333336</c:v>
                </c:pt>
              </c:numCache>
            </c:numRef>
          </c:cat>
          <c:val>
            <c:numRef>
              <c:f>'Raw Data'!$D$3:$D$257</c:f>
              <c:numCache>
                <c:formatCode>0.0</c:formatCode>
                <c:ptCount val="255"/>
                <c:pt idx="0">
                  <c:v>7.4505670000000004</c:v>
                </c:pt>
                <c:pt idx="1">
                  <c:v>4.3441270000000003</c:v>
                </c:pt>
                <c:pt idx="2">
                  <c:v>2.3835510000000002</c:v>
                </c:pt>
                <c:pt idx="3">
                  <c:v>3.984575</c:v>
                </c:pt>
                <c:pt idx="4">
                  <c:v>4.4552659999999999</c:v>
                </c:pt>
                <c:pt idx="5">
                  <c:v>5.0837000000000003</c:v>
                </c:pt>
                <c:pt idx="6">
                  <c:v>3.8482660000000002</c:v>
                </c:pt>
                <c:pt idx="7">
                  <c:v>4.107971</c:v>
                </c:pt>
                <c:pt idx="8">
                  <c:v>12.774191999999999</c:v>
                </c:pt>
                <c:pt idx="9">
                  <c:v>9.1754409999999993</c:v>
                </c:pt>
                <c:pt idx="10">
                  <c:v>2.8420290000000001</c:v>
                </c:pt>
                <c:pt idx="11">
                  <c:v>4.5379959999999997</c:v>
                </c:pt>
                <c:pt idx="12">
                  <c:v>5.1767159999999999</c:v>
                </c:pt>
                <c:pt idx="13">
                  <c:v>9.7374299999999998</c:v>
                </c:pt>
                <c:pt idx="14">
                  <c:v>3.885065</c:v>
                </c:pt>
                <c:pt idx="15">
                  <c:v>5.181673</c:v>
                </c:pt>
                <c:pt idx="16">
                  <c:v>4.4787429999999997</c:v>
                </c:pt>
                <c:pt idx="17">
                  <c:v>3.759633</c:v>
                </c:pt>
                <c:pt idx="18">
                  <c:v>3.0665680000000002</c:v>
                </c:pt>
                <c:pt idx="19">
                  <c:v>3.2610510000000001</c:v>
                </c:pt>
                <c:pt idx="20">
                  <c:v>2.2902010000000002</c:v>
                </c:pt>
                <c:pt idx="21">
                  <c:v>7.671513</c:v>
                </c:pt>
                <c:pt idx="22">
                  <c:v>5.9302679999999999</c:v>
                </c:pt>
                <c:pt idx="23">
                  <c:v>5.1427740000000002</c:v>
                </c:pt>
                <c:pt idx="24">
                  <c:v>3.3392019999999998</c:v>
                </c:pt>
                <c:pt idx="25">
                  <c:v>2.9711150000000002</c:v>
                </c:pt>
                <c:pt idx="26">
                  <c:v>6.8847860000000001</c:v>
                </c:pt>
                <c:pt idx="27">
                  <c:v>4.8758229999999996</c:v>
                </c:pt>
                <c:pt idx="28">
                  <c:v>2.5274540000000001</c:v>
                </c:pt>
                <c:pt idx="29">
                  <c:v>3.741501</c:v>
                </c:pt>
                <c:pt idx="30">
                  <c:v>3.5002260000000001</c:v>
                </c:pt>
                <c:pt idx="31">
                  <c:v>3.3198699999999999</c:v>
                </c:pt>
                <c:pt idx="32">
                  <c:v>3.4200520000000001</c:v>
                </c:pt>
                <c:pt idx="33">
                  <c:v>4.0787190000000004</c:v>
                </c:pt>
                <c:pt idx="34">
                  <c:v>3.3170540000000002</c:v>
                </c:pt>
                <c:pt idx="35">
                  <c:v>5.3001959999999997</c:v>
                </c:pt>
                <c:pt idx="36">
                  <c:v>4.5737870000000003</c:v>
                </c:pt>
                <c:pt idx="37">
                  <c:v>3.0499779999999999</c:v>
                </c:pt>
                <c:pt idx="38">
                  <c:v>5.1887829999999999</c:v>
                </c:pt>
                <c:pt idx="39">
                  <c:v>8.1353209999999994</c:v>
                </c:pt>
                <c:pt idx="40">
                  <c:v>5.6404459999999998</c:v>
                </c:pt>
                <c:pt idx="41">
                  <c:v>11.317233999999999</c:v>
                </c:pt>
                <c:pt idx="42">
                  <c:v>4.9135900000000001</c:v>
                </c:pt>
                <c:pt idx="43">
                  <c:v>2.1566200000000002</c:v>
                </c:pt>
                <c:pt idx="44">
                  <c:v>2.7156380000000002</c:v>
                </c:pt>
                <c:pt idx="45">
                  <c:v>3.311483</c:v>
                </c:pt>
                <c:pt idx="46">
                  <c:v>3.6727910000000001</c:v>
                </c:pt>
                <c:pt idx="47">
                  <c:v>2.4513229999999999</c:v>
                </c:pt>
                <c:pt idx="48">
                  <c:v>4.6170949999999999</c:v>
                </c:pt>
                <c:pt idx="49">
                  <c:v>2.5348269999999999</c:v>
                </c:pt>
                <c:pt idx="50">
                  <c:v>4.1537920000000002</c:v>
                </c:pt>
                <c:pt idx="51">
                  <c:v>2.9642430000000002</c:v>
                </c:pt>
                <c:pt idx="52">
                  <c:v>8.0035550000000004</c:v>
                </c:pt>
                <c:pt idx="53">
                  <c:v>3.6110980000000001</c:v>
                </c:pt>
                <c:pt idx="54">
                  <c:v>6.5318160000000001</c:v>
                </c:pt>
                <c:pt idx="55">
                  <c:v>6.4715290000000003</c:v>
                </c:pt>
                <c:pt idx="56">
                  <c:v>3.2406060000000001</c:v>
                </c:pt>
                <c:pt idx="57">
                  <c:v>3.024762</c:v>
                </c:pt>
                <c:pt idx="58">
                  <c:v>3.4706100000000002</c:v>
                </c:pt>
                <c:pt idx="59">
                  <c:v>2.7297549999999999</c:v>
                </c:pt>
                <c:pt idx="60">
                  <c:v>4.2944449999999996</c:v>
                </c:pt>
                <c:pt idx="61">
                  <c:v>6.7247409999999999</c:v>
                </c:pt>
                <c:pt idx="62">
                  <c:v>2.1829869999999998</c:v>
                </c:pt>
                <c:pt idx="63">
                  <c:v>3.51607</c:v>
                </c:pt>
                <c:pt idx="64">
                  <c:v>3.0953240000000002</c:v>
                </c:pt>
                <c:pt idx="65">
                  <c:v>6.2400529999999996</c:v>
                </c:pt>
                <c:pt idx="66">
                  <c:v>4.7609120000000003</c:v>
                </c:pt>
                <c:pt idx="67">
                  <c:v>6.0795709999999996</c:v>
                </c:pt>
                <c:pt idx="68">
                  <c:v>4.9540629999999997</c:v>
                </c:pt>
                <c:pt idx="69">
                  <c:v>2.7064180000000002</c:v>
                </c:pt>
                <c:pt idx="70">
                  <c:v>4.7017290000000003</c:v>
                </c:pt>
                <c:pt idx="71">
                  <c:v>3.0001540000000002</c:v>
                </c:pt>
                <c:pt idx="72">
                  <c:v>2.8881480000000002</c:v>
                </c:pt>
                <c:pt idx="73">
                  <c:v>3.8976739999999999</c:v>
                </c:pt>
                <c:pt idx="74">
                  <c:v>6.7893949999999998</c:v>
                </c:pt>
                <c:pt idx="75">
                  <c:v>3.6145649999999998</c:v>
                </c:pt>
                <c:pt idx="76">
                  <c:v>5.3155979999999996</c:v>
                </c:pt>
                <c:pt idx="77">
                  <c:v>7.2491729999999999</c:v>
                </c:pt>
                <c:pt idx="78">
                  <c:v>4.6990299999999996</c:v>
                </c:pt>
                <c:pt idx="79">
                  <c:v>2.38253</c:v>
                </c:pt>
                <c:pt idx="80">
                  <c:v>4.9153789999999997</c:v>
                </c:pt>
                <c:pt idx="81">
                  <c:v>4.7133019999999997</c:v>
                </c:pt>
                <c:pt idx="82">
                  <c:v>7.3705119999999997</c:v>
                </c:pt>
                <c:pt idx="83">
                  <c:v>6.1876620000000004</c:v>
                </c:pt>
                <c:pt idx="84">
                  <c:v>5.9074429999999998</c:v>
                </c:pt>
                <c:pt idx="85">
                  <c:v>4.121086</c:v>
                </c:pt>
                <c:pt idx="86">
                  <c:v>9.8459620000000001</c:v>
                </c:pt>
                <c:pt idx="87">
                  <c:v>4.0440509999999996</c:v>
                </c:pt>
                <c:pt idx="88">
                  <c:v>3.57395</c:v>
                </c:pt>
                <c:pt idx="89">
                  <c:v>7.2940339999999999</c:v>
                </c:pt>
                <c:pt idx="90">
                  <c:v>4.9833769999999999</c:v>
                </c:pt>
                <c:pt idx="91">
                  <c:v>6.7826110000000002</c:v>
                </c:pt>
                <c:pt idx="92">
                  <c:v>4.0965910000000001</c:v>
                </c:pt>
                <c:pt idx="93">
                  <c:v>5.2049269999999996</c:v>
                </c:pt>
                <c:pt idx="94">
                  <c:v>7.2079500000000003</c:v>
                </c:pt>
                <c:pt idx="95">
                  <c:v>6.0975349999999997</c:v>
                </c:pt>
                <c:pt idx="96">
                  <c:v>6.3567609999999997</c:v>
                </c:pt>
                <c:pt idx="97">
                  <c:v>4.3487539999999996</c:v>
                </c:pt>
                <c:pt idx="98">
                  <c:v>6.4862799999999998</c:v>
                </c:pt>
                <c:pt idx="99">
                  <c:v>6.939362</c:v>
                </c:pt>
                <c:pt idx="100">
                  <c:v>15.025069</c:v>
                </c:pt>
                <c:pt idx="101">
                  <c:v>3.9427110000000001</c:v>
                </c:pt>
                <c:pt idx="102">
                  <c:v>11.407641999999999</c:v>
                </c:pt>
                <c:pt idx="103">
                  <c:v>5.6039089999999998</c:v>
                </c:pt>
                <c:pt idx="104">
                  <c:v>5.8987040000000004</c:v>
                </c:pt>
                <c:pt idx="105">
                  <c:v>8.5322790000000008</c:v>
                </c:pt>
                <c:pt idx="106">
                  <c:v>8.895797</c:v>
                </c:pt>
                <c:pt idx="107">
                  <c:v>9.6193299999999997</c:v>
                </c:pt>
                <c:pt idx="108">
                  <c:v>6.762346</c:v>
                </c:pt>
                <c:pt idx="109">
                  <c:v>3.3106550000000001</c:v>
                </c:pt>
                <c:pt idx="110">
                  <c:v>15.225910000000001</c:v>
                </c:pt>
                <c:pt idx="111">
                  <c:v>4.7842269999999996</c:v>
                </c:pt>
                <c:pt idx="112">
                  <c:v>4.779407</c:v>
                </c:pt>
                <c:pt idx="113">
                  <c:v>5.1568519999999998</c:v>
                </c:pt>
                <c:pt idx="114">
                  <c:v>4.0726589999999998</c:v>
                </c:pt>
                <c:pt idx="115">
                  <c:v>4.2451059999999998</c:v>
                </c:pt>
                <c:pt idx="116">
                  <c:v>4.0646760000000004</c:v>
                </c:pt>
                <c:pt idx="117">
                  <c:v>3.9155899999999999</c:v>
                </c:pt>
                <c:pt idx="118">
                  <c:v>4.6912929999999999</c:v>
                </c:pt>
                <c:pt idx="119">
                  <c:v>3.125318</c:v>
                </c:pt>
                <c:pt idx="120">
                  <c:v>3.8486750000000001</c:v>
                </c:pt>
                <c:pt idx="121">
                  <c:v>4.0042260000000001</c:v>
                </c:pt>
                <c:pt idx="122">
                  <c:v>5.5921010000000004</c:v>
                </c:pt>
                <c:pt idx="123">
                  <c:v>6.6670290000000003</c:v>
                </c:pt>
                <c:pt idx="124">
                  <c:v>2.336633</c:v>
                </c:pt>
                <c:pt idx="125">
                  <c:v>3.7144710000000001</c:v>
                </c:pt>
                <c:pt idx="126">
                  <c:v>2.6059809999999999</c:v>
                </c:pt>
                <c:pt idx="127">
                  <c:v>2.935988</c:v>
                </c:pt>
                <c:pt idx="128">
                  <c:v>3.7205979999999998</c:v>
                </c:pt>
                <c:pt idx="129">
                  <c:v>4.3131959999999996</c:v>
                </c:pt>
                <c:pt idx="130">
                  <c:v>4.378984</c:v>
                </c:pt>
                <c:pt idx="131">
                  <c:v>3.688075</c:v>
                </c:pt>
                <c:pt idx="132">
                  <c:v>3.6239129999999999</c:v>
                </c:pt>
                <c:pt idx="133">
                  <c:v>2.916709</c:v>
                </c:pt>
                <c:pt idx="134">
                  <c:v>4.6920640000000002</c:v>
                </c:pt>
                <c:pt idx="135">
                  <c:v>4.9244079999999997</c:v>
                </c:pt>
                <c:pt idx="136">
                  <c:v>3.5042749999999998</c:v>
                </c:pt>
                <c:pt idx="137">
                  <c:v>3.0434909999999999</c:v>
                </c:pt>
                <c:pt idx="138">
                  <c:v>3.352617</c:v>
                </c:pt>
                <c:pt idx="139">
                  <c:v>3.7062780000000002</c:v>
                </c:pt>
                <c:pt idx="140">
                  <c:v>5.054481</c:v>
                </c:pt>
                <c:pt idx="141">
                  <c:v>4.7349670000000001</c:v>
                </c:pt>
                <c:pt idx="142">
                  <c:v>5.168609</c:v>
                </c:pt>
                <c:pt idx="143">
                  <c:v>3.9296190000000002</c:v>
                </c:pt>
                <c:pt idx="144">
                  <c:v>3.3813399999999998</c:v>
                </c:pt>
                <c:pt idx="145">
                  <c:v>3.2896670000000001</c:v>
                </c:pt>
                <c:pt idx="146">
                  <c:v>3.6475420000000001</c:v>
                </c:pt>
                <c:pt idx="147">
                  <c:v>4.4491209999999999</c:v>
                </c:pt>
                <c:pt idx="148">
                  <c:v>6.4398520000000001</c:v>
                </c:pt>
                <c:pt idx="149">
                  <c:v>3.4190109999999998</c:v>
                </c:pt>
                <c:pt idx="150">
                  <c:v>4.4164789999999998</c:v>
                </c:pt>
                <c:pt idx="151">
                  <c:v>5.8726799999999999</c:v>
                </c:pt>
                <c:pt idx="152">
                  <c:v>6.9717650000000004</c:v>
                </c:pt>
                <c:pt idx="153">
                  <c:v>4.224672</c:v>
                </c:pt>
                <c:pt idx="154">
                  <c:v>3.9303140000000001</c:v>
                </c:pt>
                <c:pt idx="155">
                  <c:v>4.0933869999999999</c:v>
                </c:pt>
                <c:pt idx="156">
                  <c:v>4.0234490000000003</c:v>
                </c:pt>
                <c:pt idx="157">
                  <c:v>5.4210000000000003</c:v>
                </c:pt>
                <c:pt idx="158">
                  <c:v>3.5506959999999999</c:v>
                </c:pt>
                <c:pt idx="159">
                  <c:v>3.3202060000000002</c:v>
                </c:pt>
                <c:pt idx="160">
                  <c:v>3.591056</c:v>
                </c:pt>
                <c:pt idx="161">
                  <c:v>5.6620679999999997</c:v>
                </c:pt>
                <c:pt idx="162">
                  <c:v>4.4761660000000001</c:v>
                </c:pt>
                <c:pt idx="163">
                  <c:v>3.8119390000000002</c:v>
                </c:pt>
                <c:pt idx="164">
                  <c:v>3.3532860000000002</c:v>
                </c:pt>
                <c:pt idx="165">
                  <c:v>3.3323610000000001</c:v>
                </c:pt>
                <c:pt idx="166">
                  <c:v>2.8869769999999999</c:v>
                </c:pt>
                <c:pt idx="167">
                  <c:v>4.7754580000000004</c:v>
                </c:pt>
                <c:pt idx="168">
                  <c:v>7.7018659999999999</c:v>
                </c:pt>
                <c:pt idx="169">
                  <c:v>2.685127</c:v>
                </c:pt>
                <c:pt idx="170">
                  <c:v>4.0133669999999997</c:v>
                </c:pt>
                <c:pt idx="171">
                  <c:v>5.0562490000000002</c:v>
                </c:pt>
                <c:pt idx="172">
                  <c:v>4.7192030000000003</c:v>
                </c:pt>
                <c:pt idx="173">
                  <c:v>3.2134070000000001</c:v>
                </c:pt>
                <c:pt idx="174">
                  <c:v>9.6579800000000002</c:v>
                </c:pt>
                <c:pt idx="175">
                  <c:v>3.535838</c:v>
                </c:pt>
                <c:pt idx="176">
                  <c:v>4.6111579999999996</c:v>
                </c:pt>
                <c:pt idx="177">
                  <c:v>6.5650750000000002</c:v>
                </c:pt>
                <c:pt idx="178">
                  <c:v>4.805593</c:v>
                </c:pt>
                <c:pt idx="179">
                  <c:v>6.9518459999999997</c:v>
                </c:pt>
                <c:pt idx="180">
                  <c:v>3.557499</c:v>
                </c:pt>
                <c:pt idx="181">
                  <c:v>4.7295879999999997</c:v>
                </c:pt>
                <c:pt idx="182">
                  <c:v>3.749959</c:v>
                </c:pt>
                <c:pt idx="183">
                  <c:v>4.3729279999999999</c:v>
                </c:pt>
                <c:pt idx="184">
                  <c:v>3.9190960000000001</c:v>
                </c:pt>
                <c:pt idx="185">
                  <c:v>4.7381859999999998</c:v>
                </c:pt>
                <c:pt idx="186">
                  <c:v>5.0425449999999996</c:v>
                </c:pt>
                <c:pt idx="187">
                  <c:v>6.1397139999999997</c:v>
                </c:pt>
                <c:pt idx="188">
                  <c:v>3.8113049999999999</c:v>
                </c:pt>
                <c:pt idx="189">
                  <c:v>4.8941239999999997</c:v>
                </c:pt>
                <c:pt idx="190">
                  <c:v>5.855378</c:v>
                </c:pt>
                <c:pt idx="191">
                  <c:v>9.0348780000000009</c:v>
                </c:pt>
                <c:pt idx="192">
                  <c:v>6.6686680000000003</c:v>
                </c:pt>
                <c:pt idx="193">
                  <c:v>5.2849069999999996</c:v>
                </c:pt>
                <c:pt idx="194">
                  <c:v>4.6311039999999997</c:v>
                </c:pt>
                <c:pt idx="195">
                  <c:v>3.3835229999999998</c:v>
                </c:pt>
                <c:pt idx="196">
                  <c:v>5.1831779999999998</c:v>
                </c:pt>
                <c:pt idx="197">
                  <c:v>6.1685679999999996</c:v>
                </c:pt>
                <c:pt idx="198">
                  <c:v>3.478596</c:v>
                </c:pt>
                <c:pt idx="199">
                  <c:v>4.5318430000000003</c:v>
                </c:pt>
                <c:pt idx="200">
                  <c:v>6.025156</c:v>
                </c:pt>
                <c:pt idx="201">
                  <c:v>6.2131780000000001</c:v>
                </c:pt>
                <c:pt idx="202">
                  <c:v>6.806235</c:v>
                </c:pt>
                <c:pt idx="203">
                  <c:v>5.995565</c:v>
                </c:pt>
                <c:pt idx="204">
                  <c:v>12.486795000000001</c:v>
                </c:pt>
                <c:pt idx="205">
                  <c:v>13.395371000000001</c:v>
                </c:pt>
                <c:pt idx="206">
                  <c:v>9.2531459999999992</c:v>
                </c:pt>
                <c:pt idx="207">
                  <c:v>9.9378550000000008</c:v>
                </c:pt>
                <c:pt idx="208">
                  <c:v>8.2793869999999998</c:v>
                </c:pt>
                <c:pt idx="209">
                  <c:v>13.018033000000001</c:v>
                </c:pt>
                <c:pt idx="210">
                  <c:v>5.869961</c:v>
                </c:pt>
                <c:pt idx="211">
                  <c:v>5.8137220000000003</c:v>
                </c:pt>
                <c:pt idx="212">
                  <c:v>7.4757879999999997</c:v>
                </c:pt>
                <c:pt idx="213">
                  <c:v>7.229425</c:v>
                </c:pt>
                <c:pt idx="214">
                  <c:v>5.1467369999999999</c:v>
                </c:pt>
                <c:pt idx="215">
                  <c:v>4.4383410000000003</c:v>
                </c:pt>
                <c:pt idx="216">
                  <c:v>3.0079920000000002</c:v>
                </c:pt>
                <c:pt idx="217">
                  <c:v>8.3634039999999992</c:v>
                </c:pt>
                <c:pt idx="218">
                  <c:v>5.209956</c:v>
                </c:pt>
                <c:pt idx="219">
                  <c:v>9.1494</c:v>
                </c:pt>
                <c:pt idx="220">
                  <c:v>6.6692600000000004</c:v>
                </c:pt>
                <c:pt idx="221">
                  <c:v>6.4593340000000001</c:v>
                </c:pt>
                <c:pt idx="222">
                  <c:v>10.698817</c:v>
                </c:pt>
                <c:pt idx="223">
                  <c:v>6.9183399999999997</c:v>
                </c:pt>
                <c:pt idx="224">
                  <c:v>4.7346110000000001</c:v>
                </c:pt>
                <c:pt idx="225">
                  <c:v>5.2899219999999998</c:v>
                </c:pt>
                <c:pt idx="226">
                  <c:v>9.8930009999999999</c:v>
                </c:pt>
                <c:pt idx="227">
                  <c:v>8.0385869999999997</c:v>
                </c:pt>
                <c:pt idx="228">
                  <c:v>5.6964309999999996</c:v>
                </c:pt>
                <c:pt idx="229">
                  <c:v>6.5024100000000002</c:v>
                </c:pt>
                <c:pt idx="230">
                  <c:v>8.9593279999999993</c:v>
                </c:pt>
                <c:pt idx="231">
                  <c:v>5.5520750000000003</c:v>
                </c:pt>
                <c:pt idx="232">
                  <c:v>3.7380089999999999</c:v>
                </c:pt>
                <c:pt idx="233">
                  <c:v>4.9153710000000004</c:v>
                </c:pt>
                <c:pt idx="234">
                  <c:v>5.9169479999999997</c:v>
                </c:pt>
                <c:pt idx="235">
                  <c:v>8.6921020000000002</c:v>
                </c:pt>
                <c:pt idx="236">
                  <c:v>5.1748089999999998</c:v>
                </c:pt>
                <c:pt idx="237">
                  <c:v>3.6130819999999999</c:v>
                </c:pt>
                <c:pt idx="238">
                  <c:v>8.8575529999999993</c:v>
                </c:pt>
                <c:pt idx="239">
                  <c:v>4.5585990000000001</c:v>
                </c:pt>
                <c:pt idx="240">
                  <c:v>10.876628</c:v>
                </c:pt>
                <c:pt idx="241">
                  <c:v>14.354590999999999</c:v>
                </c:pt>
                <c:pt idx="242">
                  <c:v>10.144047</c:v>
                </c:pt>
                <c:pt idx="243">
                  <c:v>13.30273</c:v>
                </c:pt>
                <c:pt idx="244">
                  <c:v>4.3449260000000001</c:v>
                </c:pt>
                <c:pt idx="245">
                  <c:v>3.2614109999999998</c:v>
                </c:pt>
                <c:pt idx="246">
                  <c:v>6.9237520000000004</c:v>
                </c:pt>
                <c:pt idx="247">
                  <c:v>2.902434</c:v>
                </c:pt>
                <c:pt idx="248">
                  <c:v>7.4497530000000003</c:v>
                </c:pt>
                <c:pt idx="249">
                  <c:v>5.4564690000000002</c:v>
                </c:pt>
                <c:pt idx="250">
                  <c:v>4.4779749999999998</c:v>
                </c:pt>
                <c:pt idx="251">
                  <c:v>5.4651750000000003</c:v>
                </c:pt>
                <c:pt idx="252">
                  <c:v>12.895232</c:v>
                </c:pt>
                <c:pt idx="253">
                  <c:v>6.7715209999999999</c:v>
                </c:pt>
                <c:pt idx="254">
                  <c:v>3.8511129999999998</c:v>
                </c:pt>
              </c:numCache>
            </c:numRef>
          </c:val>
          <c:extLst>
            <c:ext xmlns:c16="http://schemas.microsoft.com/office/drawing/2014/chart" uri="{C3380CC4-5D6E-409C-BE32-E72D297353CC}">
              <c16:uniqueId val="{00000000-009B-47D4-A6D3-FE731395FD23}"/>
            </c:ext>
          </c:extLst>
        </c:ser>
        <c:dLbls>
          <c:showLegendKey val="0"/>
          <c:showVal val="0"/>
          <c:showCatName val="0"/>
          <c:showSerName val="0"/>
          <c:showPercent val="0"/>
          <c:showBubbleSize val="0"/>
        </c:dLbls>
        <c:gapWidth val="219"/>
        <c:axId val="568842040"/>
        <c:axId val="568838440"/>
      </c:barChart>
      <c:dateAx>
        <c:axId val="56884204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838440"/>
        <c:crosses val="autoZero"/>
        <c:auto val="1"/>
        <c:lblOffset val="100"/>
        <c:baseTimeUnit val="days"/>
      </c:dateAx>
      <c:valAx>
        <c:axId val="56883844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842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009999"/>
              </a:solidFill>
              <a:round/>
            </a:ln>
            <a:effectLst/>
          </c:spPr>
          <c:marker>
            <c:symbol val="none"/>
          </c:marker>
          <c:cat>
            <c:numRef>
              <c:f>'Raw Data'!$B$3:$B$257</c:f>
              <c:numCache>
                <c:formatCode>m/d/yyyy</c:formatCode>
                <c:ptCount val="255"/>
                <c:pt idx="0">
                  <c:v>46213.645833333336</c:v>
                </c:pt>
                <c:pt idx="1">
                  <c:v>46206.645833333336</c:v>
                </c:pt>
                <c:pt idx="2">
                  <c:v>46198.645833333336</c:v>
                </c:pt>
                <c:pt idx="3">
                  <c:v>46192.645833333336</c:v>
                </c:pt>
                <c:pt idx="4">
                  <c:v>46185.645833333336</c:v>
                </c:pt>
                <c:pt idx="5">
                  <c:v>46178.645833333336</c:v>
                </c:pt>
                <c:pt idx="6">
                  <c:v>46171.645833333336</c:v>
                </c:pt>
                <c:pt idx="7">
                  <c:v>46164.645833333336</c:v>
                </c:pt>
                <c:pt idx="8">
                  <c:v>46157.645833333336</c:v>
                </c:pt>
                <c:pt idx="9">
                  <c:v>46150.645833333336</c:v>
                </c:pt>
                <c:pt idx="10">
                  <c:v>46142.645833333336</c:v>
                </c:pt>
                <c:pt idx="11">
                  <c:v>46136.645833333336</c:v>
                </c:pt>
                <c:pt idx="12">
                  <c:v>46129.645833333336</c:v>
                </c:pt>
                <c:pt idx="13">
                  <c:v>46122.645833333336</c:v>
                </c:pt>
                <c:pt idx="14">
                  <c:v>46114.645833333336</c:v>
                </c:pt>
                <c:pt idx="15">
                  <c:v>46108.645833333336</c:v>
                </c:pt>
                <c:pt idx="16">
                  <c:v>46101.645833333336</c:v>
                </c:pt>
                <c:pt idx="17">
                  <c:v>46094.645833333336</c:v>
                </c:pt>
                <c:pt idx="18">
                  <c:v>46087.645833333336</c:v>
                </c:pt>
                <c:pt idx="19">
                  <c:v>46080.645833333336</c:v>
                </c:pt>
                <c:pt idx="20">
                  <c:v>46073.645833333336</c:v>
                </c:pt>
                <c:pt idx="21">
                  <c:v>46066.645833333336</c:v>
                </c:pt>
                <c:pt idx="22">
                  <c:v>46059.645833333336</c:v>
                </c:pt>
                <c:pt idx="23">
                  <c:v>46052.645833333336</c:v>
                </c:pt>
                <c:pt idx="24">
                  <c:v>46045.645833333336</c:v>
                </c:pt>
                <c:pt idx="25">
                  <c:v>46038.645833333336</c:v>
                </c:pt>
                <c:pt idx="26">
                  <c:v>46031.645833333336</c:v>
                </c:pt>
                <c:pt idx="27">
                  <c:v>46024.645833333336</c:v>
                </c:pt>
                <c:pt idx="28">
                  <c:v>46017.645833333336</c:v>
                </c:pt>
                <c:pt idx="29">
                  <c:v>46010.645833333336</c:v>
                </c:pt>
                <c:pt idx="30">
                  <c:v>46003.645833333336</c:v>
                </c:pt>
                <c:pt idx="31">
                  <c:v>45996.645833333336</c:v>
                </c:pt>
                <c:pt idx="32">
                  <c:v>45989.645833333336</c:v>
                </c:pt>
                <c:pt idx="33">
                  <c:v>45982.645833333336</c:v>
                </c:pt>
                <c:pt idx="34">
                  <c:v>45975.645833333336</c:v>
                </c:pt>
                <c:pt idx="35">
                  <c:v>45968.645833333336</c:v>
                </c:pt>
                <c:pt idx="36">
                  <c:v>45961.645833333336</c:v>
                </c:pt>
                <c:pt idx="37">
                  <c:v>45954.645833333336</c:v>
                </c:pt>
                <c:pt idx="38">
                  <c:v>45947.645833333336</c:v>
                </c:pt>
                <c:pt idx="39">
                  <c:v>45940.645833333336</c:v>
                </c:pt>
                <c:pt idx="40">
                  <c:v>45933.645833333336</c:v>
                </c:pt>
                <c:pt idx="41">
                  <c:v>45926.645833333336</c:v>
                </c:pt>
                <c:pt idx="42">
                  <c:v>45919.645833333336</c:v>
                </c:pt>
                <c:pt idx="43">
                  <c:v>45912.645833333336</c:v>
                </c:pt>
                <c:pt idx="44">
                  <c:v>45905.645833333336</c:v>
                </c:pt>
                <c:pt idx="45">
                  <c:v>45898.645833333336</c:v>
                </c:pt>
                <c:pt idx="46">
                  <c:v>45891.645833333336</c:v>
                </c:pt>
                <c:pt idx="47">
                  <c:v>45883.645833333336</c:v>
                </c:pt>
                <c:pt idx="48">
                  <c:v>45877.645833333336</c:v>
                </c:pt>
                <c:pt idx="49">
                  <c:v>45870.645833333336</c:v>
                </c:pt>
                <c:pt idx="50">
                  <c:v>45863.645833333336</c:v>
                </c:pt>
                <c:pt idx="51">
                  <c:v>45856.645833333336</c:v>
                </c:pt>
                <c:pt idx="52">
                  <c:v>45849.645833333336</c:v>
                </c:pt>
                <c:pt idx="53">
                  <c:v>45842.645833333336</c:v>
                </c:pt>
                <c:pt idx="54">
                  <c:v>45835.645833333336</c:v>
                </c:pt>
                <c:pt idx="55">
                  <c:v>45828.645833333336</c:v>
                </c:pt>
                <c:pt idx="56">
                  <c:v>45821.645833333336</c:v>
                </c:pt>
                <c:pt idx="57">
                  <c:v>45814.645833333336</c:v>
                </c:pt>
                <c:pt idx="58">
                  <c:v>45807.645833333336</c:v>
                </c:pt>
                <c:pt idx="59">
                  <c:v>45800.645833333336</c:v>
                </c:pt>
                <c:pt idx="60">
                  <c:v>45793.645833333336</c:v>
                </c:pt>
                <c:pt idx="61">
                  <c:v>45786.645833333336</c:v>
                </c:pt>
                <c:pt idx="62">
                  <c:v>45779.645833333336</c:v>
                </c:pt>
                <c:pt idx="63">
                  <c:v>45772.645833333336</c:v>
                </c:pt>
                <c:pt idx="64">
                  <c:v>45764.645833333336</c:v>
                </c:pt>
                <c:pt idx="65">
                  <c:v>45758.645833333336</c:v>
                </c:pt>
                <c:pt idx="66">
                  <c:v>45751.645833333336</c:v>
                </c:pt>
                <c:pt idx="67">
                  <c:v>45744.645833333336</c:v>
                </c:pt>
                <c:pt idx="68">
                  <c:v>45737.645833333336</c:v>
                </c:pt>
                <c:pt idx="69">
                  <c:v>45729.645833333336</c:v>
                </c:pt>
                <c:pt idx="70">
                  <c:v>45723.645833333336</c:v>
                </c:pt>
                <c:pt idx="71">
                  <c:v>45716.645833333336</c:v>
                </c:pt>
                <c:pt idx="72">
                  <c:v>45709.645833333336</c:v>
                </c:pt>
                <c:pt idx="73">
                  <c:v>45702.645833333336</c:v>
                </c:pt>
                <c:pt idx="74">
                  <c:v>45695.645833333336</c:v>
                </c:pt>
                <c:pt idx="75">
                  <c:v>45681.645833333336</c:v>
                </c:pt>
                <c:pt idx="76">
                  <c:v>45674.645833333336</c:v>
                </c:pt>
                <c:pt idx="77">
                  <c:v>45667.645833333336</c:v>
                </c:pt>
                <c:pt idx="78">
                  <c:v>45660.645833333336</c:v>
                </c:pt>
                <c:pt idx="79">
                  <c:v>45653.645833333336</c:v>
                </c:pt>
                <c:pt idx="80">
                  <c:v>45646.645833333336</c:v>
                </c:pt>
                <c:pt idx="81">
                  <c:v>45639.645833333336</c:v>
                </c:pt>
                <c:pt idx="82">
                  <c:v>45632.645833333336</c:v>
                </c:pt>
                <c:pt idx="83">
                  <c:v>45625.645833333336</c:v>
                </c:pt>
                <c:pt idx="84">
                  <c:v>45618.645833333336</c:v>
                </c:pt>
                <c:pt idx="85">
                  <c:v>45610.645833333336</c:v>
                </c:pt>
                <c:pt idx="86">
                  <c:v>45604.645833333336</c:v>
                </c:pt>
                <c:pt idx="87">
                  <c:v>45590.645833333336</c:v>
                </c:pt>
                <c:pt idx="88">
                  <c:v>45583.645833333336</c:v>
                </c:pt>
                <c:pt idx="89">
                  <c:v>45576.645833333336</c:v>
                </c:pt>
                <c:pt idx="90">
                  <c:v>45569.645833333336</c:v>
                </c:pt>
                <c:pt idx="91">
                  <c:v>45562.645833333336</c:v>
                </c:pt>
                <c:pt idx="92">
                  <c:v>45555.645833333336</c:v>
                </c:pt>
                <c:pt idx="93">
                  <c:v>45548.645833333336</c:v>
                </c:pt>
                <c:pt idx="94">
                  <c:v>45541.645833333336</c:v>
                </c:pt>
                <c:pt idx="95">
                  <c:v>45534.645833333336</c:v>
                </c:pt>
                <c:pt idx="96">
                  <c:v>45527.645833333336</c:v>
                </c:pt>
                <c:pt idx="97">
                  <c:v>45520.645833333336</c:v>
                </c:pt>
                <c:pt idx="98">
                  <c:v>45513.645833333336</c:v>
                </c:pt>
                <c:pt idx="99">
                  <c:v>45506.645833333336</c:v>
                </c:pt>
                <c:pt idx="100">
                  <c:v>45499.645833333336</c:v>
                </c:pt>
                <c:pt idx="101">
                  <c:v>45492.645833333336</c:v>
                </c:pt>
                <c:pt idx="102">
                  <c:v>45485.645833333336</c:v>
                </c:pt>
                <c:pt idx="103">
                  <c:v>45478.645833333336</c:v>
                </c:pt>
                <c:pt idx="104">
                  <c:v>45471.645833333336</c:v>
                </c:pt>
                <c:pt idx="105">
                  <c:v>45464.645833333336</c:v>
                </c:pt>
                <c:pt idx="106">
                  <c:v>45457.645833333336</c:v>
                </c:pt>
                <c:pt idx="107">
                  <c:v>45450.645833333336</c:v>
                </c:pt>
                <c:pt idx="108">
                  <c:v>45443.645833333336</c:v>
                </c:pt>
                <c:pt idx="109">
                  <c:v>45436.645833333336</c:v>
                </c:pt>
                <c:pt idx="110">
                  <c:v>45422.645833333336</c:v>
                </c:pt>
                <c:pt idx="111">
                  <c:v>45415.645833333336</c:v>
                </c:pt>
                <c:pt idx="112">
                  <c:v>45408.645833333336</c:v>
                </c:pt>
                <c:pt idx="113">
                  <c:v>45401.645833333336</c:v>
                </c:pt>
                <c:pt idx="114">
                  <c:v>45394.645833333336</c:v>
                </c:pt>
                <c:pt idx="115">
                  <c:v>45387.645833333336</c:v>
                </c:pt>
                <c:pt idx="116">
                  <c:v>45379.645833333336</c:v>
                </c:pt>
                <c:pt idx="117">
                  <c:v>45373.645833333336</c:v>
                </c:pt>
                <c:pt idx="118">
                  <c:v>45366.645833333336</c:v>
                </c:pt>
                <c:pt idx="119">
                  <c:v>45358.645833333336</c:v>
                </c:pt>
                <c:pt idx="120">
                  <c:v>45345.645833333336</c:v>
                </c:pt>
                <c:pt idx="121">
                  <c:v>45338.645833333336</c:v>
                </c:pt>
                <c:pt idx="122">
                  <c:v>45331.645833333336</c:v>
                </c:pt>
                <c:pt idx="123">
                  <c:v>45324.645833333336</c:v>
                </c:pt>
                <c:pt idx="124">
                  <c:v>45316.645833333336</c:v>
                </c:pt>
                <c:pt idx="125">
                  <c:v>45303.645833333336</c:v>
                </c:pt>
                <c:pt idx="126">
                  <c:v>45296.645833333336</c:v>
                </c:pt>
                <c:pt idx="127">
                  <c:v>45289.645833333336</c:v>
                </c:pt>
                <c:pt idx="128">
                  <c:v>45282.645833333336</c:v>
                </c:pt>
                <c:pt idx="129">
                  <c:v>45275.645833333336</c:v>
                </c:pt>
                <c:pt idx="130">
                  <c:v>45268.645833333336</c:v>
                </c:pt>
                <c:pt idx="131">
                  <c:v>45261.645833333336</c:v>
                </c:pt>
                <c:pt idx="132">
                  <c:v>45254.645833333336</c:v>
                </c:pt>
                <c:pt idx="133">
                  <c:v>45247.645833333336</c:v>
                </c:pt>
                <c:pt idx="134">
                  <c:v>45240.645833333336</c:v>
                </c:pt>
                <c:pt idx="135">
                  <c:v>45233.645833333336</c:v>
                </c:pt>
                <c:pt idx="136">
                  <c:v>45226.645833333336</c:v>
                </c:pt>
                <c:pt idx="137">
                  <c:v>45219.645833333336</c:v>
                </c:pt>
                <c:pt idx="138">
                  <c:v>45212.645833333336</c:v>
                </c:pt>
                <c:pt idx="139">
                  <c:v>45205.645833333336</c:v>
                </c:pt>
                <c:pt idx="140">
                  <c:v>45198.645833333336</c:v>
                </c:pt>
                <c:pt idx="141">
                  <c:v>45191.645833333336</c:v>
                </c:pt>
                <c:pt idx="142">
                  <c:v>45184.645833333336</c:v>
                </c:pt>
                <c:pt idx="143">
                  <c:v>45177.645833333336</c:v>
                </c:pt>
                <c:pt idx="144">
                  <c:v>45170.645833333336</c:v>
                </c:pt>
                <c:pt idx="145">
                  <c:v>45163.645833333336</c:v>
                </c:pt>
                <c:pt idx="146">
                  <c:v>45156.645833333336</c:v>
                </c:pt>
                <c:pt idx="147">
                  <c:v>45149.645833333336</c:v>
                </c:pt>
                <c:pt idx="148">
                  <c:v>45142.645833333336</c:v>
                </c:pt>
                <c:pt idx="149">
                  <c:v>45135.645833333336</c:v>
                </c:pt>
                <c:pt idx="150">
                  <c:v>45128.645833333336</c:v>
                </c:pt>
                <c:pt idx="151">
                  <c:v>45121.645833333336</c:v>
                </c:pt>
                <c:pt idx="152">
                  <c:v>45114.645833333336</c:v>
                </c:pt>
                <c:pt idx="153">
                  <c:v>45107.645833333336</c:v>
                </c:pt>
                <c:pt idx="154">
                  <c:v>45100.645833333336</c:v>
                </c:pt>
                <c:pt idx="155">
                  <c:v>45093.645833333336</c:v>
                </c:pt>
                <c:pt idx="156">
                  <c:v>45086.645833333336</c:v>
                </c:pt>
                <c:pt idx="157">
                  <c:v>45079.645833333336</c:v>
                </c:pt>
                <c:pt idx="158">
                  <c:v>45072.645833333336</c:v>
                </c:pt>
                <c:pt idx="159">
                  <c:v>45065.645833333336</c:v>
                </c:pt>
                <c:pt idx="160">
                  <c:v>45058.645833333336</c:v>
                </c:pt>
                <c:pt idx="161">
                  <c:v>45051.645833333336</c:v>
                </c:pt>
                <c:pt idx="162">
                  <c:v>45044.645833333336</c:v>
                </c:pt>
                <c:pt idx="163">
                  <c:v>45037.645833333336</c:v>
                </c:pt>
                <c:pt idx="164">
                  <c:v>45029.645833333336</c:v>
                </c:pt>
                <c:pt idx="165">
                  <c:v>45022.645833333336</c:v>
                </c:pt>
                <c:pt idx="166">
                  <c:v>45016.645833333336</c:v>
                </c:pt>
                <c:pt idx="167">
                  <c:v>45009.645833333336</c:v>
                </c:pt>
                <c:pt idx="168">
                  <c:v>45002.645833333336</c:v>
                </c:pt>
                <c:pt idx="169">
                  <c:v>44995.645833333336</c:v>
                </c:pt>
                <c:pt idx="170">
                  <c:v>44988.645833333336</c:v>
                </c:pt>
                <c:pt idx="171">
                  <c:v>44981.645833333336</c:v>
                </c:pt>
                <c:pt idx="172">
                  <c:v>44974.645833333336</c:v>
                </c:pt>
                <c:pt idx="173">
                  <c:v>44967.645833333336</c:v>
                </c:pt>
                <c:pt idx="174">
                  <c:v>44960.645833333336</c:v>
                </c:pt>
                <c:pt idx="175">
                  <c:v>44953.645833333336</c:v>
                </c:pt>
                <c:pt idx="176">
                  <c:v>44946.645833333336</c:v>
                </c:pt>
                <c:pt idx="177">
                  <c:v>44939.645833333336</c:v>
                </c:pt>
                <c:pt idx="178">
                  <c:v>44932.645833333336</c:v>
                </c:pt>
                <c:pt idx="179">
                  <c:v>44925.645833333336</c:v>
                </c:pt>
                <c:pt idx="180">
                  <c:v>44918.645833333336</c:v>
                </c:pt>
                <c:pt idx="181">
                  <c:v>44911.645833333336</c:v>
                </c:pt>
                <c:pt idx="182">
                  <c:v>44904.645833333336</c:v>
                </c:pt>
                <c:pt idx="183">
                  <c:v>44897.645833333336</c:v>
                </c:pt>
                <c:pt idx="184">
                  <c:v>44890.645833333336</c:v>
                </c:pt>
                <c:pt idx="185">
                  <c:v>44883.645833333336</c:v>
                </c:pt>
                <c:pt idx="186">
                  <c:v>44876.645833333336</c:v>
                </c:pt>
                <c:pt idx="187">
                  <c:v>44869.645833333336</c:v>
                </c:pt>
                <c:pt idx="188">
                  <c:v>44862.645833333336</c:v>
                </c:pt>
                <c:pt idx="189">
                  <c:v>44855.645833333336</c:v>
                </c:pt>
                <c:pt idx="190">
                  <c:v>44848.645833333336</c:v>
                </c:pt>
                <c:pt idx="191">
                  <c:v>44841.645833333336</c:v>
                </c:pt>
                <c:pt idx="192">
                  <c:v>44834.645833333336</c:v>
                </c:pt>
                <c:pt idx="193">
                  <c:v>44827.645833333336</c:v>
                </c:pt>
                <c:pt idx="194">
                  <c:v>44820.645833333336</c:v>
                </c:pt>
                <c:pt idx="195">
                  <c:v>44813.645833333336</c:v>
                </c:pt>
                <c:pt idx="196">
                  <c:v>44806.645833333336</c:v>
                </c:pt>
                <c:pt idx="197">
                  <c:v>44799.645833333336</c:v>
                </c:pt>
                <c:pt idx="198">
                  <c:v>44792.645833333336</c:v>
                </c:pt>
                <c:pt idx="199">
                  <c:v>44785.645833333336</c:v>
                </c:pt>
                <c:pt idx="200">
                  <c:v>44778.645833333336</c:v>
                </c:pt>
                <c:pt idx="201">
                  <c:v>44771.645833333336</c:v>
                </c:pt>
                <c:pt idx="202">
                  <c:v>44764.645833333336</c:v>
                </c:pt>
                <c:pt idx="203">
                  <c:v>44757.645833333336</c:v>
                </c:pt>
                <c:pt idx="204">
                  <c:v>44750.645833333336</c:v>
                </c:pt>
                <c:pt idx="205">
                  <c:v>44743.645833333336</c:v>
                </c:pt>
                <c:pt idx="206">
                  <c:v>44736.645833333336</c:v>
                </c:pt>
                <c:pt idx="207">
                  <c:v>44729.645833333336</c:v>
                </c:pt>
                <c:pt idx="208">
                  <c:v>44722.645833333336</c:v>
                </c:pt>
                <c:pt idx="209">
                  <c:v>44715.645833333336</c:v>
                </c:pt>
                <c:pt idx="210">
                  <c:v>44708.645833333336</c:v>
                </c:pt>
                <c:pt idx="211">
                  <c:v>44701.645833333336</c:v>
                </c:pt>
                <c:pt idx="212">
                  <c:v>44694.645833333336</c:v>
                </c:pt>
                <c:pt idx="213">
                  <c:v>44687.645833333336</c:v>
                </c:pt>
                <c:pt idx="214">
                  <c:v>44680.645833333336</c:v>
                </c:pt>
                <c:pt idx="215">
                  <c:v>44673.645833333336</c:v>
                </c:pt>
                <c:pt idx="216">
                  <c:v>44664.645833333336</c:v>
                </c:pt>
                <c:pt idx="217">
                  <c:v>44659.645833333336</c:v>
                </c:pt>
                <c:pt idx="218">
                  <c:v>44652.645833333336</c:v>
                </c:pt>
                <c:pt idx="219">
                  <c:v>44645.645833333336</c:v>
                </c:pt>
                <c:pt idx="220">
                  <c:v>44637.645833333336</c:v>
                </c:pt>
                <c:pt idx="221">
                  <c:v>44631.645833333336</c:v>
                </c:pt>
                <c:pt idx="222">
                  <c:v>44624.645833333336</c:v>
                </c:pt>
                <c:pt idx="223">
                  <c:v>44617.645833333336</c:v>
                </c:pt>
                <c:pt idx="224">
                  <c:v>44610.645833333336</c:v>
                </c:pt>
                <c:pt idx="225">
                  <c:v>44603.645833333336</c:v>
                </c:pt>
                <c:pt idx="226">
                  <c:v>44596.645833333336</c:v>
                </c:pt>
                <c:pt idx="227">
                  <c:v>44589.645833333336</c:v>
                </c:pt>
                <c:pt idx="228">
                  <c:v>44582.645833333336</c:v>
                </c:pt>
                <c:pt idx="229">
                  <c:v>44575.645833333336</c:v>
                </c:pt>
                <c:pt idx="230">
                  <c:v>44568.645833333336</c:v>
                </c:pt>
                <c:pt idx="231">
                  <c:v>44561.645833333336</c:v>
                </c:pt>
                <c:pt idx="232">
                  <c:v>44554.645833333336</c:v>
                </c:pt>
                <c:pt idx="233">
                  <c:v>44547.645833333336</c:v>
                </c:pt>
                <c:pt idx="234">
                  <c:v>44540.645833333336</c:v>
                </c:pt>
                <c:pt idx="235">
                  <c:v>44533.645833333336</c:v>
                </c:pt>
                <c:pt idx="236">
                  <c:v>44526.645833333336</c:v>
                </c:pt>
                <c:pt idx="237">
                  <c:v>44518.645833333336</c:v>
                </c:pt>
                <c:pt idx="238">
                  <c:v>44512.645833333336</c:v>
                </c:pt>
                <c:pt idx="239">
                  <c:v>44504.802083333336</c:v>
                </c:pt>
                <c:pt idx="240">
                  <c:v>44498.645833333336</c:v>
                </c:pt>
                <c:pt idx="241">
                  <c:v>44491.645833333336</c:v>
                </c:pt>
                <c:pt idx="242">
                  <c:v>44483.645833333336</c:v>
                </c:pt>
                <c:pt idx="243">
                  <c:v>44477.645833333336</c:v>
                </c:pt>
                <c:pt idx="244">
                  <c:v>44470.645833333336</c:v>
                </c:pt>
                <c:pt idx="245">
                  <c:v>44463.645833333336</c:v>
                </c:pt>
                <c:pt idx="246">
                  <c:v>44456.645833333336</c:v>
                </c:pt>
                <c:pt idx="247">
                  <c:v>44448.645833333336</c:v>
                </c:pt>
                <c:pt idx="248">
                  <c:v>44442.645833333336</c:v>
                </c:pt>
                <c:pt idx="249">
                  <c:v>44435.645833333336</c:v>
                </c:pt>
                <c:pt idx="250">
                  <c:v>44428.645833333336</c:v>
                </c:pt>
                <c:pt idx="251">
                  <c:v>44421.645833333336</c:v>
                </c:pt>
                <c:pt idx="252">
                  <c:v>44414.645833333336</c:v>
                </c:pt>
                <c:pt idx="253">
                  <c:v>44407.645833333336</c:v>
                </c:pt>
                <c:pt idx="254">
                  <c:v>44400.645833333336</c:v>
                </c:pt>
              </c:numCache>
            </c:numRef>
          </c:cat>
          <c:val>
            <c:numRef>
              <c:f>'Raw Data'!$C$3:$C$257</c:f>
              <c:numCache>
                <c:formatCode>General</c:formatCode>
                <c:ptCount val="255"/>
                <c:pt idx="0">
                  <c:v>4584.3999999999996</c:v>
                </c:pt>
                <c:pt idx="1">
                  <c:v>4461.1000000000004</c:v>
                </c:pt>
                <c:pt idx="2">
                  <c:v>4291.3</c:v>
                </c:pt>
                <c:pt idx="3">
                  <c:v>4419.8999999999996</c:v>
                </c:pt>
                <c:pt idx="4">
                  <c:v>4184</c:v>
                </c:pt>
                <c:pt idx="5">
                  <c:v>4260.2</c:v>
                </c:pt>
                <c:pt idx="6">
                  <c:v>4074.9</c:v>
                </c:pt>
                <c:pt idx="7">
                  <c:v>4079.8</c:v>
                </c:pt>
                <c:pt idx="8">
                  <c:v>4169.1000000000004</c:v>
                </c:pt>
                <c:pt idx="9">
                  <c:v>4509</c:v>
                </c:pt>
                <c:pt idx="10">
                  <c:v>4385.2</c:v>
                </c:pt>
                <c:pt idx="11">
                  <c:v>4410</c:v>
                </c:pt>
                <c:pt idx="12">
                  <c:v>4525.8999999999996</c:v>
                </c:pt>
                <c:pt idx="13">
                  <c:v>4505</c:v>
                </c:pt>
                <c:pt idx="14">
                  <c:v>4097.2</c:v>
                </c:pt>
                <c:pt idx="15">
                  <c:v>3981.5</c:v>
                </c:pt>
                <c:pt idx="16">
                  <c:v>4106.6000000000004</c:v>
                </c:pt>
                <c:pt idx="17">
                  <c:v>4073.2</c:v>
                </c:pt>
                <c:pt idx="18">
                  <c:v>4244.6000000000004</c:v>
                </c:pt>
                <c:pt idx="19">
                  <c:v>4327.5</c:v>
                </c:pt>
                <c:pt idx="20">
                  <c:v>4236.3999999999996</c:v>
                </c:pt>
                <c:pt idx="21">
                  <c:v>4179.2</c:v>
                </c:pt>
                <c:pt idx="22">
                  <c:v>4141</c:v>
                </c:pt>
                <c:pt idx="23">
                  <c:v>3977.4</c:v>
                </c:pt>
                <c:pt idx="24">
                  <c:v>4021.8</c:v>
                </c:pt>
                <c:pt idx="25">
                  <c:v>4196.8999999999996</c:v>
                </c:pt>
                <c:pt idx="26">
                  <c:v>4201.8</c:v>
                </c:pt>
                <c:pt idx="27">
                  <c:v>4051.7</c:v>
                </c:pt>
                <c:pt idx="28">
                  <c:v>3992</c:v>
                </c:pt>
                <c:pt idx="29">
                  <c:v>3930.1</c:v>
                </c:pt>
                <c:pt idx="30">
                  <c:v>3880.2</c:v>
                </c:pt>
                <c:pt idx="31">
                  <c:v>3813.3</c:v>
                </c:pt>
                <c:pt idx="32">
                  <c:v>3907.7</c:v>
                </c:pt>
                <c:pt idx="33">
                  <c:v>3904.2</c:v>
                </c:pt>
                <c:pt idx="34">
                  <c:v>3829.2</c:v>
                </c:pt>
                <c:pt idx="35">
                  <c:v>3769.3</c:v>
                </c:pt>
                <c:pt idx="36">
                  <c:v>3746.7</c:v>
                </c:pt>
                <c:pt idx="37">
                  <c:v>3714.9</c:v>
                </c:pt>
                <c:pt idx="38">
                  <c:v>3674.8</c:v>
                </c:pt>
                <c:pt idx="39">
                  <c:v>3531.9</c:v>
                </c:pt>
                <c:pt idx="40">
                  <c:v>3453.3</c:v>
                </c:pt>
                <c:pt idx="41">
                  <c:v>3327.3</c:v>
                </c:pt>
                <c:pt idx="42">
                  <c:v>3467.2</c:v>
                </c:pt>
                <c:pt idx="43">
                  <c:v>3571.9</c:v>
                </c:pt>
                <c:pt idx="44">
                  <c:v>3665.3</c:v>
                </c:pt>
                <c:pt idx="45">
                  <c:v>3628.8</c:v>
                </c:pt>
                <c:pt idx="46">
                  <c:v>3621</c:v>
                </c:pt>
                <c:pt idx="47">
                  <c:v>3489.4</c:v>
                </c:pt>
                <c:pt idx="48">
                  <c:v>3460.2</c:v>
                </c:pt>
                <c:pt idx="49">
                  <c:v>3316</c:v>
                </c:pt>
                <c:pt idx="50">
                  <c:v>3462.8</c:v>
                </c:pt>
                <c:pt idx="51">
                  <c:v>3402.9</c:v>
                </c:pt>
                <c:pt idx="52">
                  <c:v>3361.6</c:v>
                </c:pt>
                <c:pt idx="53">
                  <c:v>3686.9</c:v>
                </c:pt>
                <c:pt idx="54">
                  <c:v>3666.2</c:v>
                </c:pt>
                <c:pt idx="55">
                  <c:v>3519</c:v>
                </c:pt>
                <c:pt idx="56">
                  <c:v>3421.9</c:v>
                </c:pt>
                <c:pt idx="57">
                  <c:v>3559.9</c:v>
                </c:pt>
                <c:pt idx="58">
                  <c:v>3555</c:v>
                </c:pt>
                <c:pt idx="59">
                  <c:v>3579.7</c:v>
                </c:pt>
                <c:pt idx="60">
                  <c:v>3633.7</c:v>
                </c:pt>
                <c:pt idx="61">
                  <c:v>3510.3</c:v>
                </c:pt>
                <c:pt idx="62">
                  <c:v>3341</c:v>
                </c:pt>
                <c:pt idx="63">
                  <c:v>3365.2</c:v>
                </c:pt>
                <c:pt idx="64">
                  <c:v>3327.5</c:v>
                </c:pt>
                <c:pt idx="65">
                  <c:v>3234.9</c:v>
                </c:pt>
                <c:pt idx="66">
                  <c:v>3076.2</c:v>
                </c:pt>
                <c:pt idx="67">
                  <c:v>3063.35</c:v>
                </c:pt>
                <c:pt idx="68">
                  <c:v>3162.7</c:v>
                </c:pt>
                <c:pt idx="69">
                  <c:v>3010.15</c:v>
                </c:pt>
                <c:pt idx="70">
                  <c:v>3079.35</c:v>
                </c:pt>
                <c:pt idx="71">
                  <c:v>3077.25</c:v>
                </c:pt>
                <c:pt idx="72">
                  <c:v>3179.9</c:v>
                </c:pt>
                <c:pt idx="73">
                  <c:v>3213.25</c:v>
                </c:pt>
                <c:pt idx="74">
                  <c:v>3424.8</c:v>
                </c:pt>
                <c:pt idx="75">
                  <c:v>3402.15</c:v>
                </c:pt>
                <c:pt idx="76">
                  <c:v>3357.4</c:v>
                </c:pt>
                <c:pt idx="77">
                  <c:v>3440.25</c:v>
                </c:pt>
                <c:pt idx="78">
                  <c:v>3451.65</c:v>
                </c:pt>
                <c:pt idx="79">
                  <c:v>3309.2</c:v>
                </c:pt>
                <c:pt idx="80">
                  <c:v>3356.25</c:v>
                </c:pt>
                <c:pt idx="81">
                  <c:v>3508.85</c:v>
                </c:pt>
                <c:pt idx="82">
                  <c:v>3470.1</c:v>
                </c:pt>
                <c:pt idx="83">
                  <c:v>3249</c:v>
                </c:pt>
                <c:pt idx="84">
                  <c:v>3308.7</c:v>
                </c:pt>
                <c:pt idx="85">
                  <c:v>3183.7</c:v>
                </c:pt>
                <c:pt idx="86">
                  <c:v>3186.25</c:v>
                </c:pt>
                <c:pt idx="87">
                  <c:v>3266.55</c:v>
                </c:pt>
                <c:pt idx="88">
                  <c:v>3381.45</c:v>
                </c:pt>
                <c:pt idx="89">
                  <c:v>3474.4</c:v>
                </c:pt>
                <c:pt idx="90">
                  <c:v>3670.1</c:v>
                </c:pt>
                <c:pt idx="91">
                  <c:v>3816.7</c:v>
                </c:pt>
                <c:pt idx="92">
                  <c:v>3797.2</c:v>
                </c:pt>
                <c:pt idx="93">
                  <c:v>3767</c:v>
                </c:pt>
                <c:pt idx="94">
                  <c:v>3695.5</c:v>
                </c:pt>
                <c:pt idx="95">
                  <c:v>3565.15</c:v>
                </c:pt>
                <c:pt idx="96">
                  <c:v>3570</c:v>
                </c:pt>
                <c:pt idx="97">
                  <c:v>3444.75</c:v>
                </c:pt>
                <c:pt idx="98">
                  <c:v>3331.7</c:v>
                </c:pt>
                <c:pt idx="99">
                  <c:v>3462.35</c:v>
                </c:pt>
                <c:pt idx="100">
                  <c:v>3494.15</c:v>
                </c:pt>
                <c:pt idx="101">
                  <c:v>3259</c:v>
                </c:pt>
                <c:pt idx="102">
                  <c:v>3229.85</c:v>
                </c:pt>
                <c:pt idx="103">
                  <c:v>3269.35</c:v>
                </c:pt>
                <c:pt idx="104">
                  <c:v>3404.2</c:v>
                </c:pt>
                <c:pt idx="105">
                  <c:v>3399.75</c:v>
                </c:pt>
                <c:pt idx="106">
                  <c:v>3530.05</c:v>
                </c:pt>
                <c:pt idx="107">
                  <c:v>3444.05</c:v>
                </c:pt>
                <c:pt idx="108">
                  <c:v>3241.9</c:v>
                </c:pt>
                <c:pt idx="109">
                  <c:v>3412.4</c:v>
                </c:pt>
                <c:pt idx="110">
                  <c:v>3289.85</c:v>
                </c:pt>
                <c:pt idx="111">
                  <c:v>3533.9</c:v>
                </c:pt>
                <c:pt idx="112">
                  <c:v>3584.8</c:v>
                </c:pt>
                <c:pt idx="113">
                  <c:v>3563.05</c:v>
                </c:pt>
                <c:pt idx="114">
                  <c:v>3619.3</c:v>
                </c:pt>
                <c:pt idx="115">
                  <c:v>3754.45</c:v>
                </c:pt>
                <c:pt idx="116">
                  <c:v>3801.8</c:v>
                </c:pt>
                <c:pt idx="117">
                  <c:v>3706.7</c:v>
                </c:pt>
                <c:pt idx="118">
                  <c:v>3633.2</c:v>
                </c:pt>
                <c:pt idx="119">
                  <c:v>3786.9</c:v>
                </c:pt>
                <c:pt idx="120">
                  <c:v>3691.95</c:v>
                </c:pt>
                <c:pt idx="121">
                  <c:v>3655.4</c:v>
                </c:pt>
                <c:pt idx="122">
                  <c:v>3591.6</c:v>
                </c:pt>
                <c:pt idx="123">
                  <c:v>3612.4</c:v>
                </c:pt>
                <c:pt idx="124">
                  <c:v>3770.2</c:v>
                </c:pt>
                <c:pt idx="125">
                  <c:v>3726</c:v>
                </c:pt>
                <c:pt idx="126">
                  <c:v>3712.55</c:v>
                </c:pt>
                <c:pt idx="127">
                  <c:v>3675.45</c:v>
                </c:pt>
                <c:pt idx="128">
                  <c:v>3627.35</c:v>
                </c:pt>
                <c:pt idx="129">
                  <c:v>3600.55</c:v>
                </c:pt>
                <c:pt idx="130">
                  <c:v>3634.65</c:v>
                </c:pt>
                <c:pt idx="131">
                  <c:v>3489.5</c:v>
                </c:pt>
                <c:pt idx="132">
                  <c:v>3396.95</c:v>
                </c:pt>
                <c:pt idx="133">
                  <c:v>3338.85</c:v>
                </c:pt>
                <c:pt idx="134">
                  <c:v>3256.35</c:v>
                </c:pt>
                <c:pt idx="135">
                  <c:v>3274.5</c:v>
                </c:pt>
                <c:pt idx="136">
                  <c:v>3120.7</c:v>
                </c:pt>
                <c:pt idx="137">
                  <c:v>3266.2</c:v>
                </c:pt>
                <c:pt idx="138">
                  <c:v>3283.75</c:v>
                </c:pt>
                <c:pt idx="139">
                  <c:v>3309.75</c:v>
                </c:pt>
                <c:pt idx="140">
                  <c:v>3148.8</c:v>
                </c:pt>
                <c:pt idx="141">
                  <c:v>3274.5</c:v>
                </c:pt>
                <c:pt idx="142">
                  <c:v>3248.6</c:v>
                </c:pt>
                <c:pt idx="143">
                  <c:v>3199.1</c:v>
                </c:pt>
                <c:pt idx="144">
                  <c:v>3116.8</c:v>
                </c:pt>
                <c:pt idx="145">
                  <c:v>3067.2</c:v>
                </c:pt>
                <c:pt idx="146">
                  <c:v>3050.45</c:v>
                </c:pt>
                <c:pt idx="147">
                  <c:v>3017.25</c:v>
                </c:pt>
                <c:pt idx="148">
                  <c:v>2904.4</c:v>
                </c:pt>
                <c:pt idx="149">
                  <c:v>2987</c:v>
                </c:pt>
                <c:pt idx="150">
                  <c:v>2976.3</c:v>
                </c:pt>
                <c:pt idx="151">
                  <c:v>3055.55</c:v>
                </c:pt>
                <c:pt idx="152">
                  <c:v>3144</c:v>
                </c:pt>
                <c:pt idx="153">
                  <c:v>3047.65</c:v>
                </c:pt>
                <c:pt idx="154">
                  <c:v>2939.15</c:v>
                </c:pt>
                <c:pt idx="155">
                  <c:v>2954.3</c:v>
                </c:pt>
                <c:pt idx="156">
                  <c:v>2876.25</c:v>
                </c:pt>
                <c:pt idx="157">
                  <c:v>2861.65</c:v>
                </c:pt>
                <c:pt idx="158">
                  <c:v>2742.15</c:v>
                </c:pt>
                <c:pt idx="159">
                  <c:v>2701.65</c:v>
                </c:pt>
                <c:pt idx="160">
                  <c:v>2773.2</c:v>
                </c:pt>
                <c:pt idx="161">
                  <c:v>2732.9</c:v>
                </c:pt>
                <c:pt idx="162">
                  <c:v>2641.85</c:v>
                </c:pt>
                <c:pt idx="163">
                  <c:v>2568.3000000000002</c:v>
                </c:pt>
                <c:pt idx="164">
                  <c:v>2585.65</c:v>
                </c:pt>
                <c:pt idx="165">
                  <c:v>2548.4499999999998</c:v>
                </c:pt>
                <c:pt idx="166">
                  <c:v>2514.9</c:v>
                </c:pt>
                <c:pt idx="167">
                  <c:v>2493.35</c:v>
                </c:pt>
                <c:pt idx="168">
                  <c:v>2455.65</c:v>
                </c:pt>
                <c:pt idx="169">
                  <c:v>2375.5</c:v>
                </c:pt>
                <c:pt idx="170">
                  <c:v>2396.1</c:v>
                </c:pt>
                <c:pt idx="171">
                  <c:v>2399.1</c:v>
                </c:pt>
                <c:pt idx="172">
                  <c:v>2500.3000000000002</c:v>
                </c:pt>
                <c:pt idx="173">
                  <c:v>2468.5</c:v>
                </c:pt>
                <c:pt idx="174">
                  <c:v>2463.1</c:v>
                </c:pt>
                <c:pt idx="175">
                  <c:v>2331.25</c:v>
                </c:pt>
                <c:pt idx="176">
                  <c:v>2371.3000000000002</c:v>
                </c:pt>
                <c:pt idx="177">
                  <c:v>2417.1999999999998</c:v>
                </c:pt>
                <c:pt idx="178">
                  <c:v>2538.1</c:v>
                </c:pt>
                <c:pt idx="179">
                  <c:v>2597.5</c:v>
                </c:pt>
                <c:pt idx="180">
                  <c:v>2483.0500000000002</c:v>
                </c:pt>
                <c:pt idx="181">
                  <c:v>2482.85</c:v>
                </c:pt>
                <c:pt idx="182">
                  <c:v>2615.4499999999998</c:v>
                </c:pt>
                <c:pt idx="183">
                  <c:v>2617.9</c:v>
                </c:pt>
                <c:pt idx="184">
                  <c:v>2595.4</c:v>
                </c:pt>
                <c:pt idx="185">
                  <c:v>2565.8000000000002</c:v>
                </c:pt>
                <c:pt idx="186">
                  <c:v>2651.8</c:v>
                </c:pt>
                <c:pt idx="187">
                  <c:v>2769.7</c:v>
                </c:pt>
                <c:pt idx="188">
                  <c:v>2736.4</c:v>
                </c:pt>
                <c:pt idx="189">
                  <c:v>2665.65</c:v>
                </c:pt>
                <c:pt idx="190">
                  <c:v>2617.8000000000002</c:v>
                </c:pt>
                <c:pt idx="191">
                  <c:v>2730.5</c:v>
                </c:pt>
                <c:pt idx="192">
                  <c:v>2606.9499999999998</c:v>
                </c:pt>
                <c:pt idx="193">
                  <c:v>2672.45</c:v>
                </c:pt>
                <c:pt idx="194">
                  <c:v>2611.8000000000002</c:v>
                </c:pt>
                <c:pt idx="195">
                  <c:v>2603.4499999999998</c:v>
                </c:pt>
                <c:pt idx="196">
                  <c:v>2612.6</c:v>
                </c:pt>
                <c:pt idx="197">
                  <c:v>2532.9</c:v>
                </c:pt>
                <c:pt idx="198">
                  <c:v>2440.6</c:v>
                </c:pt>
                <c:pt idx="199">
                  <c:v>2471.9499999999998</c:v>
                </c:pt>
                <c:pt idx="200">
                  <c:v>2432.8000000000002</c:v>
                </c:pt>
                <c:pt idx="201">
                  <c:v>2352.0500000000002</c:v>
                </c:pt>
                <c:pt idx="202">
                  <c:v>2325</c:v>
                </c:pt>
                <c:pt idx="203">
                  <c:v>2189.6999999999998</c:v>
                </c:pt>
                <c:pt idx="204">
                  <c:v>2144.35</c:v>
                </c:pt>
                <c:pt idx="205">
                  <c:v>1946.2</c:v>
                </c:pt>
                <c:pt idx="206">
                  <c:v>2045.6</c:v>
                </c:pt>
                <c:pt idx="207">
                  <c:v>1936.45</c:v>
                </c:pt>
                <c:pt idx="208">
                  <c:v>2142.25</c:v>
                </c:pt>
                <c:pt idx="209">
                  <c:v>2204.4</c:v>
                </c:pt>
                <c:pt idx="210">
                  <c:v>2149.1999999999998</c:v>
                </c:pt>
                <c:pt idx="211">
                  <c:v>2137.0500000000002</c:v>
                </c:pt>
                <c:pt idx="212">
                  <c:v>2091.6999999999998</c:v>
                </c:pt>
                <c:pt idx="213">
                  <c:v>2208.75</c:v>
                </c:pt>
                <c:pt idx="214">
                  <c:v>2458.1999999999998</c:v>
                </c:pt>
                <c:pt idx="215">
                  <c:v>2512.6999999999998</c:v>
                </c:pt>
                <c:pt idx="216">
                  <c:v>2461.35</c:v>
                </c:pt>
                <c:pt idx="217">
                  <c:v>2509.9499999999998</c:v>
                </c:pt>
                <c:pt idx="218">
                  <c:v>2520.85</c:v>
                </c:pt>
                <c:pt idx="219">
                  <c:v>2523.9</c:v>
                </c:pt>
                <c:pt idx="220">
                  <c:v>2703</c:v>
                </c:pt>
                <c:pt idx="221">
                  <c:v>2493.6</c:v>
                </c:pt>
                <c:pt idx="222">
                  <c:v>2441</c:v>
                </c:pt>
                <c:pt idx="223">
                  <c:v>2468.4499999999998</c:v>
                </c:pt>
                <c:pt idx="224">
                  <c:v>2488.9499999999998</c:v>
                </c:pt>
                <c:pt idx="225">
                  <c:v>2442.25</c:v>
                </c:pt>
                <c:pt idx="226">
                  <c:v>2471.15</c:v>
                </c:pt>
                <c:pt idx="227">
                  <c:v>2315.6</c:v>
                </c:pt>
                <c:pt idx="228">
                  <c:v>2528.15</c:v>
                </c:pt>
                <c:pt idx="229">
                  <c:v>2592.75</c:v>
                </c:pt>
                <c:pt idx="230">
                  <c:v>2572.6999999999998</c:v>
                </c:pt>
                <c:pt idx="231">
                  <c:v>2522.4</c:v>
                </c:pt>
                <c:pt idx="232">
                  <c:v>2319.4499999999998</c:v>
                </c:pt>
                <c:pt idx="233">
                  <c:v>2280.4</c:v>
                </c:pt>
                <c:pt idx="234">
                  <c:v>2339.35</c:v>
                </c:pt>
                <c:pt idx="235">
                  <c:v>2369.25</c:v>
                </c:pt>
                <c:pt idx="236">
                  <c:v>2292.3000000000002</c:v>
                </c:pt>
                <c:pt idx="237">
                  <c:v>2478.1999999999998</c:v>
                </c:pt>
                <c:pt idx="238">
                  <c:v>2539.5</c:v>
                </c:pt>
                <c:pt idx="239">
                  <c:v>2431.75</c:v>
                </c:pt>
                <c:pt idx="240">
                  <c:v>2383.5500000000002</c:v>
                </c:pt>
                <c:pt idx="241">
                  <c:v>2412</c:v>
                </c:pt>
                <c:pt idx="242">
                  <c:v>2564.0500000000002</c:v>
                </c:pt>
                <c:pt idx="243">
                  <c:v>2358.1999999999998</c:v>
                </c:pt>
                <c:pt idx="244">
                  <c:v>2163.75</c:v>
                </c:pt>
                <c:pt idx="245">
                  <c:v>2092.9</c:v>
                </c:pt>
                <c:pt idx="246">
                  <c:v>2095.6</c:v>
                </c:pt>
                <c:pt idx="247">
                  <c:v>2034.3</c:v>
                </c:pt>
                <c:pt idx="248">
                  <c:v>2019.3</c:v>
                </c:pt>
                <c:pt idx="249">
                  <c:v>1822.55</c:v>
                </c:pt>
                <c:pt idx="250">
                  <c:v>1876.8</c:v>
                </c:pt>
                <c:pt idx="251">
                  <c:v>1837.9</c:v>
                </c:pt>
                <c:pt idx="252">
                  <c:v>1787.75</c:v>
                </c:pt>
                <c:pt idx="253">
                  <c:v>1714.55</c:v>
                </c:pt>
                <c:pt idx="254">
                  <c:v>1700.95</c:v>
                </c:pt>
              </c:numCache>
            </c:numRef>
          </c:val>
          <c:smooth val="0"/>
          <c:extLst>
            <c:ext xmlns:c16="http://schemas.microsoft.com/office/drawing/2014/chart" uri="{C3380CC4-5D6E-409C-BE32-E72D297353CC}">
              <c16:uniqueId val="{00000000-8A8C-487C-9195-B6300E0701D7}"/>
            </c:ext>
          </c:extLst>
        </c:ser>
        <c:dLbls>
          <c:showLegendKey val="0"/>
          <c:showVal val="0"/>
          <c:showCatName val="0"/>
          <c:showSerName val="0"/>
          <c:showPercent val="0"/>
          <c:showBubbleSize val="0"/>
        </c:dLbls>
        <c:smooth val="0"/>
        <c:axId val="568846360"/>
        <c:axId val="568852480"/>
      </c:lineChart>
      <c:dateAx>
        <c:axId val="5688463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8852480"/>
        <c:crosses val="autoZero"/>
        <c:auto val="1"/>
        <c:lblOffset val="100"/>
        <c:baseTimeUnit val="days"/>
      </c:dateAx>
      <c:valAx>
        <c:axId val="56885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84636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solidFill>
                <a:schemeClr val="tx1"/>
              </a:solidFill>
            </a:ln>
            <a:effectLst/>
          </c:spPr>
          <c:invertIfNegative val="0"/>
          <c:dPt>
            <c:idx val="0"/>
            <c:invertIfNegative val="0"/>
            <c:bubble3D val="0"/>
            <c:spPr>
              <a:solidFill>
                <a:srgbClr val="009999"/>
              </a:solidFill>
              <a:ln>
                <a:solidFill>
                  <a:schemeClr val="tx1"/>
                </a:solidFill>
              </a:ln>
              <a:effectLst/>
            </c:spPr>
            <c:extLst>
              <c:ext xmlns:c16="http://schemas.microsoft.com/office/drawing/2014/chart" uri="{C3380CC4-5D6E-409C-BE32-E72D297353CC}">
                <c16:uniqueId val="{00000001-F5E0-4878-A766-D5734A7D0BF5}"/>
              </c:ext>
            </c:extLst>
          </c:dPt>
          <c:dPt>
            <c:idx val="1"/>
            <c:invertIfNegative val="0"/>
            <c:bubble3D val="0"/>
            <c:spPr>
              <a:solidFill>
                <a:srgbClr val="00D6D1"/>
              </a:solidFill>
              <a:ln>
                <a:solidFill>
                  <a:schemeClr val="tx1"/>
                </a:solidFill>
              </a:ln>
              <a:effectLst/>
            </c:spPr>
            <c:extLst>
              <c:ext xmlns:c16="http://schemas.microsoft.com/office/drawing/2014/chart" uri="{C3380CC4-5D6E-409C-BE32-E72D297353CC}">
                <c16:uniqueId val="{00000003-F5E0-4878-A766-D5734A7D0BF5}"/>
              </c:ext>
            </c:extLst>
          </c:dPt>
          <c:dPt>
            <c:idx val="3"/>
            <c:invertIfNegative val="0"/>
            <c:bubble3D val="0"/>
            <c:spPr>
              <a:solidFill>
                <a:srgbClr val="BDFFFD"/>
              </a:solidFill>
              <a:ln>
                <a:solidFill>
                  <a:schemeClr val="tx1"/>
                </a:solidFill>
              </a:ln>
              <a:effectLst/>
            </c:spPr>
            <c:extLst>
              <c:ext xmlns:c16="http://schemas.microsoft.com/office/drawing/2014/chart" uri="{C3380CC4-5D6E-409C-BE32-E72D297353CC}">
                <c16:uniqueId val="{00000005-F5E0-4878-A766-D5734A7D0BF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Data'!$K$3:$K$6</c:f>
              <c:strCache>
                <c:ptCount val="4"/>
                <c:pt idx="0">
                  <c:v>Promoters</c:v>
                </c:pt>
                <c:pt idx="1">
                  <c:v>Total Public</c:v>
                </c:pt>
                <c:pt idx="2">
                  <c:v>FII</c:v>
                </c:pt>
                <c:pt idx="3">
                  <c:v>Institutions</c:v>
                </c:pt>
              </c:strCache>
            </c:strRef>
          </c:cat>
          <c:val>
            <c:numRef>
              <c:f>'Raw Data'!$T$3:$T$6</c:f>
              <c:numCache>
                <c:formatCode>0.00%</c:formatCode>
                <c:ptCount val="4"/>
                <c:pt idx="0">
                  <c:v>0.52900000000000003</c:v>
                </c:pt>
                <c:pt idx="1">
                  <c:v>0.47</c:v>
                </c:pt>
                <c:pt idx="2">
                  <c:v>0.15390000000000001</c:v>
                </c:pt>
                <c:pt idx="3">
                  <c:v>0.1532</c:v>
                </c:pt>
              </c:numCache>
            </c:numRef>
          </c:val>
          <c:extLst>
            <c:ext xmlns:c16="http://schemas.microsoft.com/office/drawing/2014/chart" uri="{C3380CC4-5D6E-409C-BE32-E72D297353CC}">
              <c16:uniqueId val="{00000006-F5E0-4878-A766-D5734A7D0BF5}"/>
            </c:ext>
          </c:extLst>
        </c:ser>
        <c:dLbls>
          <c:showLegendKey val="0"/>
          <c:showVal val="0"/>
          <c:showCatName val="0"/>
          <c:showSerName val="0"/>
          <c:showPercent val="0"/>
          <c:showBubbleSize val="0"/>
        </c:dLbls>
        <c:gapWidth val="182"/>
        <c:axId val="801902560"/>
        <c:axId val="801901840"/>
      </c:barChart>
      <c:catAx>
        <c:axId val="80190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1901840"/>
        <c:crosses val="autoZero"/>
        <c:auto val="1"/>
        <c:lblAlgn val="ctr"/>
        <c:lblOffset val="100"/>
        <c:noMultiLvlLbl val="0"/>
      </c:catAx>
      <c:valAx>
        <c:axId val="80190184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190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IN" sz="1400" b="0" i="0" u="none" strike="noStrike" kern="1200" spc="0" baseline="0">
                <a:solidFill>
                  <a:srgbClr val="009999"/>
                </a:solidFill>
              </a:rPr>
              <a:t>Football Field Analysis - Valuation Summary (Rs)</a:t>
            </a:r>
          </a:p>
        </c:rich>
      </c:tx>
      <c:overlay val="0"/>
      <c:spPr>
        <a:noFill/>
        <a:ln>
          <a:noFill/>
        </a:ln>
        <a:effectLst/>
      </c:spPr>
    </c:title>
    <c:autoTitleDeleted val="0"/>
    <c:plotArea>
      <c:layout/>
      <c:stockChart>
        <c:ser>
          <c:idx val="0"/>
          <c:order val="0"/>
          <c:tx>
            <c:strRef>
              <c:f>Football_Field_Analysis!$D$5</c:f>
              <c:strCache>
                <c:ptCount val="1"/>
                <c:pt idx="0">
                  <c:v>OpenLow</c:v>
                </c:pt>
              </c:strCache>
            </c:strRef>
          </c:tx>
          <c:spPr>
            <a:ln w="38100" cap="rnd">
              <a:noFill/>
              <a:round/>
            </a:ln>
            <a:effectLst/>
          </c:spPr>
          <c:marker>
            <c:symbol val="none"/>
          </c:marker>
          <c:dLbls>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Football_Field_Analysis!$B$6:$C$10</c:f>
              <c:strCache>
                <c:ptCount val="5"/>
                <c:pt idx="0">
                  <c:v>Comps</c:v>
                </c:pt>
                <c:pt idx="1">
                  <c:v>DCF Bear</c:v>
                </c:pt>
                <c:pt idx="2">
                  <c:v>DCF Base</c:v>
                </c:pt>
                <c:pt idx="3">
                  <c:v>DCF Bull</c:v>
                </c:pt>
                <c:pt idx="4">
                  <c:v>52W H/L</c:v>
                </c:pt>
              </c:strCache>
            </c:strRef>
          </c:cat>
          <c:val>
            <c:numRef>
              <c:f>Football_Field_Analysis!$D$6:$D$10</c:f>
              <c:numCache>
                <c:formatCode>"₹ "#,##0.0;"₹ ("#,##0.0\);\-</c:formatCode>
                <c:ptCount val="5"/>
                <c:pt idx="0">
                  <c:v>2231.5525132919802</c:v>
                </c:pt>
                <c:pt idx="1">
                  <c:v>274.42340802264903</c:v>
                </c:pt>
                <c:pt idx="2">
                  <c:v>483.69541634655718</c:v>
                </c:pt>
                <c:pt idx="3">
                  <c:v>712.85589000268214</c:v>
                </c:pt>
                <c:pt idx="4">
                  <c:v>3303.1</c:v>
                </c:pt>
              </c:numCache>
            </c:numRef>
          </c:val>
          <c:smooth val="0"/>
          <c:extLst>
            <c:ext xmlns:c16="http://schemas.microsoft.com/office/drawing/2014/chart" uri="{C3380CC4-5D6E-409C-BE32-E72D297353CC}">
              <c16:uniqueId val="{00000000-5309-4228-8CC0-F432826B23D9}"/>
            </c:ext>
          </c:extLst>
        </c:ser>
        <c:ser>
          <c:idx val="1"/>
          <c:order val="1"/>
          <c:tx>
            <c:strRef>
              <c:f>Football_Field_Analysis!$E$5</c:f>
              <c:strCache>
                <c:ptCount val="1"/>
                <c:pt idx="0">
                  <c:v>Low</c:v>
                </c:pt>
              </c:strCache>
            </c:strRef>
          </c:tx>
          <c:spPr>
            <a:ln w="38100" cap="rnd">
              <a:noFill/>
              <a:round/>
            </a:ln>
            <a:effectLst/>
          </c:spPr>
          <c:marker>
            <c:symbol val="none"/>
          </c:marker>
          <c:dLbls>
            <c:delete val="1"/>
          </c:dLbls>
          <c:cat>
            <c:strRef>
              <c:f>Football_Field_Analysis!$B$6:$C$10</c:f>
              <c:strCache>
                <c:ptCount val="5"/>
                <c:pt idx="0">
                  <c:v>Comps</c:v>
                </c:pt>
                <c:pt idx="1">
                  <c:v>DCF Bear</c:v>
                </c:pt>
                <c:pt idx="2">
                  <c:v>DCF Base</c:v>
                </c:pt>
                <c:pt idx="3">
                  <c:v>DCF Bull</c:v>
                </c:pt>
                <c:pt idx="4">
                  <c:v>52W H/L</c:v>
                </c:pt>
              </c:strCache>
            </c:strRef>
          </c:cat>
          <c:val>
            <c:numRef>
              <c:f>Football_Field_Analysis!$E$6:$E$10</c:f>
              <c:numCache>
                <c:formatCode>"₹ "#,##0.0;"₹ ("#,##0.0\);\-</c:formatCode>
                <c:ptCount val="5"/>
                <c:pt idx="0">
                  <c:v>2231.5525132919802</c:v>
                </c:pt>
                <c:pt idx="1">
                  <c:v>274.42340802264903</c:v>
                </c:pt>
                <c:pt idx="2">
                  <c:v>483.69541634655718</c:v>
                </c:pt>
                <c:pt idx="3">
                  <c:v>712.85589000268214</c:v>
                </c:pt>
                <c:pt idx="4">
                  <c:v>3303.1</c:v>
                </c:pt>
              </c:numCache>
            </c:numRef>
          </c:val>
          <c:smooth val="0"/>
          <c:extLst>
            <c:ext xmlns:c16="http://schemas.microsoft.com/office/drawing/2014/chart" uri="{C3380CC4-5D6E-409C-BE32-E72D297353CC}">
              <c16:uniqueId val="{00000001-5309-4228-8CC0-F432826B23D9}"/>
            </c:ext>
          </c:extLst>
        </c:ser>
        <c:ser>
          <c:idx val="2"/>
          <c:order val="2"/>
          <c:tx>
            <c:strRef>
              <c:f>Football_Field_Analysis!$F$5</c:f>
              <c:strCache>
                <c:ptCount val="1"/>
                <c:pt idx="0">
                  <c:v>OpenHigh</c:v>
                </c:pt>
              </c:strCache>
            </c:strRef>
          </c:tx>
          <c:spPr>
            <a:ln w="38100" cap="rnd">
              <a:noFill/>
              <a:round/>
            </a:ln>
            <a:effectLst/>
          </c:spPr>
          <c:marker>
            <c:symbol val="none"/>
          </c:marker>
          <c:dLbls>
            <c:delete val="1"/>
          </c:dLbls>
          <c:cat>
            <c:strRef>
              <c:f>Football_Field_Analysis!$B$6:$C$10</c:f>
              <c:strCache>
                <c:ptCount val="5"/>
                <c:pt idx="0">
                  <c:v>Comps</c:v>
                </c:pt>
                <c:pt idx="1">
                  <c:v>DCF Bear</c:v>
                </c:pt>
                <c:pt idx="2">
                  <c:v>DCF Base</c:v>
                </c:pt>
                <c:pt idx="3">
                  <c:v>DCF Bull</c:v>
                </c:pt>
                <c:pt idx="4">
                  <c:v>52W H/L</c:v>
                </c:pt>
              </c:strCache>
            </c:strRef>
          </c:cat>
          <c:val>
            <c:numRef>
              <c:f>Football_Field_Analysis!$F$6:$F$10</c:f>
              <c:numCache>
                <c:formatCode>"₹ "#,##0.0;"₹ ("#,##0.0\);\-</c:formatCode>
                <c:ptCount val="5"/>
                <c:pt idx="0">
                  <c:v>2506.2982650122467</c:v>
                </c:pt>
                <c:pt idx="1">
                  <c:v>575.06282423752873</c:v>
                </c:pt>
                <c:pt idx="2">
                  <c:v>1243.8477678925933</c:v>
                </c:pt>
                <c:pt idx="3">
                  <c:v>2641.9588107148279</c:v>
                </c:pt>
                <c:pt idx="4">
                  <c:v>4679.8</c:v>
                </c:pt>
              </c:numCache>
            </c:numRef>
          </c:val>
          <c:smooth val="0"/>
          <c:extLst>
            <c:ext xmlns:c16="http://schemas.microsoft.com/office/drawing/2014/chart" uri="{C3380CC4-5D6E-409C-BE32-E72D297353CC}">
              <c16:uniqueId val="{00000002-5309-4228-8CC0-F432826B23D9}"/>
            </c:ext>
          </c:extLst>
        </c:ser>
        <c:ser>
          <c:idx val="3"/>
          <c:order val="3"/>
          <c:tx>
            <c:strRef>
              <c:f>Football_Field_Analysis!$G$5</c:f>
              <c:strCache>
                <c:ptCount val="1"/>
                <c:pt idx="0">
                  <c:v>High</c:v>
                </c:pt>
              </c:strCache>
            </c:strRef>
          </c:tx>
          <c:spPr>
            <a:ln w="381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Football_Field_Analysis!$B$6:$C$10</c:f>
              <c:strCache>
                <c:ptCount val="5"/>
                <c:pt idx="0">
                  <c:v>Comps</c:v>
                </c:pt>
                <c:pt idx="1">
                  <c:v>DCF Bear</c:v>
                </c:pt>
                <c:pt idx="2">
                  <c:v>DCF Base</c:v>
                </c:pt>
                <c:pt idx="3">
                  <c:v>DCF Bull</c:v>
                </c:pt>
                <c:pt idx="4">
                  <c:v>52W H/L</c:v>
                </c:pt>
              </c:strCache>
            </c:strRef>
          </c:cat>
          <c:val>
            <c:numRef>
              <c:f>Football_Field_Analysis!$G$6:$G$10</c:f>
              <c:numCache>
                <c:formatCode>"₹ "#,##0.0;"₹ ("#,##0.0\);\-</c:formatCode>
                <c:ptCount val="5"/>
                <c:pt idx="0">
                  <c:v>2506.2982650122467</c:v>
                </c:pt>
                <c:pt idx="1">
                  <c:v>575.06282423752873</c:v>
                </c:pt>
                <c:pt idx="2">
                  <c:v>1243.8477678925933</c:v>
                </c:pt>
                <c:pt idx="3">
                  <c:v>2641.9588107148279</c:v>
                </c:pt>
                <c:pt idx="4">
                  <c:v>4679.8</c:v>
                </c:pt>
              </c:numCache>
            </c:numRef>
          </c:val>
          <c:smooth val="0"/>
          <c:extLst>
            <c:ext xmlns:c16="http://schemas.microsoft.com/office/drawing/2014/chart" uri="{C3380CC4-5D6E-409C-BE32-E72D297353CC}">
              <c16:uniqueId val="{00000003-5309-4228-8CC0-F432826B23D9}"/>
            </c:ext>
          </c:extLst>
        </c:ser>
        <c:dLbls>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9999"/>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682828560"/>
        <c:axId val="682827480"/>
      </c:stockChart>
      <c:catAx>
        <c:axId val="68282856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82827480"/>
        <c:crosses val="autoZero"/>
        <c:auto val="1"/>
        <c:lblAlgn val="ctr"/>
        <c:lblOffset val="100"/>
        <c:noMultiLvlLbl val="0"/>
      </c:catAx>
      <c:valAx>
        <c:axId val="682827480"/>
        <c:scaling>
          <c:orientation val="minMax"/>
        </c:scaling>
        <c:delete val="0"/>
        <c:axPos val="l"/>
        <c:numFmt formatCode="&quot;₹ &quot;#,##0.0;&quot;₹ (&quot;#,##0.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68282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BFFFD"/>
              </a:solidFill>
              <a:ln>
                <a:noFill/>
              </a:ln>
              <a:effectLst/>
            </c:spPr>
            <c:extLst>
              <c:ext xmlns:c16="http://schemas.microsoft.com/office/drawing/2014/chart" uri="{C3380CC4-5D6E-409C-BE32-E72D297353CC}">
                <c16:uniqueId val="{00000006-C288-4269-959D-F3E25E3BD359}"/>
              </c:ext>
            </c:extLst>
          </c:dPt>
          <c:dPt>
            <c:idx val="2"/>
            <c:invertIfNegative val="0"/>
            <c:bubble3D val="0"/>
            <c:spPr>
              <a:solidFill>
                <a:srgbClr val="33CCCC"/>
              </a:solidFill>
              <a:ln>
                <a:noFill/>
              </a:ln>
              <a:effectLst/>
            </c:spPr>
            <c:extLst>
              <c:ext xmlns:c16="http://schemas.microsoft.com/office/drawing/2014/chart" uri="{C3380CC4-5D6E-409C-BE32-E72D297353CC}">
                <c16:uniqueId val="{00000005-C288-4269-959D-F3E25E3BD359}"/>
              </c:ext>
            </c:extLst>
          </c:dPt>
          <c:dPt>
            <c:idx val="3"/>
            <c:invertIfNegative val="0"/>
            <c:bubble3D val="0"/>
            <c:spPr>
              <a:solidFill>
                <a:srgbClr val="009999"/>
              </a:solidFill>
              <a:ln>
                <a:noFill/>
              </a:ln>
              <a:effectLst/>
            </c:spPr>
            <c:extLst>
              <c:ext xmlns:c16="http://schemas.microsoft.com/office/drawing/2014/chart" uri="{C3380CC4-5D6E-409C-BE32-E72D297353CC}">
                <c16:uniqueId val="{00000004-C288-4269-959D-F3E25E3BD359}"/>
              </c:ext>
            </c:extLst>
          </c:dPt>
          <c:cat>
            <c:numRef>
              <c:f>'DUPONT Analysis'!$G$60:$J$60</c:f>
              <c:numCache>
                <c:formatCode>mmm/yyyy</c:formatCode>
                <c:ptCount val="4"/>
                <c:pt idx="0">
                  <c:v>45016</c:v>
                </c:pt>
                <c:pt idx="1">
                  <c:v>45382</c:v>
                </c:pt>
                <c:pt idx="2">
                  <c:v>45747</c:v>
                </c:pt>
                <c:pt idx="3">
                  <c:v>46112</c:v>
                </c:pt>
              </c:numCache>
            </c:numRef>
          </c:cat>
          <c:val>
            <c:numRef>
              <c:f>'DUPONT Analysis'!$G$62:$J$62</c:f>
              <c:numCache>
                <c:formatCode>0.0</c:formatCode>
                <c:ptCount val="4"/>
                <c:pt idx="0">
                  <c:v>40575</c:v>
                </c:pt>
                <c:pt idx="1">
                  <c:v>51084</c:v>
                </c:pt>
                <c:pt idx="2">
                  <c:v>60456</c:v>
                </c:pt>
                <c:pt idx="3">
                  <c:v>87584</c:v>
                </c:pt>
              </c:numCache>
            </c:numRef>
          </c:val>
          <c:extLst>
            <c:ext xmlns:c16="http://schemas.microsoft.com/office/drawing/2014/chart" uri="{C3380CC4-5D6E-409C-BE32-E72D297353CC}">
              <c16:uniqueId val="{00000000-C288-4269-959D-F3E25E3BD359}"/>
            </c:ext>
          </c:extLst>
        </c:ser>
        <c:dLbls>
          <c:showLegendKey val="0"/>
          <c:showVal val="0"/>
          <c:showCatName val="0"/>
          <c:showSerName val="0"/>
          <c:showPercent val="0"/>
          <c:showBubbleSize val="0"/>
        </c:dLbls>
        <c:gapWidth val="219"/>
        <c:overlap val="-27"/>
        <c:axId val="709146088"/>
        <c:axId val="709146448"/>
      </c:barChart>
      <c:dateAx>
        <c:axId val="709146088"/>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9146448"/>
        <c:crosses val="autoZero"/>
        <c:auto val="1"/>
        <c:lblOffset val="100"/>
        <c:baseTimeUnit val="years"/>
      </c:dateAx>
      <c:valAx>
        <c:axId val="709146448"/>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9146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BFFFD"/>
              </a:solidFill>
              <a:ln>
                <a:noFill/>
              </a:ln>
              <a:effectLst/>
            </c:spPr>
            <c:extLst>
              <c:ext xmlns:c16="http://schemas.microsoft.com/office/drawing/2014/chart" uri="{C3380CC4-5D6E-409C-BE32-E72D297353CC}">
                <c16:uniqueId val="{00000004-42B9-4EB7-B4A2-369E0094D76B}"/>
              </c:ext>
            </c:extLst>
          </c:dPt>
          <c:dPt>
            <c:idx val="1"/>
            <c:invertIfNegative val="0"/>
            <c:bubble3D val="0"/>
            <c:spPr>
              <a:solidFill>
                <a:srgbClr val="33CCCC"/>
              </a:solidFill>
              <a:ln>
                <a:noFill/>
              </a:ln>
              <a:effectLst/>
            </c:spPr>
            <c:extLst>
              <c:ext xmlns:c16="http://schemas.microsoft.com/office/drawing/2014/chart" uri="{C3380CC4-5D6E-409C-BE32-E72D297353CC}">
                <c16:uniqueId val="{00000002-42B9-4EB7-B4A2-369E0094D76B}"/>
              </c:ext>
            </c:extLst>
          </c:dPt>
          <c:dPt>
            <c:idx val="3"/>
            <c:invertIfNegative val="0"/>
            <c:bubble3D val="0"/>
            <c:spPr>
              <a:solidFill>
                <a:srgbClr val="009999"/>
              </a:solidFill>
              <a:ln>
                <a:noFill/>
              </a:ln>
              <a:effectLst/>
            </c:spPr>
            <c:extLst>
              <c:ext xmlns:c16="http://schemas.microsoft.com/office/drawing/2014/chart" uri="{C3380CC4-5D6E-409C-BE32-E72D297353CC}">
                <c16:uniqueId val="{00000001-42B9-4EB7-B4A2-369E0094D76B}"/>
              </c:ext>
            </c:extLst>
          </c:dPt>
          <c:cat>
            <c:numRef>
              <c:f>'DUPONT Analysis'!$G$54:$J$54</c:f>
              <c:numCache>
                <c:formatCode>mmm/yyyy</c:formatCode>
                <c:ptCount val="4"/>
                <c:pt idx="0">
                  <c:v>45016</c:v>
                </c:pt>
                <c:pt idx="1">
                  <c:v>45382</c:v>
                </c:pt>
                <c:pt idx="2">
                  <c:v>45747</c:v>
                </c:pt>
                <c:pt idx="3">
                  <c:v>46112</c:v>
                </c:pt>
              </c:numCache>
            </c:numRef>
          </c:cat>
          <c:val>
            <c:numRef>
              <c:f>'DUPONT Analysis'!$G$55:$J$55</c:f>
              <c:numCache>
                <c:formatCode>0.0</c:formatCode>
                <c:ptCount val="4"/>
                <c:pt idx="0">
                  <c:v>3274</c:v>
                </c:pt>
                <c:pt idx="1">
                  <c:v>3496</c:v>
                </c:pt>
                <c:pt idx="2">
                  <c:v>3337</c:v>
                </c:pt>
                <c:pt idx="3">
                  <c:v>5073</c:v>
                </c:pt>
              </c:numCache>
            </c:numRef>
          </c:val>
          <c:extLst>
            <c:ext xmlns:c16="http://schemas.microsoft.com/office/drawing/2014/chart" uri="{C3380CC4-5D6E-409C-BE32-E72D297353CC}">
              <c16:uniqueId val="{00000000-42B9-4EB7-B4A2-369E0094D76B}"/>
            </c:ext>
          </c:extLst>
        </c:ser>
        <c:dLbls>
          <c:showLegendKey val="0"/>
          <c:showVal val="0"/>
          <c:showCatName val="0"/>
          <c:showSerName val="0"/>
          <c:showPercent val="0"/>
          <c:showBubbleSize val="0"/>
        </c:dLbls>
        <c:gapWidth val="219"/>
        <c:overlap val="-27"/>
        <c:axId val="553127568"/>
        <c:axId val="553130808"/>
      </c:barChart>
      <c:dateAx>
        <c:axId val="553127568"/>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3130808"/>
        <c:crosses val="autoZero"/>
        <c:auto val="1"/>
        <c:lblOffset val="100"/>
        <c:baseTimeUnit val="years"/>
      </c:dateAx>
      <c:valAx>
        <c:axId val="553130808"/>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31275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BFFFD"/>
              </a:solidFill>
              <a:ln>
                <a:noFill/>
              </a:ln>
              <a:effectLst/>
            </c:spPr>
            <c:extLst>
              <c:ext xmlns:c16="http://schemas.microsoft.com/office/drawing/2014/chart" uri="{C3380CC4-5D6E-409C-BE32-E72D297353CC}">
                <c16:uniqueId val="{00000004-0B34-4014-8714-C2070AE07687}"/>
              </c:ext>
            </c:extLst>
          </c:dPt>
          <c:dPt>
            <c:idx val="2"/>
            <c:invertIfNegative val="0"/>
            <c:bubble3D val="0"/>
            <c:spPr>
              <a:solidFill>
                <a:srgbClr val="33CCCC"/>
              </a:solidFill>
              <a:ln>
                <a:noFill/>
              </a:ln>
              <a:effectLst/>
            </c:spPr>
            <c:extLst>
              <c:ext xmlns:c16="http://schemas.microsoft.com/office/drawing/2014/chart" uri="{C3380CC4-5D6E-409C-BE32-E72D297353CC}">
                <c16:uniqueId val="{00000002-0B34-4014-8714-C2070AE07687}"/>
              </c:ext>
            </c:extLst>
          </c:dPt>
          <c:dPt>
            <c:idx val="3"/>
            <c:invertIfNegative val="0"/>
            <c:bubble3D val="0"/>
            <c:spPr>
              <a:solidFill>
                <a:srgbClr val="009999"/>
              </a:solidFill>
              <a:ln>
                <a:noFill/>
              </a:ln>
              <a:effectLst/>
            </c:spPr>
            <c:extLst>
              <c:ext xmlns:c16="http://schemas.microsoft.com/office/drawing/2014/chart" uri="{C3380CC4-5D6E-409C-BE32-E72D297353CC}">
                <c16:uniqueId val="{00000001-0B34-4014-8714-C2070AE07687}"/>
              </c:ext>
            </c:extLst>
          </c:dPt>
          <c:cat>
            <c:numRef>
              <c:f>'DUPONT Analysis'!$G$60:$J$60</c:f>
              <c:numCache>
                <c:formatCode>mmm/yyyy</c:formatCode>
                <c:ptCount val="4"/>
                <c:pt idx="0">
                  <c:v>45016</c:v>
                </c:pt>
                <c:pt idx="1">
                  <c:v>45382</c:v>
                </c:pt>
                <c:pt idx="2">
                  <c:v>45747</c:v>
                </c:pt>
                <c:pt idx="3">
                  <c:v>46112</c:v>
                </c:pt>
              </c:numCache>
            </c:numRef>
          </c:cat>
          <c:val>
            <c:numRef>
              <c:f>'DUPONT Analysis'!$G$66:$J$66</c:f>
              <c:numCache>
                <c:formatCode>0.0</c:formatCode>
                <c:ptCount val="4"/>
                <c:pt idx="0">
                  <c:v>24104</c:v>
                </c:pt>
                <c:pt idx="1">
                  <c:v>29283.5</c:v>
                </c:pt>
                <c:pt idx="2">
                  <c:v>36096</c:v>
                </c:pt>
                <c:pt idx="3" formatCode="General">
                  <c:v>50603</c:v>
                </c:pt>
              </c:numCache>
            </c:numRef>
          </c:val>
          <c:extLst>
            <c:ext xmlns:c16="http://schemas.microsoft.com/office/drawing/2014/chart" uri="{C3380CC4-5D6E-409C-BE32-E72D297353CC}">
              <c16:uniqueId val="{00000000-0B34-4014-8714-C2070AE07687}"/>
            </c:ext>
          </c:extLst>
        </c:ser>
        <c:dLbls>
          <c:showLegendKey val="0"/>
          <c:showVal val="0"/>
          <c:showCatName val="0"/>
          <c:showSerName val="0"/>
          <c:showPercent val="0"/>
          <c:showBubbleSize val="0"/>
        </c:dLbls>
        <c:gapWidth val="219"/>
        <c:overlap val="-27"/>
        <c:axId val="728961040"/>
        <c:axId val="556699528"/>
      </c:barChart>
      <c:dateAx>
        <c:axId val="72896104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6699528"/>
        <c:crosses val="autoZero"/>
        <c:auto val="1"/>
        <c:lblOffset val="100"/>
        <c:baseTimeUnit val="years"/>
      </c:dateAx>
      <c:valAx>
        <c:axId val="556699528"/>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9610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9999"/>
              </a:solidFill>
              <a:ln>
                <a:noFill/>
              </a:ln>
              <a:effectLst/>
            </c:spPr>
            <c:extLst>
              <c:ext xmlns:c16="http://schemas.microsoft.com/office/drawing/2014/chart" uri="{C3380CC4-5D6E-409C-BE32-E72D297353CC}">
                <c16:uniqueId val="{00000001-AFEE-4EA7-BC28-119DF6438C50}"/>
              </c:ext>
            </c:extLst>
          </c:dPt>
          <c:dPt>
            <c:idx val="1"/>
            <c:invertIfNegative val="0"/>
            <c:bubble3D val="0"/>
            <c:spPr>
              <a:solidFill>
                <a:srgbClr val="33CCCC"/>
              </a:solidFill>
              <a:ln>
                <a:noFill/>
              </a:ln>
              <a:effectLst/>
            </c:spPr>
            <c:extLst>
              <c:ext xmlns:c16="http://schemas.microsoft.com/office/drawing/2014/chart" uri="{C3380CC4-5D6E-409C-BE32-E72D297353CC}">
                <c16:uniqueId val="{00000002-AFEE-4EA7-BC28-119DF6438C50}"/>
              </c:ext>
            </c:extLst>
          </c:dPt>
          <c:dPt>
            <c:idx val="2"/>
            <c:invertIfNegative val="0"/>
            <c:bubble3D val="0"/>
            <c:spPr>
              <a:solidFill>
                <a:srgbClr val="9BFFFD"/>
              </a:solidFill>
              <a:ln>
                <a:noFill/>
              </a:ln>
              <a:effectLst/>
            </c:spPr>
            <c:extLst>
              <c:ext xmlns:c16="http://schemas.microsoft.com/office/drawing/2014/chart" uri="{C3380CC4-5D6E-409C-BE32-E72D297353CC}">
                <c16:uniqueId val="{00000003-AFEE-4EA7-BC28-119DF6438C50}"/>
              </c:ext>
            </c:extLst>
          </c:dPt>
          <c:cat>
            <c:numRef>
              <c:f>'DUPONT Analysis'!$G$60:$J$60</c:f>
              <c:numCache>
                <c:formatCode>mmm/yyyy</c:formatCode>
                <c:ptCount val="4"/>
                <c:pt idx="0">
                  <c:v>45016</c:v>
                </c:pt>
                <c:pt idx="1">
                  <c:v>45382</c:v>
                </c:pt>
                <c:pt idx="2">
                  <c:v>45747</c:v>
                </c:pt>
                <c:pt idx="3">
                  <c:v>46112</c:v>
                </c:pt>
              </c:numCache>
            </c:numRef>
          </c:cat>
          <c:val>
            <c:numRef>
              <c:f>'DUPONT Analysis'!$G$63:$J$63</c:f>
              <c:numCache>
                <c:formatCode>0.00%</c:formatCode>
                <c:ptCount val="4"/>
                <c:pt idx="0">
                  <c:v>8.0690080098582875E-2</c:v>
                </c:pt>
                <c:pt idx="1">
                  <c:v>6.8436300994440535E-2</c:v>
                </c:pt>
                <c:pt idx="2">
                  <c:v>5.5197168188434564E-2</c:v>
                </c:pt>
                <c:pt idx="3">
                  <c:v>5.792153818048959E-2</c:v>
                </c:pt>
              </c:numCache>
            </c:numRef>
          </c:val>
          <c:extLst>
            <c:ext xmlns:c16="http://schemas.microsoft.com/office/drawing/2014/chart" uri="{C3380CC4-5D6E-409C-BE32-E72D297353CC}">
              <c16:uniqueId val="{00000000-AFEE-4EA7-BC28-119DF6438C50}"/>
            </c:ext>
          </c:extLst>
        </c:ser>
        <c:dLbls>
          <c:showLegendKey val="0"/>
          <c:showVal val="0"/>
          <c:showCatName val="0"/>
          <c:showSerName val="0"/>
          <c:showPercent val="0"/>
          <c:showBubbleSize val="0"/>
        </c:dLbls>
        <c:gapWidth val="219"/>
        <c:overlap val="-27"/>
        <c:axId val="709146088"/>
        <c:axId val="709146448"/>
      </c:barChart>
      <c:dateAx>
        <c:axId val="709146088"/>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9146448"/>
        <c:crosses val="autoZero"/>
        <c:auto val="1"/>
        <c:lblOffset val="100"/>
        <c:baseTimeUnit val="years"/>
      </c:dateAx>
      <c:valAx>
        <c:axId val="709146448"/>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9146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BFFFD"/>
              </a:solidFill>
              <a:ln>
                <a:noFill/>
              </a:ln>
              <a:effectLst/>
            </c:spPr>
            <c:extLst>
              <c:ext xmlns:c16="http://schemas.microsoft.com/office/drawing/2014/chart" uri="{C3380CC4-5D6E-409C-BE32-E72D297353CC}">
                <c16:uniqueId val="{00000003-A237-4BC4-BFF4-6E6D463439A6}"/>
              </c:ext>
            </c:extLst>
          </c:dPt>
          <c:dPt>
            <c:idx val="1"/>
            <c:invertIfNegative val="0"/>
            <c:bubble3D val="0"/>
            <c:spPr>
              <a:solidFill>
                <a:srgbClr val="33CCCC"/>
              </a:solidFill>
              <a:ln>
                <a:noFill/>
              </a:ln>
              <a:effectLst/>
            </c:spPr>
            <c:extLst>
              <c:ext xmlns:c16="http://schemas.microsoft.com/office/drawing/2014/chart" uri="{C3380CC4-5D6E-409C-BE32-E72D297353CC}">
                <c16:uniqueId val="{00000002-A237-4BC4-BFF4-6E6D463439A6}"/>
              </c:ext>
            </c:extLst>
          </c:dPt>
          <c:dPt>
            <c:idx val="3"/>
            <c:invertIfNegative val="0"/>
            <c:bubble3D val="0"/>
            <c:spPr>
              <a:solidFill>
                <a:srgbClr val="009999"/>
              </a:solidFill>
              <a:ln>
                <a:noFill/>
              </a:ln>
              <a:effectLst/>
            </c:spPr>
            <c:extLst>
              <c:ext xmlns:c16="http://schemas.microsoft.com/office/drawing/2014/chart" uri="{C3380CC4-5D6E-409C-BE32-E72D297353CC}">
                <c16:uniqueId val="{00000001-A237-4BC4-BFF4-6E6D463439A6}"/>
              </c:ext>
            </c:extLst>
          </c:dPt>
          <c:cat>
            <c:numRef>
              <c:f>'DUPONT Analysis'!$G$54:$J$54</c:f>
              <c:numCache>
                <c:formatCode>mmm/yyyy</c:formatCode>
                <c:ptCount val="4"/>
                <c:pt idx="0">
                  <c:v>45016</c:v>
                </c:pt>
                <c:pt idx="1">
                  <c:v>45382</c:v>
                </c:pt>
                <c:pt idx="2">
                  <c:v>45747</c:v>
                </c:pt>
                <c:pt idx="3">
                  <c:v>46112</c:v>
                </c:pt>
              </c:numCache>
            </c:numRef>
          </c:cat>
          <c:val>
            <c:numRef>
              <c:f>'DUPONT Analysis'!$G$72:$J$72</c:f>
              <c:numCache>
                <c:formatCode>0.00%</c:formatCode>
                <c:ptCount val="4"/>
                <c:pt idx="0">
                  <c:v>0.30953956698496743</c:v>
                </c:pt>
                <c:pt idx="1">
                  <c:v>0.32912822443984191</c:v>
                </c:pt>
                <c:pt idx="2">
                  <c:v>0.31755245753437689</c:v>
                </c:pt>
                <c:pt idx="3">
                  <c:v>0.37128115051048416</c:v>
                </c:pt>
              </c:numCache>
            </c:numRef>
          </c:val>
          <c:extLst>
            <c:ext xmlns:c16="http://schemas.microsoft.com/office/drawing/2014/chart" uri="{C3380CC4-5D6E-409C-BE32-E72D297353CC}">
              <c16:uniqueId val="{00000000-A237-4BC4-BFF4-6E6D463439A6}"/>
            </c:ext>
          </c:extLst>
        </c:ser>
        <c:dLbls>
          <c:showLegendKey val="0"/>
          <c:showVal val="0"/>
          <c:showCatName val="0"/>
          <c:showSerName val="0"/>
          <c:showPercent val="0"/>
          <c:showBubbleSize val="0"/>
        </c:dLbls>
        <c:gapWidth val="219"/>
        <c:overlap val="-27"/>
        <c:axId val="553127568"/>
        <c:axId val="553130808"/>
      </c:barChart>
      <c:dateAx>
        <c:axId val="553127568"/>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3130808"/>
        <c:crosses val="autoZero"/>
        <c:auto val="1"/>
        <c:lblOffset val="100"/>
        <c:baseTimeUnit val="years"/>
      </c:dateAx>
      <c:valAx>
        <c:axId val="553130808"/>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31275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9999"/>
              </a:solidFill>
              <a:ln>
                <a:noFill/>
              </a:ln>
              <a:effectLst/>
            </c:spPr>
            <c:extLst>
              <c:ext xmlns:c16="http://schemas.microsoft.com/office/drawing/2014/chart" uri="{C3380CC4-5D6E-409C-BE32-E72D297353CC}">
                <c16:uniqueId val="{00000001-C266-4814-9147-ECC30C1FE010}"/>
              </c:ext>
            </c:extLst>
          </c:dPt>
          <c:dPt>
            <c:idx val="1"/>
            <c:invertIfNegative val="0"/>
            <c:bubble3D val="0"/>
            <c:spPr>
              <a:solidFill>
                <a:srgbClr val="33CCCC"/>
              </a:solidFill>
              <a:ln>
                <a:noFill/>
              </a:ln>
              <a:effectLst/>
            </c:spPr>
            <c:extLst>
              <c:ext xmlns:c16="http://schemas.microsoft.com/office/drawing/2014/chart" uri="{C3380CC4-5D6E-409C-BE32-E72D297353CC}">
                <c16:uniqueId val="{00000002-C266-4814-9147-ECC30C1FE010}"/>
              </c:ext>
            </c:extLst>
          </c:dPt>
          <c:dPt>
            <c:idx val="2"/>
            <c:invertIfNegative val="0"/>
            <c:bubble3D val="0"/>
            <c:spPr>
              <a:solidFill>
                <a:srgbClr val="9BFFFD"/>
              </a:solidFill>
              <a:ln>
                <a:noFill/>
              </a:ln>
              <a:effectLst/>
            </c:spPr>
            <c:extLst>
              <c:ext xmlns:c16="http://schemas.microsoft.com/office/drawing/2014/chart" uri="{C3380CC4-5D6E-409C-BE32-E72D297353CC}">
                <c16:uniqueId val="{00000003-C266-4814-9147-ECC30C1FE010}"/>
              </c:ext>
            </c:extLst>
          </c:dPt>
          <c:cat>
            <c:numRef>
              <c:f>'DUPONT Analysis'!$G$60:$J$60</c:f>
              <c:numCache>
                <c:formatCode>mmm/yyyy</c:formatCode>
                <c:ptCount val="4"/>
                <c:pt idx="0">
                  <c:v>45016</c:v>
                </c:pt>
                <c:pt idx="1">
                  <c:v>45382</c:v>
                </c:pt>
                <c:pt idx="2">
                  <c:v>45747</c:v>
                </c:pt>
                <c:pt idx="3">
                  <c:v>46112</c:v>
                </c:pt>
              </c:numCache>
            </c:numRef>
          </c:cat>
          <c:val>
            <c:numRef>
              <c:f>'DUPONT Analysis'!$G$89:$J$89</c:f>
              <c:numCache>
                <c:formatCode>0.00%</c:formatCode>
                <c:ptCount val="4"/>
                <c:pt idx="0">
                  <c:v>0.13582807832724861</c:v>
                </c:pt>
                <c:pt idx="1">
                  <c:v>0.11938463639933752</c:v>
                </c:pt>
                <c:pt idx="2">
                  <c:v>9.2447916666666671E-2</c:v>
                </c:pt>
                <c:pt idx="3">
                  <c:v>0.1002509732624548</c:v>
                </c:pt>
              </c:numCache>
            </c:numRef>
          </c:val>
          <c:extLst>
            <c:ext xmlns:c16="http://schemas.microsoft.com/office/drawing/2014/chart" uri="{C3380CC4-5D6E-409C-BE32-E72D297353CC}">
              <c16:uniqueId val="{00000000-C266-4814-9147-ECC30C1FE010}"/>
            </c:ext>
          </c:extLst>
        </c:ser>
        <c:dLbls>
          <c:showLegendKey val="0"/>
          <c:showVal val="0"/>
          <c:showCatName val="0"/>
          <c:showSerName val="0"/>
          <c:showPercent val="0"/>
          <c:showBubbleSize val="0"/>
        </c:dLbls>
        <c:gapWidth val="219"/>
        <c:overlap val="-27"/>
        <c:axId val="728961040"/>
        <c:axId val="556699528"/>
      </c:barChart>
      <c:dateAx>
        <c:axId val="72896104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6699528"/>
        <c:crosses val="autoZero"/>
        <c:auto val="1"/>
        <c:lblOffset val="100"/>
        <c:baseTimeUnit val="years"/>
      </c:dateAx>
      <c:valAx>
        <c:axId val="556699528"/>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9610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solidFill>
                <a:schemeClr val="tx1"/>
              </a:solidFill>
            </a:ln>
            <a:effectLst/>
          </c:spPr>
          <c:invertIfNegative val="0"/>
          <c:dPt>
            <c:idx val="0"/>
            <c:invertIfNegative val="0"/>
            <c:bubble3D val="0"/>
            <c:spPr>
              <a:solidFill>
                <a:srgbClr val="BDFFFD"/>
              </a:solidFill>
              <a:ln>
                <a:solidFill>
                  <a:schemeClr val="tx1"/>
                </a:solidFill>
              </a:ln>
              <a:effectLst/>
            </c:spPr>
            <c:extLst>
              <c:ext xmlns:c16="http://schemas.microsoft.com/office/drawing/2014/chart" uri="{C3380CC4-5D6E-409C-BE32-E72D297353CC}">
                <c16:uniqueId val="{00000003-FA5E-43AF-84A4-D01B9549DE8D}"/>
              </c:ext>
            </c:extLst>
          </c:dPt>
          <c:dPt>
            <c:idx val="2"/>
            <c:invertIfNegative val="0"/>
            <c:bubble3D val="0"/>
            <c:spPr>
              <a:solidFill>
                <a:srgbClr val="009999"/>
              </a:solidFill>
              <a:ln>
                <a:solidFill>
                  <a:schemeClr val="tx1"/>
                </a:solidFill>
              </a:ln>
              <a:effectLst/>
            </c:spPr>
            <c:extLst>
              <c:ext xmlns:c16="http://schemas.microsoft.com/office/drawing/2014/chart" uri="{C3380CC4-5D6E-409C-BE32-E72D297353CC}">
                <c16:uniqueId val="{00000001-FA5E-43AF-84A4-D01B9549DE8D}"/>
              </c:ext>
            </c:extLst>
          </c:dPt>
          <c:dPt>
            <c:idx val="3"/>
            <c:invertIfNegative val="0"/>
            <c:bubble3D val="0"/>
            <c:spPr>
              <a:solidFill>
                <a:srgbClr val="00D6D1"/>
              </a:solidFill>
              <a:ln>
                <a:solidFill>
                  <a:schemeClr val="tx1"/>
                </a:solidFill>
              </a:ln>
              <a:effectLst/>
            </c:spPr>
            <c:extLst>
              <c:ext xmlns:c16="http://schemas.microsoft.com/office/drawing/2014/chart" uri="{C3380CC4-5D6E-409C-BE32-E72D297353CC}">
                <c16:uniqueId val="{00000002-FA5E-43AF-84A4-D01B9549DE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Score'!$F$54:$I$54</c:f>
              <c:numCache>
                <c:formatCode>mmm/yyyy</c:formatCode>
                <c:ptCount val="4"/>
                <c:pt idx="0">
                  <c:v>45016</c:v>
                </c:pt>
                <c:pt idx="1">
                  <c:v>45382</c:v>
                </c:pt>
                <c:pt idx="2">
                  <c:v>45747</c:v>
                </c:pt>
                <c:pt idx="3">
                  <c:v>46112</c:v>
                </c:pt>
              </c:numCache>
            </c:numRef>
          </c:cat>
          <c:val>
            <c:numRef>
              <c:f>'Altman''s z Score'!$F$57:$I$57</c:f>
              <c:numCache>
                <c:formatCode>0.00%</c:formatCode>
                <c:ptCount val="4"/>
                <c:pt idx="0">
                  <c:v>0.57590673575129536</c:v>
                </c:pt>
                <c:pt idx="1">
                  <c:v>0.59498526008812247</c:v>
                </c:pt>
                <c:pt idx="2">
                  <c:v>0.64573748308525036</c:v>
                </c:pt>
                <c:pt idx="3">
                  <c:v>0.59075972985915026</c:v>
                </c:pt>
              </c:numCache>
            </c:numRef>
          </c:val>
          <c:extLst>
            <c:ext xmlns:c16="http://schemas.microsoft.com/office/drawing/2014/chart" uri="{C3380CC4-5D6E-409C-BE32-E72D297353CC}">
              <c16:uniqueId val="{00000000-FA5E-43AF-84A4-D01B9549DE8D}"/>
            </c:ext>
          </c:extLst>
        </c:ser>
        <c:dLbls>
          <c:dLblPos val="outEnd"/>
          <c:showLegendKey val="0"/>
          <c:showVal val="1"/>
          <c:showCatName val="0"/>
          <c:showSerName val="0"/>
          <c:showPercent val="0"/>
          <c:showBubbleSize val="0"/>
        </c:dLbls>
        <c:gapWidth val="219"/>
        <c:overlap val="-27"/>
        <c:axId val="856828024"/>
        <c:axId val="856832344"/>
      </c:barChart>
      <c:dateAx>
        <c:axId val="856828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6832344"/>
        <c:crosses val="autoZero"/>
        <c:auto val="1"/>
        <c:lblOffset val="100"/>
        <c:baseTimeUnit val="years"/>
      </c:dateAx>
      <c:valAx>
        <c:axId val="856832344"/>
        <c:scaling>
          <c:orientation val="minMax"/>
        </c:scaling>
        <c:delete val="1"/>
        <c:axPos val="l"/>
        <c:numFmt formatCode="0.00%" sourceLinked="1"/>
        <c:majorTickMark val="none"/>
        <c:minorTickMark val="none"/>
        <c:tickLblPos val="nextTo"/>
        <c:crossAx val="8568280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solidFill>
                <a:schemeClr val="tx1"/>
              </a:solidFill>
            </a:ln>
            <a:effectLst/>
          </c:spPr>
          <c:invertIfNegative val="0"/>
          <c:dPt>
            <c:idx val="0"/>
            <c:invertIfNegative val="0"/>
            <c:bubble3D val="0"/>
            <c:spPr>
              <a:solidFill>
                <a:srgbClr val="00D6D1"/>
              </a:solidFill>
              <a:ln>
                <a:solidFill>
                  <a:schemeClr val="tx1"/>
                </a:solidFill>
              </a:ln>
              <a:effectLst/>
            </c:spPr>
            <c:extLst>
              <c:ext xmlns:c16="http://schemas.microsoft.com/office/drawing/2014/chart" uri="{C3380CC4-5D6E-409C-BE32-E72D297353CC}">
                <c16:uniqueId val="{00000001-D173-4906-A916-7756D960CE74}"/>
              </c:ext>
            </c:extLst>
          </c:dPt>
          <c:dPt>
            <c:idx val="1"/>
            <c:invertIfNegative val="0"/>
            <c:bubble3D val="0"/>
            <c:spPr>
              <a:solidFill>
                <a:srgbClr val="009999"/>
              </a:solidFill>
              <a:ln>
                <a:solidFill>
                  <a:schemeClr val="tx1"/>
                </a:solidFill>
              </a:ln>
              <a:effectLst/>
            </c:spPr>
            <c:extLst>
              <c:ext xmlns:c16="http://schemas.microsoft.com/office/drawing/2014/chart" uri="{C3380CC4-5D6E-409C-BE32-E72D297353CC}">
                <c16:uniqueId val="{00000007-D173-4906-A916-7756D960CE74}"/>
              </c:ext>
            </c:extLst>
          </c:dPt>
          <c:dPt>
            <c:idx val="2"/>
            <c:invertIfNegative val="0"/>
            <c:bubble3D val="0"/>
            <c:spPr>
              <a:solidFill>
                <a:srgbClr val="BDFFFD"/>
              </a:solidFill>
              <a:ln>
                <a:solidFill>
                  <a:schemeClr val="tx1"/>
                </a:solidFill>
              </a:ln>
              <a:effectLst/>
            </c:spPr>
            <c:extLst>
              <c:ext xmlns:c16="http://schemas.microsoft.com/office/drawing/2014/chart" uri="{C3380CC4-5D6E-409C-BE32-E72D297353CC}">
                <c16:uniqueId val="{00000003-D173-4906-A916-7756D960CE74}"/>
              </c:ext>
            </c:extLst>
          </c:dPt>
          <c:dPt>
            <c:idx val="3"/>
            <c:invertIfNegative val="0"/>
            <c:bubble3D val="0"/>
            <c:spPr>
              <a:solidFill>
                <a:srgbClr val="2DA2BF"/>
              </a:solidFill>
              <a:ln>
                <a:solidFill>
                  <a:schemeClr val="tx1"/>
                </a:solidFill>
              </a:ln>
              <a:effectLst/>
            </c:spPr>
            <c:extLst>
              <c:ext xmlns:c16="http://schemas.microsoft.com/office/drawing/2014/chart" uri="{C3380CC4-5D6E-409C-BE32-E72D297353CC}">
                <c16:uniqueId val="{00000005-D173-4906-A916-7756D960CE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Score'!$F$54:$I$54</c:f>
              <c:numCache>
                <c:formatCode>mmm/yyyy</c:formatCode>
                <c:ptCount val="4"/>
                <c:pt idx="0">
                  <c:v>45016</c:v>
                </c:pt>
                <c:pt idx="1">
                  <c:v>45382</c:v>
                </c:pt>
                <c:pt idx="2">
                  <c:v>45747</c:v>
                </c:pt>
                <c:pt idx="3">
                  <c:v>46112</c:v>
                </c:pt>
              </c:numCache>
            </c:numRef>
          </c:cat>
          <c:val>
            <c:numRef>
              <c:f>'Altman''s z Score'!$F$63:$I$63</c:f>
              <c:numCache>
                <c:formatCode>0.00%</c:formatCode>
                <c:ptCount val="4"/>
                <c:pt idx="0">
                  <c:v>1.0934546097440434</c:v>
                </c:pt>
                <c:pt idx="1">
                  <c:v>1.1658391144838629</c:v>
                </c:pt>
                <c:pt idx="2">
                  <c:v>1.0510415268509106</c:v>
                </c:pt>
                <c:pt idx="3">
                  <c:v>1.0656293480518555</c:v>
                </c:pt>
              </c:numCache>
            </c:numRef>
          </c:val>
          <c:extLst>
            <c:ext xmlns:c16="http://schemas.microsoft.com/office/drawing/2014/chart" uri="{C3380CC4-5D6E-409C-BE32-E72D297353CC}">
              <c16:uniqueId val="{00000006-D173-4906-A916-7756D960CE74}"/>
            </c:ext>
          </c:extLst>
        </c:ser>
        <c:dLbls>
          <c:dLblPos val="outEnd"/>
          <c:showLegendKey val="0"/>
          <c:showVal val="1"/>
          <c:showCatName val="0"/>
          <c:showSerName val="0"/>
          <c:showPercent val="0"/>
          <c:showBubbleSize val="0"/>
        </c:dLbls>
        <c:gapWidth val="219"/>
        <c:overlap val="-27"/>
        <c:axId val="856828024"/>
        <c:axId val="856832344"/>
      </c:barChart>
      <c:dateAx>
        <c:axId val="856828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6832344"/>
        <c:crosses val="autoZero"/>
        <c:auto val="1"/>
        <c:lblOffset val="100"/>
        <c:baseTimeUnit val="years"/>
      </c:dateAx>
      <c:valAx>
        <c:axId val="856832344"/>
        <c:scaling>
          <c:orientation val="minMax"/>
        </c:scaling>
        <c:delete val="1"/>
        <c:axPos val="l"/>
        <c:numFmt formatCode="0.00%" sourceLinked="1"/>
        <c:majorTickMark val="none"/>
        <c:minorTickMark val="none"/>
        <c:tickLblPos val="nextTo"/>
        <c:crossAx val="8568280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solidFill>
                <a:schemeClr val="tx1"/>
              </a:solidFill>
            </a:ln>
            <a:effectLst/>
          </c:spPr>
          <c:invertIfNegative val="0"/>
          <c:dPt>
            <c:idx val="0"/>
            <c:invertIfNegative val="0"/>
            <c:bubble3D val="0"/>
            <c:spPr>
              <a:solidFill>
                <a:srgbClr val="009999"/>
              </a:solidFill>
              <a:ln>
                <a:solidFill>
                  <a:schemeClr val="tx1"/>
                </a:solidFill>
              </a:ln>
              <a:effectLst/>
            </c:spPr>
            <c:extLst>
              <c:ext xmlns:c16="http://schemas.microsoft.com/office/drawing/2014/chart" uri="{C3380CC4-5D6E-409C-BE32-E72D297353CC}">
                <c16:uniqueId val="{00000001-0DD5-4F76-BA97-E356698BBD01}"/>
              </c:ext>
            </c:extLst>
          </c:dPt>
          <c:dPt>
            <c:idx val="1"/>
            <c:invertIfNegative val="0"/>
            <c:bubble3D val="0"/>
            <c:spPr>
              <a:solidFill>
                <a:srgbClr val="00D6D1"/>
              </a:solidFill>
              <a:ln>
                <a:solidFill>
                  <a:schemeClr val="tx1"/>
                </a:solidFill>
              </a:ln>
              <a:effectLst/>
            </c:spPr>
            <c:extLst>
              <c:ext xmlns:c16="http://schemas.microsoft.com/office/drawing/2014/chart" uri="{C3380CC4-5D6E-409C-BE32-E72D297353CC}">
                <c16:uniqueId val="{00000007-0DD5-4F76-BA97-E356698BBD01}"/>
              </c:ext>
            </c:extLst>
          </c:dPt>
          <c:dPt>
            <c:idx val="2"/>
            <c:invertIfNegative val="0"/>
            <c:bubble3D val="0"/>
            <c:spPr>
              <a:solidFill>
                <a:srgbClr val="2DA2BF"/>
              </a:solidFill>
              <a:ln>
                <a:solidFill>
                  <a:schemeClr val="tx1"/>
                </a:solidFill>
              </a:ln>
              <a:effectLst/>
            </c:spPr>
            <c:extLst>
              <c:ext xmlns:c16="http://schemas.microsoft.com/office/drawing/2014/chart" uri="{C3380CC4-5D6E-409C-BE32-E72D297353CC}">
                <c16:uniqueId val="{00000003-0DD5-4F76-BA97-E356698BBD01}"/>
              </c:ext>
            </c:extLst>
          </c:dPt>
          <c:dPt>
            <c:idx val="3"/>
            <c:invertIfNegative val="0"/>
            <c:bubble3D val="0"/>
            <c:spPr>
              <a:solidFill>
                <a:srgbClr val="BDFFFD"/>
              </a:solidFill>
              <a:ln>
                <a:solidFill>
                  <a:schemeClr val="tx1"/>
                </a:solidFill>
              </a:ln>
              <a:effectLst/>
            </c:spPr>
            <c:extLst>
              <c:ext xmlns:c16="http://schemas.microsoft.com/office/drawing/2014/chart" uri="{C3380CC4-5D6E-409C-BE32-E72D297353CC}">
                <c16:uniqueId val="{00000005-0DD5-4F76-BA97-E356698BBD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Score'!$F$54:$I$54</c:f>
              <c:numCache>
                <c:formatCode>mmm/yyyy</c:formatCode>
                <c:ptCount val="4"/>
                <c:pt idx="0">
                  <c:v>45016</c:v>
                </c:pt>
                <c:pt idx="1">
                  <c:v>45382</c:v>
                </c:pt>
                <c:pt idx="2">
                  <c:v>45747</c:v>
                </c:pt>
                <c:pt idx="3">
                  <c:v>46112</c:v>
                </c:pt>
              </c:numCache>
            </c:numRef>
          </c:cat>
          <c:val>
            <c:numRef>
              <c:f>'Altman''s z Score'!$F$69:$I$69</c:f>
              <c:numCache>
                <c:formatCode>0.00%</c:formatCode>
                <c:ptCount val="4"/>
                <c:pt idx="0">
                  <c:v>0.17568467801628423</c:v>
                </c:pt>
                <c:pt idx="1">
                  <c:v>0.16616477002567598</c:v>
                </c:pt>
                <c:pt idx="2">
                  <c:v>0.13502275802681757</c:v>
                </c:pt>
                <c:pt idx="3">
                  <c:v>0.13178448176219018</c:v>
                </c:pt>
              </c:numCache>
            </c:numRef>
          </c:val>
          <c:extLst>
            <c:ext xmlns:c16="http://schemas.microsoft.com/office/drawing/2014/chart" uri="{C3380CC4-5D6E-409C-BE32-E72D297353CC}">
              <c16:uniqueId val="{00000006-0DD5-4F76-BA97-E356698BBD01}"/>
            </c:ext>
          </c:extLst>
        </c:ser>
        <c:dLbls>
          <c:dLblPos val="outEnd"/>
          <c:showLegendKey val="0"/>
          <c:showVal val="1"/>
          <c:showCatName val="0"/>
          <c:showSerName val="0"/>
          <c:showPercent val="0"/>
          <c:showBubbleSize val="0"/>
        </c:dLbls>
        <c:gapWidth val="219"/>
        <c:overlap val="-27"/>
        <c:axId val="856828024"/>
        <c:axId val="856832344"/>
      </c:barChart>
      <c:dateAx>
        <c:axId val="856828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6832344"/>
        <c:crosses val="autoZero"/>
        <c:auto val="1"/>
        <c:lblOffset val="100"/>
        <c:baseTimeUnit val="years"/>
      </c:dateAx>
      <c:valAx>
        <c:axId val="856832344"/>
        <c:scaling>
          <c:orientation val="minMax"/>
        </c:scaling>
        <c:delete val="1"/>
        <c:axPos val="l"/>
        <c:numFmt formatCode="0.00%" sourceLinked="1"/>
        <c:majorTickMark val="none"/>
        <c:minorTickMark val="none"/>
        <c:tickLblPos val="nextTo"/>
        <c:crossAx val="8568280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solidFill>
                <a:schemeClr val="tx1"/>
              </a:solidFill>
            </a:ln>
            <a:effectLst/>
          </c:spPr>
          <c:invertIfNegative val="0"/>
          <c:dPt>
            <c:idx val="0"/>
            <c:invertIfNegative val="0"/>
            <c:bubble3D val="0"/>
            <c:spPr>
              <a:solidFill>
                <a:srgbClr val="009999"/>
              </a:solidFill>
              <a:ln>
                <a:solidFill>
                  <a:schemeClr val="tx1"/>
                </a:solidFill>
              </a:ln>
              <a:effectLst/>
            </c:spPr>
            <c:extLst>
              <c:ext xmlns:c16="http://schemas.microsoft.com/office/drawing/2014/chart" uri="{C3380CC4-5D6E-409C-BE32-E72D297353CC}">
                <c16:uniqueId val="{00000001-0127-44C3-B923-C2D025A8E535}"/>
              </c:ext>
            </c:extLst>
          </c:dPt>
          <c:dPt>
            <c:idx val="1"/>
            <c:invertIfNegative val="0"/>
            <c:bubble3D val="0"/>
            <c:spPr>
              <a:solidFill>
                <a:srgbClr val="00D6D1"/>
              </a:solidFill>
              <a:ln>
                <a:solidFill>
                  <a:schemeClr val="tx1"/>
                </a:solidFill>
              </a:ln>
              <a:effectLst/>
            </c:spPr>
            <c:extLst>
              <c:ext xmlns:c16="http://schemas.microsoft.com/office/drawing/2014/chart" uri="{C3380CC4-5D6E-409C-BE32-E72D297353CC}">
                <c16:uniqueId val="{00000007-0127-44C3-B923-C2D025A8E535}"/>
              </c:ext>
            </c:extLst>
          </c:dPt>
          <c:dPt>
            <c:idx val="2"/>
            <c:invertIfNegative val="0"/>
            <c:bubble3D val="0"/>
            <c:spPr>
              <a:solidFill>
                <a:srgbClr val="BDFFFD"/>
              </a:solidFill>
              <a:ln>
                <a:solidFill>
                  <a:schemeClr val="tx1"/>
                </a:solidFill>
              </a:ln>
              <a:effectLst/>
            </c:spPr>
            <c:extLst>
              <c:ext xmlns:c16="http://schemas.microsoft.com/office/drawing/2014/chart" uri="{C3380CC4-5D6E-409C-BE32-E72D297353CC}">
                <c16:uniqueId val="{00000003-0127-44C3-B923-C2D025A8E535}"/>
              </c:ext>
            </c:extLst>
          </c:dPt>
          <c:dPt>
            <c:idx val="3"/>
            <c:invertIfNegative val="0"/>
            <c:bubble3D val="0"/>
            <c:spPr>
              <a:solidFill>
                <a:srgbClr val="2DA2BF"/>
              </a:solidFill>
              <a:ln>
                <a:solidFill>
                  <a:schemeClr val="tx1"/>
                </a:solidFill>
              </a:ln>
              <a:effectLst/>
            </c:spPr>
            <c:extLst>
              <c:ext xmlns:c16="http://schemas.microsoft.com/office/drawing/2014/chart" uri="{C3380CC4-5D6E-409C-BE32-E72D297353CC}">
                <c16:uniqueId val="{00000005-0127-44C3-B923-C2D025A8E5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Score'!$F$54:$I$54</c:f>
              <c:numCache>
                <c:formatCode>mmm/yyyy</c:formatCode>
                <c:ptCount val="4"/>
                <c:pt idx="0">
                  <c:v>45016</c:v>
                </c:pt>
                <c:pt idx="1">
                  <c:v>45382</c:v>
                </c:pt>
                <c:pt idx="2">
                  <c:v>45747</c:v>
                </c:pt>
                <c:pt idx="3">
                  <c:v>46112</c:v>
                </c:pt>
              </c:numCache>
            </c:numRef>
          </c:cat>
          <c:val>
            <c:numRef>
              <c:f>'Altman''s z Score'!$F$75:$I$75</c:f>
              <c:numCache>
                <c:formatCode>0.00%</c:formatCode>
                <c:ptCount val="4"/>
                <c:pt idx="0">
                  <c:v>23.836107825344296</c:v>
                </c:pt>
                <c:pt idx="1">
                  <c:v>21.736463420917055</c:v>
                </c:pt>
                <c:pt idx="2">
                  <c:v>13.089676709823362</c:v>
                </c:pt>
                <c:pt idx="3">
                  <c:v>13.291630972208614</c:v>
                </c:pt>
              </c:numCache>
            </c:numRef>
          </c:val>
          <c:extLst>
            <c:ext xmlns:c16="http://schemas.microsoft.com/office/drawing/2014/chart" uri="{C3380CC4-5D6E-409C-BE32-E72D297353CC}">
              <c16:uniqueId val="{00000006-0127-44C3-B923-C2D025A8E535}"/>
            </c:ext>
          </c:extLst>
        </c:ser>
        <c:dLbls>
          <c:dLblPos val="outEnd"/>
          <c:showLegendKey val="0"/>
          <c:showVal val="1"/>
          <c:showCatName val="0"/>
          <c:showSerName val="0"/>
          <c:showPercent val="0"/>
          <c:showBubbleSize val="0"/>
        </c:dLbls>
        <c:gapWidth val="219"/>
        <c:overlap val="-27"/>
        <c:axId val="856828024"/>
        <c:axId val="856832344"/>
      </c:barChart>
      <c:dateAx>
        <c:axId val="856828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6832344"/>
        <c:crosses val="autoZero"/>
        <c:auto val="1"/>
        <c:lblOffset val="100"/>
        <c:baseTimeUnit val="years"/>
      </c:dateAx>
      <c:valAx>
        <c:axId val="856832344"/>
        <c:scaling>
          <c:orientation val="minMax"/>
        </c:scaling>
        <c:delete val="1"/>
        <c:axPos val="l"/>
        <c:numFmt formatCode="0.00%" sourceLinked="1"/>
        <c:majorTickMark val="none"/>
        <c:minorTickMark val="none"/>
        <c:tickLblPos val="nextTo"/>
        <c:crossAx val="8568280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solidFill>
                <a:schemeClr val="tx1"/>
              </a:solidFill>
            </a:ln>
            <a:effectLst/>
          </c:spPr>
          <c:invertIfNegative val="0"/>
          <c:dPt>
            <c:idx val="0"/>
            <c:invertIfNegative val="0"/>
            <c:bubble3D val="0"/>
            <c:spPr>
              <a:solidFill>
                <a:srgbClr val="00D6D1"/>
              </a:solidFill>
              <a:ln>
                <a:solidFill>
                  <a:schemeClr val="tx1"/>
                </a:solidFill>
              </a:ln>
              <a:effectLst/>
            </c:spPr>
            <c:extLst>
              <c:ext xmlns:c16="http://schemas.microsoft.com/office/drawing/2014/chart" uri="{C3380CC4-5D6E-409C-BE32-E72D297353CC}">
                <c16:uniqueId val="{00000001-29FB-4BCA-B9CE-704097ED6E8B}"/>
              </c:ext>
            </c:extLst>
          </c:dPt>
          <c:dPt>
            <c:idx val="1"/>
            <c:invertIfNegative val="0"/>
            <c:bubble3D val="0"/>
            <c:spPr>
              <a:solidFill>
                <a:srgbClr val="009999"/>
              </a:solidFill>
              <a:ln>
                <a:solidFill>
                  <a:schemeClr val="tx1"/>
                </a:solidFill>
              </a:ln>
              <a:effectLst/>
            </c:spPr>
            <c:extLst>
              <c:ext xmlns:c16="http://schemas.microsoft.com/office/drawing/2014/chart" uri="{C3380CC4-5D6E-409C-BE32-E72D297353CC}">
                <c16:uniqueId val="{00000007-29FB-4BCA-B9CE-704097ED6E8B}"/>
              </c:ext>
            </c:extLst>
          </c:dPt>
          <c:dPt>
            <c:idx val="2"/>
            <c:invertIfNegative val="0"/>
            <c:bubble3D val="0"/>
            <c:spPr>
              <a:solidFill>
                <a:srgbClr val="2DA2BF"/>
              </a:solidFill>
              <a:ln>
                <a:solidFill>
                  <a:schemeClr val="tx1"/>
                </a:solidFill>
              </a:ln>
              <a:effectLst/>
            </c:spPr>
            <c:extLst>
              <c:ext xmlns:c16="http://schemas.microsoft.com/office/drawing/2014/chart" uri="{C3380CC4-5D6E-409C-BE32-E72D297353CC}">
                <c16:uniqueId val="{00000003-29FB-4BCA-B9CE-704097ED6E8B}"/>
              </c:ext>
            </c:extLst>
          </c:dPt>
          <c:dPt>
            <c:idx val="3"/>
            <c:invertIfNegative val="0"/>
            <c:bubble3D val="0"/>
            <c:spPr>
              <a:solidFill>
                <a:srgbClr val="BDFFFD"/>
              </a:solidFill>
              <a:ln>
                <a:solidFill>
                  <a:schemeClr val="tx1"/>
                </a:solidFill>
              </a:ln>
              <a:effectLst/>
            </c:spPr>
            <c:extLst>
              <c:ext xmlns:c16="http://schemas.microsoft.com/office/drawing/2014/chart" uri="{C3380CC4-5D6E-409C-BE32-E72D297353CC}">
                <c16:uniqueId val="{00000005-29FB-4BCA-B9CE-704097ED6E8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Score'!$F$54:$I$54</c:f>
              <c:numCache>
                <c:formatCode>mmm/yyyy</c:formatCode>
                <c:ptCount val="4"/>
                <c:pt idx="0">
                  <c:v>45016</c:v>
                </c:pt>
                <c:pt idx="1">
                  <c:v>45382</c:v>
                </c:pt>
                <c:pt idx="2">
                  <c:v>45747</c:v>
                </c:pt>
                <c:pt idx="3">
                  <c:v>46112</c:v>
                </c:pt>
              </c:numCache>
            </c:numRef>
          </c:cat>
          <c:val>
            <c:numRef>
              <c:f>'Altman''s z Score'!$F$81:$I$81</c:f>
              <c:numCache>
                <c:formatCode>0.00%</c:formatCode>
                <c:ptCount val="4"/>
                <c:pt idx="0">
                  <c:v>1.5016654330125834</c:v>
                </c:pt>
                <c:pt idx="1">
                  <c:v>1.619298190002219</c:v>
                </c:pt>
                <c:pt idx="2">
                  <c:v>1.4874154262516914</c:v>
                </c:pt>
                <c:pt idx="3">
                  <c:v>1.4462112580703754</c:v>
                </c:pt>
              </c:numCache>
            </c:numRef>
          </c:val>
          <c:extLst>
            <c:ext xmlns:c16="http://schemas.microsoft.com/office/drawing/2014/chart" uri="{C3380CC4-5D6E-409C-BE32-E72D297353CC}">
              <c16:uniqueId val="{00000006-29FB-4BCA-B9CE-704097ED6E8B}"/>
            </c:ext>
          </c:extLst>
        </c:ser>
        <c:dLbls>
          <c:dLblPos val="outEnd"/>
          <c:showLegendKey val="0"/>
          <c:showVal val="1"/>
          <c:showCatName val="0"/>
          <c:showSerName val="0"/>
          <c:showPercent val="0"/>
          <c:showBubbleSize val="0"/>
        </c:dLbls>
        <c:gapWidth val="219"/>
        <c:overlap val="-27"/>
        <c:axId val="856828024"/>
        <c:axId val="856832344"/>
      </c:barChart>
      <c:dateAx>
        <c:axId val="856828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6832344"/>
        <c:crosses val="autoZero"/>
        <c:auto val="1"/>
        <c:lblOffset val="100"/>
        <c:baseTimeUnit val="years"/>
      </c:dateAx>
      <c:valAx>
        <c:axId val="856832344"/>
        <c:scaling>
          <c:orientation val="minMax"/>
        </c:scaling>
        <c:delete val="1"/>
        <c:axPos val="l"/>
        <c:numFmt formatCode="0.00%" sourceLinked="1"/>
        <c:majorTickMark val="none"/>
        <c:minorTickMark val="none"/>
        <c:tickLblPos val="nextTo"/>
        <c:crossAx val="8568280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solidFill>
                <a:schemeClr val="tx1"/>
              </a:solidFill>
            </a:ln>
            <a:effectLst/>
          </c:spPr>
          <c:invertIfNegative val="0"/>
          <c:dPt>
            <c:idx val="0"/>
            <c:invertIfNegative val="0"/>
            <c:bubble3D val="0"/>
            <c:spPr>
              <a:solidFill>
                <a:srgbClr val="009999"/>
              </a:solidFill>
              <a:ln>
                <a:solidFill>
                  <a:schemeClr val="tx1"/>
                </a:solidFill>
              </a:ln>
              <a:effectLst/>
            </c:spPr>
            <c:extLst>
              <c:ext xmlns:c16="http://schemas.microsoft.com/office/drawing/2014/chart" uri="{C3380CC4-5D6E-409C-BE32-E72D297353CC}">
                <c16:uniqueId val="{00000001-BC10-4836-BA19-4B500895D354}"/>
              </c:ext>
            </c:extLst>
          </c:dPt>
          <c:dPt>
            <c:idx val="1"/>
            <c:invertIfNegative val="0"/>
            <c:bubble3D val="0"/>
            <c:spPr>
              <a:solidFill>
                <a:srgbClr val="00D6D1"/>
              </a:solidFill>
              <a:ln>
                <a:solidFill>
                  <a:schemeClr val="tx1"/>
                </a:solidFill>
              </a:ln>
              <a:effectLst/>
            </c:spPr>
            <c:extLst>
              <c:ext xmlns:c16="http://schemas.microsoft.com/office/drawing/2014/chart" uri="{C3380CC4-5D6E-409C-BE32-E72D297353CC}">
                <c16:uniqueId val="{00000007-BC10-4836-BA19-4B500895D354}"/>
              </c:ext>
            </c:extLst>
          </c:dPt>
          <c:dPt>
            <c:idx val="2"/>
            <c:invertIfNegative val="0"/>
            <c:bubble3D val="0"/>
            <c:spPr>
              <a:solidFill>
                <a:srgbClr val="BDFFFD"/>
              </a:solidFill>
              <a:ln>
                <a:solidFill>
                  <a:schemeClr val="tx1"/>
                </a:solidFill>
              </a:ln>
              <a:effectLst/>
            </c:spPr>
            <c:extLst>
              <c:ext xmlns:c16="http://schemas.microsoft.com/office/drawing/2014/chart" uri="{C3380CC4-5D6E-409C-BE32-E72D297353CC}">
                <c16:uniqueId val="{00000003-BC10-4836-BA19-4B500895D354}"/>
              </c:ext>
            </c:extLst>
          </c:dPt>
          <c:dPt>
            <c:idx val="3"/>
            <c:invertIfNegative val="0"/>
            <c:bubble3D val="0"/>
            <c:spPr>
              <a:solidFill>
                <a:srgbClr val="2DA2BF"/>
              </a:solidFill>
              <a:ln>
                <a:solidFill>
                  <a:schemeClr val="tx1"/>
                </a:solidFill>
              </a:ln>
              <a:effectLst/>
            </c:spPr>
            <c:extLst>
              <c:ext xmlns:c16="http://schemas.microsoft.com/office/drawing/2014/chart" uri="{C3380CC4-5D6E-409C-BE32-E72D297353CC}">
                <c16:uniqueId val="{00000005-BC10-4836-BA19-4B500895D35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Score'!$F$54:$I$54</c:f>
              <c:numCache>
                <c:formatCode>mmm/yyyy</c:formatCode>
                <c:ptCount val="4"/>
                <c:pt idx="0">
                  <c:v>45016</c:v>
                </c:pt>
                <c:pt idx="1">
                  <c:v>45382</c:v>
                </c:pt>
                <c:pt idx="2">
                  <c:v>45747</c:v>
                </c:pt>
                <c:pt idx="3">
                  <c:v>46112</c:v>
                </c:pt>
              </c:numCache>
            </c:numRef>
          </c:cat>
          <c:val>
            <c:numRef>
              <c:f>'Altman''s z Score'!$F$85:$I$85</c:f>
              <c:numCache>
                <c:formatCode>0.0</c:formatCode>
                <c:ptCount val="4"/>
                <c:pt idx="0">
                  <c:v>18.605014102216114</c:v>
                </c:pt>
                <c:pt idx="1">
                  <c:v>17.555677056020336</c:v>
                </c:pt>
                <c:pt idx="2">
                  <c:v>12.033139670927781</c:v>
                </c:pt>
                <c:pt idx="3">
                  <c:v>12.056871394314349</c:v>
                </c:pt>
              </c:numCache>
            </c:numRef>
          </c:val>
          <c:extLst>
            <c:ext xmlns:c16="http://schemas.microsoft.com/office/drawing/2014/chart" uri="{C3380CC4-5D6E-409C-BE32-E72D297353CC}">
              <c16:uniqueId val="{00000006-BC10-4836-BA19-4B500895D354}"/>
            </c:ext>
          </c:extLst>
        </c:ser>
        <c:dLbls>
          <c:dLblPos val="outEnd"/>
          <c:showLegendKey val="0"/>
          <c:showVal val="1"/>
          <c:showCatName val="0"/>
          <c:showSerName val="0"/>
          <c:showPercent val="0"/>
          <c:showBubbleSize val="0"/>
        </c:dLbls>
        <c:gapWidth val="219"/>
        <c:overlap val="-27"/>
        <c:axId val="856828024"/>
        <c:axId val="856832344"/>
      </c:barChart>
      <c:dateAx>
        <c:axId val="856828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6832344"/>
        <c:crosses val="autoZero"/>
        <c:auto val="1"/>
        <c:lblOffset val="100"/>
        <c:baseTimeUnit val="years"/>
      </c:dateAx>
      <c:valAx>
        <c:axId val="856832344"/>
        <c:scaling>
          <c:orientation val="minMax"/>
        </c:scaling>
        <c:delete val="1"/>
        <c:axPos val="l"/>
        <c:numFmt formatCode="0.0" sourceLinked="1"/>
        <c:majorTickMark val="none"/>
        <c:minorTickMark val="none"/>
        <c:tickLblPos val="nextTo"/>
        <c:crossAx val="8568280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009999"/>
              </a:solidFill>
              <a:round/>
            </a:ln>
            <a:effectLst/>
          </c:spPr>
          <c:marker>
            <c:symbol val="none"/>
          </c:marker>
          <c:cat>
            <c:numRef>
              <c:f>'Raw Data'!$B$3:$B$257</c:f>
              <c:numCache>
                <c:formatCode>m/d/yyyy</c:formatCode>
                <c:ptCount val="255"/>
                <c:pt idx="0">
                  <c:v>46213.645833333336</c:v>
                </c:pt>
                <c:pt idx="1">
                  <c:v>46206.645833333336</c:v>
                </c:pt>
                <c:pt idx="2">
                  <c:v>46198.645833333336</c:v>
                </c:pt>
                <c:pt idx="3">
                  <c:v>46192.645833333336</c:v>
                </c:pt>
                <c:pt idx="4">
                  <c:v>46185.645833333336</c:v>
                </c:pt>
                <c:pt idx="5">
                  <c:v>46178.645833333336</c:v>
                </c:pt>
                <c:pt idx="6">
                  <c:v>46171.645833333336</c:v>
                </c:pt>
                <c:pt idx="7">
                  <c:v>46164.645833333336</c:v>
                </c:pt>
                <c:pt idx="8">
                  <c:v>46157.645833333336</c:v>
                </c:pt>
                <c:pt idx="9">
                  <c:v>46150.645833333336</c:v>
                </c:pt>
                <c:pt idx="10">
                  <c:v>46142.645833333336</c:v>
                </c:pt>
                <c:pt idx="11">
                  <c:v>46136.645833333336</c:v>
                </c:pt>
                <c:pt idx="12">
                  <c:v>46129.645833333336</c:v>
                </c:pt>
                <c:pt idx="13">
                  <c:v>46122.645833333336</c:v>
                </c:pt>
                <c:pt idx="14">
                  <c:v>46114.645833333336</c:v>
                </c:pt>
                <c:pt idx="15">
                  <c:v>46108.645833333336</c:v>
                </c:pt>
                <c:pt idx="16">
                  <c:v>46101.645833333336</c:v>
                </c:pt>
                <c:pt idx="17">
                  <c:v>46094.645833333336</c:v>
                </c:pt>
                <c:pt idx="18">
                  <c:v>46087.645833333336</c:v>
                </c:pt>
                <c:pt idx="19">
                  <c:v>46080.645833333336</c:v>
                </c:pt>
                <c:pt idx="20">
                  <c:v>46073.645833333336</c:v>
                </c:pt>
                <c:pt idx="21">
                  <c:v>46066.645833333336</c:v>
                </c:pt>
                <c:pt idx="22">
                  <c:v>46059.645833333336</c:v>
                </c:pt>
                <c:pt idx="23">
                  <c:v>46052.645833333336</c:v>
                </c:pt>
                <c:pt idx="24">
                  <c:v>46045.645833333336</c:v>
                </c:pt>
                <c:pt idx="25">
                  <c:v>46038.645833333336</c:v>
                </c:pt>
                <c:pt idx="26">
                  <c:v>46031.645833333336</c:v>
                </c:pt>
                <c:pt idx="27">
                  <c:v>46024.645833333336</c:v>
                </c:pt>
                <c:pt idx="28">
                  <c:v>46017.645833333336</c:v>
                </c:pt>
                <c:pt idx="29">
                  <c:v>46010.645833333336</c:v>
                </c:pt>
                <c:pt idx="30">
                  <c:v>46003.645833333336</c:v>
                </c:pt>
                <c:pt idx="31">
                  <c:v>45996.645833333336</c:v>
                </c:pt>
                <c:pt idx="32">
                  <c:v>45989.645833333336</c:v>
                </c:pt>
                <c:pt idx="33">
                  <c:v>45982.645833333336</c:v>
                </c:pt>
                <c:pt idx="34">
                  <c:v>45975.645833333336</c:v>
                </c:pt>
                <c:pt idx="35">
                  <c:v>45968.645833333336</c:v>
                </c:pt>
                <c:pt idx="36">
                  <c:v>45961.645833333336</c:v>
                </c:pt>
                <c:pt idx="37">
                  <c:v>45954.645833333336</c:v>
                </c:pt>
                <c:pt idx="38">
                  <c:v>45947.645833333336</c:v>
                </c:pt>
                <c:pt idx="39">
                  <c:v>45940.645833333336</c:v>
                </c:pt>
                <c:pt idx="40">
                  <c:v>45933.645833333336</c:v>
                </c:pt>
                <c:pt idx="41">
                  <c:v>45926.645833333336</c:v>
                </c:pt>
                <c:pt idx="42">
                  <c:v>45919.645833333336</c:v>
                </c:pt>
                <c:pt idx="43">
                  <c:v>45912.645833333336</c:v>
                </c:pt>
                <c:pt idx="44">
                  <c:v>45905.645833333336</c:v>
                </c:pt>
                <c:pt idx="45">
                  <c:v>45898.645833333336</c:v>
                </c:pt>
                <c:pt idx="46">
                  <c:v>45891.645833333336</c:v>
                </c:pt>
                <c:pt idx="47">
                  <c:v>45883.645833333336</c:v>
                </c:pt>
                <c:pt idx="48">
                  <c:v>45877.645833333336</c:v>
                </c:pt>
                <c:pt idx="49">
                  <c:v>45870.645833333336</c:v>
                </c:pt>
                <c:pt idx="50">
                  <c:v>45863.645833333336</c:v>
                </c:pt>
                <c:pt idx="51">
                  <c:v>45856.645833333336</c:v>
                </c:pt>
                <c:pt idx="52">
                  <c:v>45849.645833333336</c:v>
                </c:pt>
                <c:pt idx="53">
                  <c:v>45842.645833333336</c:v>
                </c:pt>
                <c:pt idx="54">
                  <c:v>45835.645833333336</c:v>
                </c:pt>
                <c:pt idx="55">
                  <c:v>45828.645833333336</c:v>
                </c:pt>
                <c:pt idx="56">
                  <c:v>45821.645833333336</c:v>
                </c:pt>
                <c:pt idx="57">
                  <c:v>45814.645833333336</c:v>
                </c:pt>
                <c:pt idx="58">
                  <c:v>45807.645833333336</c:v>
                </c:pt>
                <c:pt idx="59">
                  <c:v>45800.645833333336</c:v>
                </c:pt>
                <c:pt idx="60">
                  <c:v>45793.645833333336</c:v>
                </c:pt>
                <c:pt idx="61">
                  <c:v>45786.645833333336</c:v>
                </c:pt>
                <c:pt idx="62">
                  <c:v>45779.645833333336</c:v>
                </c:pt>
                <c:pt idx="63">
                  <c:v>45772.645833333336</c:v>
                </c:pt>
                <c:pt idx="64">
                  <c:v>45764.645833333336</c:v>
                </c:pt>
                <c:pt idx="65">
                  <c:v>45758.645833333336</c:v>
                </c:pt>
                <c:pt idx="66">
                  <c:v>45751.645833333336</c:v>
                </c:pt>
                <c:pt idx="67">
                  <c:v>45744.645833333336</c:v>
                </c:pt>
                <c:pt idx="68">
                  <c:v>45737.645833333336</c:v>
                </c:pt>
                <c:pt idx="69">
                  <c:v>45729.645833333336</c:v>
                </c:pt>
                <c:pt idx="70">
                  <c:v>45723.645833333336</c:v>
                </c:pt>
                <c:pt idx="71">
                  <c:v>45716.645833333336</c:v>
                </c:pt>
                <c:pt idx="72">
                  <c:v>45709.645833333336</c:v>
                </c:pt>
                <c:pt idx="73">
                  <c:v>45702.645833333336</c:v>
                </c:pt>
                <c:pt idx="74">
                  <c:v>45695.645833333336</c:v>
                </c:pt>
                <c:pt idx="75">
                  <c:v>45681.645833333336</c:v>
                </c:pt>
                <c:pt idx="76">
                  <c:v>45674.645833333336</c:v>
                </c:pt>
                <c:pt idx="77">
                  <c:v>45667.645833333336</c:v>
                </c:pt>
                <c:pt idx="78">
                  <c:v>45660.645833333336</c:v>
                </c:pt>
                <c:pt idx="79">
                  <c:v>45653.645833333336</c:v>
                </c:pt>
                <c:pt idx="80">
                  <c:v>45646.645833333336</c:v>
                </c:pt>
                <c:pt idx="81">
                  <c:v>45639.645833333336</c:v>
                </c:pt>
                <c:pt idx="82">
                  <c:v>45632.645833333336</c:v>
                </c:pt>
                <c:pt idx="83">
                  <c:v>45625.645833333336</c:v>
                </c:pt>
                <c:pt idx="84">
                  <c:v>45618.645833333336</c:v>
                </c:pt>
                <c:pt idx="85">
                  <c:v>45610.645833333336</c:v>
                </c:pt>
                <c:pt idx="86">
                  <c:v>45604.645833333336</c:v>
                </c:pt>
                <c:pt idx="87">
                  <c:v>45590.645833333336</c:v>
                </c:pt>
                <c:pt idx="88">
                  <c:v>45583.645833333336</c:v>
                </c:pt>
                <c:pt idx="89">
                  <c:v>45576.645833333336</c:v>
                </c:pt>
                <c:pt idx="90">
                  <c:v>45569.645833333336</c:v>
                </c:pt>
                <c:pt idx="91">
                  <c:v>45562.645833333336</c:v>
                </c:pt>
                <c:pt idx="92">
                  <c:v>45555.645833333336</c:v>
                </c:pt>
                <c:pt idx="93">
                  <c:v>45548.645833333336</c:v>
                </c:pt>
                <c:pt idx="94">
                  <c:v>45541.645833333336</c:v>
                </c:pt>
                <c:pt idx="95">
                  <c:v>45534.645833333336</c:v>
                </c:pt>
                <c:pt idx="96">
                  <c:v>45527.645833333336</c:v>
                </c:pt>
                <c:pt idx="97">
                  <c:v>45520.645833333336</c:v>
                </c:pt>
                <c:pt idx="98">
                  <c:v>45513.645833333336</c:v>
                </c:pt>
                <c:pt idx="99">
                  <c:v>45506.645833333336</c:v>
                </c:pt>
                <c:pt idx="100">
                  <c:v>45499.645833333336</c:v>
                </c:pt>
                <c:pt idx="101">
                  <c:v>45492.645833333336</c:v>
                </c:pt>
                <c:pt idx="102">
                  <c:v>45485.645833333336</c:v>
                </c:pt>
                <c:pt idx="103">
                  <c:v>45478.645833333336</c:v>
                </c:pt>
                <c:pt idx="104">
                  <c:v>45471.645833333336</c:v>
                </c:pt>
                <c:pt idx="105">
                  <c:v>45464.645833333336</c:v>
                </c:pt>
                <c:pt idx="106">
                  <c:v>45457.645833333336</c:v>
                </c:pt>
                <c:pt idx="107">
                  <c:v>45450.645833333336</c:v>
                </c:pt>
                <c:pt idx="108">
                  <c:v>45443.645833333336</c:v>
                </c:pt>
                <c:pt idx="109">
                  <c:v>45436.645833333336</c:v>
                </c:pt>
                <c:pt idx="110">
                  <c:v>45422.645833333336</c:v>
                </c:pt>
                <c:pt idx="111">
                  <c:v>45415.645833333336</c:v>
                </c:pt>
                <c:pt idx="112">
                  <c:v>45408.645833333336</c:v>
                </c:pt>
                <c:pt idx="113">
                  <c:v>45401.645833333336</c:v>
                </c:pt>
                <c:pt idx="114">
                  <c:v>45394.645833333336</c:v>
                </c:pt>
                <c:pt idx="115">
                  <c:v>45387.645833333336</c:v>
                </c:pt>
                <c:pt idx="116">
                  <c:v>45379.645833333336</c:v>
                </c:pt>
                <c:pt idx="117">
                  <c:v>45373.645833333336</c:v>
                </c:pt>
                <c:pt idx="118">
                  <c:v>45366.645833333336</c:v>
                </c:pt>
                <c:pt idx="119">
                  <c:v>45358.645833333336</c:v>
                </c:pt>
                <c:pt idx="120">
                  <c:v>45345.645833333336</c:v>
                </c:pt>
                <c:pt idx="121">
                  <c:v>45338.645833333336</c:v>
                </c:pt>
                <c:pt idx="122">
                  <c:v>45331.645833333336</c:v>
                </c:pt>
                <c:pt idx="123">
                  <c:v>45324.645833333336</c:v>
                </c:pt>
                <c:pt idx="124">
                  <c:v>45316.645833333336</c:v>
                </c:pt>
                <c:pt idx="125">
                  <c:v>45303.645833333336</c:v>
                </c:pt>
                <c:pt idx="126">
                  <c:v>45296.645833333336</c:v>
                </c:pt>
                <c:pt idx="127">
                  <c:v>45289.645833333336</c:v>
                </c:pt>
                <c:pt idx="128">
                  <c:v>45282.645833333336</c:v>
                </c:pt>
                <c:pt idx="129">
                  <c:v>45275.645833333336</c:v>
                </c:pt>
                <c:pt idx="130">
                  <c:v>45268.645833333336</c:v>
                </c:pt>
                <c:pt idx="131">
                  <c:v>45261.645833333336</c:v>
                </c:pt>
                <c:pt idx="132">
                  <c:v>45254.645833333336</c:v>
                </c:pt>
                <c:pt idx="133">
                  <c:v>45247.645833333336</c:v>
                </c:pt>
                <c:pt idx="134">
                  <c:v>45240.645833333336</c:v>
                </c:pt>
                <c:pt idx="135">
                  <c:v>45233.645833333336</c:v>
                </c:pt>
                <c:pt idx="136">
                  <c:v>45226.645833333336</c:v>
                </c:pt>
                <c:pt idx="137">
                  <c:v>45219.645833333336</c:v>
                </c:pt>
                <c:pt idx="138">
                  <c:v>45212.645833333336</c:v>
                </c:pt>
                <c:pt idx="139">
                  <c:v>45205.645833333336</c:v>
                </c:pt>
                <c:pt idx="140">
                  <c:v>45198.645833333336</c:v>
                </c:pt>
                <c:pt idx="141">
                  <c:v>45191.645833333336</c:v>
                </c:pt>
                <c:pt idx="142">
                  <c:v>45184.645833333336</c:v>
                </c:pt>
                <c:pt idx="143">
                  <c:v>45177.645833333336</c:v>
                </c:pt>
                <c:pt idx="144">
                  <c:v>45170.645833333336</c:v>
                </c:pt>
                <c:pt idx="145">
                  <c:v>45163.645833333336</c:v>
                </c:pt>
                <c:pt idx="146">
                  <c:v>45156.645833333336</c:v>
                </c:pt>
                <c:pt idx="147">
                  <c:v>45149.645833333336</c:v>
                </c:pt>
                <c:pt idx="148">
                  <c:v>45142.645833333336</c:v>
                </c:pt>
                <c:pt idx="149">
                  <c:v>45135.645833333336</c:v>
                </c:pt>
                <c:pt idx="150">
                  <c:v>45128.645833333336</c:v>
                </c:pt>
                <c:pt idx="151">
                  <c:v>45121.645833333336</c:v>
                </c:pt>
                <c:pt idx="152">
                  <c:v>45114.645833333336</c:v>
                </c:pt>
                <c:pt idx="153">
                  <c:v>45107.645833333336</c:v>
                </c:pt>
                <c:pt idx="154">
                  <c:v>45100.645833333336</c:v>
                </c:pt>
                <c:pt idx="155">
                  <c:v>45093.645833333336</c:v>
                </c:pt>
                <c:pt idx="156">
                  <c:v>45086.645833333336</c:v>
                </c:pt>
                <c:pt idx="157">
                  <c:v>45079.645833333336</c:v>
                </c:pt>
                <c:pt idx="158">
                  <c:v>45072.645833333336</c:v>
                </c:pt>
                <c:pt idx="159">
                  <c:v>45065.645833333336</c:v>
                </c:pt>
                <c:pt idx="160">
                  <c:v>45058.645833333336</c:v>
                </c:pt>
                <c:pt idx="161">
                  <c:v>45051.645833333336</c:v>
                </c:pt>
                <c:pt idx="162">
                  <c:v>45044.645833333336</c:v>
                </c:pt>
                <c:pt idx="163">
                  <c:v>45037.645833333336</c:v>
                </c:pt>
                <c:pt idx="164">
                  <c:v>45029.645833333336</c:v>
                </c:pt>
                <c:pt idx="165">
                  <c:v>45022.645833333336</c:v>
                </c:pt>
                <c:pt idx="166">
                  <c:v>45016.645833333336</c:v>
                </c:pt>
                <c:pt idx="167">
                  <c:v>45009.645833333336</c:v>
                </c:pt>
                <c:pt idx="168">
                  <c:v>45002.645833333336</c:v>
                </c:pt>
                <c:pt idx="169">
                  <c:v>44995.645833333336</c:v>
                </c:pt>
                <c:pt idx="170">
                  <c:v>44988.645833333336</c:v>
                </c:pt>
                <c:pt idx="171">
                  <c:v>44981.645833333336</c:v>
                </c:pt>
                <c:pt idx="172">
                  <c:v>44974.645833333336</c:v>
                </c:pt>
                <c:pt idx="173">
                  <c:v>44967.645833333336</c:v>
                </c:pt>
                <c:pt idx="174">
                  <c:v>44960.645833333336</c:v>
                </c:pt>
                <c:pt idx="175">
                  <c:v>44953.645833333336</c:v>
                </c:pt>
                <c:pt idx="176">
                  <c:v>44946.645833333336</c:v>
                </c:pt>
                <c:pt idx="177">
                  <c:v>44939.645833333336</c:v>
                </c:pt>
                <c:pt idx="178">
                  <c:v>44932.645833333336</c:v>
                </c:pt>
                <c:pt idx="179">
                  <c:v>44925.645833333336</c:v>
                </c:pt>
                <c:pt idx="180">
                  <c:v>44918.645833333336</c:v>
                </c:pt>
                <c:pt idx="181">
                  <c:v>44911.645833333336</c:v>
                </c:pt>
                <c:pt idx="182">
                  <c:v>44904.645833333336</c:v>
                </c:pt>
                <c:pt idx="183">
                  <c:v>44897.645833333336</c:v>
                </c:pt>
                <c:pt idx="184">
                  <c:v>44890.645833333336</c:v>
                </c:pt>
                <c:pt idx="185">
                  <c:v>44883.645833333336</c:v>
                </c:pt>
                <c:pt idx="186">
                  <c:v>44876.645833333336</c:v>
                </c:pt>
                <c:pt idx="187">
                  <c:v>44869.645833333336</c:v>
                </c:pt>
                <c:pt idx="188">
                  <c:v>44862.645833333336</c:v>
                </c:pt>
                <c:pt idx="189">
                  <c:v>44855.645833333336</c:v>
                </c:pt>
                <c:pt idx="190">
                  <c:v>44848.645833333336</c:v>
                </c:pt>
                <c:pt idx="191">
                  <c:v>44841.645833333336</c:v>
                </c:pt>
                <c:pt idx="192">
                  <c:v>44834.645833333336</c:v>
                </c:pt>
                <c:pt idx="193">
                  <c:v>44827.645833333336</c:v>
                </c:pt>
                <c:pt idx="194">
                  <c:v>44820.645833333336</c:v>
                </c:pt>
                <c:pt idx="195">
                  <c:v>44813.645833333336</c:v>
                </c:pt>
                <c:pt idx="196">
                  <c:v>44806.645833333336</c:v>
                </c:pt>
                <c:pt idx="197">
                  <c:v>44799.645833333336</c:v>
                </c:pt>
                <c:pt idx="198">
                  <c:v>44792.645833333336</c:v>
                </c:pt>
                <c:pt idx="199">
                  <c:v>44785.645833333336</c:v>
                </c:pt>
                <c:pt idx="200">
                  <c:v>44778.645833333336</c:v>
                </c:pt>
                <c:pt idx="201">
                  <c:v>44771.645833333336</c:v>
                </c:pt>
                <c:pt idx="202">
                  <c:v>44764.645833333336</c:v>
                </c:pt>
                <c:pt idx="203">
                  <c:v>44757.645833333336</c:v>
                </c:pt>
                <c:pt idx="204">
                  <c:v>44750.645833333336</c:v>
                </c:pt>
                <c:pt idx="205">
                  <c:v>44743.645833333336</c:v>
                </c:pt>
                <c:pt idx="206">
                  <c:v>44736.645833333336</c:v>
                </c:pt>
                <c:pt idx="207">
                  <c:v>44729.645833333336</c:v>
                </c:pt>
                <c:pt idx="208">
                  <c:v>44722.645833333336</c:v>
                </c:pt>
                <c:pt idx="209">
                  <c:v>44715.645833333336</c:v>
                </c:pt>
                <c:pt idx="210">
                  <c:v>44708.645833333336</c:v>
                </c:pt>
                <c:pt idx="211">
                  <c:v>44701.645833333336</c:v>
                </c:pt>
                <c:pt idx="212">
                  <c:v>44694.645833333336</c:v>
                </c:pt>
                <c:pt idx="213">
                  <c:v>44687.645833333336</c:v>
                </c:pt>
                <c:pt idx="214">
                  <c:v>44680.645833333336</c:v>
                </c:pt>
                <c:pt idx="215">
                  <c:v>44673.645833333336</c:v>
                </c:pt>
                <c:pt idx="216">
                  <c:v>44664.645833333336</c:v>
                </c:pt>
                <c:pt idx="217">
                  <c:v>44659.645833333336</c:v>
                </c:pt>
                <c:pt idx="218">
                  <c:v>44652.645833333336</c:v>
                </c:pt>
                <c:pt idx="219">
                  <c:v>44645.645833333336</c:v>
                </c:pt>
                <c:pt idx="220">
                  <c:v>44637.645833333336</c:v>
                </c:pt>
                <c:pt idx="221">
                  <c:v>44631.645833333336</c:v>
                </c:pt>
                <c:pt idx="222">
                  <c:v>44624.645833333336</c:v>
                </c:pt>
                <c:pt idx="223">
                  <c:v>44617.645833333336</c:v>
                </c:pt>
                <c:pt idx="224">
                  <c:v>44610.645833333336</c:v>
                </c:pt>
                <c:pt idx="225">
                  <c:v>44603.645833333336</c:v>
                </c:pt>
                <c:pt idx="226">
                  <c:v>44596.645833333336</c:v>
                </c:pt>
                <c:pt idx="227">
                  <c:v>44589.645833333336</c:v>
                </c:pt>
                <c:pt idx="228">
                  <c:v>44582.645833333336</c:v>
                </c:pt>
                <c:pt idx="229">
                  <c:v>44575.645833333336</c:v>
                </c:pt>
                <c:pt idx="230">
                  <c:v>44568.645833333336</c:v>
                </c:pt>
                <c:pt idx="231">
                  <c:v>44561.645833333336</c:v>
                </c:pt>
                <c:pt idx="232">
                  <c:v>44554.645833333336</c:v>
                </c:pt>
                <c:pt idx="233">
                  <c:v>44547.645833333336</c:v>
                </c:pt>
                <c:pt idx="234">
                  <c:v>44540.645833333336</c:v>
                </c:pt>
                <c:pt idx="235">
                  <c:v>44533.645833333336</c:v>
                </c:pt>
                <c:pt idx="236">
                  <c:v>44526.645833333336</c:v>
                </c:pt>
                <c:pt idx="237">
                  <c:v>44518.645833333336</c:v>
                </c:pt>
                <c:pt idx="238">
                  <c:v>44512.645833333336</c:v>
                </c:pt>
                <c:pt idx="239">
                  <c:v>44504.802083333336</c:v>
                </c:pt>
                <c:pt idx="240">
                  <c:v>44498.645833333336</c:v>
                </c:pt>
                <c:pt idx="241">
                  <c:v>44491.645833333336</c:v>
                </c:pt>
                <c:pt idx="242">
                  <c:v>44483.645833333336</c:v>
                </c:pt>
                <c:pt idx="243">
                  <c:v>44477.645833333336</c:v>
                </c:pt>
                <c:pt idx="244">
                  <c:v>44470.645833333336</c:v>
                </c:pt>
                <c:pt idx="245">
                  <c:v>44463.645833333336</c:v>
                </c:pt>
                <c:pt idx="246">
                  <c:v>44456.645833333336</c:v>
                </c:pt>
                <c:pt idx="247">
                  <c:v>44448.645833333336</c:v>
                </c:pt>
                <c:pt idx="248">
                  <c:v>44442.645833333336</c:v>
                </c:pt>
                <c:pt idx="249">
                  <c:v>44435.645833333336</c:v>
                </c:pt>
                <c:pt idx="250">
                  <c:v>44428.645833333336</c:v>
                </c:pt>
                <c:pt idx="251">
                  <c:v>44421.645833333336</c:v>
                </c:pt>
                <c:pt idx="252">
                  <c:v>44414.645833333336</c:v>
                </c:pt>
                <c:pt idx="253">
                  <c:v>44407.645833333336</c:v>
                </c:pt>
                <c:pt idx="254">
                  <c:v>44400.645833333336</c:v>
                </c:pt>
              </c:numCache>
            </c:numRef>
          </c:cat>
          <c:val>
            <c:numRef>
              <c:f>'Raw Data'!$C$3:$C$257</c:f>
              <c:numCache>
                <c:formatCode>General</c:formatCode>
                <c:ptCount val="255"/>
                <c:pt idx="0">
                  <c:v>4584.3999999999996</c:v>
                </c:pt>
                <c:pt idx="1">
                  <c:v>4461.1000000000004</c:v>
                </c:pt>
                <c:pt idx="2">
                  <c:v>4291.3</c:v>
                </c:pt>
                <c:pt idx="3">
                  <c:v>4419.8999999999996</c:v>
                </c:pt>
                <c:pt idx="4">
                  <c:v>4184</c:v>
                </c:pt>
                <c:pt idx="5">
                  <c:v>4260.2</c:v>
                </c:pt>
                <c:pt idx="6">
                  <c:v>4074.9</c:v>
                </c:pt>
                <c:pt idx="7">
                  <c:v>4079.8</c:v>
                </c:pt>
                <c:pt idx="8">
                  <c:v>4169.1000000000004</c:v>
                </c:pt>
                <c:pt idx="9">
                  <c:v>4509</c:v>
                </c:pt>
                <c:pt idx="10">
                  <c:v>4385.2</c:v>
                </c:pt>
                <c:pt idx="11">
                  <c:v>4410</c:v>
                </c:pt>
                <c:pt idx="12">
                  <c:v>4525.8999999999996</c:v>
                </c:pt>
                <c:pt idx="13">
                  <c:v>4505</c:v>
                </c:pt>
                <c:pt idx="14">
                  <c:v>4097.2</c:v>
                </c:pt>
                <c:pt idx="15">
                  <c:v>3981.5</c:v>
                </c:pt>
                <c:pt idx="16">
                  <c:v>4106.6000000000004</c:v>
                </c:pt>
                <c:pt idx="17">
                  <c:v>4073.2</c:v>
                </c:pt>
                <c:pt idx="18">
                  <c:v>4244.6000000000004</c:v>
                </c:pt>
                <c:pt idx="19">
                  <c:v>4327.5</c:v>
                </c:pt>
                <c:pt idx="20">
                  <c:v>4236.3999999999996</c:v>
                </c:pt>
                <c:pt idx="21">
                  <c:v>4179.2</c:v>
                </c:pt>
                <c:pt idx="22">
                  <c:v>4141</c:v>
                </c:pt>
                <c:pt idx="23">
                  <c:v>3977.4</c:v>
                </c:pt>
                <c:pt idx="24">
                  <c:v>4021.8</c:v>
                </c:pt>
                <c:pt idx="25">
                  <c:v>4196.8999999999996</c:v>
                </c:pt>
                <c:pt idx="26">
                  <c:v>4201.8</c:v>
                </c:pt>
                <c:pt idx="27">
                  <c:v>4051.7</c:v>
                </c:pt>
                <c:pt idx="28">
                  <c:v>3992</c:v>
                </c:pt>
                <c:pt idx="29">
                  <c:v>3930.1</c:v>
                </c:pt>
                <c:pt idx="30">
                  <c:v>3880.2</c:v>
                </c:pt>
                <c:pt idx="31">
                  <c:v>3813.3</c:v>
                </c:pt>
                <c:pt idx="32">
                  <c:v>3907.7</c:v>
                </c:pt>
                <c:pt idx="33">
                  <c:v>3904.2</c:v>
                </c:pt>
                <c:pt idx="34">
                  <c:v>3829.2</c:v>
                </c:pt>
                <c:pt idx="35">
                  <c:v>3769.3</c:v>
                </c:pt>
                <c:pt idx="36">
                  <c:v>3746.7</c:v>
                </c:pt>
                <c:pt idx="37">
                  <c:v>3714.9</c:v>
                </c:pt>
                <c:pt idx="38">
                  <c:v>3674.8</c:v>
                </c:pt>
                <c:pt idx="39">
                  <c:v>3531.9</c:v>
                </c:pt>
                <c:pt idx="40">
                  <c:v>3453.3</c:v>
                </c:pt>
                <c:pt idx="41">
                  <c:v>3327.3</c:v>
                </c:pt>
                <c:pt idx="42">
                  <c:v>3467.2</c:v>
                </c:pt>
                <c:pt idx="43">
                  <c:v>3571.9</c:v>
                </c:pt>
                <c:pt idx="44">
                  <c:v>3665.3</c:v>
                </c:pt>
                <c:pt idx="45">
                  <c:v>3628.8</c:v>
                </c:pt>
                <c:pt idx="46">
                  <c:v>3621</c:v>
                </c:pt>
                <c:pt idx="47">
                  <c:v>3489.4</c:v>
                </c:pt>
                <c:pt idx="48">
                  <c:v>3460.2</c:v>
                </c:pt>
                <c:pt idx="49">
                  <c:v>3316</c:v>
                </c:pt>
                <c:pt idx="50">
                  <c:v>3462.8</c:v>
                </c:pt>
                <c:pt idx="51">
                  <c:v>3402.9</c:v>
                </c:pt>
                <c:pt idx="52">
                  <c:v>3361.6</c:v>
                </c:pt>
                <c:pt idx="53">
                  <c:v>3686.9</c:v>
                </c:pt>
                <c:pt idx="54">
                  <c:v>3666.2</c:v>
                </c:pt>
                <c:pt idx="55">
                  <c:v>3519</c:v>
                </c:pt>
                <c:pt idx="56">
                  <c:v>3421.9</c:v>
                </c:pt>
                <c:pt idx="57">
                  <c:v>3559.9</c:v>
                </c:pt>
                <c:pt idx="58">
                  <c:v>3555</c:v>
                </c:pt>
                <c:pt idx="59">
                  <c:v>3579.7</c:v>
                </c:pt>
                <c:pt idx="60">
                  <c:v>3633.7</c:v>
                </c:pt>
                <c:pt idx="61">
                  <c:v>3510.3</c:v>
                </c:pt>
                <c:pt idx="62">
                  <c:v>3341</c:v>
                </c:pt>
                <c:pt idx="63">
                  <c:v>3365.2</c:v>
                </c:pt>
                <c:pt idx="64">
                  <c:v>3327.5</c:v>
                </c:pt>
                <c:pt idx="65">
                  <c:v>3234.9</c:v>
                </c:pt>
                <c:pt idx="66">
                  <c:v>3076.2</c:v>
                </c:pt>
                <c:pt idx="67">
                  <c:v>3063.35</c:v>
                </c:pt>
                <c:pt idx="68">
                  <c:v>3162.7</c:v>
                </c:pt>
                <c:pt idx="69">
                  <c:v>3010.15</c:v>
                </c:pt>
                <c:pt idx="70">
                  <c:v>3079.35</c:v>
                </c:pt>
                <c:pt idx="71">
                  <c:v>3077.25</c:v>
                </c:pt>
                <c:pt idx="72">
                  <c:v>3179.9</c:v>
                </c:pt>
                <c:pt idx="73">
                  <c:v>3213.25</c:v>
                </c:pt>
                <c:pt idx="74">
                  <c:v>3424.8</c:v>
                </c:pt>
                <c:pt idx="75">
                  <c:v>3402.15</c:v>
                </c:pt>
                <c:pt idx="76">
                  <c:v>3357.4</c:v>
                </c:pt>
                <c:pt idx="77">
                  <c:v>3440.25</c:v>
                </c:pt>
                <c:pt idx="78">
                  <c:v>3451.65</c:v>
                </c:pt>
                <c:pt idx="79">
                  <c:v>3309.2</c:v>
                </c:pt>
                <c:pt idx="80">
                  <c:v>3356.25</c:v>
                </c:pt>
                <c:pt idx="81">
                  <c:v>3508.85</c:v>
                </c:pt>
                <c:pt idx="82">
                  <c:v>3470.1</c:v>
                </c:pt>
                <c:pt idx="83">
                  <c:v>3249</c:v>
                </c:pt>
                <c:pt idx="84">
                  <c:v>3308.7</c:v>
                </c:pt>
                <c:pt idx="85">
                  <c:v>3183.7</c:v>
                </c:pt>
                <c:pt idx="86">
                  <c:v>3186.25</c:v>
                </c:pt>
                <c:pt idx="87">
                  <c:v>3266.55</c:v>
                </c:pt>
                <c:pt idx="88">
                  <c:v>3381.45</c:v>
                </c:pt>
                <c:pt idx="89">
                  <c:v>3474.4</c:v>
                </c:pt>
                <c:pt idx="90">
                  <c:v>3670.1</c:v>
                </c:pt>
                <c:pt idx="91">
                  <c:v>3816.7</c:v>
                </c:pt>
                <c:pt idx="92">
                  <c:v>3797.2</c:v>
                </c:pt>
                <c:pt idx="93">
                  <c:v>3767</c:v>
                </c:pt>
                <c:pt idx="94">
                  <c:v>3695.5</c:v>
                </c:pt>
                <c:pt idx="95">
                  <c:v>3565.15</c:v>
                </c:pt>
                <c:pt idx="96">
                  <c:v>3570</c:v>
                </c:pt>
                <c:pt idx="97">
                  <c:v>3444.75</c:v>
                </c:pt>
                <c:pt idx="98">
                  <c:v>3331.7</c:v>
                </c:pt>
                <c:pt idx="99">
                  <c:v>3462.35</c:v>
                </c:pt>
                <c:pt idx="100">
                  <c:v>3494.15</c:v>
                </c:pt>
                <c:pt idx="101">
                  <c:v>3259</c:v>
                </c:pt>
                <c:pt idx="102">
                  <c:v>3229.85</c:v>
                </c:pt>
                <c:pt idx="103">
                  <c:v>3269.35</c:v>
                </c:pt>
                <c:pt idx="104">
                  <c:v>3404.2</c:v>
                </c:pt>
                <c:pt idx="105">
                  <c:v>3399.75</c:v>
                </c:pt>
                <c:pt idx="106">
                  <c:v>3530.05</c:v>
                </c:pt>
                <c:pt idx="107">
                  <c:v>3444.05</c:v>
                </c:pt>
                <c:pt idx="108">
                  <c:v>3241.9</c:v>
                </c:pt>
                <c:pt idx="109">
                  <c:v>3412.4</c:v>
                </c:pt>
                <c:pt idx="110">
                  <c:v>3289.85</c:v>
                </c:pt>
                <c:pt idx="111">
                  <c:v>3533.9</c:v>
                </c:pt>
                <c:pt idx="112">
                  <c:v>3584.8</c:v>
                </c:pt>
                <c:pt idx="113">
                  <c:v>3563.05</c:v>
                </c:pt>
                <c:pt idx="114">
                  <c:v>3619.3</c:v>
                </c:pt>
                <c:pt idx="115">
                  <c:v>3754.45</c:v>
                </c:pt>
                <c:pt idx="116">
                  <c:v>3801.8</c:v>
                </c:pt>
                <c:pt idx="117">
                  <c:v>3706.7</c:v>
                </c:pt>
                <c:pt idx="118">
                  <c:v>3633.2</c:v>
                </c:pt>
                <c:pt idx="119">
                  <c:v>3786.9</c:v>
                </c:pt>
                <c:pt idx="120">
                  <c:v>3691.95</c:v>
                </c:pt>
                <c:pt idx="121">
                  <c:v>3655.4</c:v>
                </c:pt>
                <c:pt idx="122">
                  <c:v>3591.6</c:v>
                </c:pt>
                <c:pt idx="123">
                  <c:v>3612.4</c:v>
                </c:pt>
                <c:pt idx="124">
                  <c:v>3770.2</c:v>
                </c:pt>
                <c:pt idx="125">
                  <c:v>3726</c:v>
                </c:pt>
                <c:pt idx="126">
                  <c:v>3712.55</c:v>
                </c:pt>
                <c:pt idx="127">
                  <c:v>3675.45</c:v>
                </c:pt>
                <c:pt idx="128">
                  <c:v>3627.35</c:v>
                </c:pt>
                <c:pt idx="129">
                  <c:v>3600.55</c:v>
                </c:pt>
                <c:pt idx="130">
                  <c:v>3634.65</c:v>
                </c:pt>
                <c:pt idx="131">
                  <c:v>3489.5</c:v>
                </c:pt>
                <c:pt idx="132">
                  <c:v>3396.95</c:v>
                </c:pt>
                <c:pt idx="133">
                  <c:v>3338.85</c:v>
                </c:pt>
                <c:pt idx="134">
                  <c:v>3256.35</c:v>
                </c:pt>
                <c:pt idx="135">
                  <c:v>3274.5</c:v>
                </c:pt>
                <c:pt idx="136">
                  <c:v>3120.7</c:v>
                </c:pt>
                <c:pt idx="137">
                  <c:v>3266.2</c:v>
                </c:pt>
                <c:pt idx="138">
                  <c:v>3283.75</c:v>
                </c:pt>
                <c:pt idx="139">
                  <c:v>3309.75</c:v>
                </c:pt>
                <c:pt idx="140">
                  <c:v>3148.8</c:v>
                </c:pt>
                <c:pt idx="141">
                  <c:v>3274.5</c:v>
                </c:pt>
                <c:pt idx="142">
                  <c:v>3248.6</c:v>
                </c:pt>
                <c:pt idx="143">
                  <c:v>3199.1</c:v>
                </c:pt>
                <c:pt idx="144">
                  <c:v>3116.8</c:v>
                </c:pt>
                <c:pt idx="145">
                  <c:v>3067.2</c:v>
                </c:pt>
                <c:pt idx="146">
                  <c:v>3050.45</c:v>
                </c:pt>
                <c:pt idx="147">
                  <c:v>3017.25</c:v>
                </c:pt>
                <c:pt idx="148">
                  <c:v>2904.4</c:v>
                </c:pt>
                <c:pt idx="149">
                  <c:v>2987</c:v>
                </c:pt>
                <c:pt idx="150">
                  <c:v>2976.3</c:v>
                </c:pt>
                <c:pt idx="151">
                  <c:v>3055.55</c:v>
                </c:pt>
                <c:pt idx="152">
                  <c:v>3144</c:v>
                </c:pt>
                <c:pt idx="153">
                  <c:v>3047.65</c:v>
                </c:pt>
                <c:pt idx="154">
                  <c:v>2939.15</c:v>
                </c:pt>
                <c:pt idx="155">
                  <c:v>2954.3</c:v>
                </c:pt>
                <c:pt idx="156">
                  <c:v>2876.25</c:v>
                </c:pt>
                <c:pt idx="157">
                  <c:v>2861.65</c:v>
                </c:pt>
                <c:pt idx="158">
                  <c:v>2742.15</c:v>
                </c:pt>
                <c:pt idx="159">
                  <c:v>2701.65</c:v>
                </c:pt>
                <c:pt idx="160">
                  <c:v>2773.2</c:v>
                </c:pt>
                <c:pt idx="161">
                  <c:v>2732.9</c:v>
                </c:pt>
                <c:pt idx="162">
                  <c:v>2641.85</c:v>
                </c:pt>
                <c:pt idx="163">
                  <c:v>2568.3000000000002</c:v>
                </c:pt>
                <c:pt idx="164">
                  <c:v>2585.65</c:v>
                </c:pt>
                <c:pt idx="165">
                  <c:v>2548.4499999999998</c:v>
                </c:pt>
                <c:pt idx="166">
                  <c:v>2514.9</c:v>
                </c:pt>
                <c:pt idx="167">
                  <c:v>2493.35</c:v>
                </c:pt>
                <c:pt idx="168">
                  <c:v>2455.65</c:v>
                </c:pt>
                <c:pt idx="169">
                  <c:v>2375.5</c:v>
                </c:pt>
                <c:pt idx="170">
                  <c:v>2396.1</c:v>
                </c:pt>
                <c:pt idx="171">
                  <c:v>2399.1</c:v>
                </c:pt>
                <c:pt idx="172">
                  <c:v>2500.3000000000002</c:v>
                </c:pt>
                <c:pt idx="173">
                  <c:v>2468.5</c:v>
                </c:pt>
                <c:pt idx="174">
                  <c:v>2463.1</c:v>
                </c:pt>
                <c:pt idx="175">
                  <c:v>2331.25</c:v>
                </c:pt>
                <c:pt idx="176">
                  <c:v>2371.3000000000002</c:v>
                </c:pt>
                <c:pt idx="177">
                  <c:v>2417.1999999999998</c:v>
                </c:pt>
                <c:pt idx="178">
                  <c:v>2538.1</c:v>
                </c:pt>
                <c:pt idx="179">
                  <c:v>2597.5</c:v>
                </c:pt>
                <c:pt idx="180">
                  <c:v>2483.0500000000002</c:v>
                </c:pt>
                <c:pt idx="181">
                  <c:v>2482.85</c:v>
                </c:pt>
                <c:pt idx="182">
                  <c:v>2615.4499999999998</c:v>
                </c:pt>
                <c:pt idx="183">
                  <c:v>2617.9</c:v>
                </c:pt>
                <c:pt idx="184">
                  <c:v>2595.4</c:v>
                </c:pt>
                <c:pt idx="185">
                  <c:v>2565.8000000000002</c:v>
                </c:pt>
                <c:pt idx="186">
                  <c:v>2651.8</c:v>
                </c:pt>
                <c:pt idx="187">
                  <c:v>2769.7</c:v>
                </c:pt>
                <c:pt idx="188">
                  <c:v>2736.4</c:v>
                </c:pt>
                <c:pt idx="189">
                  <c:v>2665.65</c:v>
                </c:pt>
                <c:pt idx="190">
                  <c:v>2617.8000000000002</c:v>
                </c:pt>
                <c:pt idx="191">
                  <c:v>2730.5</c:v>
                </c:pt>
                <c:pt idx="192">
                  <c:v>2606.9499999999998</c:v>
                </c:pt>
                <c:pt idx="193">
                  <c:v>2672.45</c:v>
                </c:pt>
                <c:pt idx="194">
                  <c:v>2611.8000000000002</c:v>
                </c:pt>
                <c:pt idx="195">
                  <c:v>2603.4499999999998</c:v>
                </c:pt>
                <c:pt idx="196">
                  <c:v>2612.6</c:v>
                </c:pt>
                <c:pt idx="197">
                  <c:v>2532.9</c:v>
                </c:pt>
                <c:pt idx="198">
                  <c:v>2440.6</c:v>
                </c:pt>
                <c:pt idx="199">
                  <c:v>2471.9499999999998</c:v>
                </c:pt>
                <c:pt idx="200">
                  <c:v>2432.8000000000002</c:v>
                </c:pt>
                <c:pt idx="201">
                  <c:v>2352.0500000000002</c:v>
                </c:pt>
                <c:pt idx="202">
                  <c:v>2325</c:v>
                </c:pt>
                <c:pt idx="203">
                  <c:v>2189.6999999999998</c:v>
                </c:pt>
                <c:pt idx="204">
                  <c:v>2144.35</c:v>
                </c:pt>
                <c:pt idx="205">
                  <c:v>1946.2</c:v>
                </c:pt>
                <c:pt idx="206">
                  <c:v>2045.6</c:v>
                </c:pt>
                <c:pt idx="207">
                  <c:v>1936.45</c:v>
                </c:pt>
                <c:pt idx="208">
                  <c:v>2142.25</c:v>
                </c:pt>
                <c:pt idx="209">
                  <c:v>2204.4</c:v>
                </c:pt>
                <c:pt idx="210">
                  <c:v>2149.1999999999998</c:v>
                </c:pt>
                <c:pt idx="211">
                  <c:v>2137.0500000000002</c:v>
                </c:pt>
                <c:pt idx="212">
                  <c:v>2091.6999999999998</c:v>
                </c:pt>
                <c:pt idx="213">
                  <c:v>2208.75</c:v>
                </c:pt>
                <c:pt idx="214">
                  <c:v>2458.1999999999998</c:v>
                </c:pt>
                <c:pt idx="215">
                  <c:v>2512.6999999999998</c:v>
                </c:pt>
                <c:pt idx="216">
                  <c:v>2461.35</c:v>
                </c:pt>
                <c:pt idx="217">
                  <c:v>2509.9499999999998</c:v>
                </c:pt>
                <c:pt idx="218">
                  <c:v>2520.85</c:v>
                </c:pt>
                <c:pt idx="219">
                  <c:v>2523.9</c:v>
                </c:pt>
                <c:pt idx="220">
                  <c:v>2703</c:v>
                </c:pt>
                <c:pt idx="221">
                  <c:v>2493.6</c:v>
                </c:pt>
                <c:pt idx="222">
                  <c:v>2441</c:v>
                </c:pt>
                <c:pt idx="223">
                  <c:v>2468.4499999999998</c:v>
                </c:pt>
                <c:pt idx="224">
                  <c:v>2488.9499999999998</c:v>
                </c:pt>
                <c:pt idx="225">
                  <c:v>2442.25</c:v>
                </c:pt>
                <c:pt idx="226">
                  <c:v>2471.15</c:v>
                </c:pt>
                <c:pt idx="227">
                  <c:v>2315.6</c:v>
                </c:pt>
                <c:pt idx="228">
                  <c:v>2528.15</c:v>
                </c:pt>
                <c:pt idx="229">
                  <c:v>2592.75</c:v>
                </c:pt>
                <c:pt idx="230">
                  <c:v>2572.6999999999998</c:v>
                </c:pt>
                <c:pt idx="231">
                  <c:v>2522.4</c:v>
                </c:pt>
                <c:pt idx="232">
                  <c:v>2319.4499999999998</c:v>
                </c:pt>
                <c:pt idx="233">
                  <c:v>2280.4</c:v>
                </c:pt>
                <c:pt idx="234">
                  <c:v>2339.35</c:v>
                </c:pt>
                <c:pt idx="235">
                  <c:v>2369.25</c:v>
                </c:pt>
                <c:pt idx="236">
                  <c:v>2292.3000000000002</c:v>
                </c:pt>
                <c:pt idx="237">
                  <c:v>2478.1999999999998</c:v>
                </c:pt>
                <c:pt idx="238">
                  <c:v>2539.5</c:v>
                </c:pt>
                <c:pt idx="239">
                  <c:v>2431.75</c:v>
                </c:pt>
                <c:pt idx="240">
                  <c:v>2383.5500000000002</c:v>
                </c:pt>
                <c:pt idx="241">
                  <c:v>2412</c:v>
                </c:pt>
                <c:pt idx="242">
                  <c:v>2564.0500000000002</c:v>
                </c:pt>
                <c:pt idx="243">
                  <c:v>2358.1999999999998</c:v>
                </c:pt>
                <c:pt idx="244">
                  <c:v>2163.75</c:v>
                </c:pt>
                <c:pt idx="245">
                  <c:v>2092.9</c:v>
                </c:pt>
                <c:pt idx="246">
                  <c:v>2095.6</c:v>
                </c:pt>
                <c:pt idx="247">
                  <c:v>2034.3</c:v>
                </c:pt>
                <c:pt idx="248">
                  <c:v>2019.3</c:v>
                </c:pt>
                <c:pt idx="249">
                  <c:v>1822.55</c:v>
                </c:pt>
                <c:pt idx="250">
                  <c:v>1876.8</c:v>
                </c:pt>
                <c:pt idx="251">
                  <c:v>1837.9</c:v>
                </c:pt>
                <c:pt idx="252">
                  <c:v>1787.75</c:v>
                </c:pt>
                <c:pt idx="253">
                  <c:v>1714.55</c:v>
                </c:pt>
                <c:pt idx="254">
                  <c:v>1700.95</c:v>
                </c:pt>
              </c:numCache>
            </c:numRef>
          </c:val>
          <c:smooth val="0"/>
          <c:extLst>
            <c:ext xmlns:c16="http://schemas.microsoft.com/office/drawing/2014/chart" uri="{C3380CC4-5D6E-409C-BE32-E72D297353CC}">
              <c16:uniqueId val="{00000000-9831-46C6-9C87-2AF054BEB141}"/>
            </c:ext>
          </c:extLst>
        </c:ser>
        <c:dLbls>
          <c:showLegendKey val="0"/>
          <c:showVal val="0"/>
          <c:showCatName val="0"/>
          <c:showSerName val="0"/>
          <c:showPercent val="0"/>
          <c:showBubbleSize val="0"/>
        </c:dLbls>
        <c:smooth val="0"/>
        <c:axId val="568846360"/>
        <c:axId val="568852480"/>
      </c:lineChart>
      <c:dateAx>
        <c:axId val="5688463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8852480"/>
        <c:crosses val="autoZero"/>
        <c:auto val="1"/>
        <c:lblOffset val="100"/>
        <c:baseTimeUnit val="days"/>
      </c:dateAx>
      <c:valAx>
        <c:axId val="56885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846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solidFill>
                <a:srgbClr val="009999"/>
              </a:solidFill>
            </a:ln>
            <a:effectLst/>
          </c:spPr>
          <c:invertIfNegative val="0"/>
          <c:cat>
            <c:numRef>
              <c:f>'Raw Data'!$B$3:$B$257</c:f>
              <c:numCache>
                <c:formatCode>m/d/yyyy</c:formatCode>
                <c:ptCount val="255"/>
                <c:pt idx="0">
                  <c:v>46213.645833333336</c:v>
                </c:pt>
                <c:pt idx="1">
                  <c:v>46206.645833333336</c:v>
                </c:pt>
                <c:pt idx="2">
                  <c:v>46198.645833333336</c:v>
                </c:pt>
                <c:pt idx="3">
                  <c:v>46192.645833333336</c:v>
                </c:pt>
                <c:pt idx="4">
                  <c:v>46185.645833333336</c:v>
                </c:pt>
                <c:pt idx="5">
                  <c:v>46178.645833333336</c:v>
                </c:pt>
                <c:pt idx="6">
                  <c:v>46171.645833333336</c:v>
                </c:pt>
                <c:pt idx="7">
                  <c:v>46164.645833333336</c:v>
                </c:pt>
                <c:pt idx="8">
                  <c:v>46157.645833333336</c:v>
                </c:pt>
                <c:pt idx="9">
                  <c:v>46150.645833333336</c:v>
                </c:pt>
                <c:pt idx="10">
                  <c:v>46142.645833333336</c:v>
                </c:pt>
                <c:pt idx="11">
                  <c:v>46136.645833333336</c:v>
                </c:pt>
                <c:pt idx="12">
                  <c:v>46129.645833333336</c:v>
                </c:pt>
                <c:pt idx="13">
                  <c:v>46122.645833333336</c:v>
                </c:pt>
                <c:pt idx="14">
                  <c:v>46114.645833333336</c:v>
                </c:pt>
                <c:pt idx="15">
                  <c:v>46108.645833333336</c:v>
                </c:pt>
                <c:pt idx="16">
                  <c:v>46101.645833333336</c:v>
                </c:pt>
                <c:pt idx="17">
                  <c:v>46094.645833333336</c:v>
                </c:pt>
                <c:pt idx="18">
                  <c:v>46087.645833333336</c:v>
                </c:pt>
                <c:pt idx="19">
                  <c:v>46080.645833333336</c:v>
                </c:pt>
                <c:pt idx="20">
                  <c:v>46073.645833333336</c:v>
                </c:pt>
                <c:pt idx="21">
                  <c:v>46066.645833333336</c:v>
                </c:pt>
                <c:pt idx="22">
                  <c:v>46059.645833333336</c:v>
                </c:pt>
                <c:pt idx="23">
                  <c:v>46052.645833333336</c:v>
                </c:pt>
                <c:pt idx="24">
                  <c:v>46045.645833333336</c:v>
                </c:pt>
                <c:pt idx="25">
                  <c:v>46038.645833333336</c:v>
                </c:pt>
                <c:pt idx="26">
                  <c:v>46031.645833333336</c:v>
                </c:pt>
                <c:pt idx="27">
                  <c:v>46024.645833333336</c:v>
                </c:pt>
                <c:pt idx="28">
                  <c:v>46017.645833333336</c:v>
                </c:pt>
                <c:pt idx="29">
                  <c:v>46010.645833333336</c:v>
                </c:pt>
                <c:pt idx="30">
                  <c:v>46003.645833333336</c:v>
                </c:pt>
                <c:pt idx="31">
                  <c:v>45996.645833333336</c:v>
                </c:pt>
                <c:pt idx="32">
                  <c:v>45989.645833333336</c:v>
                </c:pt>
                <c:pt idx="33">
                  <c:v>45982.645833333336</c:v>
                </c:pt>
                <c:pt idx="34">
                  <c:v>45975.645833333336</c:v>
                </c:pt>
                <c:pt idx="35">
                  <c:v>45968.645833333336</c:v>
                </c:pt>
                <c:pt idx="36">
                  <c:v>45961.645833333336</c:v>
                </c:pt>
                <c:pt idx="37">
                  <c:v>45954.645833333336</c:v>
                </c:pt>
                <c:pt idx="38">
                  <c:v>45947.645833333336</c:v>
                </c:pt>
                <c:pt idx="39">
                  <c:v>45940.645833333336</c:v>
                </c:pt>
                <c:pt idx="40">
                  <c:v>45933.645833333336</c:v>
                </c:pt>
                <c:pt idx="41">
                  <c:v>45926.645833333336</c:v>
                </c:pt>
                <c:pt idx="42">
                  <c:v>45919.645833333336</c:v>
                </c:pt>
                <c:pt idx="43">
                  <c:v>45912.645833333336</c:v>
                </c:pt>
                <c:pt idx="44">
                  <c:v>45905.645833333336</c:v>
                </c:pt>
                <c:pt idx="45">
                  <c:v>45898.645833333336</c:v>
                </c:pt>
                <c:pt idx="46">
                  <c:v>45891.645833333336</c:v>
                </c:pt>
                <c:pt idx="47">
                  <c:v>45883.645833333336</c:v>
                </c:pt>
                <c:pt idx="48">
                  <c:v>45877.645833333336</c:v>
                </c:pt>
                <c:pt idx="49">
                  <c:v>45870.645833333336</c:v>
                </c:pt>
                <c:pt idx="50">
                  <c:v>45863.645833333336</c:v>
                </c:pt>
                <c:pt idx="51">
                  <c:v>45856.645833333336</c:v>
                </c:pt>
                <c:pt idx="52">
                  <c:v>45849.645833333336</c:v>
                </c:pt>
                <c:pt idx="53">
                  <c:v>45842.645833333336</c:v>
                </c:pt>
                <c:pt idx="54">
                  <c:v>45835.645833333336</c:v>
                </c:pt>
                <c:pt idx="55">
                  <c:v>45828.645833333336</c:v>
                </c:pt>
                <c:pt idx="56">
                  <c:v>45821.645833333336</c:v>
                </c:pt>
                <c:pt idx="57">
                  <c:v>45814.645833333336</c:v>
                </c:pt>
                <c:pt idx="58">
                  <c:v>45807.645833333336</c:v>
                </c:pt>
                <c:pt idx="59">
                  <c:v>45800.645833333336</c:v>
                </c:pt>
                <c:pt idx="60">
                  <c:v>45793.645833333336</c:v>
                </c:pt>
                <c:pt idx="61">
                  <c:v>45786.645833333336</c:v>
                </c:pt>
                <c:pt idx="62">
                  <c:v>45779.645833333336</c:v>
                </c:pt>
                <c:pt idx="63">
                  <c:v>45772.645833333336</c:v>
                </c:pt>
                <c:pt idx="64">
                  <c:v>45764.645833333336</c:v>
                </c:pt>
                <c:pt idx="65">
                  <c:v>45758.645833333336</c:v>
                </c:pt>
                <c:pt idx="66">
                  <c:v>45751.645833333336</c:v>
                </c:pt>
                <c:pt idx="67">
                  <c:v>45744.645833333336</c:v>
                </c:pt>
                <c:pt idx="68">
                  <c:v>45737.645833333336</c:v>
                </c:pt>
                <c:pt idx="69">
                  <c:v>45729.645833333336</c:v>
                </c:pt>
                <c:pt idx="70">
                  <c:v>45723.645833333336</c:v>
                </c:pt>
                <c:pt idx="71">
                  <c:v>45716.645833333336</c:v>
                </c:pt>
                <c:pt idx="72">
                  <c:v>45709.645833333336</c:v>
                </c:pt>
                <c:pt idx="73">
                  <c:v>45702.645833333336</c:v>
                </c:pt>
                <c:pt idx="74">
                  <c:v>45695.645833333336</c:v>
                </c:pt>
                <c:pt idx="75">
                  <c:v>45681.645833333336</c:v>
                </c:pt>
                <c:pt idx="76">
                  <c:v>45674.645833333336</c:v>
                </c:pt>
                <c:pt idx="77">
                  <c:v>45667.645833333336</c:v>
                </c:pt>
                <c:pt idx="78">
                  <c:v>45660.645833333336</c:v>
                </c:pt>
                <c:pt idx="79">
                  <c:v>45653.645833333336</c:v>
                </c:pt>
                <c:pt idx="80">
                  <c:v>45646.645833333336</c:v>
                </c:pt>
                <c:pt idx="81">
                  <c:v>45639.645833333336</c:v>
                </c:pt>
                <c:pt idx="82">
                  <c:v>45632.645833333336</c:v>
                </c:pt>
                <c:pt idx="83">
                  <c:v>45625.645833333336</c:v>
                </c:pt>
                <c:pt idx="84">
                  <c:v>45618.645833333336</c:v>
                </c:pt>
                <c:pt idx="85">
                  <c:v>45610.645833333336</c:v>
                </c:pt>
                <c:pt idx="86">
                  <c:v>45604.645833333336</c:v>
                </c:pt>
                <c:pt idx="87">
                  <c:v>45590.645833333336</c:v>
                </c:pt>
                <c:pt idx="88">
                  <c:v>45583.645833333336</c:v>
                </c:pt>
                <c:pt idx="89">
                  <c:v>45576.645833333336</c:v>
                </c:pt>
                <c:pt idx="90">
                  <c:v>45569.645833333336</c:v>
                </c:pt>
                <c:pt idx="91">
                  <c:v>45562.645833333336</c:v>
                </c:pt>
                <c:pt idx="92">
                  <c:v>45555.645833333336</c:v>
                </c:pt>
                <c:pt idx="93">
                  <c:v>45548.645833333336</c:v>
                </c:pt>
                <c:pt idx="94">
                  <c:v>45541.645833333336</c:v>
                </c:pt>
                <c:pt idx="95">
                  <c:v>45534.645833333336</c:v>
                </c:pt>
                <c:pt idx="96">
                  <c:v>45527.645833333336</c:v>
                </c:pt>
                <c:pt idx="97">
                  <c:v>45520.645833333336</c:v>
                </c:pt>
                <c:pt idx="98">
                  <c:v>45513.645833333336</c:v>
                </c:pt>
                <c:pt idx="99">
                  <c:v>45506.645833333336</c:v>
                </c:pt>
                <c:pt idx="100">
                  <c:v>45499.645833333336</c:v>
                </c:pt>
                <c:pt idx="101">
                  <c:v>45492.645833333336</c:v>
                </c:pt>
                <c:pt idx="102">
                  <c:v>45485.645833333336</c:v>
                </c:pt>
                <c:pt idx="103">
                  <c:v>45478.645833333336</c:v>
                </c:pt>
                <c:pt idx="104">
                  <c:v>45471.645833333336</c:v>
                </c:pt>
                <c:pt idx="105">
                  <c:v>45464.645833333336</c:v>
                </c:pt>
                <c:pt idx="106">
                  <c:v>45457.645833333336</c:v>
                </c:pt>
                <c:pt idx="107">
                  <c:v>45450.645833333336</c:v>
                </c:pt>
                <c:pt idx="108">
                  <c:v>45443.645833333336</c:v>
                </c:pt>
                <c:pt idx="109">
                  <c:v>45436.645833333336</c:v>
                </c:pt>
                <c:pt idx="110">
                  <c:v>45422.645833333336</c:v>
                </c:pt>
                <c:pt idx="111">
                  <c:v>45415.645833333336</c:v>
                </c:pt>
                <c:pt idx="112">
                  <c:v>45408.645833333336</c:v>
                </c:pt>
                <c:pt idx="113">
                  <c:v>45401.645833333336</c:v>
                </c:pt>
                <c:pt idx="114">
                  <c:v>45394.645833333336</c:v>
                </c:pt>
                <c:pt idx="115">
                  <c:v>45387.645833333336</c:v>
                </c:pt>
                <c:pt idx="116">
                  <c:v>45379.645833333336</c:v>
                </c:pt>
                <c:pt idx="117">
                  <c:v>45373.645833333336</c:v>
                </c:pt>
                <c:pt idx="118">
                  <c:v>45366.645833333336</c:v>
                </c:pt>
                <c:pt idx="119">
                  <c:v>45358.645833333336</c:v>
                </c:pt>
                <c:pt idx="120">
                  <c:v>45345.645833333336</c:v>
                </c:pt>
                <c:pt idx="121">
                  <c:v>45338.645833333336</c:v>
                </c:pt>
                <c:pt idx="122">
                  <c:v>45331.645833333336</c:v>
                </c:pt>
                <c:pt idx="123">
                  <c:v>45324.645833333336</c:v>
                </c:pt>
                <c:pt idx="124">
                  <c:v>45316.645833333336</c:v>
                </c:pt>
                <c:pt idx="125">
                  <c:v>45303.645833333336</c:v>
                </c:pt>
                <c:pt idx="126">
                  <c:v>45296.645833333336</c:v>
                </c:pt>
                <c:pt idx="127">
                  <c:v>45289.645833333336</c:v>
                </c:pt>
                <c:pt idx="128">
                  <c:v>45282.645833333336</c:v>
                </c:pt>
                <c:pt idx="129">
                  <c:v>45275.645833333336</c:v>
                </c:pt>
                <c:pt idx="130">
                  <c:v>45268.645833333336</c:v>
                </c:pt>
                <c:pt idx="131">
                  <c:v>45261.645833333336</c:v>
                </c:pt>
                <c:pt idx="132">
                  <c:v>45254.645833333336</c:v>
                </c:pt>
                <c:pt idx="133">
                  <c:v>45247.645833333336</c:v>
                </c:pt>
                <c:pt idx="134">
                  <c:v>45240.645833333336</c:v>
                </c:pt>
                <c:pt idx="135">
                  <c:v>45233.645833333336</c:v>
                </c:pt>
                <c:pt idx="136">
                  <c:v>45226.645833333336</c:v>
                </c:pt>
                <c:pt idx="137">
                  <c:v>45219.645833333336</c:v>
                </c:pt>
                <c:pt idx="138">
                  <c:v>45212.645833333336</c:v>
                </c:pt>
                <c:pt idx="139">
                  <c:v>45205.645833333336</c:v>
                </c:pt>
                <c:pt idx="140">
                  <c:v>45198.645833333336</c:v>
                </c:pt>
                <c:pt idx="141">
                  <c:v>45191.645833333336</c:v>
                </c:pt>
                <c:pt idx="142">
                  <c:v>45184.645833333336</c:v>
                </c:pt>
                <c:pt idx="143">
                  <c:v>45177.645833333336</c:v>
                </c:pt>
                <c:pt idx="144">
                  <c:v>45170.645833333336</c:v>
                </c:pt>
                <c:pt idx="145">
                  <c:v>45163.645833333336</c:v>
                </c:pt>
                <c:pt idx="146">
                  <c:v>45156.645833333336</c:v>
                </c:pt>
                <c:pt idx="147">
                  <c:v>45149.645833333336</c:v>
                </c:pt>
                <c:pt idx="148">
                  <c:v>45142.645833333336</c:v>
                </c:pt>
                <c:pt idx="149">
                  <c:v>45135.645833333336</c:v>
                </c:pt>
                <c:pt idx="150">
                  <c:v>45128.645833333336</c:v>
                </c:pt>
                <c:pt idx="151">
                  <c:v>45121.645833333336</c:v>
                </c:pt>
                <c:pt idx="152">
                  <c:v>45114.645833333336</c:v>
                </c:pt>
                <c:pt idx="153">
                  <c:v>45107.645833333336</c:v>
                </c:pt>
                <c:pt idx="154">
                  <c:v>45100.645833333336</c:v>
                </c:pt>
                <c:pt idx="155">
                  <c:v>45093.645833333336</c:v>
                </c:pt>
                <c:pt idx="156">
                  <c:v>45086.645833333336</c:v>
                </c:pt>
                <c:pt idx="157">
                  <c:v>45079.645833333336</c:v>
                </c:pt>
                <c:pt idx="158">
                  <c:v>45072.645833333336</c:v>
                </c:pt>
                <c:pt idx="159">
                  <c:v>45065.645833333336</c:v>
                </c:pt>
                <c:pt idx="160">
                  <c:v>45058.645833333336</c:v>
                </c:pt>
                <c:pt idx="161">
                  <c:v>45051.645833333336</c:v>
                </c:pt>
                <c:pt idx="162">
                  <c:v>45044.645833333336</c:v>
                </c:pt>
                <c:pt idx="163">
                  <c:v>45037.645833333336</c:v>
                </c:pt>
                <c:pt idx="164">
                  <c:v>45029.645833333336</c:v>
                </c:pt>
                <c:pt idx="165">
                  <c:v>45022.645833333336</c:v>
                </c:pt>
                <c:pt idx="166">
                  <c:v>45016.645833333336</c:v>
                </c:pt>
                <c:pt idx="167">
                  <c:v>45009.645833333336</c:v>
                </c:pt>
                <c:pt idx="168">
                  <c:v>45002.645833333336</c:v>
                </c:pt>
                <c:pt idx="169">
                  <c:v>44995.645833333336</c:v>
                </c:pt>
                <c:pt idx="170">
                  <c:v>44988.645833333336</c:v>
                </c:pt>
                <c:pt idx="171">
                  <c:v>44981.645833333336</c:v>
                </c:pt>
                <c:pt idx="172">
                  <c:v>44974.645833333336</c:v>
                </c:pt>
                <c:pt idx="173">
                  <c:v>44967.645833333336</c:v>
                </c:pt>
                <c:pt idx="174">
                  <c:v>44960.645833333336</c:v>
                </c:pt>
                <c:pt idx="175">
                  <c:v>44953.645833333336</c:v>
                </c:pt>
                <c:pt idx="176">
                  <c:v>44946.645833333336</c:v>
                </c:pt>
                <c:pt idx="177">
                  <c:v>44939.645833333336</c:v>
                </c:pt>
                <c:pt idx="178">
                  <c:v>44932.645833333336</c:v>
                </c:pt>
                <c:pt idx="179">
                  <c:v>44925.645833333336</c:v>
                </c:pt>
                <c:pt idx="180">
                  <c:v>44918.645833333336</c:v>
                </c:pt>
                <c:pt idx="181">
                  <c:v>44911.645833333336</c:v>
                </c:pt>
                <c:pt idx="182">
                  <c:v>44904.645833333336</c:v>
                </c:pt>
                <c:pt idx="183">
                  <c:v>44897.645833333336</c:v>
                </c:pt>
                <c:pt idx="184">
                  <c:v>44890.645833333336</c:v>
                </c:pt>
                <c:pt idx="185">
                  <c:v>44883.645833333336</c:v>
                </c:pt>
                <c:pt idx="186">
                  <c:v>44876.645833333336</c:v>
                </c:pt>
                <c:pt idx="187">
                  <c:v>44869.645833333336</c:v>
                </c:pt>
                <c:pt idx="188">
                  <c:v>44862.645833333336</c:v>
                </c:pt>
                <c:pt idx="189">
                  <c:v>44855.645833333336</c:v>
                </c:pt>
                <c:pt idx="190">
                  <c:v>44848.645833333336</c:v>
                </c:pt>
                <c:pt idx="191">
                  <c:v>44841.645833333336</c:v>
                </c:pt>
                <c:pt idx="192">
                  <c:v>44834.645833333336</c:v>
                </c:pt>
                <c:pt idx="193">
                  <c:v>44827.645833333336</c:v>
                </c:pt>
                <c:pt idx="194">
                  <c:v>44820.645833333336</c:v>
                </c:pt>
                <c:pt idx="195">
                  <c:v>44813.645833333336</c:v>
                </c:pt>
                <c:pt idx="196">
                  <c:v>44806.645833333336</c:v>
                </c:pt>
                <c:pt idx="197">
                  <c:v>44799.645833333336</c:v>
                </c:pt>
                <c:pt idx="198">
                  <c:v>44792.645833333336</c:v>
                </c:pt>
                <c:pt idx="199">
                  <c:v>44785.645833333336</c:v>
                </c:pt>
                <c:pt idx="200">
                  <c:v>44778.645833333336</c:v>
                </c:pt>
                <c:pt idx="201">
                  <c:v>44771.645833333336</c:v>
                </c:pt>
                <c:pt idx="202">
                  <c:v>44764.645833333336</c:v>
                </c:pt>
                <c:pt idx="203">
                  <c:v>44757.645833333336</c:v>
                </c:pt>
                <c:pt idx="204">
                  <c:v>44750.645833333336</c:v>
                </c:pt>
                <c:pt idx="205">
                  <c:v>44743.645833333336</c:v>
                </c:pt>
                <c:pt idx="206">
                  <c:v>44736.645833333336</c:v>
                </c:pt>
                <c:pt idx="207">
                  <c:v>44729.645833333336</c:v>
                </c:pt>
                <c:pt idx="208">
                  <c:v>44722.645833333336</c:v>
                </c:pt>
                <c:pt idx="209">
                  <c:v>44715.645833333336</c:v>
                </c:pt>
                <c:pt idx="210">
                  <c:v>44708.645833333336</c:v>
                </c:pt>
                <c:pt idx="211">
                  <c:v>44701.645833333336</c:v>
                </c:pt>
                <c:pt idx="212">
                  <c:v>44694.645833333336</c:v>
                </c:pt>
                <c:pt idx="213">
                  <c:v>44687.645833333336</c:v>
                </c:pt>
                <c:pt idx="214">
                  <c:v>44680.645833333336</c:v>
                </c:pt>
                <c:pt idx="215">
                  <c:v>44673.645833333336</c:v>
                </c:pt>
                <c:pt idx="216">
                  <c:v>44664.645833333336</c:v>
                </c:pt>
                <c:pt idx="217">
                  <c:v>44659.645833333336</c:v>
                </c:pt>
                <c:pt idx="218">
                  <c:v>44652.645833333336</c:v>
                </c:pt>
                <c:pt idx="219">
                  <c:v>44645.645833333336</c:v>
                </c:pt>
                <c:pt idx="220">
                  <c:v>44637.645833333336</c:v>
                </c:pt>
                <c:pt idx="221">
                  <c:v>44631.645833333336</c:v>
                </c:pt>
                <c:pt idx="222">
                  <c:v>44624.645833333336</c:v>
                </c:pt>
                <c:pt idx="223">
                  <c:v>44617.645833333336</c:v>
                </c:pt>
                <c:pt idx="224">
                  <c:v>44610.645833333336</c:v>
                </c:pt>
                <c:pt idx="225">
                  <c:v>44603.645833333336</c:v>
                </c:pt>
                <c:pt idx="226">
                  <c:v>44596.645833333336</c:v>
                </c:pt>
                <c:pt idx="227">
                  <c:v>44589.645833333336</c:v>
                </c:pt>
                <c:pt idx="228">
                  <c:v>44582.645833333336</c:v>
                </c:pt>
                <c:pt idx="229">
                  <c:v>44575.645833333336</c:v>
                </c:pt>
                <c:pt idx="230">
                  <c:v>44568.645833333336</c:v>
                </c:pt>
                <c:pt idx="231">
                  <c:v>44561.645833333336</c:v>
                </c:pt>
                <c:pt idx="232">
                  <c:v>44554.645833333336</c:v>
                </c:pt>
                <c:pt idx="233">
                  <c:v>44547.645833333336</c:v>
                </c:pt>
                <c:pt idx="234">
                  <c:v>44540.645833333336</c:v>
                </c:pt>
                <c:pt idx="235">
                  <c:v>44533.645833333336</c:v>
                </c:pt>
                <c:pt idx="236">
                  <c:v>44526.645833333336</c:v>
                </c:pt>
                <c:pt idx="237">
                  <c:v>44518.645833333336</c:v>
                </c:pt>
                <c:pt idx="238">
                  <c:v>44512.645833333336</c:v>
                </c:pt>
                <c:pt idx="239">
                  <c:v>44504.802083333336</c:v>
                </c:pt>
                <c:pt idx="240">
                  <c:v>44498.645833333336</c:v>
                </c:pt>
                <c:pt idx="241">
                  <c:v>44491.645833333336</c:v>
                </c:pt>
                <c:pt idx="242">
                  <c:v>44483.645833333336</c:v>
                </c:pt>
                <c:pt idx="243">
                  <c:v>44477.645833333336</c:v>
                </c:pt>
                <c:pt idx="244">
                  <c:v>44470.645833333336</c:v>
                </c:pt>
                <c:pt idx="245">
                  <c:v>44463.645833333336</c:v>
                </c:pt>
                <c:pt idx="246">
                  <c:v>44456.645833333336</c:v>
                </c:pt>
                <c:pt idx="247">
                  <c:v>44448.645833333336</c:v>
                </c:pt>
                <c:pt idx="248">
                  <c:v>44442.645833333336</c:v>
                </c:pt>
                <c:pt idx="249">
                  <c:v>44435.645833333336</c:v>
                </c:pt>
                <c:pt idx="250">
                  <c:v>44428.645833333336</c:v>
                </c:pt>
                <c:pt idx="251">
                  <c:v>44421.645833333336</c:v>
                </c:pt>
                <c:pt idx="252">
                  <c:v>44414.645833333336</c:v>
                </c:pt>
                <c:pt idx="253">
                  <c:v>44407.645833333336</c:v>
                </c:pt>
                <c:pt idx="254">
                  <c:v>44400.645833333336</c:v>
                </c:pt>
              </c:numCache>
            </c:numRef>
          </c:cat>
          <c:val>
            <c:numRef>
              <c:f>'Raw Data'!$D$3:$D$257</c:f>
              <c:numCache>
                <c:formatCode>0.0</c:formatCode>
                <c:ptCount val="255"/>
                <c:pt idx="0">
                  <c:v>7.4505670000000004</c:v>
                </c:pt>
                <c:pt idx="1">
                  <c:v>4.3441270000000003</c:v>
                </c:pt>
                <c:pt idx="2">
                  <c:v>2.3835510000000002</c:v>
                </c:pt>
                <c:pt idx="3">
                  <c:v>3.984575</c:v>
                </c:pt>
                <c:pt idx="4">
                  <c:v>4.4552659999999999</c:v>
                </c:pt>
                <c:pt idx="5">
                  <c:v>5.0837000000000003</c:v>
                </c:pt>
                <c:pt idx="6">
                  <c:v>3.8482660000000002</c:v>
                </c:pt>
                <c:pt idx="7">
                  <c:v>4.107971</c:v>
                </c:pt>
                <c:pt idx="8">
                  <c:v>12.774191999999999</c:v>
                </c:pt>
                <c:pt idx="9">
                  <c:v>9.1754409999999993</c:v>
                </c:pt>
                <c:pt idx="10">
                  <c:v>2.8420290000000001</c:v>
                </c:pt>
                <c:pt idx="11">
                  <c:v>4.5379959999999997</c:v>
                </c:pt>
                <c:pt idx="12">
                  <c:v>5.1767159999999999</c:v>
                </c:pt>
                <c:pt idx="13">
                  <c:v>9.7374299999999998</c:v>
                </c:pt>
                <c:pt idx="14">
                  <c:v>3.885065</c:v>
                </c:pt>
                <c:pt idx="15">
                  <c:v>5.181673</c:v>
                </c:pt>
                <c:pt idx="16">
                  <c:v>4.4787429999999997</c:v>
                </c:pt>
                <c:pt idx="17">
                  <c:v>3.759633</c:v>
                </c:pt>
                <c:pt idx="18">
                  <c:v>3.0665680000000002</c:v>
                </c:pt>
                <c:pt idx="19">
                  <c:v>3.2610510000000001</c:v>
                </c:pt>
                <c:pt idx="20">
                  <c:v>2.2902010000000002</c:v>
                </c:pt>
                <c:pt idx="21">
                  <c:v>7.671513</c:v>
                </c:pt>
                <c:pt idx="22">
                  <c:v>5.9302679999999999</c:v>
                </c:pt>
                <c:pt idx="23">
                  <c:v>5.1427740000000002</c:v>
                </c:pt>
                <c:pt idx="24">
                  <c:v>3.3392019999999998</c:v>
                </c:pt>
                <c:pt idx="25">
                  <c:v>2.9711150000000002</c:v>
                </c:pt>
                <c:pt idx="26">
                  <c:v>6.8847860000000001</c:v>
                </c:pt>
                <c:pt idx="27">
                  <c:v>4.8758229999999996</c:v>
                </c:pt>
                <c:pt idx="28">
                  <c:v>2.5274540000000001</c:v>
                </c:pt>
                <c:pt idx="29">
                  <c:v>3.741501</c:v>
                </c:pt>
                <c:pt idx="30">
                  <c:v>3.5002260000000001</c:v>
                </c:pt>
                <c:pt idx="31">
                  <c:v>3.3198699999999999</c:v>
                </c:pt>
                <c:pt idx="32">
                  <c:v>3.4200520000000001</c:v>
                </c:pt>
                <c:pt idx="33">
                  <c:v>4.0787190000000004</c:v>
                </c:pt>
                <c:pt idx="34">
                  <c:v>3.3170540000000002</c:v>
                </c:pt>
                <c:pt idx="35">
                  <c:v>5.3001959999999997</c:v>
                </c:pt>
                <c:pt idx="36">
                  <c:v>4.5737870000000003</c:v>
                </c:pt>
                <c:pt idx="37">
                  <c:v>3.0499779999999999</c:v>
                </c:pt>
                <c:pt idx="38">
                  <c:v>5.1887829999999999</c:v>
                </c:pt>
                <c:pt idx="39">
                  <c:v>8.1353209999999994</c:v>
                </c:pt>
                <c:pt idx="40">
                  <c:v>5.6404459999999998</c:v>
                </c:pt>
                <c:pt idx="41">
                  <c:v>11.317233999999999</c:v>
                </c:pt>
                <c:pt idx="42">
                  <c:v>4.9135900000000001</c:v>
                </c:pt>
                <c:pt idx="43">
                  <c:v>2.1566200000000002</c:v>
                </c:pt>
                <c:pt idx="44">
                  <c:v>2.7156380000000002</c:v>
                </c:pt>
                <c:pt idx="45">
                  <c:v>3.311483</c:v>
                </c:pt>
                <c:pt idx="46">
                  <c:v>3.6727910000000001</c:v>
                </c:pt>
                <c:pt idx="47">
                  <c:v>2.4513229999999999</c:v>
                </c:pt>
                <c:pt idx="48">
                  <c:v>4.6170949999999999</c:v>
                </c:pt>
                <c:pt idx="49">
                  <c:v>2.5348269999999999</c:v>
                </c:pt>
                <c:pt idx="50">
                  <c:v>4.1537920000000002</c:v>
                </c:pt>
                <c:pt idx="51">
                  <c:v>2.9642430000000002</c:v>
                </c:pt>
                <c:pt idx="52">
                  <c:v>8.0035550000000004</c:v>
                </c:pt>
                <c:pt idx="53">
                  <c:v>3.6110980000000001</c:v>
                </c:pt>
                <c:pt idx="54">
                  <c:v>6.5318160000000001</c:v>
                </c:pt>
                <c:pt idx="55">
                  <c:v>6.4715290000000003</c:v>
                </c:pt>
                <c:pt idx="56">
                  <c:v>3.2406060000000001</c:v>
                </c:pt>
                <c:pt idx="57">
                  <c:v>3.024762</c:v>
                </c:pt>
                <c:pt idx="58">
                  <c:v>3.4706100000000002</c:v>
                </c:pt>
                <c:pt idx="59">
                  <c:v>2.7297549999999999</c:v>
                </c:pt>
                <c:pt idx="60">
                  <c:v>4.2944449999999996</c:v>
                </c:pt>
                <c:pt idx="61">
                  <c:v>6.7247409999999999</c:v>
                </c:pt>
                <c:pt idx="62">
                  <c:v>2.1829869999999998</c:v>
                </c:pt>
                <c:pt idx="63">
                  <c:v>3.51607</c:v>
                </c:pt>
                <c:pt idx="64">
                  <c:v>3.0953240000000002</c:v>
                </c:pt>
                <c:pt idx="65">
                  <c:v>6.2400529999999996</c:v>
                </c:pt>
                <c:pt idx="66">
                  <c:v>4.7609120000000003</c:v>
                </c:pt>
                <c:pt idx="67">
                  <c:v>6.0795709999999996</c:v>
                </c:pt>
                <c:pt idx="68">
                  <c:v>4.9540629999999997</c:v>
                </c:pt>
                <c:pt idx="69">
                  <c:v>2.7064180000000002</c:v>
                </c:pt>
                <c:pt idx="70">
                  <c:v>4.7017290000000003</c:v>
                </c:pt>
                <c:pt idx="71">
                  <c:v>3.0001540000000002</c:v>
                </c:pt>
                <c:pt idx="72">
                  <c:v>2.8881480000000002</c:v>
                </c:pt>
                <c:pt idx="73">
                  <c:v>3.8976739999999999</c:v>
                </c:pt>
                <c:pt idx="74">
                  <c:v>6.7893949999999998</c:v>
                </c:pt>
                <c:pt idx="75">
                  <c:v>3.6145649999999998</c:v>
                </c:pt>
                <c:pt idx="76">
                  <c:v>5.3155979999999996</c:v>
                </c:pt>
                <c:pt idx="77">
                  <c:v>7.2491729999999999</c:v>
                </c:pt>
                <c:pt idx="78">
                  <c:v>4.6990299999999996</c:v>
                </c:pt>
                <c:pt idx="79">
                  <c:v>2.38253</c:v>
                </c:pt>
                <c:pt idx="80">
                  <c:v>4.9153789999999997</c:v>
                </c:pt>
                <c:pt idx="81">
                  <c:v>4.7133019999999997</c:v>
                </c:pt>
                <c:pt idx="82">
                  <c:v>7.3705119999999997</c:v>
                </c:pt>
                <c:pt idx="83">
                  <c:v>6.1876620000000004</c:v>
                </c:pt>
                <c:pt idx="84">
                  <c:v>5.9074429999999998</c:v>
                </c:pt>
                <c:pt idx="85">
                  <c:v>4.121086</c:v>
                </c:pt>
                <c:pt idx="86">
                  <c:v>9.8459620000000001</c:v>
                </c:pt>
                <c:pt idx="87">
                  <c:v>4.0440509999999996</c:v>
                </c:pt>
                <c:pt idx="88">
                  <c:v>3.57395</c:v>
                </c:pt>
                <c:pt idx="89">
                  <c:v>7.2940339999999999</c:v>
                </c:pt>
                <c:pt idx="90">
                  <c:v>4.9833769999999999</c:v>
                </c:pt>
                <c:pt idx="91">
                  <c:v>6.7826110000000002</c:v>
                </c:pt>
                <c:pt idx="92">
                  <c:v>4.0965910000000001</c:v>
                </c:pt>
                <c:pt idx="93">
                  <c:v>5.2049269999999996</c:v>
                </c:pt>
                <c:pt idx="94">
                  <c:v>7.2079500000000003</c:v>
                </c:pt>
                <c:pt idx="95">
                  <c:v>6.0975349999999997</c:v>
                </c:pt>
                <c:pt idx="96">
                  <c:v>6.3567609999999997</c:v>
                </c:pt>
                <c:pt idx="97">
                  <c:v>4.3487539999999996</c:v>
                </c:pt>
                <c:pt idx="98">
                  <c:v>6.4862799999999998</c:v>
                </c:pt>
                <c:pt idx="99">
                  <c:v>6.939362</c:v>
                </c:pt>
                <c:pt idx="100">
                  <c:v>15.025069</c:v>
                </c:pt>
                <c:pt idx="101">
                  <c:v>3.9427110000000001</c:v>
                </c:pt>
                <c:pt idx="102">
                  <c:v>11.407641999999999</c:v>
                </c:pt>
                <c:pt idx="103">
                  <c:v>5.6039089999999998</c:v>
                </c:pt>
                <c:pt idx="104">
                  <c:v>5.8987040000000004</c:v>
                </c:pt>
                <c:pt idx="105">
                  <c:v>8.5322790000000008</c:v>
                </c:pt>
                <c:pt idx="106">
                  <c:v>8.895797</c:v>
                </c:pt>
                <c:pt idx="107">
                  <c:v>9.6193299999999997</c:v>
                </c:pt>
                <c:pt idx="108">
                  <c:v>6.762346</c:v>
                </c:pt>
                <c:pt idx="109">
                  <c:v>3.3106550000000001</c:v>
                </c:pt>
                <c:pt idx="110">
                  <c:v>15.225910000000001</c:v>
                </c:pt>
                <c:pt idx="111">
                  <c:v>4.7842269999999996</c:v>
                </c:pt>
                <c:pt idx="112">
                  <c:v>4.779407</c:v>
                </c:pt>
                <c:pt idx="113">
                  <c:v>5.1568519999999998</c:v>
                </c:pt>
                <c:pt idx="114">
                  <c:v>4.0726589999999998</c:v>
                </c:pt>
                <c:pt idx="115">
                  <c:v>4.2451059999999998</c:v>
                </c:pt>
                <c:pt idx="116">
                  <c:v>4.0646760000000004</c:v>
                </c:pt>
                <c:pt idx="117">
                  <c:v>3.9155899999999999</c:v>
                </c:pt>
                <c:pt idx="118">
                  <c:v>4.6912929999999999</c:v>
                </c:pt>
                <c:pt idx="119">
                  <c:v>3.125318</c:v>
                </c:pt>
                <c:pt idx="120">
                  <c:v>3.8486750000000001</c:v>
                </c:pt>
                <c:pt idx="121">
                  <c:v>4.0042260000000001</c:v>
                </c:pt>
                <c:pt idx="122">
                  <c:v>5.5921010000000004</c:v>
                </c:pt>
                <c:pt idx="123">
                  <c:v>6.6670290000000003</c:v>
                </c:pt>
                <c:pt idx="124">
                  <c:v>2.336633</c:v>
                </c:pt>
                <c:pt idx="125">
                  <c:v>3.7144710000000001</c:v>
                </c:pt>
                <c:pt idx="126">
                  <c:v>2.6059809999999999</c:v>
                </c:pt>
                <c:pt idx="127">
                  <c:v>2.935988</c:v>
                </c:pt>
                <c:pt idx="128">
                  <c:v>3.7205979999999998</c:v>
                </c:pt>
                <c:pt idx="129">
                  <c:v>4.3131959999999996</c:v>
                </c:pt>
                <c:pt idx="130">
                  <c:v>4.378984</c:v>
                </c:pt>
                <c:pt idx="131">
                  <c:v>3.688075</c:v>
                </c:pt>
                <c:pt idx="132">
                  <c:v>3.6239129999999999</c:v>
                </c:pt>
                <c:pt idx="133">
                  <c:v>2.916709</c:v>
                </c:pt>
                <c:pt idx="134">
                  <c:v>4.6920640000000002</c:v>
                </c:pt>
                <c:pt idx="135">
                  <c:v>4.9244079999999997</c:v>
                </c:pt>
                <c:pt idx="136">
                  <c:v>3.5042749999999998</c:v>
                </c:pt>
                <c:pt idx="137">
                  <c:v>3.0434909999999999</c:v>
                </c:pt>
                <c:pt idx="138">
                  <c:v>3.352617</c:v>
                </c:pt>
                <c:pt idx="139">
                  <c:v>3.7062780000000002</c:v>
                </c:pt>
                <c:pt idx="140">
                  <c:v>5.054481</c:v>
                </c:pt>
                <c:pt idx="141">
                  <c:v>4.7349670000000001</c:v>
                </c:pt>
                <c:pt idx="142">
                  <c:v>5.168609</c:v>
                </c:pt>
                <c:pt idx="143">
                  <c:v>3.9296190000000002</c:v>
                </c:pt>
                <c:pt idx="144">
                  <c:v>3.3813399999999998</c:v>
                </c:pt>
                <c:pt idx="145">
                  <c:v>3.2896670000000001</c:v>
                </c:pt>
                <c:pt idx="146">
                  <c:v>3.6475420000000001</c:v>
                </c:pt>
                <c:pt idx="147">
                  <c:v>4.4491209999999999</c:v>
                </c:pt>
                <c:pt idx="148">
                  <c:v>6.4398520000000001</c:v>
                </c:pt>
                <c:pt idx="149">
                  <c:v>3.4190109999999998</c:v>
                </c:pt>
                <c:pt idx="150">
                  <c:v>4.4164789999999998</c:v>
                </c:pt>
                <c:pt idx="151">
                  <c:v>5.8726799999999999</c:v>
                </c:pt>
                <c:pt idx="152">
                  <c:v>6.9717650000000004</c:v>
                </c:pt>
                <c:pt idx="153">
                  <c:v>4.224672</c:v>
                </c:pt>
                <c:pt idx="154">
                  <c:v>3.9303140000000001</c:v>
                </c:pt>
                <c:pt idx="155">
                  <c:v>4.0933869999999999</c:v>
                </c:pt>
                <c:pt idx="156">
                  <c:v>4.0234490000000003</c:v>
                </c:pt>
                <c:pt idx="157">
                  <c:v>5.4210000000000003</c:v>
                </c:pt>
                <c:pt idx="158">
                  <c:v>3.5506959999999999</c:v>
                </c:pt>
                <c:pt idx="159">
                  <c:v>3.3202060000000002</c:v>
                </c:pt>
                <c:pt idx="160">
                  <c:v>3.591056</c:v>
                </c:pt>
                <c:pt idx="161">
                  <c:v>5.6620679999999997</c:v>
                </c:pt>
                <c:pt idx="162">
                  <c:v>4.4761660000000001</c:v>
                </c:pt>
                <c:pt idx="163">
                  <c:v>3.8119390000000002</c:v>
                </c:pt>
                <c:pt idx="164">
                  <c:v>3.3532860000000002</c:v>
                </c:pt>
                <c:pt idx="165">
                  <c:v>3.3323610000000001</c:v>
                </c:pt>
                <c:pt idx="166">
                  <c:v>2.8869769999999999</c:v>
                </c:pt>
                <c:pt idx="167">
                  <c:v>4.7754580000000004</c:v>
                </c:pt>
                <c:pt idx="168">
                  <c:v>7.7018659999999999</c:v>
                </c:pt>
                <c:pt idx="169">
                  <c:v>2.685127</c:v>
                </c:pt>
                <c:pt idx="170">
                  <c:v>4.0133669999999997</c:v>
                </c:pt>
                <c:pt idx="171">
                  <c:v>5.0562490000000002</c:v>
                </c:pt>
                <c:pt idx="172">
                  <c:v>4.7192030000000003</c:v>
                </c:pt>
                <c:pt idx="173">
                  <c:v>3.2134070000000001</c:v>
                </c:pt>
                <c:pt idx="174">
                  <c:v>9.6579800000000002</c:v>
                </c:pt>
                <c:pt idx="175">
                  <c:v>3.535838</c:v>
                </c:pt>
                <c:pt idx="176">
                  <c:v>4.6111579999999996</c:v>
                </c:pt>
                <c:pt idx="177">
                  <c:v>6.5650750000000002</c:v>
                </c:pt>
                <c:pt idx="178">
                  <c:v>4.805593</c:v>
                </c:pt>
                <c:pt idx="179">
                  <c:v>6.9518459999999997</c:v>
                </c:pt>
                <c:pt idx="180">
                  <c:v>3.557499</c:v>
                </c:pt>
                <c:pt idx="181">
                  <c:v>4.7295879999999997</c:v>
                </c:pt>
                <c:pt idx="182">
                  <c:v>3.749959</c:v>
                </c:pt>
                <c:pt idx="183">
                  <c:v>4.3729279999999999</c:v>
                </c:pt>
                <c:pt idx="184">
                  <c:v>3.9190960000000001</c:v>
                </c:pt>
                <c:pt idx="185">
                  <c:v>4.7381859999999998</c:v>
                </c:pt>
                <c:pt idx="186">
                  <c:v>5.0425449999999996</c:v>
                </c:pt>
                <c:pt idx="187">
                  <c:v>6.1397139999999997</c:v>
                </c:pt>
                <c:pt idx="188">
                  <c:v>3.8113049999999999</c:v>
                </c:pt>
                <c:pt idx="189">
                  <c:v>4.8941239999999997</c:v>
                </c:pt>
                <c:pt idx="190">
                  <c:v>5.855378</c:v>
                </c:pt>
                <c:pt idx="191">
                  <c:v>9.0348780000000009</c:v>
                </c:pt>
                <c:pt idx="192">
                  <c:v>6.6686680000000003</c:v>
                </c:pt>
                <c:pt idx="193">
                  <c:v>5.2849069999999996</c:v>
                </c:pt>
                <c:pt idx="194">
                  <c:v>4.6311039999999997</c:v>
                </c:pt>
                <c:pt idx="195">
                  <c:v>3.3835229999999998</c:v>
                </c:pt>
                <c:pt idx="196">
                  <c:v>5.1831779999999998</c:v>
                </c:pt>
                <c:pt idx="197">
                  <c:v>6.1685679999999996</c:v>
                </c:pt>
                <c:pt idx="198">
                  <c:v>3.478596</c:v>
                </c:pt>
                <c:pt idx="199">
                  <c:v>4.5318430000000003</c:v>
                </c:pt>
                <c:pt idx="200">
                  <c:v>6.025156</c:v>
                </c:pt>
                <c:pt idx="201">
                  <c:v>6.2131780000000001</c:v>
                </c:pt>
                <c:pt idx="202">
                  <c:v>6.806235</c:v>
                </c:pt>
                <c:pt idx="203">
                  <c:v>5.995565</c:v>
                </c:pt>
                <c:pt idx="204">
                  <c:v>12.486795000000001</c:v>
                </c:pt>
                <c:pt idx="205">
                  <c:v>13.395371000000001</c:v>
                </c:pt>
                <c:pt idx="206">
                  <c:v>9.2531459999999992</c:v>
                </c:pt>
                <c:pt idx="207">
                  <c:v>9.9378550000000008</c:v>
                </c:pt>
                <c:pt idx="208">
                  <c:v>8.2793869999999998</c:v>
                </c:pt>
                <c:pt idx="209">
                  <c:v>13.018033000000001</c:v>
                </c:pt>
                <c:pt idx="210">
                  <c:v>5.869961</c:v>
                </c:pt>
                <c:pt idx="211">
                  <c:v>5.8137220000000003</c:v>
                </c:pt>
                <c:pt idx="212">
                  <c:v>7.4757879999999997</c:v>
                </c:pt>
                <c:pt idx="213">
                  <c:v>7.229425</c:v>
                </c:pt>
                <c:pt idx="214">
                  <c:v>5.1467369999999999</c:v>
                </c:pt>
                <c:pt idx="215">
                  <c:v>4.4383410000000003</c:v>
                </c:pt>
                <c:pt idx="216">
                  <c:v>3.0079920000000002</c:v>
                </c:pt>
                <c:pt idx="217">
                  <c:v>8.3634039999999992</c:v>
                </c:pt>
                <c:pt idx="218">
                  <c:v>5.209956</c:v>
                </c:pt>
                <c:pt idx="219">
                  <c:v>9.1494</c:v>
                </c:pt>
                <c:pt idx="220">
                  <c:v>6.6692600000000004</c:v>
                </c:pt>
                <c:pt idx="221">
                  <c:v>6.4593340000000001</c:v>
                </c:pt>
                <c:pt idx="222">
                  <c:v>10.698817</c:v>
                </c:pt>
                <c:pt idx="223">
                  <c:v>6.9183399999999997</c:v>
                </c:pt>
                <c:pt idx="224">
                  <c:v>4.7346110000000001</c:v>
                </c:pt>
                <c:pt idx="225">
                  <c:v>5.2899219999999998</c:v>
                </c:pt>
                <c:pt idx="226">
                  <c:v>9.8930009999999999</c:v>
                </c:pt>
                <c:pt idx="227">
                  <c:v>8.0385869999999997</c:v>
                </c:pt>
                <c:pt idx="228">
                  <c:v>5.6964309999999996</c:v>
                </c:pt>
                <c:pt idx="229">
                  <c:v>6.5024100000000002</c:v>
                </c:pt>
                <c:pt idx="230">
                  <c:v>8.9593279999999993</c:v>
                </c:pt>
                <c:pt idx="231">
                  <c:v>5.5520750000000003</c:v>
                </c:pt>
                <c:pt idx="232">
                  <c:v>3.7380089999999999</c:v>
                </c:pt>
                <c:pt idx="233">
                  <c:v>4.9153710000000004</c:v>
                </c:pt>
                <c:pt idx="234">
                  <c:v>5.9169479999999997</c:v>
                </c:pt>
                <c:pt idx="235">
                  <c:v>8.6921020000000002</c:v>
                </c:pt>
                <c:pt idx="236">
                  <c:v>5.1748089999999998</c:v>
                </c:pt>
                <c:pt idx="237">
                  <c:v>3.6130819999999999</c:v>
                </c:pt>
                <c:pt idx="238">
                  <c:v>8.8575529999999993</c:v>
                </c:pt>
                <c:pt idx="239">
                  <c:v>4.5585990000000001</c:v>
                </c:pt>
                <c:pt idx="240">
                  <c:v>10.876628</c:v>
                </c:pt>
                <c:pt idx="241">
                  <c:v>14.354590999999999</c:v>
                </c:pt>
                <c:pt idx="242">
                  <c:v>10.144047</c:v>
                </c:pt>
                <c:pt idx="243">
                  <c:v>13.30273</c:v>
                </c:pt>
                <c:pt idx="244">
                  <c:v>4.3449260000000001</c:v>
                </c:pt>
                <c:pt idx="245">
                  <c:v>3.2614109999999998</c:v>
                </c:pt>
                <c:pt idx="246">
                  <c:v>6.9237520000000004</c:v>
                </c:pt>
                <c:pt idx="247">
                  <c:v>2.902434</c:v>
                </c:pt>
                <c:pt idx="248">
                  <c:v>7.4497530000000003</c:v>
                </c:pt>
                <c:pt idx="249">
                  <c:v>5.4564690000000002</c:v>
                </c:pt>
                <c:pt idx="250">
                  <c:v>4.4779749999999998</c:v>
                </c:pt>
                <c:pt idx="251">
                  <c:v>5.4651750000000003</c:v>
                </c:pt>
                <c:pt idx="252">
                  <c:v>12.895232</c:v>
                </c:pt>
                <c:pt idx="253">
                  <c:v>6.7715209999999999</c:v>
                </c:pt>
                <c:pt idx="254">
                  <c:v>3.8511129999999998</c:v>
                </c:pt>
              </c:numCache>
            </c:numRef>
          </c:val>
          <c:extLst>
            <c:ext xmlns:c16="http://schemas.microsoft.com/office/drawing/2014/chart" uri="{C3380CC4-5D6E-409C-BE32-E72D297353CC}">
              <c16:uniqueId val="{00000000-8856-46A5-8FBD-99ECC57FF718}"/>
            </c:ext>
          </c:extLst>
        </c:ser>
        <c:dLbls>
          <c:showLegendKey val="0"/>
          <c:showVal val="0"/>
          <c:showCatName val="0"/>
          <c:showSerName val="0"/>
          <c:showPercent val="0"/>
          <c:showBubbleSize val="0"/>
        </c:dLbls>
        <c:gapWidth val="219"/>
        <c:axId val="568842040"/>
        <c:axId val="568838440"/>
      </c:barChart>
      <c:dateAx>
        <c:axId val="56884204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838440"/>
        <c:crosses val="autoZero"/>
        <c:auto val="1"/>
        <c:lblOffset val="100"/>
        <c:baseTimeUnit val="days"/>
      </c:dateAx>
      <c:valAx>
        <c:axId val="56883844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842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solidFill>
                <a:schemeClr val="tx1"/>
              </a:solidFill>
            </a:ln>
            <a:effectLst/>
          </c:spPr>
          <c:invertIfNegative val="0"/>
          <c:dPt>
            <c:idx val="0"/>
            <c:invertIfNegative val="0"/>
            <c:bubble3D val="0"/>
            <c:spPr>
              <a:solidFill>
                <a:srgbClr val="009999"/>
              </a:solidFill>
              <a:ln>
                <a:solidFill>
                  <a:schemeClr val="tx1"/>
                </a:solidFill>
              </a:ln>
              <a:effectLst/>
            </c:spPr>
            <c:extLst>
              <c:ext xmlns:c16="http://schemas.microsoft.com/office/drawing/2014/chart" uri="{C3380CC4-5D6E-409C-BE32-E72D297353CC}">
                <c16:uniqueId val="{00000001-249F-4A92-9A49-BFF38D026F49}"/>
              </c:ext>
            </c:extLst>
          </c:dPt>
          <c:dPt>
            <c:idx val="1"/>
            <c:invertIfNegative val="0"/>
            <c:bubble3D val="0"/>
            <c:spPr>
              <a:solidFill>
                <a:srgbClr val="00D6D1"/>
              </a:solidFill>
              <a:ln>
                <a:solidFill>
                  <a:schemeClr val="tx1"/>
                </a:solidFill>
              </a:ln>
              <a:effectLst/>
            </c:spPr>
            <c:extLst>
              <c:ext xmlns:c16="http://schemas.microsoft.com/office/drawing/2014/chart" uri="{C3380CC4-5D6E-409C-BE32-E72D297353CC}">
                <c16:uniqueId val="{00000002-249F-4A92-9A49-BFF38D026F49}"/>
              </c:ext>
            </c:extLst>
          </c:dPt>
          <c:dPt>
            <c:idx val="3"/>
            <c:invertIfNegative val="0"/>
            <c:bubble3D val="0"/>
            <c:spPr>
              <a:solidFill>
                <a:srgbClr val="BDFFFD"/>
              </a:solidFill>
              <a:ln>
                <a:solidFill>
                  <a:schemeClr val="tx1"/>
                </a:solidFill>
              </a:ln>
              <a:effectLst/>
            </c:spPr>
            <c:extLst>
              <c:ext xmlns:c16="http://schemas.microsoft.com/office/drawing/2014/chart" uri="{C3380CC4-5D6E-409C-BE32-E72D297353CC}">
                <c16:uniqueId val="{00000003-249F-4A92-9A49-BFF38D026F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Data'!$K$3:$K$6</c:f>
              <c:strCache>
                <c:ptCount val="4"/>
                <c:pt idx="0">
                  <c:v>Promoters</c:v>
                </c:pt>
                <c:pt idx="1">
                  <c:v>Total Public</c:v>
                </c:pt>
                <c:pt idx="2">
                  <c:v>FII</c:v>
                </c:pt>
                <c:pt idx="3">
                  <c:v>Institutions</c:v>
                </c:pt>
              </c:strCache>
            </c:strRef>
          </c:cat>
          <c:val>
            <c:numRef>
              <c:f>'Raw Data'!$T$3:$T$6</c:f>
              <c:numCache>
                <c:formatCode>0.00%</c:formatCode>
                <c:ptCount val="4"/>
                <c:pt idx="0">
                  <c:v>0.52900000000000003</c:v>
                </c:pt>
                <c:pt idx="1">
                  <c:v>0.47</c:v>
                </c:pt>
                <c:pt idx="2">
                  <c:v>0.15390000000000001</c:v>
                </c:pt>
                <c:pt idx="3">
                  <c:v>0.1532</c:v>
                </c:pt>
              </c:numCache>
            </c:numRef>
          </c:val>
          <c:extLst>
            <c:ext xmlns:c16="http://schemas.microsoft.com/office/drawing/2014/chart" uri="{C3380CC4-5D6E-409C-BE32-E72D297353CC}">
              <c16:uniqueId val="{00000000-249F-4A92-9A49-BFF38D026F49}"/>
            </c:ext>
          </c:extLst>
        </c:ser>
        <c:dLbls>
          <c:showLegendKey val="0"/>
          <c:showVal val="0"/>
          <c:showCatName val="0"/>
          <c:showSerName val="0"/>
          <c:showPercent val="0"/>
          <c:showBubbleSize val="0"/>
        </c:dLbls>
        <c:gapWidth val="182"/>
        <c:axId val="801902560"/>
        <c:axId val="801901840"/>
      </c:barChart>
      <c:catAx>
        <c:axId val="80190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1901840"/>
        <c:crosses val="autoZero"/>
        <c:auto val="1"/>
        <c:lblAlgn val="ctr"/>
        <c:lblOffset val="100"/>
        <c:noMultiLvlLbl val="0"/>
      </c:catAx>
      <c:valAx>
        <c:axId val="80190184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190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5Y Daily Return Distribution</cx:v>
        </cx:txData>
      </cx:tx>
      <cx:txPr>
        <a:bodyPr spcFirstLastPara="1" vertOverflow="ellipsis" horzOverflow="overflow" wrap="square" lIns="0" tIns="0" rIns="0" bIns="0" anchor="ctr" anchorCtr="1"/>
        <a:lstStyle/>
        <a:p>
          <a:pPr algn="ctr" rtl="0">
            <a:defRPr/>
          </a:pPr>
          <a:r>
            <a:rPr lang="en-US" sz="1400" b="1" i="0" u="none" strike="noStrike" baseline="0">
              <a:solidFill>
                <a:srgbClr val="009999"/>
              </a:solidFill>
              <a:latin typeface="Calibri"/>
            </a:rPr>
            <a:t>5Y Daily Return Distribution</a:t>
          </a:r>
        </a:p>
      </cx:txPr>
    </cx:title>
    <cx:plotArea>
      <cx:plotAreaRegion>
        <cx:series layoutId="clusteredColumn" uniqueId="{6E73EBC6-785E-4223-A2DC-70DF53C1E3A2}">
          <cx:spPr>
            <a:solidFill>
              <a:srgbClr val="009999"/>
            </a:solidFill>
          </cx:spPr>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ndParaRPr>
          </a:p>
        </cx:txPr>
      </cx:axis>
      <cx:axis id="1">
        <cx:valScaling/>
        <cx:tickLabels/>
        <cx:numFmt formatCode="General" sourceLinked="0"/>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ndParaRPr>
          </a:p>
        </cx:tx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Daily Return Distribution</cx:v>
        </cx:txData>
      </cx:tx>
      <cx:txPr>
        <a:bodyPr spcFirstLastPara="1" vertOverflow="ellipsis" horzOverflow="overflow" wrap="square" lIns="0" tIns="0" rIns="0" bIns="0" anchor="ctr" anchorCtr="1"/>
        <a:lstStyle/>
        <a:p>
          <a:pPr algn="ctr" rtl="0">
            <a:defRPr b="1">
              <a:solidFill>
                <a:srgbClr val="009999"/>
              </a:solidFill>
            </a:defRPr>
          </a:pPr>
          <a:r>
            <a:rPr lang="en-US" sz="1400" b="1" i="0" u="none" strike="noStrike" baseline="0">
              <a:solidFill>
                <a:srgbClr val="009999"/>
              </a:solidFill>
              <a:latin typeface="Calibri"/>
            </a:rPr>
            <a:t>Daily Return Distribution</a:t>
          </a:r>
        </a:p>
      </cx:txPr>
    </cx:title>
    <cx:plotArea>
      <cx:plotAreaRegion>
        <cx:series layoutId="clusteredColumn" uniqueId="{D52059C0-5862-4D08-A0AE-602178AEBB93}">
          <cx:spPr>
            <a:solidFill>
              <a:srgbClr val="009999"/>
            </a:solidFill>
          </cx:spPr>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ndParaRPr>
          </a:p>
        </cx:txPr>
      </cx:axis>
      <cx:axis id="1">
        <cx:valScaling/>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3.png"/><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4.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image" Target="../media/image5.pn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xdr:col>
      <xdr:colOff>449179</xdr:colOff>
      <xdr:row>42</xdr:row>
      <xdr:rowOff>139977</xdr:rowOff>
    </xdr:from>
    <xdr:to>
      <xdr:col>12</xdr:col>
      <xdr:colOff>144378</xdr:colOff>
      <xdr:row>49</xdr:row>
      <xdr:rowOff>80211</xdr:rowOff>
    </xdr:to>
    <xdr:sp macro="" textlink="">
      <xdr:nvSpPr>
        <xdr:cNvPr id="3" name="TextBox 2">
          <a:extLst>
            <a:ext uri="{FF2B5EF4-FFF2-40B4-BE49-F238E27FC236}">
              <a16:creationId xmlns:a16="http://schemas.microsoft.com/office/drawing/2014/main" id="{C4E2FA78-B24F-4B0C-8A96-18F5E57FEFEC}"/>
            </a:ext>
          </a:extLst>
        </xdr:cNvPr>
        <xdr:cNvSpPr txBox="1"/>
      </xdr:nvSpPr>
      <xdr:spPr>
        <a:xfrm>
          <a:off x="577516" y="8465830"/>
          <a:ext cx="6400799" cy="1231623"/>
        </a:xfrm>
        <a:prstGeom prst="rect">
          <a:avLst/>
        </a:prstGeom>
        <a:solidFill>
          <a:srgbClr val="BDFFFD"/>
        </a:solidFill>
        <a:ln w="9525" cmpd="sng">
          <a:solidFill>
            <a:srgbClr val="009999"/>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0"/>
            <a:t>CMP (as on</a:t>
          </a:r>
          <a:r>
            <a:rPr lang="en-IN" sz="1200" b="0" baseline="0"/>
            <a:t> 10.0672026) </a:t>
          </a:r>
          <a:r>
            <a:rPr lang="en-IN" sz="1100" baseline="0"/>
            <a:t>			</a:t>
          </a:r>
          <a:r>
            <a:rPr lang="en-IN" sz="1200" b="0" baseline="0"/>
            <a:t>Market Capitalization:</a:t>
          </a:r>
        </a:p>
        <a:p>
          <a:pPr algn="l"/>
          <a:r>
            <a:rPr lang="en-IN" sz="1600" b="1" baseline="0"/>
            <a:t>Rs. 4584.4				</a:t>
          </a:r>
          <a:r>
            <a:rPr lang="en-IN" sz="1800" b="1" baseline="0"/>
            <a:t>Rs. 4,06,9996.69</a:t>
          </a:r>
          <a:endParaRPr lang="en-IN" sz="1800" b="1"/>
        </a:p>
        <a:p>
          <a:pPr algn="l"/>
          <a:r>
            <a:rPr lang="en-IN" sz="1200" b="0"/>
            <a:t>52</a:t>
          </a:r>
          <a:r>
            <a:rPr lang="en-IN" sz="1200" b="0" baseline="0"/>
            <a:t> Week Range</a:t>
          </a:r>
          <a:r>
            <a:rPr lang="en-IN" sz="1800" b="1" baseline="0"/>
            <a:t>			</a:t>
          </a:r>
          <a:r>
            <a:rPr lang="en-IN" sz="1200" b="0" baseline="0"/>
            <a:t>Valuation Method</a:t>
          </a:r>
        </a:p>
        <a:p>
          <a:pPr algn="l"/>
          <a:r>
            <a:rPr lang="en-IN" sz="1600" b="1" baseline="0"/>
            <a:t>Rs. (3,303.10 - 4,679.80)</a:t>
          </a:r>
          <a:r>
            <a:rPr lang="en-IN" sz="1800" b="1" baseline="0"/>
            <a:t>		DCF|Comps|Football Field</a:t>
          </a:r>
          <a:endParaRPr lang="en-IN" sz="1800" b="1"/>
        </a:p>
      </xdr:txBody>
    </xdr:sp>
    <xdr:clientData/>
  </xdr:twoCellAnchor>
  <xdr:twoCellAnchor>
    <xdr:from>
      <xdr:col>4</xdr:col>
      <xdr:colOff>237983</xdr:colOff>
      <xdr:row>31</xdr:row>
      <xdr:rowOff>27386</xdr:rowOff>
    </xdr:from>
    <xdr:to>
      <xdr:col>9</xdr:col>
      <xdr:colOff>471297</xdr:colOff>
      <xdr:row>33</xdr:row>
      <xdr:rowOff>46435</xdr:rowOff>
    </xdr:to>
    <xdr:sp macro="" textlink="">
      <xdr:nvSpPr>
        <xdr:cNvPr id="4" name="TextBox 3">
          <a:extLst>
            <a:ext uri="{FF2B5EF4-FFF2-40B4-BE49-F238E27FC236}">
              <a16:creationId xmlns:a16="http://schemas.microsoft.com/office/drawing/2014/main" id="{F50422C7-0FA9-427C-B4BF-C74BEA4706A2}"/>
            </a:ext>
          </a:extLst>
        </xdr:cNvPr>
        <xdr:cNvSpPr txBox="1"/>
      </xdr:nvSpPr>
      <xdr:spPr>
        <a:xfrm>
          <a:off x="2210218" y="6198092"/>
          <a:ext cx="3296255" cy="377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ln>
                <a:noFill/>
              </a:ln>
            </a:rPr>
            <a:t>PRESENTED BY: LOKESH RAJPUT</a:t>
          </a:r>
        </a:p>
      </xdr:txBody>
    </xdr:sp>
    <xdr:clientData/>
  </xdr:twoCellAnchor>
  <xdr:twoCellAnchor editAs="oneCell">
    <xdr:from>
      <xdr:col>4</xdr:col>
      <xdr:colOff>460170</xdr:colOff>
      <xdr:row>5</xdr:row>
      <xdr:rowOff>23505</xdr:rowOff>
    </xdr:from>
    <xdr:to>
      <xdr:col>10</xdr:col>
      <xdr:colOff>59799</xdr:colOff>
      <xdr:row>23</xdr:row>
      <xdr:rowOff>227611</xdr:rowOff>
    </xdr:to>
    <xdr:pic>
      <xdr:nvPicPr>
        <xdr:cNvPr id="6" name="Picture 5">
          <a:extLst>
            <a:ext uri="{FF2B5EF4-FFF2-40B4-BE49-F238E27FC236}">
              <a16:creationId xmlns:a16="http://schemas.microsoft.com/office/drawing/2014/main" id="{8A1DD7F1-7CED-AC57-90FD-BDBBEC0362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29495" y="914154"/>
          <a:ext cx="3280979" cy="3410444"/>
        </a:xfrm>
        <a:prstGeom prst="rect">
          <a:avLst/>
        </a:prstGeom>
      </xdr:spPr>
    </xdr:pic>
    <xdr:clientData/>
  </xdr:twoCellAnchor>
  <xdr:twoCellAnchor>
    <xdr:from>
      <xdr:col>2</xdr:col>
      <xdr:colOff>68040</xdr:colOff>
      <xdr:row>26</xdr:row>
      <xdr:rowOff>95251</xdr:rowOff>
    </xdr:from>
    <xdr:to>
      <xdr:col>11</xdr:col>
      <xdr:colOff>583870</xdr:colOff>
      <xdr:row>28</xdr:row>
      <xdr:rowOff>27216</xdr:rowOff>
    </xdr:to>
    <xdr:sp macro="" textlink="">
      <xdr:nvSpPr>
        <xdr:cNvPr id="7" name="TextBox 6">
          <a:extLst>
            <a:ext uri="{FF2B5EF4-FFF2-40B4-BE49-F238E27FC236}">
              <a16:creationId xmlns:a16="http://schemas.microsoft.com/office/drawing/2014/main" id="{E1EE9209-E2A9-4B28-5266-39DE41DCD04E}"/>
            </a:ext>
          </a:extLst>
        </xdr:cNvPr>
        <xdr:cNvSpPr txBox="1"/>
      </xdr:nvSpPr>
      <xdr:spPr>
        <a:xfrm>
          <a:off x="810248" y="5231329"/>
          <a:ext cx="6037856" cy="3871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n>
                <a:noFill/>
              </a:ln>
            </a:rPr>
            <a:t>NSE / BSE: TITAN | BSE CODE: 500114 | SECTOR: Consumer Durables</a:t>
          </a:r>
        </a:p>
      </xdr:txBody>
    </xdr:sp>
    <xdr:clientData/>
  </xdr:twoCellAnchor>
  <xdr:twoCellAnchor>
    <xdr:from>
      <xdr:col>3</xdr:col>
      <xdr:colOff>365172</xdr:colOff>
      <xdr:row>24</xdr:row>
      <xdr:rowOff>50965</xdr:rowOff>
    </xdr:from>
    <xdr:to>
      <xdr:col>10</xdr:col>
      <xdr:colOff>430482</xdr:colOff>
      <xdr:row>25</xdr:row>
      <xdr:rowOff>551708</xdr:rowOff>
    </xdr:to>
    <xdr:sp macro="" textlink="">
      <xdr:nvSpPr>
        <xdr:cNvPr id="8" name="TextBox 7">
          <a:extLst>
            <a:ext uri="{FF2B5EF4-FFF2-40B4-BE49-F238E27FC236}">
              <a16:creationId xmlns:a16="http://schemas.microsoft.com/office/drawing/2014/main" id="{F64419A2-9462-4FB1-A17A-A7201729991F}"/>
            </a:ext>
          </a:extLst>
        </xdr:cNvPr>
        <xdr:cNvSpPr txBox="1"/>
      </xdr:nvSpPr>
      <xdr:spPr>
        <a:xfrm>
          <a:off x="1720938" y="4415147"/>
          <a:ext cx="4360219" cy="6788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ln>
                <a:noFill/>
              </a:ln>
            </a:rPr>
            <a:t>TITAN COMPANY LTD</a:t>
          </a:r>
        </a:p>
      </xdr:txBody>
    </xdr:sp>
    <xdr:clientData/>
  </xdr:twoCellAnchor>
  <xdr:twoCellAnchor>
    <xdr:from>
      <xdr:col>4</xdr:col>
      <xdr:colOff>151168</xdr:colOff>
      <xdr:row>23</xdr:row>
      <xdr:rowOff>10144</xdr:rowOff>
    </xdr:from>
    <xdr:to>
      <xdr:col>10</xdr:col>
      <xdr:colOff>9897</xdr:colOff>
      <xdr:row>24</xdr:row>
      <xdr:rowOff>59376</xdr:rowOff>
    </xdr:to>
    <xdr:sp macro="" textlink="">
      <xdr:nvSpPr>
        <xdr:cNvPr id="9" name="TextBox 8">
          <a:extLst>
            <a:ext uri="{FF2B5EF4-FFF2-40B4-BE49-F238E27FC236}">
              <a16:creationId xmlns:a16="http://schemas.microsoft.com/office/drawing/2014/main" id="{27E8F9F0-6531-438F-B654-5D6AB89C0326}"/>
            </a:ext>
          </a:extLst>
        </xdr:cNvPr>
        <xdr:cNvSpPr txBox="1"/>
      </xdr:nvSpPr>
      <xdr:spPr>
        <a:xfrm>
          <a:off x="2120493" y="4107131"/>
          <a:ext cx="3540079" cy="3164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n>
                <a:noFill/>
              </a:ln>
            </a:rPr>
            <a:t>Financial Modeling &amp; Valuation Report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308016</xdr:colOff>
      <xdr:row>2</xdr:row>
      <xdr:rowOff>3955</xdr:rowOff>
    </xdr:from>
    <xdr:to>
      <xdr:col>12</xdr:col>
      <xdr:colOff>154545</xdr:colOff>
      <xdr:row>5</xdr:row>
      <xdr:rowOff>13608</xdr:rowOff>
    </xdr:to>
    <xdr:pic>
      <xdr:nvPicPr>
        <xdr:cNvPr id="8" name="Picture 7">
          <a:extLst>
            <a:ext uri="{FF2B5EF4-FFF2-40B4-BE49-F238E27FC236}">
              <a16:creationId xmlns:a16="http://schemas.microsoft.com/office/drawing/2014/main" id="{67F11A7D-E7DA-70DD-D6BC-DC7BF0F36B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2198" y="373410"/>
          <a:ext cx="1070347" cy="1014107"/>
        </a:xfrm>
        <a:prstGeom prst="rect">
          <a:avLst/>
        </a:prstGeom>
        <a:solidFill>
          <a:srgbClr val="FFFFFF">
            <a:shade val="85000"/>
          </a:srgbClr>
        </a:solidFill>
        <a:ln w="1905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4</xdr:row>
      <xdr:rowOff>0</xdr:rowOff>
    </xdr:from>
    <xdr:to>
      <xdr:col>1</xdr:col>
      <xdr:colOff>1206500</xdr:colOff>
      <xdr:row>6</xdr:row>
      <xdr:rowOff>101394</xdr:rowOff>
    </xdr:to>
    <xdr:pic>
      <xdr:nvPicPr>
        <xdr:cNvPr id="7" name="Picture 6">
          <a:extLst>
            <a:ext uri="{FF2B5EF4-FFF2-40B4-BE49-F238E27FC236}">
              <a16:creationId xmlns:a16="http://schemas.microsoft.com/office/drawing/2014/main" id="{060B2AD4-1320-5D68-3D92-43E760133A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1" y="716643"/>
          <a:ext cx="1206499" cy="1244394"/>
        </a:xfrm>
        <a:prstGeom prst="rect">
          <a:avLst/>
        </a:prstGeom>
      </xdr:spPr>
    </xdr:pic>
    <xdr:clientData/>
  </xdr:twoCellAnchor>
  <xdr:twoCellAnchor>
    <xdr:from>
      <xdr:col>8</xdr:col>
      <xdr:colOff>11813</xdr:colOff>
      <xdr:row>23</xdr:row>
      <xdr:rowOff>35442</xdr:rowOff>
    </xdr:from>
    <xdr:to>
      <xdr:col>10</xdr:col>
      <xdr:colOff>952555</xdr:colOff>
      <xdr:row>30</xdr:row>
      <xdr:rowOff>148331</xdr:rowOff>
    </xdr:to>
    <xdr:graphicFrame macro="">
      <xdr:nvGraphicFramePr>
        <xdr:cNvPr id="6" name="Chart 5">
          <a:extLst>
            <a:ext uri="{FF2B5EF4-FFF2-40B4-BE49-F238E27FC236}">
              <a16:creationId xmlns:a16="http://schemas.microsoft.com/office/drawing/2014/main" id="{39831A39-F2D7-4155-8299-601103133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78828</xdr:colOff>
      <xdr:row>8</xdr:row>
      <xdr:rowOff>87586</xdr:rowOff>
    </xdr:from>
    <xdr:to>
      <xdr:col>10</xdr:col>
      <xdr:colOff>928414</xdr:colOff>
      <xdr:row>21</xdr:row>
      <xdr:rowOff>127263</xdr:rowOff>
    </xdr:to>
    <xdr:graphicFrame macro="">
      <xdr:nvGraphicFramePr>
        <xdr:cNvPr id="8" name="Chart 7">
          <a:extLst>
            <a:ext uri="{FF2B5EF4-FFF2-40B4-BE49-F238E27FC236}">
              <a16:creationId xmlns:a16="http://schemas.microsoft.com/office/drawing/2014/main" id="{E5582337-28C8-4E63-9A77-FD7C1EE4D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32</xdr:row>
      <xdr:rowOff>61310</xdr:rowOff>
    </xdr:from>
    <xdr:to>
      <xdr:col>10</xdr:col>
      <xdr:colOff>928414</xdr:colOff>
      <xdr:row>43</xdr:row>
      <xdr:rowOff>122621</xdr:rowOff>
    </xdr:to>
    <xdr:graphicFrame macro="">
      <xdr:nvGraphicFramePr>
        <xdr:cNvPr id="9" name="Chart 8">
          <a:extLst>
            <a:ext uri="{FF2B5EF4-FFF2-40B4-BE49-F238E27FC236}">
              <a16:creationId xmlns:a16="http://schemas.microsoft.com/office/drawing/2014/main" id="{76B8D835-7167-46B4-AA19-C0617B655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11077</xdr:colOff>
      <xdr:row>10</xdr:row>
      <xdr:rowOff>134527</xdr:rowOff>
    </xdr:from>
    <xdr:to>
      <xdr:col>8</xdr:col>
      <xdr:colOff>582577</xdr:colOff>
      <xdr:row>27</xdr:row>
      <xdr:rowOff>32424</xdr:rowOff>
    </xdr:to>
    <xdr:graphicFrame macro="">
      <xdr:nvGraphicFramePr>
        <xdr:cNvPr id="2" name="Chart 1">
          <a:extLst>
            <a:ext uri="{FF2B5EF4-FFF2-40B4-BE49-F238E27FC236}">
              <a16:creationId xmlns:a16="http://schemas.microsoft.com/office/drawing/2014/main" id="{7DB074B3-2F07-281B-B674-8C460AF5B2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8107</xdr:colOff>
      <xdr:row>14</xdr:row>
      <xdr:rowOff>32419</xdr:rowOff>
    </xdr:from>
    <xdr:to>
      <xdr:col>8</xdr:col>
      <xdr:colOff>567446</xdr:colOff>
      <xdr:row>14</xdr:row>
      <xdr:rowOff>32419</xdr:rowOff>
    </xdr:to>
    <xdr:cxnSp macro="">
      <xdr:nvCxnSpPr>
        <xdr:cNvPr id="4" name="Straight Connector 3">
          <a:extLst>
            <a:ext uri="{FF2B5EF4-FFF2-40B4-BE49-F238E27FC236}">
              <a16:creationId xmlns:a16="http://schemas.microsoft.com/office/drawing/2014/main" id="{2DD657EB-2D62-439C-782D-69FF75B6BBD2}"/>
            </a:ext>
          </a:extLst>
        </xdr:cNvPr>
        <xdr:cNvCxnSpPr/>
      </xdr:nvCxnSpPr>
      <xdr:spPr>
        <a:xfrm>
          <a:off x="137809" y="2699419"/>
          <a:ext cx="5034063" cy="0"/>
        </a:xfrm>
        <a:prstGeom prst="line">
          <a:avLst/>
        </a:prstGeom>
        <a:ln>
          <a:solidFill>
            <a:srgbClr val="009999"/>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138546</xdr:colOff>
      <xdr:row>14</xdr:row>
      <xdr:rowOff>100445</xdr:rowOff>
    </xdr:from>
    <xdr:to>
      <xdr:col>10</xdr:col>
      <xdr:colOff>952501</xdr:colOff>
      <xdr:row>32</xdr:row>
      <xdr:rowOff>173182</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78F8F139-C437-4A5B-671B-A54D8AA73B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38006" y="2660765"/>
              <a:ext cx="4943995" cy="33645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190500</xdr:colOff>
      <xdr:row>14</xdr:row>
      <xdr:rowOff>156210</xdr:rowOff>
    </xdr:from>
    <xdr:to>
      <xdr:col>12</xdr:col>
      <xdr:colOff>292100</xdr:colOff>
      <xdr:row>31</xdr:row>
      <xdr:rowOff>139700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C2477E6-3B3A-0DAE-9D71-2ACCD660AE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28260" y="2716530"/>
              <a:ext cx="3507740" cy="3092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24083</xdr:colOff>
      <xdr:row>13</xdr:row>
      <xdr:rowOff>91888</xdr:rowOff>
    </xdr:from>
    <xdr:to>
      <xdr:col>2</xdr:col>
      <xdr:colOff>465245</xdr:colOff>
      <xdr:row>14</xdr:row>
      <xdr:rowOff>163556</xdr:rowOff>
    </xdr:to>
    <xdr:grpSp>
      <xdr:nvGrpSpPr>
        <xdr:cNvPr id="19" name="Group 18">
          <a:extLst>
            <a:ext uri="{FF2B5EF4-FFF2-40B4-BE49-F238E27FC236}">
              <a16:creationId xmlns:a16="http://schemas.microsoft.com/office/drawing/2014/main" id="{FAC3FA7F-B860-5A5A-7294-7822AF85F114}"/>
            </a:ext>
          </a:extLst>
        </xdr:cNvPr>
        <xdr:cNvGrpSpPr/>
      </xdr:nvGrpSpPr>
      <xdr:grpSpPr>
        <a:xfrm>
          <a:off x="151083" y="2678070"/>
          <a:ext cx="2172980" cy="256395"/>
          <a:chOff x="255710" y="2532193"/>
          <a:chExt cx="1906465" cy="291751"/>
        </a:xfrm>
      </xdr:grpSpPr>
      <xdr:sp macro="" textlink="">
        <xdr:nvSpPr>
          <xdr:cNvPr id="28" name="TextBox 27">
            <a:extLst>
              <a:ext uri="{FF2B5EF4-FFF2-40B4-BE49-F238E27FC236}">
                <a16:creationId xmlns:a16="http://schemas.microsoft.com/office/drawing/2014/main" id="{C208C0AB-9B94-0E02-EFEE-0D9CF50C5FFD}"/>
              </a:ext>
            </a:extLst>
          </xdr:cNvPr>
          <xdr:cNvSpPr txBox="1"/>
        </xdr:nvSpPr>
        <xdr:spPr>
          <a:xfrm>
            <a:off x="307202" y="2533649"/>
            <a:ext cx="1766573" cy="2902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009999"/>
                </a:solidFill>
              </a:rPr>
              <a:t>Revenue (INR Crs.)</a:t>
            </a:r>
          </a:p>
        </xdr:txBody>
      </xdr:sp>
      <xdr:cxnSp macro="">
        <xdr:nvCxnSpPr>
          <xdr:cNvPr id="29" name="Straight Connector 28">
            <a:extLst>
              <a:ext uri="{FF2B5EF4-FFF2-40B4-BE49-F238E27FC236}">
                <a16:creationId xmlns:a16="http://schemas.microsoft.com/office/drawing/2014/main" id="{BB488725-FA6C-622C-6962-0013BFBFA6E3}"/>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425888</xdr:colOff>
      <xdr:row>13</xdr:row>
      <xdr:rowOff>91888</xdr:rowOff>
    </xdr:from>
    <xdr:to>
      <xdr:col>9</xdr:col>
      <xdr:colOff>471207</xdr:colOff>
      <xdr:row>14</xdr:row>
      <xdr:rowOff>163556</xdr:rowOff>
    </xdr:to>
    <xdr:grpSp>
      <xdr:nvGrpSpPr>
        <xdr:cNvPr id="22" name="Group 21">
          <a:extLst>
            <a:ext uri="{FF2B5EF4-FFF2-40B4-BE49-F238E27FC236}">
              <a16:creationId xmlns:a16="http://schemas.microsoft.com/office/drawing/2014/main" id="{0CC83C19-CB10-F731-4567-12BDE3816BAD}"/>
            </a:ext>
          </a:extLst>
        </xdr:cNvPr>
        <xdr:cNvGrpSpPr/>
      </xdr:nvGrpSpPr>
      <xdr:grpSpPr>
        <a:xfrm>
          <a:off x="5101797" y="2678070"/>
          <a:ext cx="2158137" cy="256395"/>
          <a:chOff x="255710" y="2532193"/>
          <a:chExt cx="1906465" cy="291751"/>
        </a:xfrm>
      </xdr:grpSpPr>
      <xdr:sp macro="" textlink="">
        <xdr:nvSpPr>
          <xdr:cNvPr id="26" name="TextBox 25">
            <a:extLst>
              <a:ext uri="{FF2B5EF4-FFF2-40B4-BE49-F238E27FC236}">
                <a16:creationId xmlns:a16="http://schemas.microsoft.com/office/drawing/2014/main" id="{6A6AC431-C39A-32DB-4D0E-15E039271ED1}"/>
              </a:ext>
            </a:extLst>
          </xdr:cNvPr>
          <xdr:cNvSpPr txBox="1"/>
        </xdr:nvSpPr>
        <xdr:spPr>
          <a:xfrm>
            <a:off x="623227" y="2533650"/>
            <a:ext cx="1338023"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009999"/>
                </a:solidFill>
              </a:rPr>
              <a:t>Total</a:t>
            </a:r>
            <a:r>
              <a:rPr lang="en-IN" sz="1050" baseline="0">
                <a:solidFill>
                  <a:srgbClr val="009999"/>
                </a:solidFill>
              </a:rPr>
              <a:t> Assets </a:t>
            </a:r>
            <a:r>
              <a:rPr lang="en-IN" sz="1050">
                <a:solidFill>
                  <a:srgbClr val="009999"/>
                </a:solidFill>
              </a:rPr>
              <a:t>(INR Crs.)</a:t>
            </a:r>
          </a:p>
        </xdr:txBody>
      </xdr:sp>
      <xdr:cxnSp macro="">
        <xdr:nvCxnSpPr>
          <xdr:cNvPr id="27" name="Straight Connector 26">
            <a:extLst>
              <a:ext uri="{FF2B5EF4-FFF2-40B4-BE49-F238E27FC236}">
                <a16:creationId xmlns:a16="http://schemas.microsoft.com/office/drawing/2014/main" id="{DE7B7C00-F410-5B0C-3162-E4B736BA2B42}"/>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52326</xdr:colOff>
      <xdr:row>13</xdr:row>
      <xdr:rowOff>91888</xdr:rowOff>
    </xdr:from>
    <xdr:to>
      <xdr:col>6</xdr:col>
      <xdr:colOff>97644</xdr:colOff>
      <xdr:row>14</xdr:row>
      <xdr:rowOff>163556</xdr:rowOff>
    </xdr:to>
    <xdr:grpSp>
      <xdr:nvGrpSpPr>
        <xdr:cNvPr id="23" name="Group 22">
          <a:extLst>
            <a:ext uri="{FF2B5EF4-FFF2-40B4-BE49-F238E27FC236}">
              <a16:creationId xmlns:a16="http://schemas.microsoft.com/office/drawing/2014/main" id="{9915EBA1-E170-FC81-A08E-CD828DC5227C}"/>
            </a:ext>
          </a:extLst>
        </xdr:cNvPr>
        <xdr:cNvGrpSpPr/>
      </xdr:nvGrpSpPr>
      <xdr:grpSpPr>
        <a:xfrm>
          <a:off x="2615417" y="2678070"/>
          <a:ext cx="2158136" cy="256395"/>
          <a:chOff x="255710" y="2532193"/>
          <a:chExt cx="1906465" cy="291751"/>
        </a:xfrm>
      </xdr:grpSpPr>
      <xdr:sp macro="" textlink="">
        <xdr:nvSpPr>
          <xdr:cNvPr id="24" name="TextBox 23">
            <a:extLst>
              <a:ext uri="{FF2B5EF4-FFF2-40B4-BE49-F238E27FC236}">
                <a16:creationId xmlns:a16="http://schemas.microsoft.com/office/drawing/2014/main" id="{7AB6A98E-7A4A-BC48-78A2-BC3B912F8E38}"/>
              </a:ext>
            </a:extLst>
          </xdr:cNvPr>
          <xdr:cNvSpPr txBox="1"/>
        </xdr:nvSpPr>
        <xdr:spPr>
          <a:xfrm>
            <a:off x="623227" y="2533650"/>
            <a:ext cx="1363276"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009999"/>
                </a:solidFill>
              </a:rPr>
              <a:t>Net</a:t>
            </a:r>
            <a:r>
              <a:rPr lang="en-IN" sz="1050" baseline="0">
                <a:solidFill>
                  <a:srgbClr val="009999"/>
                </a:solidFill>
              </a:rPr>
              <a:t> Profit</a:t>
            </a:r>
            <a:r>
              <a:rPr lang="en-IN" sz="1050">
                <a:solidFill>
                  <a:srgbClr val="009999"/>
                </a:solidFill>
              </a:rPr>
              <a:t> (INR Crs.)</a:t>
            </a:r>
          </a:p>
        </xdr:txBody>
      </xdr:sp>
      <xdr:cxnSp macro="">
        <xdr:nvCxnSpPr>
          <xdr:cNvPr id="25" name="Straight Connector 24">
            <a:extLst>
              <a:ext uri="{FF2B5EF4-FFF2-40B4-BE49-F238E27FC236}">
                <a16:creationId xmlns:a16="http://schemas.microsoft.com/office/drawing/2014/main" id="{F187B4CB-D5EA-D95B-5A3B-C4DC3918E2D2}"/>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15239</xdr:colOff>
      <xdr:row>24</xdr:row>
      <xdr:rowOff>28713</xdr:rowOff>
    </xdr:from>
    <xdr:to>
      <xdr:col>2</xdr:col>
      <xdr:colOff>465244</xdr:colOff>
      <xdr:row>25</xdr:row>
      <xdr:rowOff>100380</xdr:rowOff>
    </xdr:to>
    <xdr:grpSp>
      <xdr:nvGrpSpPr>
        <xdr:cNvPr id="7" name="Group 6">
          <a:extLst>
            <a:ext uri="{FF2B5EF4-FFF2-40B4-BE49-F238E27FC236}">
              <a16:creationId xmlns:a16="http://schemas.microsoft.com/office/drawing/2014/main" id="{CEF70D50-12B2-A8BE-8E7E-0CC8B45E5411}"/>
            </a:ext>
          </a:extLst>
        </xdr:cNvPr>
        <xdr:cNvGrpSpPr/>
      </xdr:nvGrpSpPr>
      <xdr:grpSpPr>
        <a:xfrm>
          <a:off x="142239" y="4646895"/>
          <a:ext cx="2181823" cy="256394"/>
          <a:chOff x="247987" y="2532193"/>
          <a:chExt cx="1914188" cy="291751"/>
        </a:xfrm>
      </xdr:grpSpPr>
      <xdr:sp macro="" textlink="">
        <xdr:nvSpPr>
          <xdr:cNvPr id="16" name="TextBox 15">
            <a:extLst>
              <a:ext uri="{FF2B5EF4-FFF2-40B4-BE49-F238E27FC236}">
                <a16:creationId xmlns:a16="http://schemas.microsoft.com/office/drawing/2014/main" id="{A0F3643D-D1EE-94F6-F3AB-C8CB3FED1885}"/>
              </a:ext>
            </a:extLst>
          </xdr:cNvPr>
          <xdr:cNvSpPr txBox="1"/>
        </xdr:nvSpPr>
        <xdr:spPr>
          <a:xfrm>
            <a:off x="247987" y="2533649"/>
            <a:ext cx="1806051" cy="2902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009999"/>
                </a:solidFill>
              </a:rPr>
              <a:t>Net</a:t>
            </a:r>
            <a:r>
              <a:rPr lang="en-IN" sz="1050" baseline="0">
                <a:solidFill>
                  <a:srgbClr val="009999"/>
                </a:solidFill>
              </a:rPr>
              <a:t> Margin</a:t>
            </a:r>
            <a:r>
              <a:rPr lang="en-IN" sz="1050">
                <a:solidFill>
                  <a:srgbClr val="009999"/>
                </a:solidFill>
              </a:rPr>
              <a:t> (INR Crs.)</a:t>
            </a:r>
          </a:p>
        </xdr:txBody>
      </xdr:sp>
      <xdr:cxnSp macro="">
        <xdr:nvCxnSpPr>
          <xdr:cNvPr id="17" name="Straight Connector 16">
            <a:extLst>
              <a:ext uri="{FF2B5EF4-FFF2-40B4-BE49-F238E27FC236}">
                <a16:creationId xmlns:a16="http://schemas.microsoft.com/office/drawing/2014/main" id="{6D12E16A-8C6C-1435-4A72-1FA1D3112C7C}"/>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425888</xdr:colOff>
      <xdr:row>24</xdr:row>
      <xdr:rowOff>28713</xdr:rowOff>
    </xdr:from>
    <xdr:to>
      <xdr:col>9</xdr:col>
      <xdr:colOff>471207</xdr:colOff>
      <xdr:row>25</xdr:row>
      <xdr:rowOff>100380</xdr:rowOff>
    </xdr:to>
    <xdr:grpSp>
      <xdr:nvGrpSpPr>
        <xdr:cNvPr id="10" name="Group 9">
          <a:extLst>
            <a:ext uri="{FF2B5EF4-FFF2-40B4-BE49-F238E27FC236}">
              <a16:creationId xmlns:a16="http://schemas.microsoft.com/office/drawing/2014/main" id="{05140B85-639B-E6C8-B33C-8C90405B83DD}"/>
            </a:ext>
          </a:extLst>
        </xdr:cNvPr>
        <xdr:cNvGrpSpPr/>
      </xdr:nvGrpSpPr>
      <xdr:grpSpPr>
        <a:xfrm>
          <a:off x="5101797" y="4646895"/>
          <a:ext cx="2158137" cy="256394"/>
          <a:chOff x="255710" y="2532193"/>
          <a:chExt cx="1906465" cy="291751"/>
        </a:xfrm>
      </xdr:grpSpPr>
      <xdr:sp macro="" textlink="">
        <xdr:nvSpPr>
          <xdr:cNvPr id="14" name="TextBox 13">
            <a:extLst>
              <a:ext uri="{FF2B5EF4-FFF2-40B4-BE49-F238E27FC236}">
                <a16:creationId xmlns:a16="http://schemas.microsoft.com/office/drawing/2014/main" id="{511E7BB3-0776-4A85-103E-E2540DC71FB9}"/>
              </a:ext>
            </a:extLst>
          </xdr:cNvPr>
          <xdr:cNvSpPr txBox="1"/>
        </xdr:nvSpPr>
        <xdr:spPr>
          <a:xfrm>
            <a:off x="623225" y="2533649"/>
            <a:ext cx="1313264" cy="2902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aseline="0">
                <a:solidFill>
                  <a:srgbClr val="009999"/>
                </a:solidFill>
              </a:rPr>
              <a:t>ROA </a:t>
            </a:r>
            <a:r>
              <a:rPr lang="en-IN" sz="1050">
                <a:solidFill>
                  <a:srgbClr val="009999"/>
                </a:solidFill>
              </a:rPr>
              <a:t>(INR Crs.)</a:t>
            </a:r>
          </a:p>
        </xdr:txBody>
      </xdr:sp>
      <xdr:cxnSp macro="">
        <xdr:nvCxnSpPr>
          <xdr:cNvPr id="15" name="Straight Connector 14">
            <a:extLst>
              <a:ext uri="{FF2B5EF4-FFF2-40B4-BE49-F238E27FC236}">
                <a16:creationId xmlns:a16="http://schemas.microsoft.com/office/drawing/2014/main" id="{2CA71669-B237-20B0-18FB-C98D2B8B04FF}"/>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52326</xdr:colOff>
      <xdr:row>24</xdr:row>
      <xdr:rowOff>28713</xdr:rowOff>
    </xdr:from>
    <xdr:to>
      <xdr:col>6</xdr:col>
      <xdr:colOff>97644</xdr:colOff>
      <xdr:row>25</xdr:row>
      <xdr:rowOff>100380</xdr:rowOff>
    </xdr:to>
    <xdr:grpSp>
      <xdr:nvGrpSpPr>
        <xdr:cNvPr id="11" name="Group 10">
          <a:extLst>
            <a:ext uri="{FF2B5EF4-FFF2-40B4-BE49-F238E27FC236}">
              <a16:creationId xmlns:a16="http://schemas.microsoft.com/office/drawing/2014/main" id="{A31008EF-F4B5-FA41-D9E2-D721B59A8253}"/>
            </a:ext>
          </a:extLst>
        </xdr:cNvPr>
        <xdr:cNvGrpSpPr/>
      </xdr:nvGrpSpPr>
      <xdr:grpSpPr>
        <a:xfrm>
          <a:off x="2615417" y="4646895"/>
          <a:ext cx="2158136" cy="256394"/>
          <a:chOff x="255710" y="2532193"/>
          <a:chExt cx="1906465" cy="291751"/>
        </a:xfrm>
      </xdr:grpSpPr>
      <xdr:sp macro="" textlink="">
        <xdr:nvSpPr>
          <xdr:cNvPr id="12" name="TextBox 11">
            <a:extLst>
              <a:ext uri="{FF2B5EF4-FFF2-40B4-BE49-F238E27FC236}">
                <a16:creationId xmlns:a16="http://schemas.microsoft.com/office/drawing/2014/main" id="{A0F60CF7-3CFB-CBFA-D6B8-959F723E3364}"/>
              </a:ext>
            </a:extLst>
          </xdr:cNvPr>
          <xdr:cNvSpPr txBox="1"/>
        </xdr:nvSpPr>
        <xdr:spPr>
          <a:xfrm>
            <a:off x="623226" y="2533649"/>
            <a:ext cx="1394415" cy="2902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009999"/>
                </a:solidFill>
              </a:rPr>
              <a:t>ROE (INR Crs.)</a:t>
            </a:r>
          </a:p>
        </xdr:txBody>
      </xdr:sp>
      <xdr:cxnSp macro="">
        <xdr:nvCxnSpPr>
          <xdr:cNvPr id="13" name="Straight Connector 12">
            <a:extLst>
              <a:ext uri="{FF2B5EF4-FFF2-40B4-BE49-F238E27FC236}">
                <a16:creationId xmlns:a16="http://schemas.microsoft.com/office/drawing/2014/main" id="{92F06996-630A-471D-BD3D-AAC7943A9C53}"/>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78104</xdr:colOff>
      <xdr:row>34</xdr:row>
      <xdr:rowOff>3494</xdr:rowOff>
    </xdr:from>
    <xdr:to>
      <xdr:col>9</xdr:col>
      <xdr:colOff>571500</xdr:colOff>
      <xdr:row>46</xdr:row>
      <xdr:rowOff>68580</xdr:rowOff>
    </xdr:to>
    <xdr:sp macro="" textlink="">
      <xdr:nvSpPr>
        <xdr:cNvPr id="30" name="TextBox 29">
          <a:extLst>
            <a:ext uri="{FF2B5EF4-FFF2-40B4-BE49-F238E27FC236}">
              <a16:creationId xmlns:a16="http://schemas.microsoft.com/office/drawing/2014/main" id="{9224406A-EC9C-4415-B363-4AC937129B1B}"/>
            </a:ext>
          </a:extLst>
        </xdr:cNvPr>
        <xdr:cNvSpPr txBox="1"/>
      </xdr:nvSpPr>
      <xdr:spPr>
        <a:xfrm>
          <a:off x="78104" y="6427154"/>
          <a:ext cx="5499736" cy="22825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300" b="1" i="0">
              <a:solidFill>
                <a:srgbClr val="009999"/>
              </a:solidFill>
              <a:effectLst/>
              <a:latin typeface="+mn-lt"/>
              <a:ea typeface="+mn-ea"/>
              <a:cs typeface="+mn-cs"/>
            </a:rPr>
            <a:t>Recent Updates</a:t>
          </a:r>
        </a:p>
        <a:p>
          <a:pPr marL="0" marR="0" lvl="0" indent="0" defTabSz="914400" eaLnBrk="1" fontAlgn="auto" latinLnBrk="0" hangingPunct="1">
            <a:lnSpc>
              <a:spcPct val="100000"/>
            </a:lnSpc>
            <a:spcBef>
              <a:spcPts val="0"/>
            </a:spcBef>
            <a:spcAft>
              <a:spcPts val="0"/>
            </a:spcAft>
            <a:buClrTx/>
            <a:buSzTx/>
            <a:buFontTx/>
            <a:buNone/>
            <a:tabLst/>
            <a:defRPr/>
          </a:pPr>
          <a:r>
            <a:rPr lang="en-IN" sz="1100" b="1" u="none" strike="noStrike">
              <a:solidFill>
                <a:schemeClr val="dk1"/>
              </a:solidFill>
              <a:effectLst/>
              <a:latin typeface="+mn-lt"/>
              <a:ea typeface="+mn-ea"/>
              <a:cs typeface="+mn-cs"/>
            </a:rPr>
            <a:t>1. Upcoming Earnings:</a:t>
          </a:r>
          <a:r>
            <a:rPr lang="en-IN"/>
            <a:t> The Board of Directors scheduled a meeting for August 7, 2026, to officially review and approve the unaudited financial results for the first quarter of FY 2026–27.</a:t>
          </a:r>
        </a:p>
        <a:p>
          <a:pPr marL="0" marR="0" lvl="0" indent="0" defTabSz="914400" eaLnBrk="1" fontAlgn="auto" latinLnBrk="0" hangingPunct="1">
            <a:lnSpc>
              <a:spcPct val="100000"/>
            </a:lnSpc>
            <a:spcBef>
              <a:spcPts val="0"/>
            </a:spcBef>
            <a:spcAft>
              <a:spcPts val="0"/>
            </a:spcAft>
            <a:buClrTx/>
            <a:buSzTx/>
            <a:buFontTx/>
            <a:buNone/>
            <a:tabLst/>
            <a:defRPr/>
          </a:pPr>
          <a:r>
            <a:rPr lang="en-IN" sz="1100" b="1" u="none" strike="noStrike">
              <a:solidFill>
                <a:schemeClr val="dk1"/>
              </a:solidFill>
              <a:effectLst/>
              <a:latin typeface="+mn-lt"/>
              <a:ea typeface="+mn-ea"/>
              <a:cs typeface="+mn-cs"/>
            </a:rPr>
            <a:t>2. Dividend Payout:</a:t>
          </a:r>
          <a:r>
            <a:rPr lang="en-IN"/>
            <a:t> Approved a dividend of ₹15 per share for FY2025–26.</a:t>
          </a:r>
        </a:p>
        <a:p>
          <a:pPr marL="0" marR="0" lvl="0" indent="0" defTabSz="914400" eaLnBrk="1" fontAlgn="auto" latinLnBrk="0" hangingPunct="1">
            <a:lnSpc>
              <a:spcPct val="100000"/>
            </a:lnSpc>
            <a:spcBef>
              <a:spcPts val="0"/>
            </a:spcBef>
            <a:spcAft>
              <a:spcPts val="0"/>
            </a:spcAft>
            <a:buClrTx/>
            <a:buSzTx/>
            <a:buFontTx/>
            <a:buNone/>
            <a:tabLst/>
            <a:defRPr/>
          </a:pPr>
          <a:r>
            <a:rPr lang="en-IN" sz="1100" b="1" u="none" strike="noStrike">
              <a:solidFill>
                <a:schemeClr val="dk1"/>
              </a:solidFill>
              <a:effectLst/>
              <a:latin typeface="+mn-lt"/>
              <a:ea typeface="+mn-ea"/>
              <a:cs typeface="+mn-cs"/>
            </a:rPr>
            <a:t>3. Annual General Meeting:</a:t>
          </a:r>
          <a:r>
            <a:rPr lang="en-IN"/>
            <a:t> Held its 42nd AGM on July 27, 2026, where shareholders adopted the audited financial statements.</a:t>
          </a:r>
        </a:p>
        <a:p>
          <a:pPr marL="0" marR="0" lvl="0" indent="0" defTabSz="914400" eaLnBrk="1" fontAlgn="auto" latinLnBrk="0" hangingPunct="1">
            <a:lnSpc>
              <a:spcPct val="100000"/>
            </a:lnSpc>
            <a:spcBef>
              <a:spcPts val="0"/>
            </a:spcBef>
            <a:spcAft>
              <a:spcPts val="0"/>
            </a:spcAft>
            <a:buClrTx/>
            <a:buSzTx/>
            <a:buFontTx/>
            <a:buNone/>
            <a:tabLst/>
            <a:defRPr/>
          </a:pPr>
          <a:r>
            <a:rPr lang="en-IN" sz="1100" b="1" u="none" strike="noStrike">
              <a:solidFill>
                <a:schemeClr val="dk1"/>
              </a:solidFill>
              <a:effectLst/>
              <a:latin typeface="+mn-lt"/>
              <a:ea typeface="+mn-ea"/>
              <a:cs typeface="+mn-cs"/>
            </a:rPr>
            <a:t>4. Leadership &amp; Board:</a:t>
          </a:r>
          <a:r>
            <a:rPr lang="en-IN"/>
            <a:t> Reappointed Noel N. Tata as a director ahead of his scheduled retirement rotation. Current MD C. K. Venkataraman is set to retire by December 31, 2026, with Ajoy Chawla slated as his successor.</a:t>
          </a:r>
        </a:p>
        <a:p>
          <a:pPr marL="0" marR="0" lvl="0" indent="0" defTabSz="914400" eaLnBrk="1" fontAlgn="auto" latinLnBrk="0" hangingPunct="1">
            <a:lnSpc>
              <a:spcPct val="100000"/>
            </a:lnSpc>
            <a:spcBef>
              <a:spcPts val="0"/>
            </a:spcBef>
            <a:spcAft>
              <a:spcPts val="0"/>
            </a:spcAft>
            <a:buClrTx/>
            <a:buSzTx/>
            <a:buFontTx/>
            <a:buNone/>
            <a:tabLst/>
            <a:defRPr/>
          </a:pPr>
          <a:r>
            <a:rPr lang="en-IN" sz="1100" b="1" u="none" strike="noStrike">
              <a:solidFill>
                <a:schemeClr val="dk1"/>
              </a:solidFill>
              <a:effectLst/>
              <a:latin typeface="+mn-lt"/>
              <a:ea typeface="+mn-ea"/>
              <a:cs typeface="+mn-cs"/>
            </a:rPr>
            <a:t>5. International Surges:</a:t>
          </a:r>
          <a:r>
            <a:rPr lang="en-IN"/>
            <a:t> International operations rocketed by </a:t>
          </a:r>
          <a:r>
            <a:rPr lang="en-IN" sz="1100" b="1" u="none" strike="noStrike">
              <a:solidFill>
                <a:schemeClr val="dk1"/>
              </a:solidFill>
              <a:effectLst/>
              <a:latin typeface="+mn-lt"/>
              <a:ea typeface="+mn-ea"/>
              <a:cs typeface="+mn-cs"/>
            </a:rPr>
            <a:t>128% YoY</a:t>
          </a:r>
          <a:r>
            <a:rPr lang="en-IN"/>
            <a:t>. Growth was driven by expansions in North America and the GCC, alongside the recent completion of its 67% acquisition of </a:t>
          </a:r>
          <a:r>
            <a:rPr lang="en-IN" sz="1100" b="0" u="none" strike="noStrike">
              <a:solidFill>
                <a:srgbClr val="009999"/>
              </a:solidFill>
              <a:effectLst/>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Damas Jewellery</a:t>
          </a:r>
          <a:r>
            <a:rPr lang="en-IN"/>
            <a:t>.</a:t>
          </a:r>
        </a:p>
        <a:p>
          <a:pPr marL="0" marR="0" lvl="0" indent="0" defTabSz="914400" eaLnBrk="1" fontAlgn="auto" latinLnBrk="0" hangingPunct="1">
            <a:lnSpc>
              <a:spcPct val="100000"/>
            </a:lnSpc>
            <a:spcBef>
              <a:spcPts val="0"/>
            </a:spcBef>
            <a:spcAft>
              <a:spcPts val="0"/>
            </a:spcAft>
            <a:buClrTx/>
            <a:buSzTx/>
            <a:buFontTx/>
            <a:buNone/>
            <a:tabLst/>
            <a:defRPr/>
          </a:pPr>
          <a:r>
            <a:rPr lang="en-IN" sz="1100" b="1" u="none" strike="noStrike">
              <a:solidFill>
                <a:schemeClr val="dk1"/>
              </a:solidFill>
              <a:effectLst/>
              <a:latin typeface="+mn-lt"/>
              <a:ea typeface="+mn-ea"/>
              <a:cs typeface="+mn-cs"/>
            </a:rPr>
            <a:t>6. Retail Network Expansion:</a:t>
          </a:r>
          <a:r>
            <a:rPr lang="en-IN"/>
            <a:t> Added </a:t>
          </a:r>
          <a:r>
            <a:rPr lang="en-IN" sz="1100" b="1" u="none" strike="noStrike">
              <a:solidFill>
                <a:schemeClr val="dk1"/>
              </a:solidFill>
              <a:effectLst/>
              <a:latin typeface="+mn-lt"/>
              <a:ea typeface="+mn-ea"/>
              <a:cs typeface="+mn-cs"/>
            </a:rPr>
            <a:t>77 new stores</a:t>
          </a:r>
          <a:r>
            <a:rPr lang="en-IN"/>
            <a:t> during the quarter. This brings Titan's total domestic and global retail footprint to </a:t>
          </a:r>
          <a:r>
            <a:rPr lang="en-IN" sz="1100" b="1" u="none" strike="noStrike">
              <a:solidFill>
                <a:schemeClr val="dk1"/>
              </a:solidFill>
              <a:effectLst/>
              <a:latin typeface="+mn-lt"/>
              <a:ea typeface="+mn-ea"/>
              <a:cs typeface="+mn-cs"/>
            </a:rPr>
            <a:t>3,680 stores.</a:t>
          </a:r>
          <a:endParaRPr lang="en-IN" sz="1100" b="0" i="0">
            <a:solidFill>
              <a:schemeClr val="dk1"/>
            </a:solidFill>
            <a:effectLst/>
            <a:latin typeface="+mn-lt"/>
            <a:ea typeface="+mn-ea"/>
            <a:cs typeface="+mn-cs"/>
          </a:endParaRPr>
        </a:p>
      </xdr:txBody>
    </xdr:sp>
    <xdr:clientData/>
  </xdr:twoCellAnchor>
  <xdr:twoCellAnchor>
    <xdr:from>
      <xdr:col>0</xdr:col>
      <xdr:colOff>46653</xdr:colOff>
      <xdr:row>89</xdr:row>
      <xdr:rowOff>38099</xdr:rowOff>
    </xdr:from>
    <xdr:to>
      <xdr:col>9</xdr:col>
      <xdr:colOff>629478</xdr:colOff>
      <xdr:row>104</xdr:row>
      <xdr:rowOff>176697</xdr:rowOff>
    </xdr:to>
    <xdr:sp macro="" textlink="">
      <xdr:nvSpPr>
        <xdr:cNvPr id="31" name="TextBox 30">
          <a:extLst>
            <a:ext uri="{FF2B5EF4-FFF2-40B4-BE49-F238E27FC236}">
              <a16:creationId xmlns:a16="http://schemas.microsoft.com/office/drawing/2014/main" id="{C7A2F665-F3F7-4555-9EE8-B84BE6C4E750}"/>
            </a:ext>
          </a:extLst>
        </xdr:cNvPr>
        <xdr:cNvSpPr txBox="1"/>
      </xdr:nvSpPr>
      <xdr:spPr>
        <a:xfrm>
          <a:off x="46653" y="16813142"/>
          <a:ext cx="7396651" cy="28994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300" b="1" i="0">
              <a:solidFill>
                <a:srgbClr val="009999"/>
              </a:solidFill>
              <a:effectLst/>
              <a:latin typeface="+mn-lt"/>
              <a:ea typeface="+mn-ea"/>
              <a:cs typeface="+mn-cs"/>
            </a:rPr>
            <a:t>DUPONT</a:t>
          </a:r>
          <a:r>
            <a:rPr lang="en-IN" sz="1300" b="1" i="0" baseline="0">
              <a:solidFill>
                <a:srgbClr val="009999"/>
              </a:solidFill>
              <a:effectLst/>
              <a:latin typeface="+mn-lt"/>
              <a:ea typeface="+mn-ea"/>
              <a:cs typeface="+mn-cs"/>
            </a:rPr>
            <a:t> Summary</a:t>
          </a:r>
        </a:p>
        <a:p>
          <a:pPr marL="0" marR="0" lvl="0" indent="0" defTabSz="914400" eaLnBrk="1" fontAlgn="auto" latinLnBrk="0" hangingPunct="1">
            <a:lnSpc>
              <a:spcPct val="100000"/>
            </a:lnSpc>
            <a:spcBef>
              <a:spcPts val="0"/>
            </a:spcBef>
            <a:spcAft>
              <a:spcPts val="0"/>
            </a:spcAft>
            <a:buClrTx/>
            <a:buSzTx/>
            <a:buFontTx/>
            <a:buNone/>
            <a:tabLst/>
            <a:defRPr/>
          </a:pPr>
          <a:r>
            <a:rPr lang="en-IN" sz="1400" b="1"/>
            <a:t>1. ROE increased significantly</a:t>
          </a:r>
          <a:r>
            <a:rPr lang="en-IN" sz="1400"/>
            <a:t> from 23.44% (Mar-2020) to 37.13% (Mar-2026), showing strong overall improvement in shareholder returns. </a:t>
          </a:r>
        </a:p>
        <a:p>
          <a:pPr marL="0" marR="0" lvl="0" indent="0" defTabSz="914400" eaLnBrk="1" fontAlgn="auto" latinLnBrk="0" hangingPunct="1">
            <a:lnSpc>
              <a:spcPct val="100000"/>
            </a:lnSpc>
            <a:spcBef>
              <a:spcPts val="0"/>
            </a:spcBef>
            <a:spcAft>
              <a:spcPts val="0"/>
            </a:spcAft>
            <a:buClrTx/>
            <a:buSzTx/>
            <a:buFontTx/>
            <a:buNone/>
            <a:tabLst/>
            <a:defRPr/>
          </a:pPr>
          <a:r>
            <a:rPr lang="en-IN" sz="1400" b="1"/>
            <a:t>2. Net Profit grew substantially</a:t>
          </a:r>
          <a:r>
            <a:rPr lang="en-IN" sz="1400"/>
            <a:t>, from ₹1493.0 (Mar-2020) to ₹5073.0 (Mar-2026), reflecting consistent bottom-line growth. </a:t>
          </a:r>
        </a:p>
        <a:p>
          <a:pPr marL="0" marR="0" lvl="0" indent="0" defTabSz="914400" eaLnBrk="1" fontAlgn="auto" latinLnBrk="0" hangingPunct="1">
            <a:lnSpc>
              <a:spcPct val="100000"/>
            </a:lnSpc>
            <a:spcBef>
              <a:spcPts val="0"/>
            </a:spcBef>
            <a:spcAft>
              <a:spcPts val="0"/>
            </a:spcAft>
            <a:buClrTx/>
            <a:buSzTx/>
            <a:buFontTx/>
            <a:buNone/>
            <a:tabLst/>
            <a:defRPr/>
          </a:pPr>
          <a:r>
            <a:rPr lang="en-IN" sz="1400" b="1"/>
            <a:t>3. Revenue expanded steadily</a:t>
          </a:r>
          <a:r>
            <a:rPr lang="en-IN" sz="1400"/>
            <a:t> from ₹21052.0 to ₹87584.0 over the same period, indicating strong top-line growth. </a:t>
          </a:r>
        </a:p>
        <a:p>
          <a:pPr marL="0" marR="0" lvl="0" indent="0" defTabSz="914400" eaLnBrk="1" fontAlgn="auto" latinLnBrk="0" hangingPunct="1">
            <a:lnSpc>
              <a:spcPct val="100000"/>
            </a:lnSpc>
            <a:spcBef>
              <a:spcPts val="0"/>
            </a:spcBef>
            <a:spcAft>
              <a:spcPts val="0"/>
            </a:spcAft>
            <a:buClrTx/>
            <a:buSzTx/>
            <a:buFontTx/>
            <a:buNone/>
            <a:tabLst/>
            <a:defRPr/>
          </a:pPr>
          <a:r>
            <a:rPr lang="en-IN" sz="1400" b="1"/>
            <a:t>4. Net Profit Margin fluctuated</a:t>
          </a:r>
          <a:r>
            <a:rPr lang="en-IN" sz="1400"/>
            <a:t>, starting at 7.09%, dipping to a low of 4.50% (Mar-2021), and settling at 5.79% by Mar-2026 — showing some inconsistency in cost control/profitability. </a:t>
          </a:r>
        </a:p>
        <a:p>
          <a:pPr marL="0" marR="0" lvl="0" indent="0" defTabSz="914400" eaLnBrk="1" fontAlgn="auto" latinLnBrk="0" hangingPunct="1">
            <a:lnSpc>
              <a:spcPct val="100000"/>
            </a:lnSpc>
            <a:spcBef>
              <a:spcPts val="0"/>
            </a:spcBef>
            <a:spcAft>
              <a:spcPts val="0"/>
            </a:spcAft>
            <a:buClrTx/>
            <a:buSzTx/>
            <a:buFontTx/>
            <a:buNone/>
            <a:tabLst/>
            <a:defRPr/>
          </a:pPr>
          <a:r>
            <a:rPr lang="en-IN" sz="1400" b="1"/>
            <a:t>5. Asset Turnover Ratio remained relatively stable</a:t>
          </a:r>
          <a:r>
            <a:rPr lang="en-IN" sz="1400"/>
            <a:t>, moving between 1.44x and 1.74x, showing consistent efficiency in using assets to generate revenue. </a:t>
          </a:r>
        </a:p>
        <a:p>
          <a:pPr marL="0" marR="0" lvl="0" indent="0" defTabSz="914400" eaLnBrk="1" fontAlgn="auto" latinLnBrk="0" hangingPunct="1">
            <a:lnSpc>
              <a:spcPct val="100000"/>
            </a:lnSpc>
            <a:spcBef>
              <a:spcPts val="0"/>
            </a:spcBef>
            <a:spcAft>
              <a:spcPts val="0"/>
            </a:spcAft>
            <a:buClrTx/>
            <a:buSzTx/>
            <a:buFontTx/>
            <a:buNone/>
            <a:tabLst/>
            <a:defRPr/>
          </a:pPr>
          <a:r>
            <a:rPr lang="en-IN" sz="1400" b="1"/>
            <a:t>6. Average Total Assets grew significantly</a:t>
          </a:r>
          <a:r>
            <a:rPr lang="en-IN" sz="1400"/>
            <a:t>, from ₹12626.9 to ₹50603.0, supporting the company's expanding scale of operations.</a:t>
          </a:r>
          <a:endParaRPr lang="en-IN" sz="1300" b="1" i="0" baseline="0">
            <a:solidFill>
              <a:srgbClr val="009999"/>
            </a:solidFill>
            <a:effectLst/>
            <a:latin typeface="+mn-lt"/>
            <a:ea typeface="+mn-ea"/>
            <a:cs typeface="+mn-cs"/>
          </a:endParaRPr>
        </a:p>
      </xdr:txBody>
    </xdr:sp>
    <xdr:clientData/>
  </xdr:twoCellAnchor>
  <xdr:twoCellAnchor>
    <xdr:from>
      <xdr:col>0</xdr:col>
      <xdr:colOff>46650</xdr:colOff>
      <xdr:row>104</xdr:row>
      <xdr:rowOff>180731</xdr:rowOff>
    </xdr:from>
    <xdr:to>
      <xdr:col>9</xdr:col>
      <xdr:colOff>596347</xdr:colOff>
      <xdr:row>108</xdr:row>
      <xdr:rowOff>49559</xdr:rowOff>
    </xdr:to>
    <xdr:sp macro="" textlink="">
      <xdr:nvSpPr>
        <xdr:cNvPr id="32" name="TextBox 31">
          <a:extLst>
            <a:ext uri="{FF2B5EF4-FFF2-40B4-BE49-F238E27FC236}">
              <a16:creationId xmlns:a16="http://schemas.microsoft.com/office/drawing/2014/main" id="{87F79A88-B15F-4FEB-847B-B7031CCCBB39}"/>
            </a:ext>
          </a:extLst>
        </xdr:cNvPr>
        <xdr:cNvSpPr txBox="1"/>
      </xdr:nvSpPr>
      <xdr:spPr>
        <a:xfrm>
          <a:off x="46650" y="19716644"/>
          <a:ext cx="7363523" cy="619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solidFill>
                <a:srgbClr val="009999"/>
              </a:solidFill>
            </a:rPr>
            <a:t>Disclaimer:</a:t>
          </a:r>
          <a:r>
            <a:rPr lang="en-IN">
              <a:solidFill>
                <a:srgbClr val="009999"/>
              </a:solidFill>
            </a:rPr>
            <a:t> </a:t>
          </a:r>
          <a:r>
            <a:rPr lang="en-IN" sz="1000" i="1"/>
            <a:t>This report has been prepared solely for academic and educational purposes as part of an assignment. It does not constitute investment advice or a recommendation to buy or sell any security. The author is not liablefor any losses arising from the use of this report. Investors are advised to consult a </a:t>
          </a:r>
          <a:r>
            <a:rPr lang="en-IN" sz="1000" b="1" i="1"/>
            <a:t>SEBI-registered Research Analyst</a:t>
          </a:r>
          <a:r>
            <a:rPr lang="en-IN" sz="1000" i="1"/>
            <a:t> before making any investment decisions.</a:t>
          </a:r>
          <a:endParaRPr lang="en-IN" sz="1000" b="0" i="1">
            <a:solidFill>
              <a:schemeClr val="dk1"/>
            </a:solidFill>
            <a:effectLst/>
            <a:latin typeface="+mn-lt"/>
            <a:ea typeface="+mn-ea"/>
            <a:cs typeface="+mn-cs"/>
          </a:endParaRPr>
        </a:p>
      </xdr:txBody>
    </xdr:sp>
    <xdr:clientData/>
  </xdr:twoCellAnchor>
  <xdr:twoCellAnchor>
    <xdr:from>
      <xdr:col>1</xdr:col>
      <xdr:colOff>37170</xdr:colOff>
      <xdr:row>14</xdr:row>
      <xdr:rowOff>101712</xdr:rowOff>
    </xdr:from>
    <xdr:to>
      <xdr:col>2</xdr:col>
      <xdr:colOff>446048</xdr:colOff>
      <xdr:row>23</xdr:row>
      <xdr:rowOff>111513</xdr:rowOff>
    </xdr:to>
    <xdr:graphicFrame macro="">
      <xdr:nvGraphicFramePr>
        <xdr:cNvPr id="33" name="Chart 32">
          <a:extLst>
            <a:ext uri="{FF2B5EF4-FFF2-40B4-BE49-F238E27FC236}">
              <a16:creationId xmlns:a16="http://schemas.microsoft.com/office/drawing/2014/main" id="{EF4DAEAA-7311-9E00-D046-A158A8C00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53577</xdr:colOff>
      <xdr:row>14</xdr:row>
      <xdr:rowOff>107577</xdr:rowOff>
    </xdr:from>
    <xdr:to>
      <xdr:col>6</xdr:col>
      <xdr:colOff>83344</xdr:colOff>
      <xdr:row>23</xdr:row>
      <xdr:rowOff>116542</xdr:rowOff>
    </xdr:to>
    <xdr:graphicFrame macro="">
      <xdr:nvGraphicFramePr>
        <xdr:cNvPr id="36" name="Chart 35">
          <a:extLst>
            <a:ext uri="{FF2B5EF4-FFF2-40B4-BE49-F238E27FC236}">
              <a16:creationId xmlns:a16="http://schemas.microsoft.com/office/drawing/2014/main" id="{DED746BB-CD77-F75B-A011-90C0316B5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440530</xdr:colOff>
      <xdr:row>14</xdr:row>
      <xdr:rowOff>107157</xdr:rowOff>
    </xdr:from>
    <xdr:to>
      <xdr:col>9</xdr:col>
      <xdr:colOff>482204</xdr:colOff>
      <xdr:row>23</xdr:row>
      <xdr:rowOff>113110</xdr:rowOff>
    </xdr:to>
    <xdr:graphicFrame macro="">
      <xdr:nvGraphicFramePr>
        <xdr:cNvPr id="37" name="Chart 36">
          <a:extLst>
            <a:ext uri="{FF2B5EF4-FFF2-40B4-BE49-F238E27FC236}">
              <a16:creationId xmlns:a16="http://schemas.microsoft.com/office/drawing/2014/main" id="{234CAB90-0DDE-16DF-FB2D-12B124824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42252</xdr:colOff>
      <xdr:row>25</xdr:row>
      <xdr:rowOff>59532</xdr:rowOff>
    </xdr:from>
    <xdr:to>
      <xdr:col>2</xdr:col>
      <xdr:colOff>451130</xdr:colOff>
      <xdr:row>34</xdr:row>
      <xdr:rowOff>69333</xdr:rowOff>
    </xdr:to>
    <xdr:graphicFrame macro="">
      <xdr:nvGraphicFramePr>
        <xdr:cNvPr id="38" name="Chart 37">
          <a:extLst>
            <a:ext uri="{FF2B5EF4-FFF2-40B4-BE49-F238E27FC236}">
              <a16:creationId xmlns:a16="http://schemas.microsoft.com/office/drawing/2014/main" id="{40CC75BF-3FAF-4391-8456-DA5BB16C1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58659</xdr:colOff>
      <xdr:row>25</xdr:row>
      <xdr:rowOff>65397</xdr:rowOff>
    </xdr:from>
    <xdr:to>
      <xdr:col>6</xdr:col>
      <xdr:colOff>88426</xdr:colOff>
      <xdr:row>34</xdr:row>
      <xdr:rowOff>74362</xdr:rowOff>
    </xdr:to>
    <xdr:graphicFrame macro="">
      <xdr:nvGraphicFramePr>
        <xdr:cNvPr id="39" name="Chart 38">
          <a:extLst>
            <a:ext uri="{FF2B5EF4-FFF2-40B4-BE49-F238E27FC236}">
              <a16:creationId xmlns:a16="http://schemas.microsoft.com/office/drawing/2014/main" id="{39C0A942-5F61-4372-AF87-82BF7C844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445612</xdr:colOff>
      <xdr:row>25</xdr:row>
      <xdr:rowOff>64977</xdr:rowOff>
    </xdr:from>
    <xdr:to>
      <xdr:col>9</xdr:col>
      <xdr:colOff>487286</xdr:colOff>
      <xdr:row>34</xdr:row>
      <xdr:rowOff>70930</xdr:rowOff>
    </xdr:to>
    <xdr:graphicFrame macro="">
      <xdr:nvGraphicFramePr>
        <xdr:cNvPr id="40" name="Chart 39">
          <a:extLst>
            <a:ext uri="{FF2B5EF4-FFF2-40B4-BE49-F238E27FC236}">
              <a16:creationId xmlns:a16="http://schemas.microsoft.com/office/drawing/2014/main" id="{DF0B09C9-56EF-46CF-BCA7-B39B623D2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265046</xdr:colOff>
      <xdr:row>2</xdr:row>
      <xdr:rowOff>0</xdr:rowOff>
    </xdr:from>
    <xdr:to>
      <xdr:col>9</xdr:col>
      <xdr:colOff>651567</xdr:colOff>
      <xdr:row>7</xdr:row>
      <xdr:rowOff>70983</xdr:rowOff>
    </xdr:to>
    <xdr:pic>
      <xdr:nvPicPr>
        <xdr:cNvPr id="5" name="Picture 4">
          <a:extLst>
            <a:ext uri="{FF2B5EF4-FFF2-40B4-BE49-F238E27FC236}">
              <a16:creationId xmlns:a16="http://schemas.microsoft.com/office/drawing/2014/main" id="{34A7AE84-5BDF-0678-40D0-73660C6FC23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372089" y="375478"/>
          <a:ext cx="1093304" cy="113115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8562</xdr:colOff>
      <xdr:row>14</xdr:row>
      <xdr:rowOff>8068</xdr:rowOff>
    </xdr:from>
    <xdr:to>
      <xdr:col>2</xdr:col>
      <xdr:colOff>415977</xdr:colOff>
      <xdr:row>15</xdr:row>
      <xdr:rowOff>77438</xdr:rowOff>
    </xdr:to>
    <xdr:grpSp>
      <xdr:nvGrpSpPr>
        <xdr:cNvPr id="19" name="Group 18">
          <a:extLst>
            <a:ext uri="{FF2B5EF4-FFF2-40B4-BE49-F238E27FC236}">
              <a16:creationId xmlns:a16="http://schemas.microsoft.com/office/drawing/2014/main" id="{2CB3BEF9-CD10-1B0C-8CE5-DE9C298AC4CA}"/>
            </a:ext>
          </a:extLst>
        </xdr:cNvPr>
        <xdr:cNvGrpSpPr/>
      </xdr:nvGrpSpPr>
      <xdr:grpSpPr>
        <a:xfrm>
          <a:off x="135562" y="2802068"/>
          <a:ext cx="2485597" cy="254097"/>
          <a:chOff x="255710" y="2532193"/>
          <a:chExt cx="1906465" cy="317386"/>
        </a:xfrm>
      </xdr:grpSpPr>
      <xdr:sp macro="" textlink="">
        <xdr:nvSpPr>
          <xdr:cNvPr id="28" name="TextBox 27">
            <a:extLst>
              <a:ext uri="{FF2B5EF4-FFF2-40B4-BE49-F238E27FC236}">
                <a16:creationId xmlns:a16="http://schemas.microsoft.com/office/drawing/2014/main" id="{214FE011-F449-D2C5-CB16-C3EED933230C}"/>
              </a:ext>
            </a:extLst>
          </xdr:cNvPr>
          <xdr:cNvSpPr txBox="1"/>
        </xdr:nvSpPr>
        <xdr:spPr>
          <a:xfrm>
            <a:off x="425635" y="2551578"/>
            <a:ext cx="1650913" cy="298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9999"/>
                </a:solidFill>
              </a:rPr>
              <a:t>Working Capital/Total Assets </a:t>
            </a:r>
          </a:p>
        </xdr:txBody>
      </xdr:sp>
      <xdr:cxnSp macro="">
        <xdr:nvCxnSpPr>
          <xdr:cNvPr id="29" name="Straight Connector 28">
            <a:extLst>
              <a:ext uri="{FF2B5EF4-FFF2-40B4-BE49-F238E27FC236}">
                <a16:creationId xmlns:a16="http://schemas.microsoft.com/office/drawing/2014/main" id="{A24463AB-67D0-1A8D-38DB-9386797A6602}"/>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206595</xdr:colOff>
      <xdr:row>14</xdr:row>
      <xdr:rowOff>8068</xdr:rowOff>
    </xdr:from>
    <xdr:to>
      <xdr:col>8</xdr:col>
      <xdr:colOff>590471</xdr:colOff>
      <xdr:row>15</xdr:row>
      <xdr:rowOff>57218</xdr:rowOff>
    </xdr:to>
    <xdr:grpSp>
      <xdr:nvGrpSpPr>
        <xdr:cNvPr id="22" name="Group 21">
          <a:extLst>
            <a:ext uri="{FF2B5EF4-FFF2-40B4-BE49-F238E27FC236}">
              <a16:creationId xmlns:a16="http://schemas.microsoft.com/office/drawing/2014/main" id="{48C1710B-A076-FDB4-B9AC-9AB5A7551C38}"/>
            </a:ext>
          </a:extLst>
        </xdr:cNvPr>
        <xdr:cNvGrpSpPr/>
      </xdr:nvGrpSpPr>
      <xdr:grpSpPr>
        <a:xfrm>
          <a:off x="6013959" y="2802068"/>
          <a:ext cx="2184967" cy="233877"/>
          <a:chOff x="389060" y="2532193"/>
          <a:chExt cx="1669073" cy="291751"/>
        </a:xfrm>
      </xdr:grpSpPr>
      <xdr:sp macro="" textlink="">
        <xdr:nvSpPr>
          <xdr:cNvPr id="26" name="TextBox 25">
            <a:extLst>
              <a:ext uri="{FF2B5EF4-FFF2-40B4-BE49-F238E27FC236}">
                <a16:creationId xmlns:a16="http://schemas.microsoft.com/office/drawing/2014/main" id="{D32815C2-022C-BE95-1759-523DE41D67D6}"/>
              </a:ext>
            </a:extLst>
          </xdr:cNvPr>
          <xdr:cNvSpPr txBox="1"/>
        </xdr:nvSpPr>
        <xdr:spPr>
          <a:xfrm>
            <a:off x="623227" y="2533650"/>
            <a:ext cx="1206305"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9999"/>
                </a:solidFill>
              </a:rPr>
              <a:t>EBIT/Total Assets</a:t>
            </a:r>
          </a:p>
        </xdr:txBody>
      </xdr:sp>
      <xdr:cxnSp macro="">
        <xdr:nvCxnSpPr>
          <xdr:cNvPr id="27" name="Straight Connector 26">
            <a:extLst>
              <a:ext uri="{FF2B5EF4-FFF2-40B4-BE49-F238E27FC236}">
                <a16:creationId xmlns:a16="http://schemas.microsoft.com/office/drawing/2014/main" id="{6ED8DF2D-A00C-E037-D12E-364DEF710D20}"/>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756888</xdr:colOff>
      <xdr:row>14</xdr:row>
      <xdr:rowOff>8068</xdr:rowOff>
    </xdr:from>
    <xdr:to>
      <xdr:col>5</xdr:col>
      <xdr:colOff>678443</xdr:colOff>
      <xdr:row>15</xdr:row>
      <xdr:rowOff>86051</xdr:rowOff>
    </xdr:to>
    <xdr:grpSp>
      <xdr:nvGrpSpPr>
        <xdr:cNvPr id="23" name="Group 22">
          <a:extLst>
            <a:ext uri="{FF2B5EF4-FFF2-40B4-BE49-F238E27FC236}">
              <a16:creationId xmlns:a16="http://schemas.microsoft.com/office/drawing/2014/main" id="{77AEEA52-495C-A4F0-CE59-558DC38C72B6}"/>
            </a:ext>
          </a:extLst>
        </xdr:cNvPr>
        <xdr:cNvGrpSpPr/>
      </xdr:nvGrpSpPr>
      <xdr:grpSpPr>
        <a:xfrm>
          <a:off x="2962070" y="2802068"/>
          <a:ext cx="2623191" cy="262710"/>
          <a:chOff x="255710" y="2532193"/>
          <a:chExt cx="2001441" cy="328306"/>
        </a:xfrm>
      </xdr:grpSpPr>
      <xdr:sp macro="" textlink="">
        <xdr:nvSpPr>
          <xdr:cNvPr id="24" name="TextBox 23">
            <a:extLst>
              <a:ext uri="{FF2B5EF4-FFF2-40B4-BE49-F238E27FC236}">
                <a16:creationId xmlns:a16="http://schemas.microsoft.com/office/drawing/2014/main" id="{C6FA7FBF-0878-1FBE-EAFB-D6E7E68C5D93}"/>
              </a:ext>
            </a:extLst>
          </xdr:cNvPr>
          <xdr:cNvSpPr txBox="1"/>
        </xdr:nvSpPr>
        <xdr:spPr>
          <a:xfrm>
            <a:off x="447591" y="2533649"/>
            <a:ext cx="1809560" cy="326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9999"/>
                </a:solidFill>
              </a:rPr>
              <a:t>Retained Earnings/Total Assets</a:t>
            </a:r>
          </a:p>
        </xdr:txBody>
      </xdr:sp>
      <xdr:cxnSp macro="">
        <xdr:nvCxnSpPr>
          <xdr:cNvPr id="25" name="Straight Connector 24">
            <a:extLst>
              <a:ext uri="{FF2B5EF4-FFF2-40B4-BE49-F238E27FC236}">
                <a16:creationId xmlns:a16="http://schemas.microsoft.com/office/drawing/2014/main" id="{21C2F3E2-8A64-FFA2-6646-C785F7196749}"/>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8562</xdr:colOff>
      <xdr:row>23</xdr:row>
      <xdr:rowOff>126206</xdr:rowOff>
    </xdr:from>
    <xdr:to>
      <xdr:col>2</xdr:col>
      <xdr:colOff>523706</xdr:colOff>
      <xdr:row>24</xdr:row>
      <xdr:rowOff>154519</xdr:rowOff>
    </xdr:to>
    <xdr:grpSp>
      <xdr:nvGrpSpPr>
        <xdr:cNvPr id="7" name="Group 6">
          <a:extLst>
            <a:ext uri="{FF2B5EF4-FFF2-40B4-BE49-F238E27FC236}">
              <a16:creationId xmlns:a16="http://schemas.microsoft.com/office/drawing/2014/main" id="{2A7634F6-7E99-13FB-4D02-0917954F6746}"/>
            </a:ext>
          </a:extLst>
        </xdr:cNvPr>
        <xdr:cNvGrpSpPr/>
      </xdr:nvGrpSpPr>
      <xdr:grpSpPr>
        <a:xfrm>
          <a:off x="135562" y="4582751"/>
          <a:ext cx="2593326" cy="213041"/>
          <a:chOff x="255710" y="2532193"/>
          <a:chExt cx="1989151" cy="265334"/>
        </a:xfrm>
      </xdr:grpSpPr>
      <xdr:sp macro="" textlink="">
        <xdr:nvSpPr>
          <xdr:cNvPr id="16" name="TextBox 15">
            <a:extLst>
              <a:ext uri="{FF2B5EF4-FFF2-40B4-BE49-F238E27FC236}">
                <a16:creationId xmlns:a16="http://schemas.microsoft.com/office/drawing/2014/main" id="{21489084-638D-A151-8017-76173573D747}"/>
              </a:ext>
            </a:extLst>
          </xdr:cNvPr>
          <xdr:cNvSpPr txBox="1"/>
        </xdr:nvSpPr>
        <xdr:spPr>
          <a:xfrm>
            <a:off x="342738" y="2533650"/>
            <a:ext cx="1902123" cy="2638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9999"/>
                </a:solidFill>
              </a:rPr>
              <a:t>Market Cap./Long Term Liabilities</a:t>
            </a:r>
          </a:p>
        </xdr:txBody>
      </xdr:sp>
      <xdr:cxnSp macro="">
        <xdr:nvCxnSpPr>
          <xdr:cNvPr id="17" name="Straight Connector 16">
            <a:extLst>
              <a:ext uri="{FF2B5EF4-FFF2-40B4-BE49-F238E27FC236}">
                <a16:creationId xmlns:a16="http://schemas.microsoft.com/office/drawing/2014/main" id="{A7F27B5B-5350-416E-7CEC-58D16548A55C}"/>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206595</xdr:colOff>
      <xdr:row>23</xdr:row>
      <xdr:rowOff>126206</xdr:rowOff>
    </xdr:from>
    <xdr:to>
      <xdr:col>8</xdr:col>
      <xdr:colOff>590471</xdr:colOff>
      <xdr:row>24</xdr:row>
      <xdr:rowOff>175356</xdr:rowOff>
    </xdr:to>
    <xdr:grpSp>
      <xdr:nvGrpSpPr>
        <xdr:cNvPr id="10" name="Group 9">
          <a:extLst>
            <a:ext uri="{FF2B5EF4-FFF2-40B4-BE49-F238E27FC236}">
              <a16:creationId xmlns:a16="http://schemas.microsoft.com/office/drawing/2014/main" id="{3EE004DE-6271-B50E-586E-F21F0ADBC410}"/>
            </a:ext>
          </a:extLst>
        </xdr:cNvPr>
        <xdr:cNvGrpSpPr/>
      </xdr:nvGrpSpPr>
      <xdr:grpSpPr>
        <a:xfrm>
          <a:off x="6013959" y="4582751"/>
          <a:ext cx="2184967" cy="233878"/>
          <a:chOff x="389060" y="2532193"/>
          <a:chExt cx="1669073" cy="291751"/>
        </a:xfrm>
      </xdr:grpSpPr>
      <xdr:sp macro="" textlink="">
        <xdr:nvSpPr>
          <xdr:cNvPr id="14" name="TextBox 13">
            <a:extLst>
              <a:ext uri="{FF2B5EF4-FFF2-40B4-BE49-F238E27FC236}">
                <a16:creationId xmlns:a16="http://schemas.microsoft.com/office/drawing/2014/main" id="{EDBE326E-F7EB-930C-7820-290A9BA7FDC1}"/>
              </a:ext>
            </a:extLst>
          </xdr:cNvPr>
          <xdr:cNvSpPr txBox="1"/>
        </xdr:nvSpPr>
        <xdr:spPr>
          <a:xfrm>
            <a:off x="623227" y="2533650"/>
            <a:ext cx="1206305"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baseline="0">
                <a:solidFill>
                  <a:srgbClr val="009999"/>
                </a:solidFill>
              </a:rPr>
              <a:t>Altman's Z Score</a:t>
            </a:r>
            <a:endParaRPr lang="en-IN" sz="1050" b="1">
              <a:solidFill>
                <a:srgbClr val="009999"/>
              </a:solidFill>
            </a:endParaRPr>
          </a:p>
        </xdr:txBody>
      </xdr:sp>
      <xdr:cxnSp macro="">
        <xdr:nvCxnSpPr>
          <xdr:cNvPr id="15" name="Straight Connector 14">
            <a:extLst>
              <a:ext uri="{FF2B5EF4-FFF2-40B4-BE49-F238E27FC236}">
                <a16:creationId xmlns:a16="http://schemas.microsoft.com/office/drawing/2014/main" id="{ABA4D862-D589-AD48-C643-1D5EC9B5390A}"/>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35275</xdr:colOff>
      <xdr:row>23</xdr:row>
      <xdr:rowOff>126206</xdr:rowOff>
    </xdr:from>
    <xdr:to>
      <xdr:col>5</xdr:col>
      <xdr:colOff>419151</xdr:colOff>
      <xdr:row>24</xdr:row>
      <xdr:rowOff>175356</xdr:rowOff>
    </xdr:to>
    <xdr:grpSp>
      <xdr:nvGrpSpPr>
        <xdr:cNvPr id="11" name="Group 10">
          <a:extLst>
            <a:ext uri="{FF2B5EF4-FFF2-40B4-BE49-F238E27FC236}">
              <a16:creationId xmlns:a16="http://schemas.microsoft.com/office/drawing/2014/main" id="{F6F25EF2-53F7-E034-2013-25CDC2B4AF09}"/>
            </a:ext>
          </a:extLst>
        </xdr:cNvPr>
        <xdr:cNvGrpSpPr/>
      </xdr:nvGrpSpPr>
      <xdr:grpSpPr>
        <a:xfrm>
          <a:off x="3141002" y="4582751"/>
          <a:ext cx="2184967" cy="233878"/>
          <a:chOff x="389060" y="2532193"/>
          <a:chExt cx="1669073" cy="291751"/>
        </a:xfrm>
      </xdr:grpSpPr>
      <xdr:sp macro="" textlink="">
        <xdr:nvSpPr>
          <xdr:cNvPr id="12" name="TextBox 11">
            <a:extLst>
              <a:ext uri="{FF2B5EF4-FFF2-40B4-BE49-F238E27FC236}">
                <a16:creationId xmlns:a16="http://schemas.microsoft.com/office/drawing/2014/main" id="{06742910-E6B5-26EB-ED6C-C21497ED0935}"/>
              </a:ext>
            </a:extLst>
          </xdr:cNvPr>
          <xdr:cNvSpPr txBox="1"/>
        </xdr:nvSpPr>
        <xdr:spPr>
          <a:xfrm>
            <a:off x="623227" y="2533650"/>
            <a:ext cx="1206305"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009999"/>
                </a:solidFill>
              </a:rPr>
              <a:t>Sales/Total Assets</a:t>
            </a:r>
          </a:p>
        </xdr:txBody>
      </xdr:sp>
      <xdr:cxnSp macro="">
        <xdr:nvCxnSpPr>
          <xdr:cNvPr id="13" name="Straight Connector 12">
            <a:extLst>
              <a:ext uri="{FF2B5EF4-FFF2-40B4-BE49-F238E27FC236}">
                <a16:creationId xmlns:a16="http://schemas.microsoft.com/office/drawing/2014/main" id="{84B83713-F2F1-378C-5E88-7A2438AC2BEE}"/>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47625</xdr:colOff>
      <xdr:row>33</xdr:row>
      <xdr:rowOff>2106</xdr:rowOff>
    </xdr:from>
    <xdr:to>
      <xdr:col>8</xdr:col>
      <xdr:colOff>733425</xdr:colOff>
      <xdr:row>45</xdr:row>
      <xdr:rowOff>161634</xdr:rowOff>
    </xdr:to>
    <xdr:sp macro="" textlink="">
      <xdr:nvSpPr>
        <xdr:cNvPr id="30" name="TextBox 29">
          <a:extLst>
            <a:ext uri="{FF2B5EF4-FFF2-40B4-BE49-F238E27FC236}">
              <a16:creationId xmlns:a16="http://schemas.microsoft.com/office/drawing/2014/main" id="{C0367712-309C-43F5-8680-F67A3C2182D2}"/>
            </a:ext>
          </a:extLst>
        </xdr:cNvPr>
        <xdr:cNvSpPr txBox="1"/>
      </xdr:nvSpPr>
      <xdr:spPr>
        <a:xfrm>
          <a:off x="47625" y="6402906"/>
          <a:ext cx="7315200" cy="2392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300" b="1">
              <a:solidFill>
                <a:srgbClr val="009999"/>
              </a:solidFill>
            </a:rPr>
            <a:t>Chart Summary (Altman's Z-Score Analysis)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1"/>
            <a:t>Working Capital/Total Assets</a:t>
          </a:r>
          <a:r>
            <a:rPr lang="en-IN"/>
            <a:t> improved from 57.59% (2023) to 64.57% (2025) before easing slightly to 59.08% (2026), indicating strong short-term liquidity throughout.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1"/>
            <a:t>Retained Earnings/Total Assets</a:t>
          </a:r>
          <a:r>
            <a:rPr lang="en-IN"/>
            <a:t> rose steadily from 109.35% (2023) to a peak of 116.68% (2024), then moderated to ~105–106% (2025–26), reflecting consistent reinvestment of profits relative to asset base.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1"/>
            <a:t>EBIT/Total Assets</a:t>
          </a:r>
          <a:r>
            <a:rPr lang="en-IN"/>
            <a:t> declined from 17.57% (2023) to 13.18% (2026), suggesting operating profitability relative to assets has softened over the period.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1"/>
            <a:t>Market Cap/Long Term Liabilities</a:t>
          </a:r>
          <a:r>
            <a:rPr lang="en-IN"/>
            <a:t> stayed exceptionally high (1329–2384%) across all years, showing the company is heavily equity-financed with very low reliance on long-term debt — a major strength for solvency.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1"/>
            <a:t>Sales/Total Assets</a:t>
          </a:r>
          <a:r>
            <a:rPr lang="en-IN"/>
            <a:t> trended down from 161.93% (2023) to 144.62% (2026), pointing to a gradual dip in asset-turnover efficiency.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1"/>
            <a:t>Altman's Z-Score</a:t>
          </a:r>
          <a:r>
            <a:rPr lang="en-IN"/>
            <a:t> fell from a very safe 18.6 (2023) to 12.1 (2026) — while the score more than halved, it remains far above the 2.99 "safe zone" threshold, so Titan continues to show negligible bankruptcy risk despite the declining trend.</a:t>
          </a:r>
          <a:endParaRPr lang="en-IN" sz="1100" b="1" i="0">
            <a:solidFill>
              <a:schemeClr val="dk1"/>
            </a:solidFill>
            <a:effectLst/>
            <a:latin typeface="+mn-lt"/>
            <a:ea typeface="+mn-ea"/>
            <a:cs typeface="+mn-cs"/>
          </a:endParaRPr>
        </a:p>
      </xdr:txBody>
    </xdr:sp>
    <xdr:clientData/>
  </xdr:twoCellAnchor>
  <xdr:twoCellAnchor>
    <xdr:from>
      <xdr:col>0</xdr:col>
      <xdr:colOff>46650</xdr:colOff>
      <xdr:row>86</xdr:row>
      <xdr:rowOff>73331</xdr:rowOff>
    </xdr:from>
    <xdr:to>
      <xdr:col>8</xdr:col>
      <xdr:colOff>728504</xdr:colOff>
      <xdr:row>89</xdr:row>
      <xdr:rowOff>129898</xdr:rowOff>
    </xdr:to>
    <xdr:sp macro="" textlink="">
      <xdr:nvSpPr>
        <xdr:cNvPr id="31" name="TextBox 30">
          <a:extLst>
            <a:ext uri="{FF2B5EF4-FFF2-40B4-BE49-F238E27FC236}">
              <a16:creationId xmlns:a16="http://schemas.microsoft.com/office/drawing/2014/main" id="{33A95DDE-3E1D-41A2-9460-C32A746AC45E}"/>
            </a:ext>
          </a:extLst>
        </xdr:cNvPr>
        <xdr:cNvSpPr txBox="1"/>
      </xdr:nvSpPr>
      <xdr:spPr>
        <a:xfrm>
          <a:off x="46650" y="16067711"/>
          <a:ext cx="7311254" cy="605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solidFill>
                <a:srgbClr val="009999"/>
              </a:solidFill>
            </a:rPr>
            <a:t>Disclaimer:</a:t>
          </a:r>
          <a:r>
            <a:rPr lang="en-IN">
              <a:solidFill>
                <a:srgbClr val="009999"/>
              </a:solidFill>
            </a:rPr>
            <a:t> </a:t>
          </a:r>
          <a:r>
            <a:rPr lang="en-IN" sz="1000" i="1"/>
            <a:t>This report has been prepared solely for academic and educational purposes as part of an assignment. It does not constitute investment advice or a recommendation to buy or sell any security. The author is not liablefor any losses arising from the use of this report. Investors are advised to consult a </a:t>
          </a:r>
          <a:r>
            <a:rPr lang="en-IN" sz="1000" b="1" i="1"/>
            <a:t>SEBI-registered Research Analyst</a:t>
          </a:r>
          <a:r>
            <a:rPr lang="en-IN" sz="1000" i="1"/>
            <a:t> before making any investment decisions.</a:t>
          </a:r>
          <a:endParaRPr lang="en-IN" sz="1000" b="0" i="1">
            <a:solidFill>
              <a:schemeClr val="dk1"/>
            </a:solidFill>
            <a:effectLst/>
            <a:latin typeface="+mn-lt"/>
            <a:ea typeface="+mn-ea"/>
            <a:cs typeface="+mn-cs"/>
          </a:endParaRPr>
        </a:p>
      </xdr:txBody>
    </xdr:sp>
    <xdr:clientData/>
  </xdr:twoCellAnchor>
  <xdr:twoCellAnchor editAs="oneCell">
    <xdr:from>
      <xdr:col>7</xdr:col>
      <xdr:colOff>744877</xdr:colOff>
      <xdr:row>1</xdr:row>
      <xdr:rowOff>111304</xdr:rowOff>
    </xdr:from>
    <xdr:to>
      <xdr:col>9</xdr:col>
      <xdr:colOff>14411</xdr:colOff>
      <xdr:row>7</xdr:row>
      <xdr:rowOff>77057</xdr:rowOff>
    </xdr:to>
    <xdr:pic>
      <xdr:nvPicPr>
        <xdr:cNvPr id="33" name="Picture 32">
          <a:extLst>
            <a:ext uri="{FF2B5EF4-FFF2-40B4-BE49-F238E27FC236}">
              <a16:creationId xmlns:a16="http://schemas.microsoft.com/office/drawing/2014/main" id="{319EC0CE-D54E-F1DB-1FCA-A12E33AF6E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67237" y="291102"/>
          <a:ext cx="1067511" cy="1104472"/>
        </a:xfrm>
        <a:prstGeom prst="rect">
          <a:avLst/>
        </a:prstGeom>
      </xdr:spPr>
    </xdr:pic>
    <xdr:clientData/>
  </xdr:twoCellAnchor>
  <xdr:twoCellAnchor>
    <xdr:from>
      <xdr:col>1</xdr:col>
      <xdr:colOff>30701</xdr:colOff>
      <xdr:row>15</xdr:row>
      <xdr:rowOff>66166</xdr:rowOff>
    </xdr:from>
    <xdr:to>
      <xdr:col>2</xdr:col>
      <xdr:colOff>332912</xdr:colOff>
      <xdr:row>23</xdr:row>
      <xdr:rowOff>66583</xdr:rowOff>
    </xdr:to>
    <xdr:graphicFrame macro="">
      <xdr:nvGraphicFramePr>
        <xdr:cNvPr id="34" name="Chart 33">
          <a:extLst>
            <a:ext uri="{FF2B5EF4-FFF2-40B4-BE49-F238E27FC236}">
              <a16:creationId xmlns:a16="http://schemas.microsoft.com/office/drawing/2014/main" id="{22A7F05C-9D60-A735-07E3-1ECCB9776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776796</xdr:colOff>
      <xdr:row>15</xdr:row>
      <xdr:rowOff>59184</xdr:rowOff>
    </xdr:from>
    <xdr:to>
      <xdr:col>5</xdr:col>
      <xdr:colOff>510466</xdr:colOff>
      <xdr:row>23</xdr:row>
      <xdr:rowOff>59601</xdr:rowOff>
    </xdr:to>
    <xdr:graphicFrame macro="">
      <xdr:nvGraphicFramePr>
        <xdr:cNvPr id="36" name="Chart 35">
          <a:extLst>
            <a:ext uri="{FF2B5EF4-FFF2-40B4-BE49-F238E27FC236}">
              <a16:creationId xmlns:a16="http://schemas.microsoft.com/office/drawing/2014/main" id="{48573B3C-BA27-4E6D-B302-4C5A8E8E1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44388</xdr:colOff>
      <xdr:row>15</xdr:row>
      <xdr:rowOff>59185</xdr:rowOff>
    </xdr:from>
    <xdr:to>
      <xdr:col>8</xdr:col>
      <xdr:colOff>680622</xdr:colOff>
      <xdr:row>23</xdr:row>
      <xdr:rowOff>59602</xdr:rowOff>
    </xdr:to>
    <xdr:graphicFrame macro="">
      <xdr:nvGraphicFramePr>
        <xdr:cNvPr id="37" name="Chart 36">
          <a:extLst>
            <a:ext uri="{FF2B5EF4-FFF2-40B4-BE49-F238E27FC236}">
              <a16:creationId xmlns:a16="http://schemas.microsoft.com/office/drawing/2014/main" id="{5165875E-AD78-406D-AA47-EC8893F1D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44388</xdr:colOff>
      <xdr:row>25</xdr:row>
      <xdr:rowOff>6982</xdr:rowOff>
    </xdr:from>
    <xdr:to>
      <xdr:col>2</xdr:col>
      <xdr:colOff>346599</xdr:colOff>
      <xdr:row>33</xdr:row>
      <xdr:rowOff>7398</xdr:rowOff>
    </xdr:to>
    <xdr:graphicFrame macro="">
      <xdr:nvGraphicFramePr>
        <xdr:cNvPr id="40" name="Chart 39">
          <a:extLst>
            <a:ext uri="{FF2B5EF4-FFF2-40B4-BE49-F238E27FC236}">
              <a16:creationId xmlns:a16="http://schemas.microsoft.com/office/drawing/2014/main" id="{2FD2674B-5375-72C0-1217-6E5527D201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790483</xdr:colOff>
      <xdr:row>25</xdr:row>
      <xdr:rowOff>0</xdr:rowOff>
    </xdr:from>
    <xdr:to>
      <xdr:col>5</xdr:col>
      <xdr:colOff>524153</xdr:colOff>
      <xdr:row>33</xdr:row>
      <xdr:rowOff>416</xdr:rowOff>
    </xdr:to>
    <xdr:graphicFrame macro="">
      <xdr:nvGraphicFramePr>
        <xdr:cNvPr id="41" name="Chart 40">
          <a:extLst>
            <a:ext uri="{FF2B5EF4-FFF2-40B4-BE49-F238E27FC236}">
              <a16:creationId xmlns:a16="http://schemas.microsoft.com/office/drawing/2014/main" id="{B97AC608-4552-3A07-0F16-26447C28F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58075</xdr:colOff>
      <xdr:row>25</xdr:row>
      <xdr:rowOff>1</xdr:rowOff>
    </xdr:from>
    <xdr:to>
      <xdr:col>8</xdr:col>
      <xdr:colOff>694309</xdr:colOff>
      <xdr:row>33</xdr:row>
      <xdr:rowOff>417</xdr:rowOff>
    </xdr:to>
    <xdr:graphicFrame macro="">
      <xdr:nvGraphicFramePr>
        <xdr:cNvPr id="42" name="Chart 41">
          <a:extLst>
            <a:ext uri="{FF2B5EF4-FFF2-40B4-BE49-F238E27FC236}">
              <a16:creationId xmlns:a16="http://schemas.microsoft.com/office/drawing/2014/main" id="{59CE8B25-C6D1-851D-C104-4522797CD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1</xdr:row>
      <xdr:rowOff>0</xdr:rowOff>
    </xdr:from>
    <xdr:to>
      <xdr:col>9</xdr:col>
      <xdr:colOff>525780</xdr:colOff>
      <xdr:row>14</xdr:row>
      <xdr:rowOff>53340</xdr:rowOff>
    </xdr:to>
    <xdr:graphicFrame macro="">
      <xdr:nvGraphicFramePr>
        <xdr:cNvPr id="5" name="Chart 4">
          <a:extLst>
            <a:ext uri="{FF2B5EF4-FFF2-40B4-BE49-F238E27FC236}">
              <a16:creationId xmlns:a16="http://schemas.microsoft.com/office/drawing/2014/main" id="{B8E510D7-9618-49B7-807D-91740F602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259080</xdr:colOff>
      <xdr:row>14</xdr:row>
      <xdr:rowOff>95250</xdr:rowOff>
    </xdr:from>
    <xdr:to>
      <xdr:col>9</xdr:col>
      <xdr:colOff>541020</xdr:colOff>
      <xdr:row>28</xdr:row>
      <xdr:rowOff>106680</xdr:rowOff>
    </xdr:to>
    <xdr:graphicFrame macro="">
      <xdr:nvGraphicFramePr>
        <xdr:cNvPr id="6" name="Chart 5">
          <a:extLst>
            <a:ext uri="{FF2B5EF4-FFF2-40B4-BE49-F238E27FC236}">
              <a16:creationId xmlns:a16="http://schemas.microsoft.com/office/drawing/2014/main" id="{1DE3DB0F-DA66-EAF2-6F37-39B657990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129540</xdr:colOff>
      <xdr:row>6</xdr:row>
      <xdr:rowOff>148590</xdr:rowOff>
    </xdr:from>
    <xdr:to>
      <xdr:col>12</xdr:col>
      <xdr:colOff>723900</xdr:colOff>
      <xdr:row>16</xdr:row>
      <xdr:rowOff>167640</xdr:rowOff>
    </xdr:to>
    <xdr:graphicFrame macro="">
      <xdr:nvGraphicFramePr>
        <xdr:cNvPr id="8" name="Chart 7">
          <a:extLst>
            <a:ext uri="{FF2B5EF4-FFF2-40B4-BE49-F238E27FC236}">
              <a16:creationId xmlns:a16="http://schemas.microsoft.com/office/drawing/2014/main" id="{8D2AFA96-02D1-DA2C-DF01-B040964DE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Adjacency">
  <a:themeElements>
    <a:clrScheme name="Concourse">
      <a:dk1>
        <a:srgbClr val="000000"/>
      </a:dk1>
      <a:lt1>
        <a:srgbClr val="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majorFont>
      <a:minorFont>
        <a:latin typeface="Calibri"/>
        <a:ea typeface=""/>
        <a:cs typeface=""/>
      </a:minorFont>
    </a:fontScheme>
    <a:fmtScheme>
      <a:fillStyleLst>
        <a:solidFill>
          <a:schemeClr val="phClr"/>
        </a:solidFill>
        <a:solidFill>
          <a:schemeClr val="phClr">
            <a:tint val="55000"/>
          </a:schemeClr>
        </a:solidFill>
        <a:solidFill>
          <a:schemeClr val="phClr"/>
        </a:solidFill>
      </a:fillStyleLst>
      <a:lnStyleLst>
        <a:ln w="12700"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90000"/>
              </a:schemeClr>
            </a:gs>
            <a:gs pos="75000">
              <a:schemeClr val="phClr">
                <a:shade val="100000"/>
              </a:schemeClr>
            </a:gs>
            <a:gs pos="100000">
              <a:schemeClr val="phClr">
                <a:shade val="70000"/>
              </a:schemeClr>
            </a:gs>
          </a:gsLst>
          <a:path path="circle">
            <a:fillToRect l="20000" t="50000" r="100000" b="50000"/>
          </a:path>
          <a:tileRect/>
        </a:gradFill>
        <a:blipFill rotWithShape="1">
          <a:srcRect/>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screener.in/excel/"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4CE6F-D1E2-4CB0-B8D2-3E4B6D2045F7}">
  <sheetPr>
    <tabColor rgb="FF00D6D1"/>
  </sheetPr>
  <dimension ref="B2:M54"/>
  <sheetViews>
    <sheetView showGridLines="0" zoomScale="66" zoomScaleNormal="66" workbookViewId="0">
      <selection activeCell="C3" sqref="C3"/>
    </sheetView>
  </sheetViews>
  <sheetFormatPr defaultRowHeight="14.4" x14ac:dyDescent="0.3"/>
  <cols>
    <col min="1" max="1" width="1.88671875" customWidth="1"/>
    <col min="13" max="13" width="5" customWidth="1"/>
  </cols>
  <sheetData>
    <row r="2" spans="2:13" x14ac:dyDescent="0.3">
      <c r="B2" s="72"/>
      <c r="C2" s="72"/>
      <c r="D2" s="72"/>
      <c r="E2" s="72"/>
      <c r="F2" s="72"/>
      <c r="G2" s="72"/>
      <c r="H2" s="72"/>
      <c r="I2" s="72"/>
      <c r="J2" s="72"/>
      <c r="K2" s="72"/>
      <c r="L2" s="72"/>
      <c r="M2" s="72"/>
    </row>
    <row r="3" spans="2:13" x14ac:dyDescent="0.3">
      <c r="B3" s="72"/>
      <c r="C3" s="72"/>
      <c r="D3" s="72"/>
      <c r="E3" s="72"/>
      <c r="F3" s="72"/>
      <c r="G3" s="72"/>
      <c r="H3" s="72"/>
      <c r="I3" s="72"/>
      <c r="J3" s="72"/>
      <c r="K3" s="72"/>
      <c r="L3" s="72"/>
      <c r="M3" s="72"/>
    </row>
    <row r="4" spans="2:13" x14ac:dyDescent="0.3">
      <c r="B4" s="72"/>
      <c r="C4" s="72"/>
      <c r="D4" s="72"/>
      <c r="E4" s="72"/>
      <c r="F4" s="72"/>
      <c r="G4" s="72"/>
      <c r="H4" s="72"/>
      <c r="I4" s="72"/>
      <c r="J4" s="72"/>
      <c r="K4" s="72"/>
      <c r="L4" s="72"/>
      <c r="M4" s="72"/>
    </row>
    <row r="5" spans="2:13" x14ac:dyDescent="0.3">
      <c r="B5" s="360"/>
      <c r="C5" s="360"/>
      <c r="D5" s="360"/>
      <c r="E5" s="360"/>
      <c r="F5" s="360"/>
      <c r="G5" s="360"/>
      <c r="H5" s="360"/>
      <c r="I5" s="360"/>
      <c r="J5" s="360"/>
      <c r="K5" s="360"/>
      <c r="L5" s="360"/>
      <c r="M5" s="360"/>
    </row>
    <row r="23" spans="3:12" x14ac:dyDescent="0.3">
      <c r="C23" s="89"/>
      <c r="D23" s="89"/>
      <c r="E23" s="89"/>
      <c r="F23" s="89"/>
      <c r="G23" s="89"/>
      <c r="H23" s="89"/>
      <c r="I23" s="89"/>
      <c r="J23" s="89"/>
      <c r="K23" s="89"/>
      <c r="L23" s="89"/>
    </row>
    <row r="24" spans="3:12" ht="21" x14ac:dyDescent="0.4">
      <c r="G24" s="356"/>
    </row>
    <row r="26" spans="3:12" ht="46.8" thickBot="1" x14ac:dyDescent="0.9">
      <c r="C26" s="357"/>
      <c r="D26" s="357"/>
      <c r="E26" s="358"/>
      <c r="F26" s="357"/>
      <c r="G26" s="359"/>
      <c r="H26" s="357"/>
      <c r="I26" s="357"/>
      <c r="J26" s="357"/>
      <c r="K26" s="357"/>
      <c r="L26" s="357"/>
    </row>
    <row r="27" spans="3:12" ht="15" thickTop="1" x14ac:dyDescent="0.3"/>
    <row r="28" spans="3:12" ht="21" x14ac:dyDescent="0.4">
      <c r="D28" s="355"/>
    </row>
    <row r="54" spans="2:13" ht="13.2" customHeight="1" x14ac:dyDescent="0.3">
      <c r="B54" s="72"/>
      <c r="C54" s="72"/>
      <c r="D54" s="72"/>
      <c r="E54" s="72"/>
      <c r="F54" s="72"/>
      <c r="G54" s="72"/>
      <c r="H54" s="72"/>
      <c r="I54" s="72"/>
      <c r="J54" s="72"/>
      <c r="K54" s="72"/>
      <c r="L54" s="72"/>
      <c r="M54" s="72"/>
    </row>
  </sheetData>
  <pageMargins left="0.7" right="0.7" top="0.75" bottom="0.75" header="0.3" footer="0.3"/>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84C92-B427-4C57-8C49-DCB651D1066E}">
  <sheetPr>
    <tabColor rgb="FF00D6D1"/>
  </sheetPr>
  <dimension ref="B2:M29"/>
  <sheetViews>
    <sheetView showGridLines="0" topLeftCell="A5" zoomScale="66" zoomScaleNormal="66" workbookViewId="0">
      <selection activeCell="O9" sqref="O9"/>
    </sheetView>
  </sheetViews>
  <sheetFormatPr defaultRowHeight="14.4" x14ac:dyDescent="0.3"/>
  <cols>
    <col min="1" max="1" width="1.88671875" customWidth="1"/>
    <col min="13" max="13" width="5" customWidth="1"/>
  </cols>
  <sheetData>
    <row r="2" spans="2:13" x14ac:dyDescent="0.3">
      <c r="B2" s="72"/>
      <c r="C2" s="72"/>
      <c r="D2" s="72"/>
      <c r="E2" s="72"/>
      <c r="F2" s="72"/>
      <c r="G2" s="72"/>
      <c r="H2" s="72"/>
      <c r="I2" s="72"/>
      <c r="J2" s="72"/>
      <c r="K2" s="72"/>
      <c r="L2" s="72"/>
      <c r="M2" s="72"/>
    </row>
    <row r="3" spans="2:13" ht="46.2" x14ac:dyDescent="0.85">
      <c r="B3" s="345" t="s">
        <v>550</v>
      </c>
      <c r="C3" s="72"/>
      <c r="D3" s="72"/>
      <c r="E3" s="72"/>
      <c r="F3" s="72"/>
      <c r="G3" s="72"/>
      <c r="H3" s="72"/>
      <c r="I3" s="72"/>
      <c r="J3" s="72"/>
      <c r="K3" s="72"/>
      <c r="L3" s="72"/>
      <c r="M3" s="72"/>
    </row>
    <row r="4" spans="2:13" ht="18" x14ac:dyDescent="0.35">
      <c r="B4" s="155" t="s">
        <v>447</v>
      </c>
      <c r="C4" s="72"/>
      <c r="D4" s="72"/>
      <c r="E4" s="72"/>
      <c r="F4" s="72"/>
      <c r="G4" s="72"/>
      <c r="H4" s="72"/>
      <c r="I4" s="72"/>
      <c r="J4" s="72"/>
      <c r="K4" s="72"/>
      <c r="L4" s="72"/>
      <c r="M4" s="72"/>
    </row>
    <row r="5" spans="2:13" x14ac:dyDescent="0.3">
      <c r="B5" s="72"/>
      <c r="C5" s="72"/>
      <c r="D5" s="72"/>
      <c r="E5" s="72"/>
      <c r="F5" s="72"/>
      <c r="G5" s="72"/>
      <c r="H5" s="72"/>
      <c r="I5" s="72"/>
      <c r="J5" s="72"/>
      <c r="K5" s="72"/>
      <c r="L5" s="72"/>
      <c r="M5" s="72"/>
    </row>
    <row r="6" spans="2:13" x14ac:dyDescent="0.3">
      <c r="B6" s="72"/>
      <c r="C6" s="72"/>
      <c r="D6" s="72"/>
      <c r="E6" s="72"/>
      <c r="F6" s="72"/>
      <c r="G6" s="72"/>
      <c r="H6" s="72"/>
      <c r="I6" s="72"/>
      <c r="J6" s="72"/>
      <c r="K6" s="72"/>
      <c r="L6" s="72"/>
      <c r="M6" s="72"/>
    </row>
    <row r="7" spans="2:13" ht="10.8" customHeight="1" x14ac:dyDescent="0.3">
      <c r="B7" s="346"/>
      <c r="C7" s="346"/>
      <c r="D7" s="346"/>
      <c r="E7" s="346"/>
      <c r="F7" s="346"/>
      <c r="G7" s="346"/>
      <c r="H7" s="346"/>
      <c r="I7" s="346"/>
      <c r="J7" s="346"/>
      <c r="K7" s="346"/>
      <c r="L7" s="346"/>
      <c r="M7" s="346"/>
    </row>
    <row r="9" spans="2:13" ht="28.8" x14ac:dyDescent="0.55000000000000004">
      <c r="B9" s="347">
        <v>1</v>
      </c>
      <c r="C9" s="343" t="s">
        <v>551</v>
      </c>
      <c r="D9" s="344"/>
      <c r="E9" s="344"/>
      <c r="M9" s="361">
        <v>1</v>
      </c>
    </row>
    <row r="10" spans="2:13" ht="28.8" x14ac:dyDescent="0.55000000000000004">
      <c r="B10" s="347">
        <v>2</v>
      </c>
      <c r="C10" s="343" t="s">
        <v>564</v>
      </c>
      <c r="D10" s="344"/>
      <c r="E10" s="344"/>
      <c r="M10" s="361">
        <v>2</v>
      </c>
    </row>
    <row r="11" spans="2:13" ht="28.8" x14ac:dyDescent="0.55000000000000004">
      <c r="B11" s="347">
        <v>3</v>
      </c>
      <c r="C11" s="343" t="s">
        <v>563</v>
      </c>
      <c r="D11" s="344"/>
      <c r="E11" s="344"/>
      <c r="M11" s="361">
        <v>3</v>
      </c>
    </row>
    <row r="12" spans="2:13" ht="28.8" x14ac:dyDescent="0.55000000000000004">
      <c r="B12" s="347">
        <v>4</v>
      </c>
      <c r="C12" s="343" t="s">
        <v>552</v>
      </c>
      <c r="D12" s="344"/>
      <c r="E12" s="344"/>
      <c r="M12" s="361">
        <v>4</v>
      </c>
    </row>
    <row r="13" spans="2:13" ht="28.8" x14ac:dyDescent="0.55000000000000004">
      <c r="B13" s="347">
        <v>5</v>
      </c>
      <c r="C13" s="343" t="s">
        <v>553</v>
      </c>
      <c r="D13" s="344"/>
      <c r="E13" s="344"/>
      <c r="M13" s="361">
        <v>5</v>
      </c>
    </row>
    <row r="14" spans="2:13" ht="28.8" x14ac:dyDescent="0.55000000000000004">
      <c r="B14" s="347">
        <v>6</v>
      </c>
      <c r="C14" s="343" t="s">
        <v>554</v>
      </c>
      <c r="D14" s="344"/>
      <c r="E14" s="344"/>
      <c r="M14" s="361">
        <v>6</v>
      </c>
    </row>
    <row r="15" spans="2:13" ht="28.8" x14ac:dyDescent="0.55000000000000004">
      <c r="B15" s="347">
        <v>7</v>
      </c>
      <c r="C15" s="343" t="s">
        <v>555</v>
      </c>
      <c r="D15" s="344"/>
      <c r="E15" s="344"/>
      <c r="M15" s="361">
        <v>7</v>
      </c>
    </row>
    <row r="16" spans="2:13" ht="28.8" x14ac:dyDescent="0.55000000000000004">
      <c r="B16" s="347">
        <v>8</v>
      </c>
      <c r="C16" s="343" t="s">
        <v>573</v>
      </c>
      <c r="D16" s="344"/>
      <c r="E16" s="344"/>
      <c r="M16" s="361" t="s">
        <v>565</v>
      </c>
    </row>
    <row r="17" spans="2:13" ht="28.8" x14ac:dyDescent="0.55000000000000004">
      <c r="B17" s="347">
        <v>9</v>
      </c>
      <c r="C17" s="343" t="s">
        <v>556</v>
      </c>
      <c r="D17" s="344"/>
      <c r="E17" s="344"/>
      <c r="M17" s="361" t="s">
        <v>566</v>
      </c>
    </row>
    <row r="18" spans="2:13" ht="28.8" x14ac:dyDescent="0.55000000000000004">
      <c r="B18" s="347">
        <v>10</v>
      </c>
      <c r="C18" s="343" t="s">
        <v>287</v>
      </c>
      <c r="D18" s="344"/>
      <c r="E18" s="344"/>
      <c r="M18" s="361" t="s">
        <v>567</v>
      </c>
    </row>
    <row r="19" spans="2:13" ht="28.8" x14ac:dyDescent="0.55000000000000004">
      <c r="B19" s="347">
        <v>11</v>
      </c>
      <c r="C19" s="343" t="s">
        <v>557</v>
      </c>
      <c r="D19" s="344"/>
      <c r="E19" s="344"/>
      <c r="M19" s="361" t="s">
        <v>568</v>
      </c>
    </row>
    <row r="20" spans="2:13" ht="28.8" x14ac:dyDescent="0.55000000000000004">
      <c r="B20" s="347">
        <v>12</v>
      </c>
      <c r="C20" s="343" t="s">
        <v>347</v>
      </c>
      <c r="D20" s="344"/>
      <c r="E20" s="344"/>
      <c r="M20" s="361" t="s">
        <v>569</v>
      </c>
    </row>
    <row r="21" spans="2:13" ht="28.8" x14ac:dyDescent="0.55000000000000004">
      <c r="B21" s="347">
        <v>13</v>
      </c>
      <c r="C21" s="343" t="s">
        <v>558</v>
      </c>
      <c r="D21" s="344"/>
      <c r="E21" s="344"/>
      <c r="M21" s="361" t="s">
        <v>570</v>
      </c>
    </row>
    <row r="22" spans="2:13" ht="28.8" x14ac:dyDescent="0.55000000000000004">
      <c r="B22" s="347">
        <v>14</v>
      </c>
      <c r="C22" s="343" t="s">
        <v>375</v>
      </c>
      <c r="D22" s="344"/>
      <c r="E22" s="344"/>
      <c r="M22" s="361" t="s">
        <v>571</v>
      </c>
    </row>
    <row r="23" spans="2:13" ht="28.8" x14ac:dyDescent="0.55000000000000004">
      <c r="B23" s="347">
        <v>15</v>
      </c>
      <c r="C23" s="343" t="s">
        <v>413</v>
      </c>
      <c r="D23" s="344"/>
      <c r="E23" s="344"/>
      <c r="M23" s="361" t="s">
        <v>572</v>
      </c>
    </row>
    <row r="24" spans="2:13" ht="28.8" x14ac:dyDescent="0.55000000000000004">
      <c r="B24" s="347">
        <v>16</v>
      </c>
      <c r="C24" s="343" t="s">
        <v>559</v>
      </c>
      <c r="D24" s="344"/>
      <c r="E24" s="344"/>
      <c r="M24" s="361" t="s">
        <v>574</v>
      </c>
    </row>
    <row r="25" spans="2:13" ht="28.8" x14ac:dyDescent="0.55000000000000004">
      <c r="B25" s="347">
        <v>17</v>
      </c>
      <c r="C25" s="343" t="s">
        <v>560</v>
      </c>
      <c r="D25" s="344"/>
      <c r="E25" s="344"/>
      <c r="M25" s="361" t="s">
        <v>575</v>
      </c>
    </row>
    <row r="26" spans="2:13" ht="28.8" x14ac:dyDescent="0.55000000000000004">
      <c r="B26" s="347">
        <v>18</v>
      </c>
      <c r="C26" s="343" t="s">
        <v>561</v>
      </c>
      <c r="D26" s="344"/>
      <c r="E26" s="344"/>
      <c r="M26" s="361" t="s">
        <v>576</v>
      </c>
    </row>
    <row r="27" spans="2:13" ht="28.8" x14ac:dyDescent="0.55000000000000004">
      <c r="B27" s="347">
        <v>19</v>
      </c>
      <c r="C27" s="343" t="s">
        <v>450</v>
      </c>
      <c r="D27" s="344"/>
      <c r="E27" s="344"/>
      <c r="M27" s="361" t="s">
        <v>577</v>
      </c>
    </row>
    <row r="29" spans="2:13" ht="11.4" customHeight="1" x14ac:dyDescent="0.3">
      <c r="B29" s="72"/>
      <c r="C29" s="72"/>
      <c r="D29" s="72"/>
      <c r="E29" s="72"/>
      <c r="F29" s="72"/>
      <c r="G29" s="72"/>
      <c r="H29" s="72"/>
      <c r="I29" s="72"/>
      <c r="J29" s="72"/>
      <c r="K29" s="72"/>
      <c r="L29" s="72"/>
      <c r="M29" s="72"/>
    </row>
  </sheetData>
  <pageMargins left="0.7" right="0.7" top="0.75" bottom="0.75" header="0.3" footer="0.3"/>
  <pageSetup scale="80" orientation="portrait" r:id="rId1"/>
  <ignoredErrors>
    <ignoredError sqref="M17" twoDigitTextYear="1"/>
    <ignoredError sqref="M18:M23 M24:M25"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C6068-D993-430A-9F06-A871D11AB79B}">
  <sheetPr>
    <tabColor rgb="FF00D6D1"/>
  </sheetPr>
  <dimension ref="B2:Q62"/>
  <sheetViews>
    <sheetView showGridLines="0" zoomScale="70" zoomScaleNormal="70" workbookViewId="0">
      <selection activeCell="C3" sqref="C3"/>
    </sheetView>
  </sheetViews>
  <sheetFormatPr defaultRowHeight="14.4" x14ac:dyDescent="0.3"/>
  <cols>
    <col min="1" max="1" width="1.88671875" customWidth="1"/>
    <col min="2" max="2" width="53.6640625" customWidth="1"/>
    <col min="3" max="3" width="13.21875" customWidth="1"/>
    <col min="4" max="4" width="15" customWidth="1"/>
    <col min="5" max="5" width="15.6640625" bestFit="1" customWidth="1"/>
    <col min="6" max="7" width="12.44140625" customWidth="1"/>
    <col min="8" max="8" width="1.44140625" customWidth="1"/>
    <col min="9" max="10" width="10.6640625" customWidth="1"/>
    <col min="11" max="11" width="14.21875" bestFit="1" customWidth="1"/>
    <col min="13" max="13" width="5" customWidth="1"/>
    <col min="15" max="15" width="10.33203125" bestFit="1" customWidth="1"/>
  </cols>
  <sheetData>
    <row r="2" spans="2:11" ht="10.199999999999999" customHeight="1" x14ac:dyDescent="0.3">
      <c r="B2" s="72"/>
      <c r="C2" s="72"/>
      <c r="D2" s="72"/>
      <c r="E2" s="72"/>
      <c r="F2" s="72"/>
      <c r="G2" s="72"/>
      <c r="H2" s="72"/>
      <c r="I2" s="72"/>
      <c r="J2" s="72"/>
      <c r="K2" s="72"/>
    </row>
    <row r="4" spans="2:11" ht="18" x14ac:dyDescent="0.35">
      <c r="B4" s="362" t="str">
        <f>'Data Sheet'!B1&amp;" - One Page Profile"</f>
        <v>TITAN COMPANY LTD - One Page Profile</v>
      </c>
      <c r="C4" s="362"/>
      <c r="D4" s="362"/>
      <c r="E4" s="362"/>
      <c r="F4" s="362"/>
      <c r="G4" s="362"/>
      <c r="H4" s="362"/>
      <c r="I4" s="362"/>
      <c r="J4" s="362"/>
      <c r="K4" s="362"/>
    </row>
    <row r="5" spans="2:11" ht="82.2" customHeight="1" x14ac:dyDescent="0.3">
      <c r="C5" s="368" t="s">
        <v>468</v>
      </c>
      <c r="D5" s="368"/>
      <c r="E5" s="368"/>
      <c r="F5" s="368"/>
      <c r="G5" s="368"/>
      <c r="H5" s="368"/>
      <c r="I5" s="368"/>
      <c r="J5" s="368"/>
      <c r="K5" s="368"/>
    </row>
    <row r="6" spans="2:11" ht="7.8" customHeight="1" x14ac:dyDescent="0.3">
      <c r="B6" s="317"/>
      <c r="C6" s="363"/>
      <c r="D6" s="363"/>
      <c r="E6" s="363"/>
      <c r="F6" s="363"/>
      <c r="G6" s="363"/>
      <c r="H6" s="363"/>
      <c r="I6" s="363"/>
      <c r="J6" s="363"/>
      <c r="K6" s="363"/>
    </row>
    <row r="8" spans="2:11" ht="15.6" x14ac:dyDescent="0.3">
      <c r="B8" s="73" t="s">
        <v>469</v>
      </c>
      <c r="C8" s="159">
        <f>HistoricalFS!H5</f>
        <v>44651</v>
      </c>
      <c r="D8" s="159">
        <f>HistoricalFS!I5</f>
        <v>45016</v>
      </c>
      <c r="E8" s="159">
        <f>HistoricalFS!J5</f>
        <v>45382</v>
      </c>
      <c r="F8" s="159">
        <f>HistoricalFS!K5</f>
        <v>45747</v>
      </c>
      <c r="G8" s="159">
        <f>HistoricalFS!L5</f>
        <v>46112</v>
      </c>
      <c r="I8" s="364" t="s">
        <v>470</v>
      </c>
      <c r="J8" s="364"/>
      <c r="K8" s="364"/>
    </row>
    <row r="10" spans="2:11" x14ac:dyDescent="0.3">
      <c r="B10" s="304" t="s">
        <v>471</v>
      </c>
      <c r="C10" s="305">
        <f>HistoricalFS!H9</f>
        <v>28799</v>
      </c>
      <c r="D10" s="305">
        <f>HistoricalFS!I9</f>
        <v>40575</v>
      </c>
      <c r="E10" s="305">
        <f>HistoricalFS!J9</f>
        <v>51084</v>
      </c>
      <c r="F10" s="305">
        <f>HistoricalFS!K9</f>
        <v>60456</v>
      </c>
      <c r="G10" s="305">
        <f>HistoricalFS!L9</f>
        <v>87584</v>
      </c>
    </row>
    <row r="11" spans="2:11" x14ac:dyDescent="0.3">
      <c r="B11" s="304" t="s">
        <v>472</v>
      </c>
      <c r="C11" s="306">
        <f>HistoricalFS!H10</f>
        <v>0.33057660321567184</v>
      </c>
      <c r="D11" s="306">
        <f>HistoricalFS!I10</f>
        <v>0.40890308691274013</v>
      </c>
      <c r="E11" s="306">
        <f>HistoricalFS!J10</f>
        <v>0.25900184842883545</v>
      </c>
      <c r="F11" s="306">
        <f>HistoricalFS!K10</f>
        <v>0.18346253229974163</v>
      </c>
      <c r="G11" s="306">
        <f>HistoricalFS!L10</f>
        <v>0.448723038242689</v>
      </c>
    </row>
    <row r="13" spans="2:11" x14ac:dyDescent="0.3">
      <c r="B13" s="304" t="s">
        <v>6</v>
      </c>
      <c r="C13" s="305">
        <f>HistoricalFS!H15</f>
        <v>5574</v>
      </c>
      <c r="D13" s="305">
        <f>HistoricalFS!I15</f>
        <v>8280</v>
      </c>
      <c r="E13" s="305">
        <f>HistoricalFS!J15</f>
        <v>9420</v>
      </c>
      <c r="F13" s="305">
        <f>HistoricalFS!K15</f>
        <v>10432</v>
      </c>
      <c r="G13" s="305">
        <f>HistoricalFS!L15</f>
        <v>14123</v>
      </c>
    </row>
    <row r="14" spans="2:11" x14ac:dyDescent="0.3">
      <c r="B14" s="304" t="s">
        <v>473</v>
      </c>
      <c r="C14" s="306">
        <f>HistoricalFS!H16</f>
        <v>0.19354838709677419</v>
      </c>
      <c r="D14" s="306">
        <f>HistoricalFS!I16</f>
        <v>0.20406654343807765</v>
      </c>
      <c r="E14" s="306">
        <f>HistoricalFS!J16</f>
        <v>0.18440216114634719</v>
      </c>
      <c r="F14" s="306">
        <f>HistoricalFS!K16</f>
        <v>0.17255524679105466</v>
      </c>
      <c r="G14" s="306">
        <f>HistoricalFS!L16</f>
        <v>0.16125091340884179</v>
      </c>
    </row>
    <row r="15" spans="2:11" x14ac:dyDescent="0.3">
      <c r="B15" s="304" t="s">
        <v>474</v>
      </c>
      <c r="C15" s="306">
        <f>HistoricalFS!H22</f>
        <v>0.11611514288690579</v>
      </c>
      <c r="D15" s="306">
        <f>HistoricalFS!I22</f>
        <v>0.12032039433148491</v>
      </c>
      <c r="E15" s="306">
        <f>HistoricalFS!J22</f>
        <v>0.10359408033826638</v>
      </c>
      <c r="F15" s="306">
        <f>HistoricalFS!K22</f>
        <v>9.4184200079396582E-2</v>
      </c>
      <c r="G15" s="306">
        <f>HistoricalFS!L22</f>
        <v>9.5416971136280601E-2</v>
      </c>
    </row>
    <row r="16" spans="2:11" x14ac:dyDescent="0.3">
      <c r="B16" s="304" t="s">
        <v>475</v>
      </c>
      <c r="C16" s="306">
        <f>HistoricalFS!H31</f>
        <v>0.10840654189381575</v>
      </c>
      <c r="D16" s="306">
        <f>HistoricalFS!I31</f>
        <v>0.11699322242760321</v>
      </c>
      <c r="E16" s="306">
        <f>HistoricalFS!J31</f>
        <v>0.10261530028971889</v>
      </c>
      <c r="F16" s="306">
        <f>HistoricalFS!K31</f>
        <v>9.077676326584623E-2</v>
      </c>
      <c r="G16" s="306">
        <f>HistoricalFS!L31</f>
        <v>9.1123949579831928E-2</v>
      </c>
    </row>
    <row r="17" spans="2:11" x14ac:dyDescent="0.3">
      <c r="B17" s="304" t="s">
        <v>476</v>
      </c>
      <c r="C17" s="305">
        <f>HistoricalFS!H42</f>
        <v>2198</v>
      </c>
      <c r="D17" s="305">
        <f>HistoricalFS!I42</f>
        <v>3274</v>
      </c>
      <c r="E17" s="305">
        <f>HistoricalFS!J42</f>
        <v>3496</v>
      </c>
      <c r="F17" s="305">
        <f>HistoricalFS!K42</f>
        <v>3337</v>
      </c>
      <c r="G17" s="305">
        <f>HistoricalFS!L42</f>
        <v>5073</v>
      </c>
    </row>
    <row r="18" spans="2:11" x14ac:dyDescent="0.3">
      <c r="B18" s="304" t="s">
        <v>477</v>
      </c>
      <c r="C18" s="305">
        <f>HistoricalFS!H47</f>
        <v>24.757828339716152</v>
      </c>
      <c r="D18" s="305">
        <f>HistoricalFS!I47</f>
        <v>36.877675152061272</v>
      </c>
      <c r="E18" s="305">
        <f>HistoricalFS!J47</f>
        <v>39.37823834196891</v>
      </c>
      <c r="F18" s="305">
        <f>HistoricalFS!K47</f>
        <v>37.58729443568371</v>
      </c>
      <c r="G18" s="305">
        <f>HistoricalFS!L47</f>
        <v>57.141248028835321</v>
      </c>
    </row>
    <row r="19" spans="2:11" x14ac:dyDescent="0.3">
      <c r="B19" s="304" t="s">
        <v>478</v>
      </c>
      <c r="C19" s="306">
        <f>HistoricalFS!H48</f>
        <v>1.2566735112936347</v>
      </c>
      <c r="D19" s="306">
        <f>HistoricalFS!I48</f>
        <v>0.48953594176524096</v>
      </c>
      <c r="E19" s="306">
        <f>HistoricalFS!J48</f>
        <v>6.7806963958460642E-2</v>
      </c>
      <c r="F19" s="306">
        <f>HistoricalFS!K48</f>
        <v>-4.548054919908473E-2</v>
      </c>
      <c r="G19" s="306">
        <f>HistoricalFS!L48</f>
        <v>0.52022774947557693</v>
      </c>
    </row>
    <row r="20" spans="2:11" x14ac:dyDescent="0.3">
      <c r="B20" s="304" t="s">
        <v>479</v>
      </c>
      <c r="C20" s="305">
        <f>HistoricalFS!H50</f>
        <v>7.5185852669520159</v>
      </c>
      <c r="D20" s="305">
        <f>HistoricalFS!I50</f>
        <v>10.024780355936022</v>
      </c>
      <c r="E20" s="305">
        <f>HistoricalFS!J50</f>
        <v>11.027258391529625</v>
      </c>
      <c r="F20" s="305">
        <f>HistoricalFS!K50</f>
        <v>11.027258391529625</v>
      </c>
      <c r="G20" s="305">
        <f>HistoricalFS!L50</f>
        <v>15.037170533904032</v>
      </c>
    </row>
    <row r="21" spans="2:11" x14ac:dyDescent="0.3">
      <c r="B21" s="304" t="s">
        <v>85</v>
      </c>
      <c r="C21" s="306">
        <f>'Data Sheet'!G97</f>
        <v>0.87500000000000022</v>
      </c>
      <c r="D21" s="306">
        <f>'Data Sheet'!H97</f>
        <v>0.33333333333333348</v>
      </c>
      <c r="E21" s="306">
        <f>'Data Sheet'!I97</f>
        <v>0.10000000000000009</v>
      </c>
      <c r="F21" s="306">
        <f>'Data Sheet'!J97</f>
        <v>0</v>
      </c>
      <c r="G21" s="306">
        <f>'Data Sheet'!K97</f>
        <v>0.36363636363636354</v>
      </c>
    </row>
    <row r="23" spans="2:11" ht="15.6" x14ac:dyDescent="0.3">
      <c r="B23" s="73" t="s">
        <v>480</v>
      </c>
      <c r="C23" s="159">
        <f>C8</f>
        <v>44651</v>
      </c>
      <c r="D23" s="159">
        <f t="shared" ref="D23:G23" si="0">D8</f>
        <v>45016</v>
      </c>
      <c r="E23" s="159">
        <f t="shared" si="0"/>
        <v>45382</v>
      </c>
      <c r="F23" s="159">
        <f t="shared" si="0"/>
        <v>45747</v>
      </c>
      <c r="G23" s="159">
        <f t="shared" si="0"/>
        <v>46112</v>
      </c>
      <c r="I23" s="364" t="s">
        <v>530</v>
      </c>
      <c r="J23" s="364"/>
      <c r="K23" s="364"/>
    </row>
    <row r="25" spans="2:11" x14ac:dyDescent="0.3">
      <c r="B25" s="304" t="s">
        <v>481</v>
      </c>
      <c r="C25" s="307">
        <f>'Data Sheet'!G105</f>
        <v>185.16971428571426</v>
      </c>
      <c r="D25" s="307">
        <f>'Data Sheet'!H105</f>
        <v>124.31369334147831</v>
      </c>
      <c r="E25" s="307">
        <f>'Data Sheet'!I105</f>
        <v>116.41963157894736</v>
      </c>
      <c r="F25" s="307">
        <f>'Data Sheet'!J105</f>
        <v>121.96674617920287</v>
      </c>
      <c r="G25" s="307">
        <f>'Data Sheet'!K105</f>
        <v>80.229259215454363</v>
      </c>
    </row>
    <row r="26" spans="2:11" x14ac:dyDescent="0.3">
      <c r="B26" s="304" t="s">
        <v>390</v>
      </c>
      <c r="C26" s="307">
        <f>'Data Sheet'!G101</f>
        <v>69.037499102870811</v>
      </c>
      <c r="D26" s="307">
        <f>'Data Sheet'!H101</f>
        <v>47.377472757066776</v>
      </c>
      <c r="E26" s="307">
        <f>'Data Sheet'!I101</f>
        <v>66.425888888888892</v>
      </c>
      <c r="F26" s="307">
        <f>'Data Sheet'!J101</f>
        <v>51.134038110291534</v>
      </c>
      <c r="G26" s="307">
        <f>'Data Sheet'!K101</f>
        <v>52.136775397870046</v>
      </c>
    </row>
    <row r="27" spans="2:11" x14ac:dyDescent="0.3">
      <c r="B27" s="304" t="s">
        <v>482</v>
      </c>
      <c r="C27" s="307">
        <f>'Data Sheet'!G102</f>
        <v>8.0162990728844754</v>
      </c>
      <c r="D27" s="307">
        <f>'Data Sheet'!H102</f>
        <v>5.7004762045594584</v>
      </c>
      <c r="E27" s="307">
        <f>'Data Sheet'!I102</f>
        <v>6.8813288700963122</v>
      </c>
      <c r="F27" s="307">
        <f>'Data Sheet'!J102</f>
        <v>4.816018476247188</v>
      </c>
      <c r="G27" s="307">
        <f>'Data Sheet'!K102</f>
        <v>4.9747331932773102</v>
      </c>
    </row>
    <row r="28" spans="2:11" x14ac:dyDescent="0.3">
      <c r="B28" s="304" t="s">
        <v>483</v>
      </c>
      <c r="C28" s="307">
        <f>'Data Sheet'!G104</f>
        <v>0.27261636031387726</v>
      </c>
      <c r="D28" s="307">
        <f>'Data Sheet'!H104</f>
        <v>0.21220994008944394</v>
      </c>
      <c r="E28" s="307">
        <f>'Data Sheet'!I104</f>
        <v>0.40474821675715961</v>
      </c>
      <c r="F28" s="307">
        <f>'Data Sheet'!J104</f>
        <v>0.26353664831383344</v>
      </c>
      <c r="G28" s="307">
        <f>'Data Sheet'!K104</f>
        <v>0.29194421448130931</v>
      </c>
    </row>
    <row r="29" spans="2:11" x14ac:dyDescent="0.3">
      <c r="B29" s="304" t="s">
        <v>484</v>
      </c>
      <c r="C29" s="306">
        <f>'DUPONT Analysis'!F57</f>
        <v>0.26166666666666666</v>
      </c>
      <c r="D29" s="306">
        <f>'DUPONT Analysis'!G57</f>
        <v>0.30953956698496737</v>
      </c>
      <c r="E29" s="306">
        <f>'DUPONT Analysis'!H57</f>
        <v>0.32912822443984185</v>
      </c>
      <c r="F29" s="306">
        <f>'DUPONT Analysis'!I57</f>
        <v>0.31755245753437694</v>
      </c>
      <c r="G29" s="306">
        <f>'DUPONT Analysis'!J57</f>
        <v>0.37128115051048416</v>
      </c>
    </row>
    <row r="30" spans="2:11" x14ac:dyDescent="0.3">
      <c r="B30" s="304" t="s">
        <v>485</v>
      </c>
      <c r="C30" s="306">
        <f>'Ratio Analysis'!H21</f>
        <v>0.18832187236096032</v>
      </c>
      <c r="D30" s="306">
        <f>'Ratio Analysis'!I21</f>
        <v>0.22372513903289659</v>
      </c>
      <c r="E30" s="306">
        <f>'Ratio Analysis'!J21</f>
        <v>0.21034468921792865</v>
      </c>
      <c r="F30" s="306">
        <f>'Ratio Analysis'!K21</f>
        <v>0.16937748834912503</v>
      </c>
      <c r="G30" s="306">
        <f>'Ratio Analysis'!L21</f>
        <v>0.17228650375615231</v>
      </c>
    </row>
    <row r="31" spans="2:11" x14ac:dyDescent="0.3">
      <c r="C31" s="27"/>
      <c r="D31" s="27"/>
      <c r="E31" s="27"/>
      <c r="F31" s="27"/>
      <c r="G31" s="27"/>
    </row>
    <row r="32" spans="2:11" ht="15.6" x14ac:dyDescent="0.3">
      <c r="B32" s="73" t="s">
        <v>486</v>
      </c>
      <c r="C32" s="365" t="str">
        <f>comps_data!C11</f>
        <v>No. of Shares (Cr)</v>
      </c>
      <c r="D32" s="365"/>
      <c r="E32" s="318" t="str">
        <f>comps_data!D11</f>
        <v>Shareholding (%)</v>
      </c>
      <c r="F32" s="365" t="s">
        <v>487</v>
      </c>
      <c r="G32" s="365"/>
      <c r="I32" s="364" t="s">
        <v>488</v>
      </c>
      <c r="J32" s="364"/>
      <c r="K32" s="364"/>
    </row>
    <row r="34" spans="2:17" x14ac:dyDescent="0.3">
      <c r="B34" s="304" t="str">
        <f>comps_data!B12</f>
        <v>Tamilnadu Industrial Development Corporation Ltd</v>
      </c>
      <c r="C34" s="366">
        <f>comps_data!C12</f>
        <v>24.747672000000001</v>
      </c>
      <c r="D34" s="366"/>
      <c r="E34" s="308">
        <f>comps_data!D12</f>
        <v>0.27879999999999999</v>
      </c>
      <c r="F34" s="366">
        <f>C34*'Data Sheet'!$B$6</f>
        <v>2197.0640845488356</v>
      </c>
      <c r="G34" s="366"/>
      <c r="O34" s="69"/>
    </row>
    <row r="35" spans="2:17" x14ac:dyDescent="0.3">
      <c r="B35" s="304" t="str">
        <f>comps_data!B13</f>
        <v>Tata Sons Private Limited</v>
      </c>
      <c r="C35" s="366">
        <f>comps_data!C13</f>
        <v>18.505890000000001</v>
      </c>
      <c r="D35" s="366"/>
      <c r="E35" s="308">
        <f>comps_data!D13</f>
        <v>0.2084</v>
      </c>
      <c r="F35" s="366">
        <f>C35*'Data Sheet'!$B$6</f>
        <v>1642.9273133897786</v>
      </c>
      <c r="G35" s="366"/>
    </row>
    <row r="36" spans="2:17" x14ac:dyDescent="0.3">
      <c r="B36" s="304" t="str">
        <f>comps_data!B14</f>
        <v>Rekha Jhunjhunwala</v>
      </c>
      <c r="C36" s="366">
        <f>comps_data!C14</f>
        <v>3.7643895000000001</v>
      </c>
      <c r="D36" s="366"/>
      <c r="E36" s="308">
        <f>comps_data!D14</f>
        <v>4.24E-2</v>
      </c>
      <c r="F36" s="366">
        <f>C36*'Data Sheet'!$B$6</f>
        <v>334.19729220197956</v>
      </c>
      <c r="G36" s="366"/>
    </row>
    <row r="37" spans="2:17" x14ac:dyDescent="0.3">
      <c r="B37" s="304" t="str">
        <f>comps_data!B15</f>
        <v>Life Insurance Corporation Of India</v>
      </c>
      <c r="C37" s="366">
        <f>comps_data!C15</f>
        <v>1.9224672</v>
      </c>
      <c r="D37" s="366"/>
      <c r="E37" s="308">
        <f>comps_data!D15</f>
        <v>2.1700000000000001E-2</v>
      </c>
      <c r="F37" s="366">
        <f>C37*'Data Sheet'!$B$6</f>
        <v>170.67397849960039</v>
      </c>
      <c r="G37" s="366"/>
    </row>
    <row r="38" spans="2:17" x14ac:dyDescent="0.3">
      <c r="B38" s="304" t="str">
        <f>comps_data!B16</f>
        <v>Tata Investment Corporation Ltd</v>
      </c>
      <c r="C38" s="366">
        <f>comps_data!C16</f>
        <v>1.7875639999999999</v>
      </c>
      <c r="D38" s="366"/>
      <c r="E38" s="308">
        <f>comps_data!D16</f>
        <v>2.0099999999999996E-2</v>
      </c>
      <c r="F38" s="366">
        <f>C38*'Data Sheet'!$B$6</f>
        <v>158.69745902695229</v>
      </c>
      <c r="G38" s="366"/>
      <c r="Q38" s="69"/>
    </row>
    <row r="39" spans="2:17" x14ac:dyDescent="0.3">
      <c r="B39" s="304" t="str">
        <f>comps_data!B17</f>
        <v>Sbi Nifty 50 Etf</v>
      </c>
      <c r="C39" s="366">
        <f>comps_data!C17</f>
        <v>1.5999057000000001</v>
      </c>
      <c r="D39" s="366"/>
      <c r="E39" s="308">
        <f>comps_data!D17</f>
        <v>1.8000000000000002E-2</v>
      </c>
      <c r="F39" s="366">
        <f>C39*'Data Sheet'!$B$6</f>
        <v>142.03741475703103</v>
      </c>
      <c r="G39" s="366"/>
    </row>
    <row r="40" spans="2:17" x14ac:dyDescent="0.3">
      <c r="B40" s="304" t="str">
        <f>comps_data!B18</f>
        <v>Nps Trust A/C Uti Pension Fund Limited-Scheme State Govt</v>
      </c>
      <c r="C40" s="366">
        <f>comps_data!C18</f>
        <v>1.5386048000000001</v>
      </c>
      <c r="D40" s="366"/>
      <c r="E40" s="308">
        <f>comps_data!D18</f>
        <v>1.7299999999999999E-2</v>
      </c>
      <c r="F40" s="366">
        <f>C40*'Data Sheet'!$B$6</f>
        <v>136.59520565790771</v>
      </c>
      <c r="G40" s="366"/>
    </row>
    <row r="41" spans="2:17" x14ac:dyDescent="0.3">
      <c r="B41" s="304" t="str">
        <f>comps_data!B19</f>
        <v>Tata Chemicals Limited</v>
      </c>
      <c r="C41" s="366">
        <f>comps_data!C19</f>
        <v>1.3826179999999999</v>
      </c>
      <c r="D41" s="366"/>
      <c r="E41" s="308">
        <f>comps_data!D19</f>
        <v>1.5600000000000001E-2</v>
      </c>
      <c r="F41" s="366">
        <f>C41*'Data Sheet'!$B$6</f>
        <v>122.74691334404066</v>
      </c>
      <c r="G41" s="366"/>
    </row>
    <row r="42" spans="2:17" x14ac:dyDescent="0.3">
      <c r="B42" s="304" t="str">
        <f>comps_data!B20</f>
        <v>Icici Prudential Balanced Advantage Fund</v>
      </c>
      <c r="C42" s="366">
        <f>comps_data!C20</f>
        <v>1.1184970999999999</v>
      </c>
      <c r="D42" s="366"/>
      <c r="E42" s="308">
        <f>comps_data!D20</f>
        <v>1.26E-2</v>
      </c>
      <c r="F42" s="366">
        <f>C42*'Data Sheet'!$B$6</f>
        <v>99.298625223496856</v>
      </c>
      <c r="G42" s="366"/>
    </row>
    <row r="43" spans="2:17" x14ac:dyDescent="0.3">
      <c r="B43" s="304" t="str">
        <f>comps_data!B21</f>
        <v>Uti Nifty 50 Etf</v>
      </c>
      <c r="C43" s="366">
        <f>comps_data!C21</f>
        <v>0.98511479999999996</v>
      </c>
      <c r="D43" s="366"/>
      <c r="E43" s="308">
        <f>comps_data!D21</f>
        <v>1.11E-2</v>
      </c>
      <c r="F43" s="366">
        <f>C43*'Data Sheet'!$B$6</f>
        <v>87.457129148855259</v>
      </c>
      <c r="G43" s="366"/>
    </row>
    <row r="45" spans="2:17" ht="15.6" x14ac:dyDescent="0.3">
      <c r="B45" s="73" t="s">
        <v>489</v>
      </c>
      <c r="C45" s="319" t="s">
        <v>490</v>
      </c>
      <c r="D45" s="371" t="s">
        <v>491</v>
      </c>
      <c r="E45" s="371"/>
      <c r="F45" s="371" t="s">
        <v>492</v>
      </c>
      <c r="G45" s="371"/>
      <c r="I45" s="364" t="s">
        <v>493</v>
      </c>
      <c r="J45" s="364"/>
      <c r="K45" s="364"/>
    </row>
    <row r="47" spans="2:17" x14ac:dyDescent="0.3">
      <c r="B47" s="304" t="s">
        <v>520</v>
      </c>
      <c r="C47" s="309" t="s">
        <v>521</v>
      </c>
      <c r="D47" s="366" t="s">
        <v>547</v>
      </c>
      <c r="E47" s="369"/>
      <c r="F47" s="370" t="s">
        <v>547</v>
      </c>
      <c r="G47" s="370"/>
      <c r="I47" s="304" t="s">
        <v>371</v>
      </c>
      <c r="J47" s="304"/>
      <c r="K47" s="304">
        <f>'Data Sheet'!B8</f>
        <v>4584.3999999999996</v>
      </c>
    </row>
    <row r="48" spans="2:17" ht="15" thickBot="1" x14ac:dyDescent="0.35">
      <c r="B48" s="304" t="s">
        <v>522</v>
      </c>
      <c r="C48" s="309" t="s">
        <v>523</v>
      </c>
      <c r="D48" s="366">
        <v>7440000</v>
      </c>
      <c r="E48" s="369"/>
      <c r="F48" s="370" t="s">
        <v>548</v>
      </c>
      <c r="G48" s="370"/>
      <c r="I48" t="s">
        <v>494</v>
      </c>
      <c r="K48" s="80">
        <f>'Data Sheet'!B6</f>
        <v>88.778616612861015</v>
      </c>
    </row>
    <row r="49" spans="2:11" ht="15" thickBot="1" x14ac:dyDescent="0.35">
      <c r="B49" s="304" t="s">
        <v>524</v>
      </c>
      <c r="C49" s="309" t="s">
        <v>527</v>
      </c>
      <c r="D49" s="366">
        <v>29597925</v>
      </c>
      <c r="E49" s="369"/>
      <c r="F49" s="370" t="s">
        <v>549</v>
      </c>
      <c r="G49" s="370"/>
      <c r="I49" s="310" t="s">
        <v>174</v>
      </c>
      <c r="J49" s="311"/>
      <c r="K49" s="311">
        <f>K48*K47</f>
        <v>406996.69</v>
      </c>
    </row>
    <row r="50" spans="2:11" ht="15" thickTop="1" x14ac:dyDescent="0.3">
      <c r="B50" s="304" t="s">
        <v>525</v>
      </c>
      <c r="C50" s="309" t="s">
        <v>526</v>
      </c>
      <c r="D50" s="366" t="s">
        <v>547</v>
      </c>
      <c r="E50" s="369"/>
      <c r="F50" s="370" t="s">
        <v>547</v>
      </c>
      <c r="G50" s="370"/>
      <c r="I50" s="312" t="s">
        <v>495</v>
      </c>
      <c r="K50" s="313">
        <f>-'Data Sheet'!K69</f>
        <v>-1917</v>
      </c>
    </row>
    <row r="51" spans="2:11" x14ac:dyDescent="0.3">
      <c r="D51" s="367"/>
      <c r="E51" s="367"/>
      <c r="I51" s="314" t="s">
        <v>496</v>
      </c>
      <c r="J51" s="304"/>
      <c r="K51" s="305">
        <f>'Data Sheet'!K59</f>
        <v>30621</v>
      </c>
    </row>
    <row r="52" spans="2:11" ht="15" thickBot="1" x14ac:dyDescent="0.35">
      <c r="I52" s="312" t="s">
        <v>497</v>
      </c>
      <c r="K52" s="333" t="s">
        <v>528</v>
      </c>
    </row>
    <row r="53" spans="2:11" ht="15" thickBot="1" x14ac:dyDescent="0.35">
      <c r="I53" s="315" t="s">
        <v>498</v>
      </c>
      <c r="J53" s="311"/>
      <c r="K53" s="316">
        <f>SUM(K49:K52)</f>
        <v>435700.69</v>
      </c>
    </row>
    <row r="54" spans="2:11" ht="15" thickTop="1" x14ac:dyDescent="0.3"/>
    <row r="55" spans="2:11" ht="15.6" x14ac:dyDescent="0.3">
      <c r="B55" s="73" t="s">
        <v>499</v>
      </c>
      <c r="C55" s="72"/>
      <c r="D55" s="72"/>
      <c r="E55" s="72"/>
      <c r="F55" s="72"/>
      <c r="G55" s="72"/>
      <c r="H55" s="72"/>
      <c r="I55" s="72"/>
      <c r="J55" s="72"/>
      <c r="K55" s="72"/>
    </row>
    <row r="57" spans="2:11" x14ac:dyDescent="0.3">
      <c r="B57" s="342" t="s">
        <v>543</v>
      </c>
    </row>
    <row r="58" spans="2:11" x14ac:dyDescent="0.3">
      <c r="B58" s="342" t="s">
        <v>544</v>
      </c>
    </row>
    <row r="59" spans="2:11" x14ac:dyDescent="0.3">
      <c r="B59" s="342" t="s">
        <v>545</v>
      </c>
    </row>
    <row r="60" spans="2:11" x14ac:dyDescent="0.3">
      <c r="B60" s="342" t="s">
        <v>546</v>
      </c>
    </row>
    <row r="62" spans="2:11" x14ac:dyDescent="0.3">
      <c r="B62" s="72"/>
      <c r="C62" s="72"/>
      <c r="D62" s="72"/>
      <c r="E62" s="72"/>
      <c r="F62" s="72"/>
      <c r="G62" s="72"/>
      <c r="H62" s="72"/>
      <c r="I62" s="72"/>
      <c r="J62" s="72"/>
      <c r="K62" s="72"/>
    </row>
  </sheetData>
  <mergeCells count="40">
    <mergeCell ref="D51:E51"/>
    <mergeCell ref="C5:K5"/>
    <mergeCell ref="D48:E48"/>
    <mergeCell ref="F48:G48"/>
    <mergeCell ref="D49:E49"/>
    <mergeCell ref="F49:G49"/>
    <mergeCell ref="D50:E50"/>
    <mergeCell ref="F50:G50"/>
    <mergeCell ref="C43:D43"/>
    <mergeCell ref="F43:G43"/>
    <mergeCell ref="D45:E45"/>
    <mergeCell ref="F45:G45"/>
    <mergeCell ref="I45:K45"/>
    <mergeCell ref="D47:E47"/>
    <mergeCell ref="F47:G47"/>
    <mergeCell ref="C40:D40"/>
    <mergeCell ref="F40:G40"/>
    <mergeCell ref="C41:D41"/>
    <mergeCell ref="F41:G41"/>
    <mergeCell ref="C42:D42"/>
    <mergeCell ref="F42:G42"/>
    <mergeCell ref="C37:D37"/>
    <mergeCell ref="F37:G37"/>
    <mergeCell ref="C38:D38"/>
    <mergeCell ref="F38:G38"/>
    <mergeCell ref="C39:D39"/>
    <mergeCell ref="F39:G39"/>
    <mergeCell ref="C34:D34"/>
    <mergeCell ref="F34:G34"/>
    <mergeCell ref="C35:D35"/>
    <mergeCell ref="F35:G35"/>
    <mergeCell ref="C36:D36"/>
    <mergeCell ref="F36:G36"/>
    <mergeCell ref="B4:K4"/>
    <mergeCell ref="C6:K6"/>
    <mergeCell ref="I8:K8"/>
    <mergeCell ref="I23:K23"/>
    <mergeCell ref="C32:D32"/>
    <mergeCell ref="F32:G32"/>
    <mergeCell ref="I32:K32"/>
  </mergeCells>
  <pageMargins left="0.7" right="0.7" top="0.75" bottom="0.75" header="0.3" footer="0.3"/>
  <pageSetup scale="5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3CCCC"/>
  </sheetPr>
  <dimension ref="A2:L115"/>
  <sheetViews>
    <sheetView showGridLines="0" zoomScale="66" zoomScaleNormal="66" workbookViewId="0">
      <pane ySplit="5" topLeftCell="A54" activePane="bottomLeft" state="frozen"/>
      <selection activeCell="C3" sqref="C3"/>
      <selection pane="bottomLeft" activeCell="G27" sqref="G27"/>
    </sheetView>
  </sheetViews>
  <sheetFormatPr defaultColWidth="8.6640625" defaultRowHeight="14.4" x14ac:dyDescent="0.3"/>
  <cols>
    <col min="1" max="1" width="1.88671875" customWidth="1"/>
    <col min="2" max="2" width="27.21875" customWidth="1"/>
    <col min="3" max="12" width="11.109375" customWidth="1"/>
    <col min="13" max="13" width="5" customWidth="1"/>
  </cols>
  <sheetData>
    <row r="2" spans="1:12" ht="9.75" customHeight="1" x14ac:dyDescent="0.3">
      <c r="B2" s="1"/>
      <c r="C2" s="1"/>
      <c r="D2" s="1"/>
      <c r="E2" s="1"/>
      <c r="F2" s="1"/>
      <c r="G2" s="1"/>
      <c r="H2" s="1"/>
      <c r="I2" s="1"/>
      <c r="J2" s="1"/>
      <c r="K2" s="1"/>
      <c r="L2" s="1"/>
    </row>
    <row r="4" spans="1:12" ht="14.25" customHeight="1" x14ac:dyDescent="0.3">
      <c r="B4" s="372" t="str">
        <f>"Historical Financial Statements"&amp;" - "&amp;'Data Sheet'!B1</f>
        <v>Historical Financial Statements - TITAN COMPANY LTD</v>
      </c>
      <c r="C4" s="372"/>
      <c r="D4" s="372"/>
      <c r="E4" s="372"/>
      <c r="F4" s="372"/>
      <c r="G4" s="372"/>
      <c r="H4" s="372"/>
      <c r="I4" s="372"/>
      <c r="J4" s="372"/>
      <c r="K4" s="372"/>
      <c r="L4" s="372"/>
    </row>
    <row r="5" spans="1:12" ht="14.25" customHeight="1" x14ac:dyDescent="0.3">
      <c r="B5" s="2" t="s">
        <v>0</v>
      </c>
      <c r="C5" s="3">
        <f>'Data Sheet'!B16</f>
        <v>42825</v>
      </c>
      <c r="D5" s="3">
        <f>'Data Sheet'!C16</f>
        <v>43190</v>
      </c>
      <c r="E5" s="3">
        <f>'Data Sheet'!D16</f>
        <v>43555</v>
      </c>
      <c r="F5" s="3">
        <f>'Data Sheet'!E16</f>
        <v>43921</v>
      </c>
      <c r="G5" s="3">
        <f>'Data Sheet'!F16</f>
        <v>44286</v>
      </c>
      <c r="H5" s="3">
        <f>'Data Sheet'!G16</f>
        <v>44651</v>
      </c>
      <c r="I5" s="3">
        <f>'Data Sheet'!H16</f>
        <v>45016</v>
      </c>
      <c r="J5" s="3">
        <f>'Data Sheet'!I16</f>
        <v>45382</v>
      </c>
      <c r="K5" s="3">
        <f>'Data Sheet'!J16</f>
        <v>45747</v>
      </c>
      <c r="L5" s="3">
        <f>'Data Sheet'!K16</f>
        <v>46112</v>
      </c>
    </row>
    <row r="7" spans="1:12" ht="14.25" customHeight="1" x14ac:dyDescent="0.3">
      <c r="A7" t="s">
        <v>1</v>
      </c>
      <c r="B7" s="4" t="str">
        <f>"Income Statement"&amp;" - "&amp;'Data Sheet'!B1</f>
        <v>Income Statement - TITAN COMPANY LTD</v>
      </c>
      <c r="C7" s="5"/>
      <c r="D7" s="5"/>
      <c r="E7" s="5"/>
      <c r="F7" s="5"/>
      <c r="G7" s="5"/>
      <c r="H7" s="5"/>
      <c r="I7" s="5"/>
      <c r="J7" s="5"/>
      <c r="K7" s="5"/>
      <c r="L7" s="5"/>
    </row>
    <row r="9" spans="1:12" ht="14.25" customHeight="1" x14ac:dyDescent="0.3">
      <c r="B9" s="6" t="s">
        <v>2</v>
      </c>
      <c r="C9" s="7">
        <f>IFERROR('Data Sheet'!B17,0)</f>
        <v>13260.83</v>
      </c>
      <c r="D9" s="7">
        <f>IFERROR('Data Sheet'!C17,0)</f>
        <v>16119.77</v>
      </c>
      <c r="E9" s="7">
        <f>IFERROR('Data Sheet'!D17,0)</f>
        <v>19778.52</v>
      </c>
      <c r="F9" s="7">
        <f>IFERROR('Data Sheet'!E17,0)</f>
        <v>21052</v>
      </c>
      <c r="G9" s="7">
        <f>IFERROR('Data Sheet'!F17,0)</f>
        <v>21644</v>
      </c>
      <c r="H9" s="7">
        <f>IFERROR('Data Sheet'!G17,0)</f>
        <v>28799</v>
      </c>
      <c r="I9" s="7">
        <f>IFERROR('Data Sheet'!H17,0)</f>
        <v>40575</v>
      </c>
      <c r="J9" s="7">
        <f>IFERROR('Data Sheet'!I17,0)</f>
        <v>51084</v>
      </c>
      <c r="K9" s="7">
        <f>IFERROR('Data Sheet'!J17,0)</f>
        <v>60456</v>
      </c>
      <c r="L9" s="7">
        <f>IFERROR('Data Sheet'!K17,0)</f>
        <v>87584</v>
      </c>
    </row>
    <row r="10" spans="1:12" ht="14.25" customHeight="1" x14ac:dyDescent="0.3">
      <c r="B10" s="8" t="s">
        <v>3</v>
      </c>
      <c r="C10" s="9"/>
      <c r="D10" s="9">
        <f t="shared" ref="D10:L10" si="0">IFERROR(D9/C9-1,0)</f>
        <v>0.21559283996552248</v>
      </c>
      <c r="E10" s="9">
        <f t="shared" si="0"/>
        <v>0.22697284142391605</v>
      </c>
      <c r="F10" s="9">
        <f t="shared" si="0"/>
        <v>6.4387021880302431E-2</v>
      </c>
      <c r="G10" s="9">
        <f t="shared" si="0"/>
        <v>2.8120843625308867E-2</v>
      </c>
      <c r="H10" s="9">
        <f t="shared" si="0"/>
        <v>0.33057660321567184</v>
      </c>
      <c r="I10" s="9">
        <f t="shared" si="0"/>
        <v>0.40890308691274013</v>
      </c>
      <c r="J10" s="9">
        <f t="shared" si="0"/>
        <v>0.25900184842883545</v>
      </c>
      <c r="K10" s="9">
        <f t="shared" si="0"/>
        <v>0.18346253229974163</v>
      </c>
      <c r="L10" s="9">
        <f t="shared" si="0"/>
        <v>0.448723038242689</v>
      </c>
    </row>
    <row r="12" spans="1:12" ht="14.25" customHeight="1" x14ac:dyDescent="0.3">
      <c r="B12" t="s">
        <v>4</v>
      </c>
      <c r="C12" s="10">
        <f>IFERROR(SUM('Data Sheet'!B18,'Data Sheet'!B20:B22)-1*'Data Sheet'!B19,0)</f>
        <v>10606.01</v>
      </c>
      <c r="D12" s="10">
        <f>IFERROR(SUM('Data Sheet'!C18,'Data Sheet'!C20:C22)-1*'Data Sheet'!C19,0)</f>
        <v>12762.63</v>
      </c>
      <c r="E12" s="10">
        <f>IFERROR(SUM('Data Sheet'!D18,'Data Sheet'!D20:D22)-1*'Data Sheet'!D19,0)</f>
        <v>15660.48</v>
      </c>
      <c r="F12" s="10">
        <f>IFERROR(SUM('Data Sheet'!E18,'Data Sheet'!E20:E22)-1*'Data Sheet'!E19,0)</f>
        <v>16626</v>
      </c>
      <c r="G12" s="10">
        <f>IFERROR(SUM('Data Sheet'!F18,'Data Sheet'!F20:F22)-1*'Data Sheet'!F19,0)</f>
        <v>17661</v>
      </c>
      <c r="H12" s="10">
        <f>IFERROR(SUM('Data Sheet'!G18,'Data Sheet'!G20:G22)-1*'Data Sheet'!G19,0)</f>
        <v>23225</v>
      </c>
      <c r="I12" s="10">
        <f>IFERROR(SUM('Data Sheet'!H18,'Data Sheet'!H20:H22)-1*'Data Sheet'!H19,0)</f>
        <v>32295</v>
      </c>
      <c r="J12" s="10">
        <f>IFERROR(SUM('Data Sheet'!I18,'Data Sheet'!I20:I22)-1*'Data Sheet'!I19,0)</f>
        <v>41664</v>
      </c>
      <c r="K12" s="10">
        <f>IFERROR(SUM('Data Sheet'!J18,'Data Sheet'!J20:J22)-1*'Data Sheet'!J19,0)</f>
        <v>50024</v>
      </c>
      <c r="L12" s="10">
        <f>IFERROR(SUM('Data Sheet'!K18,'Data Sheet'!K20:K22)-1*'Data Sheet'!K19,0)</f>
        <v>73461</v>
      </c>
    </row>
    <row r="13" spans="1:12" ht="14.25" customHeight="1" x14ac:dyDescent="0.3">
      <c r="B13" s="8" t="s">
        <v>5</v>
      </c>
      <c r="C13" s="9">
        <f t="shared" ref="C13:L13" si="1">IFERROR(C12/C9,0)</f>
        <v>0.79979986169794803</v>
      </c>
      <c r="D13" s="9">
        <f t="shared" si="1"/>
        <v>0.79173772330498504</v>
      </c>
      <c r="E13" s="9">
        <f t="shared" si="1"/>
        <v>0.79179230801900236</v>
      </c>
      <c r="F13" s="9">
        <f t="shared" si="1"/>
        <v>0.78975869276078281</v>
      </c>
      <c r="G13" s="9">
        <f t="shared" si="1"/>
        <v>0.81597671410090555</v>
      </c>
      <c r="H13" s="9">
        <f t="shared" si="1"/>
        <v>0.80645161290322576</v>
      </c>
      <c r="I13" s="9">
        <f t="shared" si="1"/>
        <v>0.79593345656192238</v>
      </c>
      <c r="J13" s="9">
        <f t="shared" si="1"/>
        <v>0.81559783885365278</v>
      </c>
      <c r="K13" s="9">
        <f t="shared" si="1"/>
        <v>0.82744475320894539</v>
      </c>
      <c r="L13" s="9">
        <f t="shared" si="1"/>
        <v>0.83874908659115821</v>
      </c>
    </row>
    <row r="15" spans="1:12" ht="14.25" customHeight="1" x14ac:dyDescent="0.3">
      <c r="B15" s="11" t="s">
        <v>6</v>
      </c>
      <c r="C15" s="12">
        <f t="shared" ref="C15:L15" si="2">C9-C12</f>
        <v>2654.8199999999997</v>
      </c>
      <c r="D15" s="12">
        <f t="shared" si="2"/>
        <v>3357.1400000000012</v>
      </c>
      <c r="E15" s="12">
        <f t="shared" si="2"/>
        <v>4118.0400000000009</v>
      </c>
      <c r="F15" s="12">
        <f t="shared" si="2"/>
        <v>4426</v>
      </c>
      <c r="G15" s="12">
        <f t="shared" si="2"/>
        <v>3983</v>
      </c>
      <c r="H15" s="12">
        <f t="shared" si="2"/>
        <v>5574</v>
      </c>
      <c r="I15" s="12">
        <f t="shared" si="2"/>
        <v>8280</v>
      </c>
      <c r="J15" s="12">
        <f t="shared" si="2"/>
        <v>9420</v>
      </c>
      <c r="K15" s="12">
        <f t="shared" si="2"/>
        <v>10432</v>
      </c>
      <c r="L15" s="12">
        <f t="shared" si="2"/>
        <v>14123</v>
      </c>
    </row>
    <row r="16" spans="1:12" ht="14.25" customHeight="1" x14ac:dyDescent="0.3">
      <c r="B16" s="8" t="s">
        <v>7</v>
      </c>
      <c r="C16" s="9">
        <f t="shared" ref="C16:L16" si="3">IFERROR(C15/C9,0)</f>
        <v>0.20020013830205197</v>
      </c>
      <c r="D16" s="9">
        <f t="shared" si="3"/>
        <v>0.20826227669501496</v>
      </c>
      <c r="E16" s="9">
        <f t="shared" si="3"/>
        <v>0.20820769198099762</v>
      </c>
      <c r="F16" s="9">
        <f t="shared" si="3"/>
        <v>0.21024130723921719</v>
      </c>
      <c r="G16" s="9">
        <f t="shared" si="3"/>
        <v>0.18402328589909445</v>
      </c>
      <c r="H16" s="9">
        <f t="shared" si="3"/>
        <v>0.19354838709677419</v>
      </c>
      <c r="I16" s="9">
        <f t="shared" si="3"/>
        <v>0.20406654343807765</v>
      </c>
      <c r="J16" s="9">
        <f t="shared" si="3"/>
        <v>0.18440216114634719</v>
      </c>
      <c r="K16" s="9">
        <f t="shared" si="3"/>
        <v>0.17255524679105466</v>
      </c>
      <c r="L16" s="9">
        <f t="shared" si="3"/>
        <v>0.16125091340884179</v>
      </c>
    </row>
    <row r="18" spans="2:12" ht="14.25" customHeight="1" x14ac:dyDescent="0.3">
      <c r="B18" t="s">
        <v>8</v>
      </c>
      <c r="C18" s="10">
        <f>IFERROR(SUM('Data Sheet'!B23:B24),0)</f>
        <v>1490.92</v>
      </c>
      <c r="D18" s="10">
        <f>IFERROR(SUM('Data Sheet'!C23:C24),0)</f>
        <v>1712.94</v>
      </c>
      <c r="E18" s="10">
        <f>IFERROR(SUM('Data Sheet'!D23:D24),0)</f>
        <v>2124.25</v>
      </c>
      <c r="F18" s="10">
        <f>IFERROR(SUM('Data Sheet'!E23:E24),0)</f>
        <v>1963</v>
      </c>
      <c r="G18" s="10">
        <f>IFERROR(SUM('Data Sheet'!F23:F24),0)</f>
        <v>2258</v>
      </c>
      <c r="H18" s="10">
        <f>IFERROR(SUM('Data Sheet'!G23:G24),0)</f>
        <v>2230</v>
      </c>
      <c r="I18" s="10">
        <f>IFERROR(SUM('Data Sheet'!H23:H24),0)</f>
        <v>3398</v>
      </c>
      <c r="J18" s="10">
        <f>IFERROR(SUM('Data Sheet'!I23:I24),0)</f>
        <v>4128</v>
      </c>
      <c r="K18" s="10">
        <f>IFERROR(SUM('Data Sheet'!J23:J24),0)</f>
        <v>4738</v>
      </c>
      <c r="L18" s="10">
        <f>IFERROR(SUM('Data Sheet'!K23:K24),0)</f>
        <v>5766</v>
      </c>
    </row>
    <row r="19" spans="2:12" ht="14.25" customHeight="1" x14ac:dyDescent="0.3">
      <c r="B19" s="8" t="s">
        <v>9</v>
      </c>
      <c r="C19" s="9">
        <f t="shared" ref="C19:L19" si="4">IFERROR(C18/C9,0)</f>
        <v>0.11243036823486917</v>
      </c>
      <c r="D19" s="9">
        <f t="shared" si="4"/>
        <v>0.10626330276424539</v>
      </c>
      <c r="E19" s="9">
        <f t="shared" si="4"/>
        <v>0.10740186828943722</v>
      </c>
      <c r="F19" s="9">
        <f t="shared" si="4"/>
        <v>9.3245297358920773E-2</v>
      </c>
      <c r="G19" s="9">
        <f t="shared" si="4"/>
        <v>0.10432452411753834</v>
      </c>
      <c r="H19" s="9">
        <f t="shared" si="4"/>
        <v>7.7433244209868399E-2</v>
      </c>
      <c r="I19" s="9">
        <f t="shared" si="4"/>
        <v>8.3746149106592727E-2</v>
      </c>
      <c r="J19" s="9">
        <f t="shared" si="4"/>
        <v>8.0808080808080815E-2</v>
      </c>
      <c r="K19" s="9">
        <f t="shared" si="4"/>
        <v>7.8371046711658066E-2</v>
      </c>
      <c r="L19" s="9">
        <f t="shared" si="4"/>
        <v>6.5833942272561202E-2</v>
      </c>
    </row>
    <row r="21" spans="2:12" ht="14.25" customHeight="1" x14ac:dyDescent="0.3">
      <c r="B21" s="11" t="s">
        <v>10</v>
      </c>
      <c r="C21" s="12">
        <f t="shared" ref="C21:L21" si="5">C15-C18</f>
        <v>1163.8999999999996</v>
      </c>
      <c r="D21" s="12">
        <f t="shared" si="5"/>
        <v>1644.2000000000012</v>
      </c>
      <c r="E21" s="12">
        <f t="shared" si="5"/>
        <v>1993.7900000000009</v>
      </c>
      <c r="F21" s="12">
        <f t="shared" si="5"/>
        <v>2463</v>
      </c>
      <c r="G21" s="12">
        <f t="shared" si="5"/>
        <v>1725</v>
      </c>
      <c r="H21" s="12">
        <f t="shared" si="5"/>
        <v>3344</v>
      </c>
      <c r="I21" s="12">
        <f t="shared" si="5"/>
        <v>4882</v>
      </c>
      <c r="J21" s="12">
        <f t="shared" si="5"/>
        <v>5292</v>
      </c>
      <c r="K21" s="12">
        <f t="shared" si="5"/>
        <v>5694</v>
      </c>
      <c r="L21" s="12">
        <f t="shared" si="5"/>
        <v>8357</v>
      </c>
    </row>
    <row r="22" spans="2:12" ht="14.25" customHeight="1" x14ac:dyDescent="0.3">
      <c r="B22" s="8" t="s">
        <v>11</v>
      </c>
      <c r="C22" s="9">
        <f t="shared" ref="C22:L22" si="6">IFERROR(C21/C9,0)</f>
        <v>8.7769770067182798E-2</v>
      </c>
      <c r="D22" s="9">
        <f t="shared" si="6"/>
        <v>0.10199897393076955</v>
      </c>
      <c r="E22" s="9">
        <f t="shared" si="6"/>
        <v>0.10080582369156038</v>
      </c>
      <c r="F22" s="9">
        <f t="shared" si="6"/>
        <v>0.1169960098802964</v>
      </c>
      <c r="G22" s="9">
        <f t="shared" si="6"/>
        <v>7.9698761781556091E-2</v>
      </c>
      <c r="H22" s="9">
        <f t="shared" si="6"/>
        <v>0.11611514288690579</v>
      </c>
      <c r="I22" s="9">
        <f t="shared" si="6"/>
        <v>0.12032039433148491</v>
      </c>
      <c r="J22" s="9">
        <f t="shared" si="6"/>
        <v>0.10359408033826638</v>
      </c>
      <c r="K22" s="9">
        <f t="shared" si="6"/>
        <v>9.4184200079396582E-2</v>
      </c>
      <c r="L22" s="9">
        <f t="shared" si="6"/>
        <v>9.5416971136280601E-2</v>
      </c>
    </row>
    <row r="24" spans="2:12" ht="14.25" customHeight="1" x14ac:dyDescent="0.3">
      <c r="B24" t="s">
        <v>12</v>
      </c>
      <c r="C24" s="10">
        <f>IFERROR('Data Sheet'!B25,0)</f>
        <v>-42.38</v>
      </c>
      <c r="D24" s="10">
        <f>IFERROR('Data Sheet'!C25,0)</f>
        <v>69.930000000000007</v>
      </c>
      <c r="E24" s="10">
        <f>IFERROR('Data Sheet'!D25,0)</f>
        <v>178.48</v>
      </c>
      <c r="F24" s="10">
        <f>IFERROR('Data Sheet'!E25,0)</f>
        <v>153</v>
      </c>
      <c r="G24" s="10">
        <f>IFERROR('Data Sheet'!F25,0)</f>
        <v>180</v>
      </c>
      <c r="H24" s="10">
        <f>IFERROR('Data Sheet'!G25,0)</f>
        <v>177</v>
      </c>
      <c r="I24" s="10">
        <f>IFERROR('Data Sheet'!H25,0)</f>
        <v>306</v>
      </c>
      <c r="J24" s="10">
        <f>IFERROR('Data Sheet'!I25,0)</f>
        <v>534</v>
      </c>
      <c r="K24" s="10">
        <f>IFERROR('Data Sheet'!J25,0)</f>
        <v>487</v>
      </c>
      <c r="L24" s="10">
        <f>IFERROR('Data Sheet'!K25,0)</f>
        <v>450</v>
      </c>
    </row>
    <row r="25" spans="2:12" ht="14.25" customHeight="1" x14ac:dyDescent="0.3">
      <c r="B25" s="8" t="s">
        <v>13</v>
      </c>
      <c r="C25" s="9">
        <f t="shared" ref="C25:L25" si="7">IFERROR(C24/C9,0)</f>
        <v>-3.1958783877027307E-3</v>
      </c>
      <c r="D25" s="9">
        <f t="shared" si="7"/>
        <v>4.3381512267234587E-3</v>
      </c>
      <c r="E25" s="9">
        <f t="shared" si="7"/>
        <v>9.0239310120271889E-3</v>
      </c>
      <c r="F25" s="9">
        <f t="shared" si="7"/>
        <v>7.2677180315409463E-3</v>
      </c>
      <c r="G25" s="9">
        <f t="shared" si="7"/>
        <v>8.3163925337275922E-3</v>
      </c>
      <c r="H25" s="9">
        <f t="shared" si="7"/>
        <v>6.1460467377339491E-3</v>
      </c>
      <c r="I25" s="9">
        <f t="shared" si="7"/>
        <v>7.5415896487985214E-3</v>
      </c>
      <c r="J25" s="9">
        <f t="shared" si="7"/>
        <v>1.0453370918487198E-2</v>
      </c>
      <c r="K25" s="9">
        <f t="shared" si="7"/>
        <v>8.0554452825195178E-3</v>
      </c>
      <c r="L25" s="9">
        <f t="shared" si="7"/>
        <v>5.1379247351114356E-3</v>
      </c>
    </row>
    <row r="27" spans="2:12" ht="14.25" customHeight="1" x14ac:dyDescent="0.3">
      <c r="B27" t="s">
        <v>14</v>
      </c>
      <c r="C27" s="10">
        <f>IFERROR('Data Sheet'!B26,0)</f>
        <v>110.53</v>
      </c>
      <c r="D27" s="10">
        <f>IFERROR('Data Sheet'!C26,0)</f>
        <v>131.43</v>
      </c>
      <c r="E27" s="10">
        <f>IFERROR('Data Sheet'!D26,0)</f>
        <v>162.84</v>
      </c>
      <c r="F27" s="10">
        <f>IFERROR('Data Sheet'!E26,0)</f>
        <v>348</v>
      </c>
      <c r="G27" s="10">
        <f>IFERROR('Data Sheet'!F26,0)</f>
        <v>375</v>
      </c>
      <c r="H27" s="10">
        <f>IFERROR('Data Sheet'!G26,0)</f>
        <v>399</v>
      </c>
      <c r="I27" s="10">
        <f>IFERROR('Data Sheet'!H26,0)</f>
        <v>441</v>
      </c>
      <c r="J27" s="10">
        <f>IFERROR('Data Sheet'!I26,0)</f>
        <v>584</v>
      </c>
      <c r="K27" s="10">
        <f>IFERROR('Data Sheet'!J26,0)</f>
        <v>693</v>
      </c>
      <c r="L27" s="10">
        <f>IFERROR('Data Sheet'!K26,0)</f>
        <v>826</v>
      </c>
    </row>
    <row r="28" spans="2:12" ht="14.25" customHeight="1" x14ac:dyDescent="0.3">
      <c r="B28" s="8" t="s">
        <v>15</v>
      </c>
      <c r="C28" s="9">
        <f t="shared" ref="C28:L28" si="8">IFERROR(C27/C9,0)</f>
        <v>8.3350740489094577E-3</v>
      </c>
      <c r="D28" s="9">
        <f t="shared" si="8"/>
        <v>8.1533421382563153E-3</v>
      </c>
      <c r="E28" s="9">
        <f t="shared" si="8"/>
        <v>8.2331741707670752E-3</v>
      </c>
      <c r="F28" s="9">
        <f t="shared" si="8"/>
        <v>1.6530495914877447E-2</v>
      </c>
      <c r="G28" s="9">
        <f t="shared" si="8"/>
        <v>1.7325817778599151E-2</v>
      </c>
      <c r="H28" s="9">
        <f t="shared" si="8"/>
        <v>1.3854647730823988E-2</v>
      </c>
      <c r="I28" s="9">
        <f t="shared" si="8"/>
        <v>1.0868761552680222E-2</v>
      </c>
      <c r="J28" s="9">
        <f t="shared" si="8"/>
        <v>1.1432150967034689E-2</v>
      </c>
      <c r="K28" s="9">
        <f t="shared" si="8"/>
        <v>1.146288209606987E-2</v>
      </c>
      <c r="L28" s="9">
        <f t="shared" si="8"/>
        <v>9.4309462915601015E-3</v>
      </c>
    </row>
    <row r="30" spans="2:12" ht="14.25" customHeight="1" x14ac:dyDescent="0.3">
      <c r="B30" s="11" t="s">
        <v>16</v>
      </c>
      <c r="C30" s="12">
        <f t="shared" ref="C30:L30" si="9">SUM(C21,C24)-C27</f>
        <v>1010.9899999999996</v>
      </c>
      <c r="D30" s="12">
        <f t="shared" si="9"/>
        <v>1582.7000000000012</v>
      </c>
      <c r="E30" s="12">
        <f t="shared" si="9"/>
        <v>2009.430000000001</v>
      </c>
      <c r="F30" s="12">
        <f t="shared" si="9"/>
        <v>2268</v>
      </c>
      <c r="G30" s="12">
        <f t="shared" si="9"/>
        <v>1530</v>
      </c>
      <c r="H30" s="12">
        <f t="shared" si="9"/>
        <v>3122</v>
      </c>
      <c r="I30" s="12">
        <f t="shared" si="9"/>
        <v>4747</v>
      </c>
      <c r="J30" s="12">
        <f t="shared" si="9"/>
        <v>5242</v>
      </c>
      <c r="K30" s="12">
        <f t="shared" si="9"/>
        <v>5488</v>
      </c>
      <c r="L30" s="12">
        <f t="shared" si="9"/>
        <v>7981</v>
      </c>
    </row>
    <row r="31" spans="2:12" ht="14.25" customHeight="1" x14ac:dyDescent="0.3">
      <c r="B31" s="8" t="s">
        <v>17</v>
      </c>
      <c r="C31" s="9">
        <f t="shared" ref="C31:L31" si="10">IFERROR(C30/C9,0)</f>
        <v>7.6238817630570596E-2</v>
      </c>
      <c r="D31" s="9">
        <f t="shared" si="10"/>
        <v>9.8183783019236692E-2</v>
      </c>
      <c r="E31" s="9">
        <f t="shared" si="10"/>
        <v>0.1015965805328205</v>
      </c>
      <c r="F31" s="9">
        <f t="shared" si="10"/>
        <v>0.1077332319969599</v>
      </c>
      <c r="G31" s="9">
        <f t="shared" si="10"/>
        <v>7.0689336536684536E-2</v>
      </c>
      <c r="H31" s="9">
        <f t="shared" si="10"/>
        <v>0.10840654189381575</v>
      </c>
      <c r="I31" s="9">
        <f t="shared" si="10"/>
        <v>0.11699322242760321</v>
      </c>
      <c r="J31" s="9">
        <f t="shared" si="10"/>
        <v>0.10261530028971889</v>
      </c>
      <c r="K31" s="9">
        <f t="shared" si="10"/>
        <v>9.077676326584623E-2</v>
      </c>
      <c r="L31" s="9">
        <f t="shared" si="10"/>
        <v>9.1123949579831928E-2</v>
      </c>
    </row>
    <row r="33" spans="2:12" ht="14.25" customHeight="1" x14ac:dyDescent="0.3">
      <c r="B33" t="s">
        <v>18</v>
      </c>
      <c r="C33" s="10">
        <f>IFERROR('Data Sheet'!B27,0)</f>
        <v>37.74</v>
      </c>
      <c r="D33" s="10">
        <f>IFERROR('Data Sheet'!C27,0)</f>
        <v>52.92</v>
      </c>
      <c r="E33" s="10">
        <f>IFERROR('Data Sheet'!D27,0)</f>
        <v>52.54</v>
      </c>
      <c r="F33" s="10">
        <f>IFERROR('Data Sheet'!E27,0)</f>
        <v>166</v>
      </c>
      <c r="G33" s="10">
        <f>IFERROR('Data Sheet'!F27,0)</f>
        <v>203</v>
      </c>
      <c r="H33" s="10">
        <f>IFERROR('Data Sheet'!G27,0)</f>
        <v>218</v>
      </c>
      <c r="I33" s="10">
        <f>IFERROR('Data Sheet'!H27,0)</f>
        <v>300</v>
      </c>
      <c r="J33" s="10">
        <f>IFERROR('Data Sheet'!I27,0)</f>
        <v>619</v>
      </c>
      <c r="K33" s="10">
        <f>IFERROR('Data Sheet'!J27,0)</f>
        <v>953</v>
      </c>
      <c r="L33" s="10">
        <f>IFERROR('Data Sheet'!K27,0)</f>
        <v>1180</v>
      </c>
    </row>
    <row r="34" spans="2:12" ht="14.25" customHeight="1" x14ac:dyDescent="0.3">
      <c r="B34" s="8" t="s">
        <v>19</v>
      </c>
      <c r="C34" s="9">
        <f t="shared" ref="C34:L34" si="11">IFERROR(C33/C9,0)</f>
        <v>2.845975704386528E-3</v>
      </c>
      <c r="D34" s="9">
        <f t="shared" si="11"/>
        <v>3.2829252526555899E-3</v>
      </c>
      <c r="E34" s="9">
        <f t="shared" si="11"/>
        <v>2.6564171636704868E-3</v>
      </c>
      <c r="F34" s="9">
        <f t="shared" si="11"/>
        <v>7.8852365570967128E-3</v>
      </c>
      <c r="G34" s="9">
        <f t="shared" si="11"/>
        <v>9.3790426908150065E-3</v>
      </c>
      <c r="H34" s="9">
        <f t="shared" si="11"/>
        <v>7.5697072815028299E-3</v>
      </c>
      <c r="I34" s="9">
        <f t="shared" si="11"/>
        <v>7.3937153419593345E-3</v>
      </c>
      <c r="J34" s="9">
        <f t="shared" si="11"/>
        <v>1.2117297001017931E-2</v>
      </c>
      <c r="K34" s="9">
        <f t="shared" si="11"/>
        <v>1.5763530501521766E-2</v>
      </c>
      <c r="L34" s="9">
        <f t="shared" si="11"/>
        <v>1.3472780416514432E-2</v>
      </c>
    </row>
    <row r="36" spans="2:12" ht="14.25" customHeight="1" x14ac:dyDescent="0.3">
      <c r="B36" s="12" t="s">
        <v>20</v>
      </c>
      <c r="C36" s="12">
        <f t="shared" ref="C36:L36" si="12">C30-C33</f>
        <v>973.24999999999955</v>
      </c>
      <c r="D36" s="12">
        <f t="shared" si="12"/>
        <v>1529.7800000000011</v>
      </c>
      <c r="E36" s="12">
        <f t="shared" si="12"/>
        <v>1956.890000000001</v>
      </c>
      <c r="F36" s="12">
        <f t="shared" si="12"/>
        <v>2102</v>
      </c>
      <c r="G36" s="12">
        <f t="shared" si="12"/>
        <v>1327</v>
      </c>
      <c r="H36" s="12">
        <f t="shared" si="12"/>
        <v>2904</v>
      </c>
      <c r="I36" s="12">
        <f t="shared" si="12"/>
        <v>4447</v>
      </c>
      <c r="J36" s="12">
        <f t="shared" si="12"/>
        <v>4623</v>
      </c>
      <c r="K36" s="12">
        <f t="shared" si="12"/>
        <v>4535</v>
      </c>
      <c r="L36" s="12">
        <f t="shared" si="12"/>
        <v>6801</v>
      </c>
    </row>
    <row r="37" spans="2:12" ht="14.25" customHeight="1" x14ac:dyDescent="0.3">
      <c r="B37" s="8" t="s">
        <v>21</v>
      </c>
      <c r="C37" s="9">
        <f t="shared" ref="C37:L37" si="13">IFERROR(C36/C9,0)</f>
        <v>7.3392841926184074E-2</v>
      </c>
      <c r="D37" s="9">
        <f t="shared" si="13"/>
        <v>9.4900857766581109E-2</v>
      </c>
      <c r="E37" s="9">
        <f t="shared" si="13"/>
        <v>9.8940163369150014E-2</v>
      </c>
      <c r="F37" s="9">
        <f t="shared" si="13"/>
        <v>9.9847995439863196E-2</v>
      </c>
      <c r="G37" s="9">
        <f t="shared" si="13"/>
        <v>6.1310293845869522E-2</v>
      </c>
      <c r="H37" s="9">
        <f t="shared" si="13"/>
        <v>0.10083683461231292</v>
      </c>
      <c r="I37" s="9">
        <f t="shared" si="13"/>
        <v>0.10959950708564387</v>
      </c>
      <c r="J37" s="9">
        <f t="shared" si="13"/>
        <v>9.0498003288700959E-2</v>
      </c>
      <c r="K37" s="9">
        <f t="shared" si="13"/>
        <v>7.5013232764324464E-2</v>
      </c>
      <c r="L37" s="9">
        <f t="shared" si="13"/>
        <v>7.7651169163317504E-2</v>
      </c>
    </row>
    <row r="39" spans="2:12" ht="14.25" customHeight="1" x14ac:dyDescent="0.3">
      <c r="B39" s="10" t="s">
        <v>22</v>
      </c>
      <c r="C39" s="10">
        <f>IFERROR('Data Sheet'!B29,0)</f>
        <v>275.97000000000003</v>
      </c>
      <c r="D39" s="10">
        <f>IFERROR('Data Sheet'!C29,0)</f>
        <v>427.87</v>
      </c>
      <c r="E39" s="10">
        <f>IFERROR('Data Sheet'!D29,0)</f>
        <v>568.24</v>
      </c>
      <c r="F39" s="10">
        <f>IFERROR('Data Sheet'!E29,0)</f>
        <v>609</v>
      </c>
      <c r="G39" s="10">
        <f>IFERROR('Data Sheet'!F29,0)</f>
        <v>353</v>
      </c>
      <c r="H39" s="10">
        <f>IFERROR('Data Sheet'!G29,0)</f>
        <v>706</v>
      </c>
      <c r="I39" s="10">
        <f>IFERROR('Data Sheet'!H29,0)</f>
        <v>1173</v>
      </c>
      <c r="J39" s="10">
        <f>IFERROR('Data Sheet'!I29,0)</f>
        <v>1127</v>
      </c>
      <c r="K39" s="10">
        <f>IFERROR('Data Sheet'!J29,0)</f>
        <v>1198</v>
      </c>
      <c r="L39" s="10">
        <f>IFERROR('Data Sheet'!K29,0)</f>
        <v>1728</v>
      </c>
    </row>
    <row r="40" spans="2:12" ht="14.25" customHeight="1" x14ac:dyDescent="0.3">
      <c r="B40" s="8" t="s">
        <v>23</v>
      </c>
      <c r="C40" s="9">
        <f t="shared" ref="C40:L40" si="14">IFERROR(C39/C36,0)</f>
        <v>0.28355509889545355</v>
      </c>
      <c r="D40" s="9">
        <f t="shared" si="14"/>
        <v>0.27969381218214362</v>
      </c>
      <c r="E40" s="9">
        <f t="shared" si="14"/>
        <v>0.29037912197415272</v>
      </c>
      <c r="F40" s="9">
        <f t="shared" si="14"/>
        <v>0.28972407231208375</v>
      </c>
      <c r="G40" s="9">
        <f t="shared" si="14"/>
        <v>0.26601356443104746</v>
      </c>
      <c r="H40" s="9">
        <f t="shared" si="14"/>
        <v>0.24311294765840222</v>
      </c>
      <c r="I40" s="9">
        <f t="shared" si="14"/>
        <v>0.26377333033505734</v>
      </c>
      <c r="J40" s="9">
        <f t="shared" si="14"/>
        <v>0.24378109452736318</v>
      </c>
      <c r="K40" s="9">
        <f t="shared" si="14"/>
        <v>0.26416758544652702</v>
      </c>
      <c r="L40" s="9">
        <f t="shared" si="14"/>
        <v>0.25408028231142477</v>
      </c>
    </row>
    <row r="42" spans="2:12" ht="14.25" customHeight="1" x14ac:dyDescent="0.3">
      <c r="B42" s="12" t="s">
        <v>24</v>
      </c>
      <c r="C42" s="12">
        <f t="shared" ref="C42:L42" si="15">C36-C39</f>
        <v>697.27999999999952</v>
      </c>
      <c r="D42" s="12">
        <f t="shared" si="15"/>
        <v>1101.9100000000012</v>
      </c>
      <c r="E42" s="12">
        <f t="shared" si="15"/>
        <v>1388.650000000001</v>
      </c>
      <c r="F42" s="12">
        <f t="shared" si="15"/>
        <v>1493</v>
      </c>
      <c r="G42" s="12">
        <f t="shared" si="15"/>
        <v>974</v>
      </c>
      <c r="H42" s="12">
        <f t="shared" si="15"/>
        <v>2198</v>
      </c>
      <c r="I42" s="12">
        <f t="shared" si="15"/>
        <v>3274</v>
      </c>
      <c r="J42" s="12">
        <f t="shared" si="15"/>
        <v>3496</v>
      </c>
      <c r="K42" s="12">
        <f t="shared" si="15"/>
        <v>3337</v>
      </c>
      <c r="L42" s="12">
        <f t="shared" si="15"/>
        <v>5073</v>
      </c>
    </row>
    <row r="43" spans="2:12" ht="14.25" customHeight="1" x14ac:dyDescent="0.3">
      <c r="B43" s="8" t="s">
        <v>25</v>
      </c>
      <c r="C43" s="9">
        <f t="shared" ref="C43:L43" si="16">IFERROR(C42/C9,0)</f>
        <v>5.2581927375586562E-2</v>
      </c>
      <c r="D43" s="9">
        <f t="shared" si="16"/>
        <v>6.8357675078490651E-2</v>
      </c>
      <c r="E43" s="9">
        <f t="shared" si="16"/>
        <v>7.0210005602037009E-2</v>
      </c>
      <c r="F43" s="9">
        <f t="shared" si="16"/>
        <v>7.0919627588827666E-2</v>
      </c>
      <c r="G43" s="9">
        <f t="shared" si="16"/>
        <v>4.5000924043614859E-2</v>
      </c>
      <c r="H43" s="9">
        <f t="shared" si="16"/>
        <v>7.632209451717073E-2</v>
      </c>
      <c r="I43" s="9">
        <f t="shared" si="16"/>
        <v>8.0690080098582875E-2</v>
      </c>
      <c r="J43" s="9">
        <f t="shared" si="16"/>
        <v>6.8436300994440535E-2</v>
      </c>
      <c r="K43" s="9">
        <f t="shared" si="16"/>
        <v>5.5197168188434564E-2</v>
      </c>
      <c r="L43" s="9">
        <f t="shared" si="16"/>
        <v>5.792153818048959E-2</v>
      </c>
    </row>
    <row r="45" spans="2:12" ht="14.25" customHeight="1" x14ac:dyDescent="0.3">
      <c r="B45" t="s">
        <v>26</v>
      </c>
      <c r="C45" s="13">
        <f>IFERROR('Data Sheet'!B93,0)</f>
        <v>88.78</v>
      </c>
      <c r="D45" s="13">
        <f>IFERROR('Data Sheet'!C93,0)</f>
        <v>88.78</v>
      </c>
      <c r="E45" s="13">
        <f>IFERROR('Data Sheet'!D93,0)</f>
        <v>88.78</v>
      </c>
      <c r="F45" s="13">
        <f>IFERROR('Data Sheet'!E93,0)</f>
        <v>88.78</v>
      </c>
      <c r="G45" s="13">
        <f>IFERROR('Data Sheet'!F93,0)</f>
        <v>88.78</v>
      </c>
      <c r="H45" s="13">
        <f>IFERROR('Data Sheet'!G93,0)</f>
        <v>88.78</v>
      </c>
      <c r="I45" s="13">
        <f>IFERROR('Data Sheet'!H93,0)</f>
        <v>88.78</v>
      </c>
      <c r="J45" s="13">
        <f>IFERROR('Data Sheet'!I93,0)</f>
        <v>88.78</v>
      </c>
      <c r="K45" s="13">
        <f>IFERROR('Data Sheet'!J93,0)</f>
        <v>88.78</v>
      </c>
      <c r="L45" s="13">
        <f>IFERROR('Data Sheet'!K93,0)</f>
        <v>88.78</v>
      </c>
    </row>
    <row r="47" spans="2:12" ht="14.25" customHeight="1" x14ac:dyDescent="0.3">
      <c r="B47" t="s">
        <v>27</v>
      </c>
      <c r="C47" s="14">
        <f t="shared" ref="C47:L47" si="17">IFERROR(C42/C45,0)</f>
        <v>7.8540211759405212</v>
      </c>
      <c r="D47" s="14">
        <f t="shared" si="17"/>
        <v>12.411691822482554</v>
      </c>
      <c r="E47" s="14">
        <f t="shared" si="17"/>
        <v>15.641473304798389</v>
      </c>
      <c r="F47" s="14">
        <f t="shared" si="17"/>
        <v>16.816850642036496</v>
      </c>
      <c r="G47" s="14">
        <f t="shared" si="17"/>
        <v>10.970939400765937</v>
      </c>
      <c r="H47" s="14">
        <f t="shared" si="17"/>
        <v>24.757828339716152</v>
      </c>
      <c r="I47" s="14">
        <f t="shared" si="17"/>
        <v>36.877675152061272</v>
      </c>
      <c r="J47" s="14">
        <f t="shared" si="17"/>
        <v>39.37823834196891</v>
      </c>
      <c r="K47" s="14">
        <f t="shared" si="17"/>
        <v>37.58729443568371</v>
      </c>
      <c r="L47" s="14">
        <f t="shared" si="17"/>
        <v>57.141248028835321</v>
      </c>
    </row>
    <row r="48" spans="2:12" ht="14.25" customHeight="1" x14ac:dyDescent="0.3">
      <c r="B48" s="8" t="s">
        <v>28</v>
      </c>
      <c r="C48" s="8"/>
      <c r="D48" s="9">
        <f t="shared" ref="D48:L48" si="18">D47/C47-1</f>
        <v>0.580297728315744</v>
      </c>
      <c r="E48" s="9">
        <f t="shared" si="18"/>
        <v>0.26022088918332664</v>
      </c>
      <c r="F48" s="9">
        <f t="shared" si="18"/>
        <v>7.5144924927086798E-2</v>
      </c>
      <c r="G48" s="9">
        <f t="shared" si="18"/>
        <v>-0.34762223710649709</v>
      </c>
      <c r="H48" s="9">
        <f t="shared" si="18"/>
        <v>1.2566735112936347</v>
      </c>
      <c r="I48" s="9">
        <f t="shared" si="18"/>
        <v>0.48953594176524096</v>
      </c>
      <c r="J48" s="9">
        <f t="shared" si="18"/>
        <v>6.7806963958460642E-2</v>
      </c>
      <c r="K48" s="9">
        <f t="shared" si="18"/>
        <v>-4.548054919908473E-2</v>
      </c>
      <c r="L48" s="9">
        <f t="shared" si="18"/>
        <v>0.52022774947557693</v>
      </c>
    </row>
    <row r="50" spans="1:12" ht="14.25" customHeight="1" x14ac:dyDescent="0.3">
      <c r="B50" t="s">
        <v>29</v>
      </c>
      <c r="C50" s="14">
        <f>IFERROR('Data Sheet'!B31/HistoricalFS!C45,0)</f>
        <v>2.6000225275963054</v>
      </c>
      <c r="D50" s="14">
        <f>IFERROR('Data Sheet'!C31/HistoricalFS!D45,0)</f>
        <v>3.7499436810092366</v>
      </c>
      <c r="E50" s="14">
        <f>IFERROR('Data Sheet'!D31/HistoricalFS!E45,0)</f>
        <v>5</v>
      </c>
      <c r="F50" s="14">
        <f>IFERROR('Data Sheet'!E31/HistoricalFS!F45,0)</f>
        <v>4.0099121423744082</v>
      </c>
      <c r="G50" s="14">
        <f>IFERROR('Data Sheet'!F31/HistoricalFS!G45,0)</f>
        <v>4.0099121423744082</v>
      </c>
      <c r="H50" s="14">
        <f>IFERROR('Data Sheet'!G31/HistoricalFS!H45,0)</f>
        <v>7.5185852669520159</v>
      </c>
      <c r="I50" s="14">
        <f>IFERROR('Data Sheet'!H31/HistoricalFS!I45,0)</f>
        <v>10.024780355936022</v>
      </c>
      <c r="J50" s="14">
        <f>IFERROR('Data Sheet'!I31/HistoricalFS!J45,0)</f>
        <v>11.027258391529625</v>
      </c>
      <c r="K50" s="14">
        <f>IFERROR('Data Sheet'!J31/HistoricalFS!K45,0)</f>
        <v>11.027258391529625</v>
      </c>
      <c r="L50" s="14">
        <f>IFERROR('Data Sheet'!K31/HistoricalFS!L45,0)</f>
        <v>15.037170533904032</v>
      </c>
    </row>
    <row r="51" spans="1:12" ht="14.25" customHeight="1" x14ac:dyDescent="0.3">
      <c r="B51" s="8" t="s">
        <v>30</v>
      </c>
      <c r="C51" s="15">
        <f>IFERROR(C50/C47,0)</f>
        <v>0.33104348324919713</v>
      </c>
      <c r="D51" s="15">
        <f t="shared" ref="D51:L51" si="19">IFERROR(D50/D47,0)</f>
        <v>0.30212993801671612</v>
      </c>
      <c r="E51" s="15">
        <f t="shared" si="19"/>
        <v>0.31966298203290944</v>
      </c>
      <c r="F51" s="15">
        <f t="shared" si="19"/>
        <v>0.23844608171466841</v>
      </c>
      <c r="G51" s="15">
        <f t="shared" si="19"/>
        <v>0.3655030800821355</v>
      </c>
      <c r="H51" s="15">
        <f t="shared" si="19"/>
        <v>0.30368516833484988</v>
      </c>
      <c r="I51" s="15">
        <f t="shared" si="19"/>
        <v>0.27183872938301773</v>
      </c>
      <c r="J51" s="15">
        <f t="shared" si="19"/>
        <v>0.28003432494279179</v>
      </c>
      <c r="K51" s="15">
        <f t="shared" si="19"/>
        <v>0.29337728498651489</v>
      </c>
      <c r="L51" s="15">
        <f t="shared" si="19"/>
        <v>0.26315789473684209</v>
      </c>
    </row>
    <row r="53" spans="1:12" ht="14.25" customHeight="1" x14ac:dyDescent="0.3">
      <c r="B53" s="16" t="s">
        <v>31</v>
      </c>
      <c r="C53" s="17">
        <f t="shared" ref="C53:L53" si="20">IFERROR(1-C51,0)</f>
        <v>0.66895651675080292</v>
      </c>
      <c r="D53" s="17">
        <f t="shared" si="20"/>
        <v>0.69787006198328383</v>
      </c>
      <c r="E53" s="17">
        <f t="shared" si="20"/>
        <v>0.68033701796709056</v>
      </c>
      <c r="F53" s="17">
        <f t="shared" si="20"/>
        <v>0.76155391828533159</v>
      </c>
      <c r="G53" s="17">
        <f t="shared" si="20"/>
        <v>0.6344969199178645</v>
      </c>
      <c r="H53" s="17">
        <f t="shared" si="20"/>
        <v>0.69631483166515018</v>
      </c>
      <c r="I53" s="17">
        <f t="shared" si="20"/>
        <v>0.72816127061698221</v>
      </c>
      <c r="J53" s="17">
        <f t="shared" si="20"/>
        <v>0.71996567505720821</v>
      </c>
      <c r="K53" s="17">
        <f t="shared" si="20"/>
        <v>0.70662271501348517</v>
      </c>
      <c r="L53" s="17">
        <f t="shared" si="20"/>
        <v>0.73684210526315796</v>
      </c>
    </row>
    <row r="55" spans="1:12" ht="14.25" customHeight="1" x14ac:dyDescent="0.3">
      <c r="A55" t="s">
        <v>1</v>
      </c>
      <c r="B55" s="4" t="str">
        <f>"Balance Sheet"&amp;" - "&amp;'Data Sheet'!B1</f>
        <v>Balance Sheet - TITAN COMPANY LTD</v>
      </c>
      <c r="C55" s="5"/>
      <c r="D55" s="5"/>
      <c r="E55" s="5"/>
      <c r="F55" s="5"/>
      <c r="G55" s="5"/>
      <c r="H55" s="5"/>
      <c r="I55" s="5"/>
      <c r="J55" s="5"/>
      <c r="K55" s="5"/>
      <c r="L55" s="5"/>
    </row>
    <row r="56" spans="1:12" ht="14.25" customHeight="1" x14ac:dyDescent="0.3">
      <c r="B56" t="s">
        <v>32</v>
      </c>
      <c r="C56" s="10">
        <f>IFERROR('Data Sheet'!B57,0)</f>
        <v>88.78</v>
      </c>
      <c r="D56" s="10">
        <f>IFERROR('Data Sheet'!C57,0)</f>
        <v>88.78</v>
      </c>
      <c r="E56" s="10">
        <f>IFERROR('Data Sheet'!D57,0)</f>
        <v>88.78</v>
      </c>
      <c r="F56" s="10">
        <f>IFERROR('Data Sheet'!E57,0)</f>
        <v>89</v>
      </c>
      <c r="G56" s="10">
        <f>IFERROR('Data Sheet'!F57,0)</f>
        <v>89</v>
      </c>
      <c r="H56" s="10">
        <f>IFERROR('Data Sheet'!G57,0)</f>
        <v>89</v>
      </c>
      <c r="I56" s="10">
        <f>IFERROR('Data Sheet'!H57,0)</f>
        <v>89</v>
      </c>
      <c r="J56" s="10">
        <f>IFERROR('Data Sheet'!I57,0)</f>
        <v>89</v>
      </c>
      <c r="K56" s="10">
        <f>IFERROR('Data Sheet'!J57,0)</f>
        <v>89</v>
      </c>
      <c r="L56" s="10">
        <f>IFERROR('Data Sheet'!K57,0)</f>
        <v>89</v>
      </c>
    </row>
    <row r="57" spans="1:12" ht="14.25" customHeight="1" x14ac:dyDescent="0.3">
      <c r="B57" s="18" t="s">
        <v>33</v>
      </c>
      <c r="C57" s="10">
        <f>IFERROR('Data Sheet'!B58,0)</f>
        <v>4143.6000000000004</v>
      </c>
      <c r="D57" s="10">
        <f>IFERROR('Data Sheet'!C58,0)</f>
        <v>5001.1000000000004</v>
      </c>
      <c r="E57" s="10">
        <f>IFERROR('Data Sheet'!D58,0)</f>
        <v>5981.37</v>
      </c>
      <c r="F57" s="10">
        <f>IFERROR('Data Sheet'!E58,0)</f>
        <v>6580</v>
      </c>
      <c r="G57" s="10">
        <f>IFERROR('Data Sheet'!F58,0)</f>
        <v>7408</v>
      </c>
      <c r="H57" s="10">
        <f>IFERROR('Data Sheet'!G58,0)</f>
        <v>9214</v>
      </c>
      <c r="I57" s="10">
        <f>IFERROR('Data Sheet'!H58,0)</f>
        <v>11762</v>
      </c>
      <c r="J57" s="10">
        <f>IFERROR('Data Sheet'!I58,0)</f>
        <v>9304</v>
      </c>
      <c r="K57" s="10">
        <f>IFERROR('Data Sheet'!J58,0)</f>
        <v>11535</v>
      </c>
      <c r="L57" s="10">
        <f>IFERROR('Data Sheet'!K58,0)</f>
        <v>15614</v>
      </c>
    </row>
    <row r="58" spans="1:12" ht="14.25" customHeight="1" x14ac:dyDescent="0.3">
      <c r="B58" s="18" t="s">
        <v>34</v>
      </c>
      <c r="C58" s="10">
        <f>IFERROR('Data Sheet'!B59,0)</f>
        <v>1882.43</v>
      </c>
      <c r="D58" s="10">
        <f>IFERROR('Data Sheet'!C59,0)</f>
        <v>1691.01</v>
      </c>
      <c r="E58" s="10">
        <f>IFERROR('Data Sheet'!D59,0)</f>
        <v>2392.98</v>
      </c>
      <c r="F58" s="10">
        <f>IFERROR('Data Sheet'!E59,0)</f>
        <v>3562</v>
      </c>
      <c r="G58" s="10">
        <f>IFERROR('Data Sheet'!F59,0)</f>
        <v>5638</v>
      </c>
      <c r="H58" s="10">
        <f>IFERROR('Data Sheet'!G59,0)</f>
        <v>7275</v>
      </c>
      <c r="I58" s="10">
        <f>IFERROR('Data Sheet'!H59,0)</f>
        <v>9367</v>
      </c>
      <c r="J58" s="10">
        <f>IFERROR('Data Sheet'!I59,0)</f>
        <v>15528</v>
      </c>
      <c r="K58" s="10">
        <f>IFERROR('Data Sheet'!J59,0)</f>
        <v>20777</v>
      </c>
      <c r="L58" s="10">
        <f>IFERROR('Data Sheet'!K59,0)</f>
        <v>30621</v>
      </c>
    </row>
    <row r="59" spans="1:12" ht="14.25" customHeight="1" x14ac:dyDescent="0.3">
      <c r="B59" s="18" t="s">
        <v>35</v>
      </c>
      <c r="C59" s="10">
        <f>IFERROR('Data Sheet'!B33,0)</f>
        <v>783</v>
      </c>
      <c r="D59" s="10">
        <f>IFERROR('Data Sheet'!C33,0)</f>
        <v>878</v>
      </c>
      <c r="E59" s="10">
        <f>IFERROR('Data Sheet'!D33,0)</f>
        <v>906</v>
      </c>
      <c r="F59" s="10">
        <f>IFERROR('Data Sheet'!E33,0)</f>
        <v>596</v>
      </c>
      <c r="G59" s="10">
        <f>IFERROR('Data Sheet'!F33,0)</f>
        <v>789</v>
      </c>
      <c r="H59" s="10">
        <f>IFERROR('Data Sheet'!G33,0)</f>
        <v>1294</v>
      </c>
      <c r="I59" s="10">
        <f>IFERROR('Data Sheet'!H33,0)</f>
        <v>1214</v>
      </c>
      <c r="J59" s="10">
        <f>IFERROR('Data Sheet'!I33,0)</f>
        <v>1410</v>
      </c>
      <c r="K59" s="10">
        <f>IFERROR('Data Sheet'!J33,0)</f>
        <v>1963</v>
      </c>
      <c r="L59" s="10">
        <f>IFERROR('Data Sheet'!K33,0)</f>
        <v>2864</v>
      </c>
    </row>
    <row r="60" spans="1:12" ht="14.25" customHeight="1" x14ac:dyDescent="0.3">
      <c r="B60" s="18" t="s">
        <v>36</v>
      </c>
      <c r="C60" s="10">
        <f>IFERROR('Data Sheet'!B60-'Data Sheet'!B33,0)</f>
        <v>1509.7600000000002</v>
      </c>
      <c r="D60" s="10">
        <f>IFERROR('Data Sheet'!C60-'Data Sheet'!C33,0)</f>
        <v>1862.15</v>
      </c>
      <c r="E60" s="10">
        <f>IFERROR('Data Sheet'!D60-'Data Sheet'!D33,0)</f>
        <v>2340.71</v>
      </c>
      <c r="F60" s="10">
        <f>IFERROR('Data Sheet'!E60-'Data Sheet'!E33,0)</f>
        <v>2717</v>
      </c>
      <c r="G60" s="10">
        <f>IFERROR('Data Sheet'!F60-'Data Sheet'!F33,0)</f>
        <v>2520</v>
      </c>
      <c r="H60" s="10">
        <f>IFERROR('Data Sheet'!G60-'Data Sheet'!G33,0)</f>
        <v>3316</v>
      </c>
      <c r="I60" s="10">
        <f>IFERROR('Data Sheet'!H60-'Data Sheet'!H33,0)</f>
        <v>4588</v>
      </c>
      <c r="J60" s="10">
        <f>IFERROR('Data Sheet'!I60-'Data Sheet'!I33,0)</f>
        <v>5216</v>
      </c>
      <c r="K60" s="10">
        <f>IFERROR('Data Sheet'!J60-'Data Sheet'!J33,0)</f>
        <v>6281</v>
      </c>
      <c r="L60" s="10">
        <f>IFERROR('Data Sheet'!K60-'Data Sheet'!K33,0)</f>
        <v>11373</v>
      </c>
    </row>
    <row r="61" spans="1:12" ht="14.25" customHeight="1" x14ac:dyDescent="0.3">
      <c r="B61" s="19" t="s">
        <v>37</v>
      </c>
      <c r="C61" s="12">
        <f t="shared" ref="C61:L61" si="21">SUM(C56:C60)</f>
        <v>8407.57</v>
      </c>
      <c r="D61" s="12">
        <f t="shared" si="21"/>
        <v>9521.0400000000009</v>
      </c>
      <c r="E61" s="12">
        <f t="shared" si="21"/>
        <v>11709.84</v>
      </c>
      <c r="F61" s="12">
        <f t="shared" si="21"/>
        <v>13544</v>
      </c>
      <c r="G61" s="12">
        <f t="shared" si="21"/>
        <v>16444</v>
      </c>
      <c r="H61" s="12">
        <f t="shared" si="21"/>
        <v>21188</v>
      </c>
      <c r="I61" s="12">
        <f t="shared" si="21"/>
        <v>27020</v>
      </c>
      <c r="J61" s="12">
        <f t="shared" si="21"/>
        <v>31547</v>
      </c>
      <c r="K61" s="12">
        <f t="shared" si="21"/>
        <v>40645</v>
      </c>
      <c r="L61" s="12">
        <f t="shared" si="21"/>
        <v>60561</v>
      </c>
    </row>
    <row r="62" spans="1:12" ht="14.25" customHeight="1" x14ac:dyDescent="0.3">
      <c r="B62" s="20"/>
      <c r="C62" s="10"/>
      <c r="D62" s="10"/>
      <c r="E62" s="10"/>
      <c r="F62" s="10"/>
      <c r="G62" s="10"/>
      <c r="H62" s="10"/>
      <c r="I62" s="10"/>
      <c r="J62" s="10"/>
      <c r="K62" s="10"/>
      <c r="L62" s="10"/>
    </row>
    <row r="63" spans="1:12" ht="14.25" customHeight="1" x14ac:dyDescent="0.3">
      <c r="B63" s="18" t="s">
        <v>38</v>
      </c>
      <c r="C63" s="10">
        <f>IFERROR('Data Sheet'!B62,0)</f>
        <v>1188.72</v>
      </c>
      <c r="D63" s="10">
        <f>IFERROR('Data Sheet'!C62,0)</f>
        <v>1473.81</v>
      </c>
      <c r="E63" s="10">
        <f>IFERROR('Data Sheet'!D62,0)</f>
        <v>1566.63</v>
      </c>
      <c r="F63" s="10">
        <f>IFERROR('Data Sheet'!E62,0)</f>
        <v>2633</v>
      </c>
      <c r="G63" s="10">
        <f>IFERROR('Data Sheet'!F62,0)</f>
        <v>2523</v>
      </c>
      <c r="H63" s="10">
        <f>IFERROR('Data Sheet'!G62,0)</f>
        <v>2544</v>
      </c>
      <c r="I63" s="10">
        <f>IFERROR('Data Sheet'!H62,0)</f>
        <v>2998</v>
      </c>
      <c r="J63" s="10">
        <f>IFERROR('Data Sheet'!I62,0)</f>
        <v>3709</v>
      </c>
      <c r="K63" s="10">
        <f>IFERROR('Data Sheet'!J62,0)</f>
        <v>4062</v>
      </c>
      <c r="L63" s="10">
        <f>IFERROR('Data Sheet'!K62,0)</f>
        <v>6878</v>
      </c>
    </row>
    <row r="64" spans="1:12" ht="14.25" customHeight="1" x14ac:dyDescent="0.3">
      <c r="B64" s="18" t="s">
        <v>39</v>
      </c>
      <c r="C64" s="10">
        <f>IFERROR('Data Sheet'!B63,0)</f>
        <v>152.07</v>
      </c>
      <c r="D64" s="10">
        <f>IFERROR('Data Sheet'!C63,0)</f>
        <v>43.37</v>
      </c>
      <c r="E64" s="10">
        <f>IFERROR('Data Sheet'!D63,0)</f>
        <v>31.77</v>
      </c>
      <c r="F64" s="10">
        <f>IFERROR('Data Sheet'!E63,0)</f>
        <v>18</v>
      </c>
      <c r="G64" s="10">
        <f>IFERROR('Data Sheet'!F63,0)</f>
        <v>32</v>
      </c>
      <c r="H64" s="10">
        <f>IFERROR('Data Sheet'!G63,0)</f>
        <v>85</v>
      </c>
      <c r="I64" s="10">
        <f>IFERROR('Data Sheet'!H63,0)</f>
        <v>144</v>
      </c>
      <c r="J64" s="10">
        <f>IFERROR('Data Sheet'!I63,0)</f>
        <v>97</v>
      </c>
      <c r="K64" s="10">
        <f>IFERROR('Data Sheet'!J63,0)</f>
        <v>105</v>
      </c>
      <c r="L64" s="10">
        <f>IFERROR('Data Sheet'!K63,0)</f>
        <v>163</v>
      </c>
    </row>
    <row r="65" spans="1:12" ht="14.25" customHeight="1" x14ac:dyDescent="0.3">
      <c r="B65" s="18" t="s">
        <v>40</v>
      </c>
      <c r="C65" s="10">
        <f>IFERROR('Data Sheet'!B64,0)</f>
        <v>430.73</v>
      </c>
      <c r="D65" s="10">
        <f>IFERROR('Data Sheet'!C64,0)</f>
        <v>35.99</v>
      </c>
      <c r="E65" s="10">
        <f>IFERROR('Data Sheet'!D64,0)</f>
        <v>108.42</v>
      </c>
      <c r="F65" s="10">
        <f>IFERROR('Data Sheet'!E64,0)</f>
        <v>158</v>
      </c>
      <c r="G65" s="10">
        <f>IFERROR('Data Sheet'!F64,0)</f>
        <v>2824</v>
      </c>
      <c r="H65" s="10">
        <f>IFERROR('Data Sheet'!G64,0)</f>
        <v>294</v>
      </c>
      <c r="I65" s="10">
        <f>IFERROR('Data Sheet'!H64,0)</f>
        <v>2515</v>
      </c>
      <c r="J65" s="10">
        <f>IFERROR('Data Sheet'!I64,0)</f>
        <v>2345</v>
      </c>
      <c r="K65" s="10">
        <f>IFERROR('Data Sheet'!J64,0)</f>
        <v>1988</v>
      </c>
      <c r="L65" s="10">
        <f>IFERROR('Data Sheet'!K64,0)</f>
        <v>3506</v>
      </c>
    </row>
    <row r="66" spans="1:12" ht="14.25" customHeight="1" x14ac:dyDescent="0.3">
      <c r="B66" s="18" t="s">
        <v>41</v>
      </c>
      <c r="C66" s="10">
        <f>IFERROR('Data Sheet'!B65-SUM('Data Sheet'!B67:B69),0)</f>
        <v>723.77999999999975</v>
      </c>
      <c r="D66" s="10">
        <f>IFERROR('Data Sheet'!C65-SUM('Data Sheet'!C67:C69),0)</f>
        <v>1129.4300000000003</v>
      </c>
      <c r="E66" s="10">
        <f>IFERROR('Data Sheet'!D65-SUM('Data Sheet'!D67:D69),0)</f>
        <v>1477.2700000000004</v>
      </c>
      <c r="F66" s="10">
        <f>IFERROR('Data Sheet'!E65-SUM('Data Sheet'!E67:E69),0)</f>
        <v>1939</v>
      </c>
      <c r="G66" s="10">
        <f>IFERROR('Data Sheet'!F65-SUM('Data Sheet'!F67:F69),0)</f>
        <v>1731</v>
      </c>
      <c r="H66" s="10">
        <f>IFERROR('Data Sheet'!G65-SUM('Data Sheet'!G67:G69),0)</f>
        <v>2518</v>
      </c>
      <c r="I66" s="10">
        <f>IFERROR('Data Sheet'!H65-SUM('Data Sheet'!H67:H69),0)</f>
        <v>2762</v>
      </c>
      <c r="J66" s="10">
        <f>IFERROR('Data Sheet'!I65-SUM('Data Sheet'!I67:I69),0)</f>
        <v>3801</v>
      </c>
      <c r="K66" s="10">
        <f>IFERROR('Data Sheet'!J65-SUM('Data Sheet'!J67:J69),0)</f>
        <v>3654</v>
      </c>
      <c r="L66" s="10">
        <f>IFERROR('Data Sheet'!K65-SUM('Data Sheet'!K67:K69),0)</f>
        <v>4438</v>
      </c>
    </row>
    <row r="67" spans="1:12" ht="14.25" customHeight="1" x14ac:dyDescent="0.3">
      <c r="B67" s="19" t="s">
        <v>42</v>
      </c>
      <c r="C67" s="12">
        <f t="shared" ref="C67:L67" si="22">SUM(C63:C66)</f>
        <v>2495.2999999999997</v>
      </c>
      <c r="D67" s="12">
        <f t="shared" si="22"/>
        <v>2682.6000000000004</v>
      </c>
      <c r="E67" s="12">
        <f t="shared" si="22"/>
        <v>3184.0900000000006</v>
      </c>
      <c r="F67" s="12">
        <f t="shared" si="22"/>
        <v>4748</v>
      </c>
      <c r="G67" s="12">
        <f t="shared" si="22"/>
        <v>7110</v>
      </c>
      <c r="H67" s="12">
        <f t="shared" si="22"/>
        <v>5441</v>
      </c>
      <c r="I67" s="12">
        <f t="shared" si="22"/>
        <v>8419</v>
      </c>
      <c r="J67" s="12">
        <f t="shared" si="22"/>
        <v>9952</v>
      </c>
      <c r="K67" s="12">
        <f t="shared" si="22"/>
        <v>9809</v>
      </c>
      <c r="L67" s="12">
        <f t="shared" si="22"/>
        <v>14985</v>
      </c>
    </row>
    <row r="68" spans="1:12" ht="14.25" customHeight="1" x14ac:dyDescent="0.3">
      <c r="B68" s="20"/>
      <c r="C68" s="10"/>
      <c r="D68" s="10"/>
      <c r="E68" s="10"/>
      <c r="F68" s="10"/>
      <c r="G68" s="10"/>
      <c r="H68" s="10"/>
      <c r="I68" s="10"/>
      <c r="J68" s="10"/>
      <c r="K68" s="10"/>
      <c r="L68" s="10"/>
    </row>
    <row r="69" spans="1:12" ht="14.25" customHeight="1" x14ac:dyDescent="0.3">
      <c r="B69" s="18" t="s">
        <v>43</v>
      </c>
      <c r="C69" s="10">
        <f>IFERROR('Data Sheet'!B67,0)</f>
        <v>207.6</v>
      </c>
      <c r="D69" s="10">
        <f>IFERROR('Data Sheet'!C67,0)</f>
        <v>295.69</v>
      </c>
      <c r="E69" s="10">
        <f>IFERROR('Data Sheet'!D67,0)</f>
        <v>420.45</v>
      </c>
      <c r="F69" s="10">
        <f>IFERROR('Data Sheet'!E67,0)</f>
        <v>312</v>
      </c>
      <c r="G69" s="10">
        <f>IFERROR('Data Sheet'!F67,0)</f>
        <v>366</v>
      </c>
      <c r="H69" s="10">
        <f>IFERROR('Data Sheet'!G67,0)</f>
        <v>565</v>
      </c>
      <c r="I69" s="10">
        <f>IFERROR('Data Sheet'!H67,0)</f>
        <v>674</v>
      </c>
      <c r="J69" s="10">
        <f>IFERROR('Data Sheet'!I67,0)</f>
        <v>1018</v>
      </c>
      <c r="K69" s="10">
        <f>IFERROR('Data Sheet'!J67,0)</f>
        <v>1068</v>
      </c>
      <c r="L69" s="10">
        <f>IFERROR('Data Sheet'!K67,0)</f>
        <v>916</v>
      </c>
    </row>
    <row r="70" spans="1:12" ht="14.25" customHeight="1" x14ac:dyDescent="0.3">
      <c r="B70" s="18" t="s">
        <v>44</v>
      </c>
      <c r="C70" s="10">
        <f>IFERROR('Data Sheet'!B68,0)</f>
        <v>4925.74</v>
      </c>
      <c r="D70" s="10">
        <f>IFERROR('Data Sheet'!C68,0)</f>
        <v>5924.84</v>
      </c>
      <c r="E70" s="10">
        <f>IFERROR('Data Sheet'!D68,0)</f>
        <v>7038.82</v>
      </c>
      <c r="F70" s="10">
        <f>IFERROR('Data Sheet'!E68,0)</f>
        <v>8103</v>
      </c>
      <c r="G70" s="10">
        <f>IFERROR('Data Sheet'!F68,0)</f>
        <v>8408</v>
      </c>
      <c r="H70" s="10">
        <f>IFERROR('Data Sheet'!G68,0)</f>
        <v>13609</v>
      </c>
      <c r="I70" s="10">
        <f>IFERROR('Data Sheet'!H68,0)</f>
        <v>16584</v>
      </c>
      <c r="J70" s="10">
        <f>IFERROR('Data Sheet'!I68,0)</f>
        <v>19051</v>
      </c>
      <c r="K70" s="10">
        <f>IFERROR('Data Sheet'!J68,0)</f>
        <v>28184</v>
      </c>
      <c r="L70" s="10">
        <f>IFERROR('Data Sheet'!K68,0)</f>
        <v>42743</v>
      </c>
    </row>
    <row r="71" spans="1:12" ht="14.25" customHeight="1" x14ac:dyDescent="0.3">
      <c r="B71" s="18" t="s">
        <v>45</v>
      </c>
      <c r="C71" s="10">
        <f>IFERROR('Data Sheet'!B69,0)</f>
        <v>778.93</v>
      </c>
      <c r="D71" s="10">
        <f>IFERROR('Data Sheet'!C69,0)</f>
        <v>617.91</v>
      </c>
      <c r="E71" s="10">
        <f>IFERROR('Data Sheet'!D69,0)</f>
        <v>1066.48</v>
      </c>
      <c r="F71" s="10">
        <f>IFERROR('Data Sheet'!E69,0)</f>
        <v>381</v>
      </c>
      <c r="G71" s="10">
        <f>IFERROR('Data Sheet'!F69,0)</f>
        <v>560</v>
      </c>
      <c r="H71" s="10">
        <f>IFERROR('Data Sheet'!G69,0)</f>
        <v>1573</v>
      </c>
      <c r="I71" s="10">
        <f>IFERROR('Data Sheet'!H69,0)</f>
        <v>1343</v>
      </c>
      <c r="J71" s="10">
        <f>IFERROR('Data Sheet'!I69,0)</f>
        <v>1526</v>
      </c>
      <c r="K71" s="10">
        <f>IFERROR('Data Sheet'!J69,0)</f>
        <v>1584</v>
      </c>
      <c r="L71" s="10">
        <f>IFERROR('Data Sheet'!K69,0)</f>
        <v>1917</v>
      </c>
    </row>
    <row r="72" spans="1:12" ht="14.25" customHeight="1" x14ac:dyDescent="0.3">
      <c r="B72" s="19" t="s">
        <v>46</v>
      </c>
      <c r="C72" s="12">
        <f t="shared" ref="C72:L72" si="23">SUM(C69:C71)</f>
        <v>5912.27</v>
      </c>
      <c r="D72" s="12">
        <f t="shared" si="23"/>
        <v>6838.44</v>
      </c>
      <c r="E72" s="12">
        <f t="shared" si="23"/>
        <v>8525.75</v>
      </c>
      <c r="F72" s="12">
        <f t="shared" si="23"/>
        <v>8796</v>
      </c>
      <c r="G72" s="12">
        <f t="shared" si="23"/>
        <v>9334</v>
      </c>
      <c r="H72" s="12">
        <f t="shared" si="23"/>
        <v>15747</v>
      </c>
      <c r="I72" s="12">
        <f t="shared" si="23"/>
        <v>18601</v>
      </c>
      <c r="J72" s="12">
        <f t="shared" si="23"/>
        <v>21595</v>
      </c>
      <c r="K72" s="12">
        <f t="shared" si="23"/>
        <v>30836</v>
      </c>
      <c r="L72" s="12">
        <f t="shared" si="23"/>
        <v>45576</v>
      </c>
    </row>
    <row r="73" spans="1:12" ht="14.25" customHeight="1" x14ac:dyDescent="0.3">
      <c r="B73" s="20"/>
      <c r="C73" s="10"/>
      <c r="D73" s="10"/>
      <c r="E73" s="10"/>
      <c r="F73" s="10"/>
      <c r="G73" s="10"/>
      <c r="H73" s="10"/>
      <c r="I73" s="10"/>
      <c r="J73" s="10"/>
      <c r="K73" s="10"/>
      <c r="L73" s="10"/>
    </row>
    <row r="74" spans="1:12" ht="14.25" customHeight="1" x14ac:dyDescent="0.3">
      <c r="B74" s="11" t="s">
        <v>47</v>
      </c>
      <c r="C74" s="12">
        <f t="shared" ref="C74:L74" si="24">SUM(C72,C67)</f>
        <v>8407.57</v>
      </c>
      <c r="D74" s="12">
        <f t="shared" si="24"/>
        <v>9521.0400000000009</v>
      </c>
      <c r="E74" s="12">
        <f t="shared" si="24"/>
        <v>11709.84</v>
      </c>
      <c r="F74" s="12">
        <f t="shared" si="24"/>
        <v>13544</v>
      </c>
      <c r="G74" s="12">
        <f t="shared" si="24"/>
        <v>16444</v>
      </c>
      <c r="H74" s="12">
        <f t="shared" si="24"/>
        <v>21188</v>
      </c>
      <c r="I74" s="12">
        <f t="shared" si="24"/>
        <v>27020</v>
      </c>
      <c r="J74" s="12">
        <f t="shared" si="24"/>
        <v>31547</v>
      </c>
      <c r="K74" s="12">
        <f t="shared" si="24"/>
        <v>40645</v>
      </c>
      <c r="L74" s="12">
        <f t="shared" si="24"/>
        <v>60561</v>
      </c>
    </row>
    <row r="75" spans="1:12" ht="14.25" customHeight="1" x14ac:dyDescent="0.3">
      <c r="B75" s="20"/>
    </row>
    <row r="76" spans="1:12" ht="14.25" customHeight="1" x14ac:dyDescent="0.3">
      <c r="B76" s="21" t="s">
        <v>48</v>
      </c>
      <c r="C76" s="21" t="b">
        <f t="shared" ref="C76:L76" si="25">IFERROR(C74=C61,0)</f>
        <v>1</v>
      </c>
      <c r="D76" s="21" t="b">
        <f t="shared" si="25"/>
        <v>1</v>
      </c>
      <c r="E76" s="21" t="b">
        <f t="shared" si="25"/>
        <v>1</v>
      </c>
      <c r="F76" s="21" t="b">
        <f t="shared" si="25"/>
        <v>1</v>
      </c>
      <c r="G76" s="21" t="b">
        <f t="shared" si="25"/>
        <v>1</v>
      </c>
      <c r="H76" s="21" t="b">
        <f t="shared" si="25"/>
        <v>1</v>
      </c>
      <c r="I76" s="21" t="b">
        <f t="shared" si="25"/>
        <v>1</v>
      </c>
      <c r="J76" s="21" t="b">
        <f t="shared" si="25"/>
        <v>1</v>
      </c>
      <c r="K76" s="21" t="b">
        <f t="shared" si="25"/>
        <v>1</v>
      </c>
      <c r="L76" s="21" t="b">
        <f t="shared" si="25"/>
        <v>1</v>
      </c>
    </row>
    <row r="77" spans="1:12" ht="14.25" customHeight="1" x14ac:dyDescent="0.3">
      <c r="B77" s="22"/>
    </row>
    <row r="78" spans="1:12" ht="14.25" customHeight="1" x14ac:dyDescent="0.3">
      <c r="A78" t="s">
        <v>1</v>
      </c>
      <c r="B78" s="4" t="str">
        <f>"Income Statement"&amp;" - "&amp;'Data Sheet'!B1</f>
        <v>Income Statement - TITAN COMPANY LTD</v>
      </c>
      <c r="C78" s="5"/>
      <c r="D78" s="5"/>
      <c r="E78" s="5"/>
      <c r="F78" s="5"/>
      <c r="G78" s="5"/>
      <c r="H78" s="5"/>
      <c r="I78" s="5"/>
      <c r="J78" s="5"/>
      <c r="K78" s="5"/>
      <c r="L78" s="5"/>
    </row>
    <row r="79" spans="1:12" ht="14.25" customHeight="1" x14ac:dyDescent="0.3">
      <c r="B79" s="6" t="s">
        <v>49</v>
      </c>
    </row>
    <row r="80" spans="1:12" ht="14.25" customHeight="1" x14ac:dyDescent="0.3">
      <c r="B80" t="s">
        <v>50</v>
      </c>
      <c r="C80" s="10">
        <f>IFERROR(CashFlow!E4,0)</f>
        <v>1073</v>
      </c>
      <c r="D80" s="10">
        <f>IFERROR(CashFlow!F4,0)</f>
        <v>1642</v>
      </c>
      <c r="E80" s="10">
        <f>IFERROR(CashFlow!G4,0)</f>
        <v>2183</v>
      </c>
      <c r="F80" s="10">
        <f>IFERROR(CashFlow!H4,0)</f>
        <v>2481</v>
      </c>
      <c r="G80" s="10">
        <f>IFERROR(CashFlow!I4,0)</f>
        <v>1789</v>
      </c>
      <c r="H80" s="10">
        <f>IFERROR(CashFlow!J4,0)</f>
        <v>3298</v>
      </c>
      <c r="I80" s="10">
        <f>IFERROR(CashFlow!K4,0)</f>
        <v>4937</v>
      </c>
      <c r="J80" s="10">
        <f>IFERROR(CashFlow!L4,0)</f>
        <v>5404</v>
      </c>
      <c r="K80" s="10">
        <f>IFERROR(CashFlow!M4,0)</f>
        <v>5774</v>
      </c>
      <c r="L80" s="10">
        <f>IFERROR(CashFlow!N4,0)</f>
        <v>8447</v>
      </c>
    </row>
    <row r="81" spans="2:12" ht="14.25" customHeight="1" x14ac:dyDescent="0.3">
      <c r="B81" t="s">
        <v>43</v>
      </c>
      <c r="C81" s="10">
        <f>IFERROR(CashFlow!E5,0)</f>
        <v>-12</v>
      </c>
      <c r="D81" s="10">
        <f>IFERROR(CashFlow!F5,0)</f>
        <v>-90</v>
      </c>
      <c r="E81" s="10">
        <f>IFERROR(CashFlow!G5,0)</f>
        <v>-139</v>
      </c>
      <c r="F81" s="10">
        <f>IFERROR(CashFlow!H5,0)</f>
        <v>109</v>
      </c>
      <c r="G81" s="10">
        <f>IFERROR(CashFlow!I5,0)</f>
        <v>-59</v>
      </c>
      <c r="H81" s="10">
        <f>IFERROR(CashFlow!J5,0)</f>
        <v>-207</v>
      </c>
      <c r="I81" s="10">
        <f>IFERROR(CashFlow!K5,0)</f>
        <v>-112</v>
      </c>
      <c r="J81" s="10">
        <f>IFERROR(CashFlow!L5,0)</f>
        <v>-348</v>
      </c>
      <c r="K81" s="10">
        <f>IFERROR(CashFlow!M5,0)</f>
        <v>-95</v>
      </c>
      <c r="L81" s="10">
        <f>IFERROR(CashFlow!N5,0)</f>
        <v>210</v>
      </c>
    </row>
    <row r="82" spans="2:12" ht="14.25" customHeight="1" x14ac:dyDescent="0.3">
      <c r="B82" t="s">
        <v>44</v>
      </c>
      <c r="C82" s="10">
        <f>IFERROR(CashFlow!E6,0)</f>
        <v>-448</v>
      </c>
      <c r="D82" s="10">
        <f>IFERROR(CashFlow!F6,0)</f>
        <v>-996</v>
      </c>
      <c r="E82" s="10">
        <f>IFERROR(CashFlow!G6,0)</f>
        <v>-1120</v>
      </c>
      <c r="F82" s="10">
        <f>IFERROR(CashFlow!H6,0)</f>
        <v>-1057</v>
      </c>
      <c r="G82" s="10">
        <f>IFERROR(CashFlow!I6,0)</f>
        <v>-316</v>
      </c>
      <c r="H82" s="10">
        <f>IFERROR(CashFlow!J6,0)</f>
        <v>-5199</v>
      </c>
      <c r="I82" s="10">
        <f>IFERROR(CashFlow!K6,0)</f>
        <v>-2977</v>
      </c>
      <c r="J82" s="10">
        <f>IFERROR(CashFlow!L6,0)</f>
        <v>-2462</v>
      </c>
      <c r="K82" s="10">
        <f>IFERROR(CashFlow!M6,0)</f>
        <v>-9072</v>
      </c>
      <c r="L82" s="10">
        <f>IFERROR(CashFlow!N6,0)</f>
        <v>-11592</v>
      </c>
    </row>
    <row r="83" spans="2:12" ht="14.25" customHeight="1" x14ac:dyDescent="0.3">
      <c r="B83" t="s">
        <v>51</v>
      </c>
      <c r="C83" s="10">
        <f>IFERROR(CashFlow!E7,0)</f>
        <v>238</v>
      </c>
      <c r="D83" s="10">
        <f>IFERROR(CashFlow!F7,0)</f>
        <v>95</v>
      </c>
      <c r="E83" s="10">
        <f>IFERROR(CashFlow!G7,0)</f>
        <v>32</v>
      </c>
      <c r="F83" s="10">
        <f>IFERROR(CashFlow!H7,0)</f>
        <v>-310</v>
      </c>
      <c r="G83" s="10">
        <f>IFERROR(CashFlow!I7,0)</f>
        <v>195</v>
      </c>
      <c r="H83" s="10">
        <f>IFERROR(CashFlow!J7,0)</f>
        <v>504</v>
      </c>
      <c r="I83" s="10">
        <f>IFERROR(CashFlow!K7,0)</f>
        <v>-89</v>
      </c>
      <c r="J83" s="10">
        <f>IFERROR(CashFlow!L7,0)</f>
        <v>196</v>
      </c>
      <c r="K83" s="10">
        <f>IFERROR(CashFlow!M7,0)</f>
        <v>564</v>
      </c>
      <c r="L83" s="10">
        <f>IFERROR(CashFlow!N7,0)</f>
        <v>472</v>
      </c>
    </row>
    <row r="84" spans="2:12" ht="14.25" customHeight="1" x14ac:dyDescent="0.3">
      <c r="B84" t="s">
        <v>52</v>
      </c>
      <c r="C84" s="10">
        <f>IFERROR(CashFlow!E8,0)</f>
        <v>0</v>
      </c>
      <c r="D84" s="10">
        <f>IFERROR(CashFlow!F8,0)</f>
        <v>3</v>
      </c>
      <c r="E84" s="10">
        <f>IFERROR(CashFlow!G8,0)</f>
        <v>-24</v>
      </c>
      <c r="F84" s="10">
        <f>IFERROR(CashFlow!H8,0)</f>
        <v>-20</v>
      </c>
      <c r="G84" s="10">
        <f>IFERROR(CashFlow!I8,0)</f>
        <v>-8</v>
      </c>
      <c r="H84" s="10">
        <f>IFERROR(CashFlow!J8,0)</f>
        <v>-3</v>
      </c>
      <c r="I84" s="10">
        <f>IFERROR(CashFlow!K8,0)</f>
        <v>-18</v>
      </c>
      <c r="J84" s="10">
        <f>IFERROR(CashFlow!L8,0)</f>
        <v>-21</v>
      </c>
      <c r="K84" s="10">
        <f>IFERROR(CashFlow!M8,0)</f>
        <v>4</v>
      </c>
      <c r="L84" s="10">
        <f>IFERROR(CashFlow!N8,0)</f>
        <v>-8</v>
      </c>
    </row>
    <row r="85" spans="2:12" ht="14.25" customHeight="1" x14ac:dyDescent="0.3">
      <c r="B85" t="s">
        <v>53</v>
      </c>
      <c r="C85" s="10">
        <f>IFERROR(CashFlow!E9,0)</f>
        <v>763</v>
      </c>
      <c r="D85" s="10">
        <f>IFERROR(CashFlow!F9,0)</f>
        <v>-270</v>
      </c>
      <c r="E85" s="10">
        <f>IFERROR(CashFlow!G9,0)</f>
        <v>741</v>
      </c>
      <c r="F85" s="10">
        <f>IFERROR(CashFlow!H9,0)</f>
        <v>-768</v>
      </c>
      <c r="G85" s="10">
        <f>IFERROR(CashFlow!I9,0)</f>
        <v>2625</v>
      </c>
      <c r="H85" s="10">
        <f>IFERROR(CashFlow!J9,0)</f>
        <v>1188</v>
      </c>
      <c r="I85" s="10">
        <f>IFERROR(CashFlow!K9,0)</f>
        <v>-99</v>
      </c>
      <c r="J85" s="10">
        <f>IFERROR(CashFlow!L9,0)</f>
        <v>42</v>
      </c>
      <c r="K85" s="10">
        <f>IFERROR(CashFlow!M9,0)</f>
        <v>2468</v>
      </c>
      <c r="L85" s="10">
        <f>IFERROR(CashFlow!N9,0)</f>
        <v>7304</v>
      </c>
    </row>
    <row r="86" spans="2:12" ht="14.25" customHeight="1" x14ac:dyDescent="0.3">
      <c r="B86" t="s">
        <v>54</v>
      </c>
      <c r="C86" s="10">
        <f>IFERROR(CashFlow!E10,0)</f>
        <v>375</v>
      </c>
      <c r="D86" s="10">
        <f>IFERROR(CashFlow!F10,0)</f>
        <v>22</v>
      </c>
      <c r="E86" s="10">
        <f>IFERROR(CashFlow!G10,0)</f>
        <v>206</v>
      </c>
      <c r="F86" s="10">
        <f>IFERROR(CashFlow!H10,0)</f>
        <v>-226</v>
      </c>
      <c r="G86" s="10">
        <f>IFERROR(CashFlow!I10,0)</f>
        <v>184</v>
      </c>
      <c r="H86" s="10">
        <f>IFERROR(CashFlow!J10,0)</f>
        <v>497</v>
      </c>
      <c r="I86" s="10">
        <f>IFERROR(CashFlow!K10,0)</f>
        <v>882</v>
      </c>
      <c r="J86" s="10">
        <f>IFERROR(CashFlow!L10,0)</f>
        <v>57</v>
      </c>
      <c r="K86" s="10">
        <f>IFERROR(CashFlow!M10,0)</f>
        <v>905</v>
      </c>
      <c r="L86" s="10">
        <f>IFERROR(CashFlow!N10,0)</f>
        <v>2494</v>
      </c>
    </row>
    <row r="87" spans="2:12" ht="14.25" customHeight="1" x14ac:dyDescent="0.3">
      <c r="B87" t="s">
        <v>55</v>
      </c>
      <c r="C87" s="10">
        <f>IFERROR(CashFlow!E11,0)</f>
        <v>916</v>
      </c>
      <c r="D87" s="10">
        <f>IFERROR(CashFlow!F11,0)</f>
        <v>-1237</v>
      </c>
      <c r="E87" s="10">
        <f>IFERROR(CashFlow!G11,0)</f>
        <v>-304</v>
      </c>
      <c r="F87" s="10">
        <f>IFERROR(CashFlow!H11,0)</f>
        <v>-2272</v>
      </c>
      <c r="G87" s="10">
        <f>IFERROR(CashFlow!I11,0)</f>
        <v>2621</v>
      </c>
      <c r="H87" s="10">
        <f>IFERROR(CashFlow!J11,0)</f>
        <v>-3220</v>
      </c>
      <c r="I87" s="10">
        <f>IFERROR(CashFlow!K11,0)</f>
        <v>-2413</v>
      </c>
      <c r="J87" s="10">
        <f>IFERROR(CashFlow!L11,0)</f>
        <v>-2536</v>
      </c>
      <c r="K87" s="10">
        <f>IFERROR(CashFlow!M11,0)</f>
        <v>-5226</v>
      </c>
      <c r="L87" s="10">
        <f>IFERROR(CashFlow!N11,0)</f>
        <v>-1120</v>
      </c>
    </row>
    <row r="88" spans="2:12" ht="14.25" customHeight="1" x14ac:dyDescent="0.3">
      <c r="B88" t="s">
        <v>56</v>
      </c>
      <c r="C88" s="10">
        <f>IFERROR(CashFlow!E12,0)</f>
        <v>-277</v>
      </c>
      <c r="D88" s="10">
        <f>IFERROR(CashFlow!F12,0)</f>
        <v>-456</v>
      </c>
      <c r="E88" s="10">
        <f>IFERROR(CashFlow!G12,0)</f>
        <v>-636</v>
      </c>
      <c r="F88" s="10">
        <f>IFERROR(CashFlow!H12,0)</f>
        <v>-557</v>
      </c>
      <c r="G88" s="10">
        <f>IFERROR(CashFlow!I12,0)</f>
        <v>-271</v>
      </c>
      <c r="H88" s="10">
        <f>IFERROR(CashFlow!J12,0)</f>
        <v>-802</v>
      </c>
      <c r="I88" s="10">
        <f>IFERROR(CashFlow!K12,0)</f>
        <v>-1154</v>
      </c>
      <c r="J88" s="10">
        <f>IFERROR(CashFlow!L12,0)</f>
        <v>-1173</v>
      </c>
      <c r="K88" s="10">
        <f>IFERROR(CashFlow!M12,0)</f>
        <v>-1089</v>
      </c>
      <c r="L88" s="10">
        <f>IFERROR(CashFlow!N12,0)</f>
        <v>-1737</v>
      </c>
    </row>
    <row r="89" spans="2:12" ht="14.25" customHeight="1" x14ac:dyDescent="0.3">
      <c r="B89" s="11" t="s">
        <v>57</v>
      </c>
      <c r="C89" s="12">
        <f t="shared" ref="C89:L89" si="26">SUM(C87:C88,C80)</f>
        <v>1712</v>
      </c>
      <c r="D89" s="12">
        <f t="shared" si="26"/>
        <v>-51</v>
      </c>
      <c r="E89" s="12">
        <f t="shared" si="26"/>
        <v>1243</v>
      </c>
      <c r="F89" s="12">
        <f t="shared" si="26"/>
        <v>-348</v>
      </c>
      <c r="G89" s="12">
        <f t="shared" si="26"/>
        <v>4139</v>
      </c>
      <c r="H89" s="12">
        <f t="shared" si="26"/>
        <v>-724</v>
      </c>
      <c r="I89" s="12">
        <f t="shared" si="26"/>
        <v>1370</v>
      </c>
      <c r="J89" s="12">
        <f t="shared" si="26"/>
        <v>1695</v>
      </c>
      <c r="K89" s="12">
        <f t="shared" si="26"/>
        <v>-541</v>
      </c>
      <c r="L89" s="12">
        <f t="shared" si="26"/>
        <v>5590</v>
      </c>
    </row>
    <row r="90" spans="2:12" ht="14.25" customHeight="1" x14ac:dyDescent="0.3">
      <c r="C90" s="10"/>
      <c r="D90" s="10"/>
      <c r="E90" s="10"/>
      <c r="F90" s="10"/>
      <c r="G90" s="10"/>
      <c r="H90" s="10"/>
      <c r="I90" s="10"/>
      <c r="J90" s="10"/>
      <c r="K90" s="10"/>
      <c r="L90" s="10"/>
    </row>
    <row r="91" spans="2:12" ht="14.25" customHeight="1" x14ac:dyDescent="0.3">
      <c r="B91" s="6" t="s">
        <v>58</v>
      </c>
      <c r="C91" s="10"/>
      <c r="D91" s="10"/>
      <c r="E91" s="10"/>
      <c r="F91" s="10"/>
      <c r="G91" s="10"/>
      <c r="H91" s="10"/>
      <c r="I91" s="10"/>
      <c r="J91" s="10"/>
      <c r="K91" s="10"/>
      <c r="L91" s="10"/>
    </row>
    <row r="92" spans="2:12" ht="14.25" customHeight="1" x14ac:dyDescent="0.3">
      <c r="B92" t="s">
        <v>59</v>
      </c>
      <c r="C92" s="10">
        <f>IFERROR(CashFlow!E14,0)</f>
        <v>-256</v>
      </c>
      <c r="D92" s="10">
        <f>IFERROR(CashFlow!F14,0)</f>
        <v>-305</v>
      </c>
      <c r="E92" s="10">
        <f>IFERROR(CashFlow!G14,0)</f>
        <v>-265</v>
      </c>
      <c r="F92" s="10">
        <f>IFERROR(CashFlow!H14,0)</f>
        <v>-355</v>
      </c>
      <c r="G92" s="10">
        <f>IFERROR(CashFlow!I14,0)</f>
        <v>-146</v>
      </c>
      <c r="H92" s="10">
        <f>IFERROR(CashFlow!J14,0)</f>
        <v>-224</v>
      </c>
      <c r="I92" s="10">
        <f>IFERROR(CashFlow!K14,0)</f>
        <v>-432</v>
      </c>
      <c r="J92" s="10">
        <f>IFERROR(CashFlow!L14,0)</f>
        <v>-691</v>
      </c>
      <c r="K92" s="10">
        <f>IFERROR(CashFlow!M14,0)</f>
        <v>-494</v>
      </c>
      <c r="L92" s="10">
        <f>IFERROR(CashFlow!N14,0)</f>
        <v>-902</v>
      </c>
    </row>
    <row r="93" spans="2:12" ht="14.25" customHeight="1" x14ac:dyDescent="0.3">
      <c r="B93" t="s">
        <v>60</v>
      </c>
      <c r="C93" s="10">
        <f>IFERROR(CashFlow!E15,0)</f>
        <v>5</v>
      </c>
      <c r="D93" s="10">
        <f>IFERROR(CashFlow!F15,0)</f>
        <v>6</v>
      </c>
      <c r="E93" s="10">
        <f>IFERROR(CashFlow!G15,0)</f>
        <v>1</v>
      </c>
      <c r="F93" s="10">
        <f>IFERROR(CashFlow!H15,0)</f>
        <v>10</v>
      </c>
      <c r="G93" s="10">
        <f>IFERROR(CashFlow!I15,0)</f>
        <v>7</v>
      </c>
      <c r="H93" s="10">
        <f>IFERROR(CashFlow!J15,0)</f>
        <v>8</v>
      </c>
      <c r="I93" s="10">
        <f>IFERROR(CashFlow!K15,0)</f>
        <v>12</v>
      </c>
      <c r="J93" s="10">
        <f>IFERROR(CashFlow!L15,0)</f>
        <v>20</v>
      </c>
      <c r="K93" s="10">
        <f>IFERROR(CashFlow!M15,0)</f>
        <v>24</v>
      </c>
      <c r="L93" s="10">
        <f>IFERROR(CashFlow!N15,0)</f>
        <v>25</v>
      </c>
    </row>
    <row r="94" spans="2:12" ht="14.25" customHeight="1" x14ac:dyDescent="0.3">
      <c r="B94" t="s">
        <v>61</v>
      </c>
      <c r="C94" s="10">
        <f>IFERROR(CashFlow!E16,0)</f>
        <v>-325</v>
      </c>
      <c r="D94" s="10">
        <f>IFERROR(CashFlow!F16,0)</f>
        <v>0</v>
      </c>
      <c r="E94" s="10">
        <f>IFERROR(CashFlow!G16,0)</f>
        <v>-36</v>
      </c>
      <c r="F94" s="10">
        <f>IFERROR(CashFlow!H16,0)</f>
        <v>-13</v>
      </c>
      <c r="G94" s="10">
        <f>IFERROR(CashFlow!I16,0)</f>
        <v>-2656</v>
      </c>
      <c r="H94" s="10">
        <f>IFERROR(CashFlow!J16,0)</f>
        <v>-253</v>
      </c>
      <c r="I94" s="10">
        <f>IFERROR(CashFlow!K16,0)</f>
        <v>-2104</v>
      </c>
      <c r="J94" s="10">
        <f>IFERROR(CashFlow!L16,0)</f>
        <v>-21893</v>
      </c>
      <c r="K94" s="10">
        <f>IFERROR(CashFlow!M16,0)</f>
        <v>-15342</v>
      </c>
      <c r="L94" s="10">
        <f>IFERROR(CashFlow!N16,0)</f>
        <v>-22035</v>
      </c>
    </row>
    <row r="95" spans="2:12" ht="14.25" customHeight="1" x14ac:dyDescent="0.3">
      <c r="B95" t="s">
        <v>62</v>
      </c>
      <c r="C95" s="10">
        <f>IFERROR(CashFlow!E17,0)</f>
        <v>0</v>
      </c>
      <c r="D95" s="10">
        <f>IFERROR(CashFlow!F17,0)</f>
        <v>412</v>
      </c>
      <c r="E95" s="10">
        <f>IFERROR(CashFlow!G17,0)</f>
        <v>18</v>
      </c>
      <c r="F95" s="10">
        <f>IFERROR(CashFlow!H17,0)</f>
        <v>0</v>
      </c>
      <c r="G95" s="10">
        <f>IFERROR(CashFlow!I17,0)</f>
        <v>43</v>
      </c>
      <c r="H95" s="10">
        <f>IFERROR(CashFlow!J17,0)</f>
        <v>2870</v>
      </c>
      <c r="I95" s="10">
        <f>IFERROR(CashFlow!K17,0)</f>
        <v>0</v>
      </c>
      <c r="J95" s="10">
        <f>IFERROR(CashFlow!L17,0)</f>
        <v>22213</v>
      </c>
      <c r="K95" s="10">
        <f>IFERROR(CashFlow!M17,0)</f>
        <v>15747</v>
      </c>
      <c r="L95" s="10">
        <f>IFERROR(CashFlow!N17,0)</f>
        <v>20797</v>
      </c>
    </row>
    <row r="96" spans="2:12" ht="14.25" customHeight="1" x14ac:dyDescent="0.3">
      <c r="B96" t="s">
        <v>63</v>
      </c>
      <c r="C96" s="10">
        <f>IFERROR(CashFlow!E18,0)</f>
        <v>41</v>
      </c>
      <c r="D96" s="10">
        <f>IFERROR(CashFlow!F18,0)</f>
        <v>64</v>
      </c>
      <c r="E96" s="10">
        <f>IFERROR(CashFlow!G18,0)</f>
        <v>85</v>
      </c>
      <c r="F96" s="10">
        <f>IFERROR(CashFlow!H18,0)</f>
        <v>73</v>
      </c>
      <c r="G96" s="10">
        <f>IFERROR(CashFlow!I18,0)</f>
        <v>49</v>
      </c>
      <c r="H96" s="10">
        <f>IFERROR(CashFlow!J18,0)</f>
        <v>56</v>
      </c>
      <c r="I96" s="10">
        <f>IFERROR(CashFlow!K18,0)</f>
        <v>143</v>
      </c>
      <c r="J96" s="10">
        <f>IFERROR(CashFlow!L18,0)</f>
        <v>249</v>
      </c>
      <c r="K96" s="10">
        <f>IFERROR(CashFlow!M18,0)</f>
        <v>288</v>
      </c>
      <c r="L96" s="10">
        <f>IFERROR(CashFlow!N18,0)</f>
        <v>227</v>
      </c>
    </row>
    <row r="97" spans="2:12" ht="14.25" customHeight="1" x14ac:dyDescent="0.3">
      <c r="B97" t="s">
        <v>64</v>
      </c>
      <c r="C97" s="10">
        <f>IFERROR(CashFlow!E19,0)</f>
        <v>0</v>
      </c>
      <c r="D97" s="10">
        <f>IFERROR(CashFlow!F19,0)</f>
        <v>0</v>
      </c>
      <c r="E97" s="10">
        <f>IFERROR(CashFlow!G19,0)</f>
        <v>0</v>
      </c>
      <c r="F97" s="10">
        <f>IFERROR(CashFlow!H19,0)</f>
        <v>-39</v>
      </c>
      <c r="G97" s="10">
        <f>IFERROR(CashFlow!I19,0)</f>
        <v>0</v>
      </c>
      <c r="H97" s="10">
        <f>IFERROR(CashFlow!J19,0)</f>
        <v>0</v>
      </c>
      <c r="I97" s="10">
        <f>IFERROR(CashFlow!K19,0)</f>
        <v>0</v>
      </c>
      <c r="J97" s="10">
        <f>IFERROR(CashFlow!L19,0)</f>
        <v>0</v>
      </c>
      <c r="K97" s="10">
        <f>IFERROR(CashFlow!M19,0)</f>
        <v>0</v>
      </c>
      <c r="L97" s="10">
        <f>IFERROR(CashFlow!N19,0)</f>
        <v>0</v>
      </c>
    </row>
    <row r="98" spans="2:12" ht="14.25" customHeight="1" x14ac:dyDescent="0.3">
      <c r="B98" t="s">
        <v>65</v>
      </c>
      <c r="C98" s="10">
        <f>IFERROR(CashFlow!E20,0)</f>
        <v>0</v>
      </c>
      <c r="D98" s="10">
        <f>IFERROR(CashFlow!F20,0)</f>
        <v>0</v>
      </c>
      <c r="E98" s="10">
        <f>IFERROR(CashFlow!G20,0)</f>
        <v>0</v>
      </c>
      <c r="F98" s="10">
        <f>IFERROR(CashFlow!H20,0)</f>
        <v>0</v>
      </c>
      <c r="G98" s="10">
        <f>IFERROR(CashFlow!I20,0)</f>
        <v>0</v>
      </c>
      <c r="H98" s="10">
        <f>IFERROR(CashFlow!J20,0)</f>
        <v>0</v>
      </c>
      <c r="I98" s="10">
        <f>IFERROR(CashFlow!K20,0)</f>
        <v>0</v>
      </c>
      <c r="J98" s="10">
        <f>IFERROR(CashFlow!L20,0)</f>
        <v>0</v>
      </c>
      <c r="K98" s="10">
        <f>IFERROR(CashFlow!M20,0)</f>
        <v>0</v>
      </c>
      <c r="L98" s="10">
        <f>IFERROR(CashFlow!N20,0)</f>
        <v>0</v>
      </c>
    </row>
    <row r="99" spans="2:12" ht="14.25" customHeight="1" x14ac:dyDescent="0.3">
      <c r="B99" t="s">
        <v>66</v>
      </c>
      <c r="C99" s="10">
        <f>IFERROR(CashFlow!E21,0)</f>
        <v>-385</v>
      </c>
      <c r="D99" s="10">
        <f>IFERROR(CashFlow!F21,0)</f>
        <v>0</v>
      </c>
      <c r="E99" s="10">
        <f>IFERROR(CashFlow!G21,0)</f>
        <v>0</v>
      </c>
      <c r="F99" s="10">
        <f>IFERROR(CashFlow!H21,0)</f>
        <v>0</v>
      </c>
      <c r="G99" s="10">
        <f>IFERROR(CashFlow!I21,0)</f>
        <v>0</v>
      </c>
      <c r="H99" s="10">
        <f>IFERROR(CashFlow!J21,0)</f>
        <v>0</v>
      </c>
      <c r="I99" s="10">
        <f>IFERROR(CashFlow!K21,0)</f>
        <v>0</v>
      </c>
      <c r="J99" s="10">
        <f>IFERROR(CashFlow!L21,0)</f>
        <v>0</v>
      </c>
      <c r="K99" s="10">
        <f>IFERROR(CashFlow!M21,0)</f>
        <v>0</v>
      </c>
      <c r="L99" s="10">
        <f>IFERROR(CashFlow!N21,0)</f>
        <v>0</v>
      </c>
    </row>
    <row r="100" spans="2:12" ht="14.25" customHeight="1" x14ac:dyDescent="0.3">
      <c r="B100" t="s">
        <v>67</v>
      </c>
      <c r="C100" s="10">
        <f>IFERROR(CashFlow!E22,0)</f>
        <v>5</v>
      </c>
      <c r="D100" s="10">
        <f>IFERROR(CashFlow!F22,0)</f>
        <v>-35</v>
      </c>
      <c r="E100" s="10">
        <f>IFERROR(CashFlow!G22,0)</f>
        <v>-115</v>
      </c>
      <c r="F100" s="10">
        <f>IFERROR(CashFlow!H22,0)</f>
        <v>200</v>
      </c>
      <c r="G100" s="10">
        <f>IFERROR(CashFlow!I22,0)</f>
        <v>-50</v>
      </c>
      <c r="H100" s="10">
        <f>IFERROR(CashFlow!J22,0)</f>
        <v>-344</v>
      </c>
      <c r="I100" s="10">
        <f>IFERROR(CashFlow!K22,0)</f>
        <v>294</v>
      </c>
      <c r="J100" s="10">
        <f>IFERROR(CashFlow!L22,0)</f>
        <v>-143</v>
      </c>
      <c r="K100" s="10">
        <f>IFERROR(CashFlow!M22,0)</f>
        <v>243</v>
      </c>
      <c r="L100" s="10">
        <f>IFERROR(CashFlow!N22,0)</f>
        <v>0</v>
      </c>
    </row>
    <row r="101" spans="2:12" ht="14.25" customHeight="1" x14ac:dyDescent="0.3">
      <c r="B101" t="s">
        <v>68</v>
      </c>
      <c r="C101" s="10">
        <f>IFERROR(CashFlow!E23,0)</f>
        <v>-38</v>
      </c>
      <c r="D101" s="10">
        <f>IFERROR(CashFlow!F23,0)</f>
        <v>-43</v>
      </c>
      <c r="E101" s="10">
        <f>IFERROR(CashFlow!G23,0)</f>
        <v>-485</v>
      </c>
      <c r="F101" s="10">
        <f>IFERROR(CashFlow!H23,0)</f>
        <v>359</v>
      </c>
      <c r="G101" s="10">
        <f>IFERROR(CashFlow!I23,0)</f>
        <v>-46</v>
      </c>
      <c r="H101" s="10">
        <f>IFERROR(CashFlow!J23,0)</f>
        <v>-948</v>
      </c>
      <c r="I101" s="10">
        <f>IFERROR(CashFlow!K23,0)</f>
        <v>273</v>
      </c>
      <c r="J101" s="10">
        <f>IFERROR(CashFlow!L23,0)</f>
        <v>56</v>
      </c>
      <c r="K101" s="10">
        <f>IFERROR(CashFlow!M23,0)</f>
        <v>80</v>
      </c>
      <c r="L101" s="10">
        <f>IFERROR(CashFlow!N23,0)</f>
        <v>-1077</v>
      </c>
    </row>
    <row r="102" spans="2:12" ht="14.25" customHeight="1" x14ac:dyDescent="0.3">
      <c r="B102" s="11" t="s">
        <v>69</v>
      </c>
      <c r="C102" s="12">
        <f t="shared" ref="C102:L102" si="27">SUM(C92:C101)</f>
        <v>-953</v>
      </c>
      <c r="D102" s="12">
        <f t="shared" si="27"/>
        <v>99</v>
      </c>
      <c r="E102" s="12">
        <f t="shared" si="27"/>
        <v>-797</v>
      </c>
      <c r="F102" s="12">
        <f t="shared" si="27"/>
        <v>235</v>
      </c>
      <c r="G102" s="12">
        <f t="shared" si="27"/>
        <v>-2799</v>
      </c>
      <c r="H102" s="12">
        <f t="shared" si="27"/>
        <v>1165</v>
      </c>
      <c r="I102" s="12">
        <f t="shared" si="27"/>
        <v>-1814</v>
      </c>
      <c r="J102" s="12">
        <f t="shared" si="27"/>
        <v>-189</v>
      </c>
      <c r="K102" s="12">
        <f t="shared" si="27"/>
        <v>546</v>
      </c>
      <c r="L102" s="12">
        <f t="shared" si="27"/>
        <v>-2965</v>
      </c>
    </row>
    <row r="103" spans="2:12" ht="14.25" customHeight="1" x14ac:dyDescent="0.3">
      <c r="C103" s="10"/>
      <c r="D103" s="10"/>
      <c r="E103" s="10"/>
      <c r="F103" s="10"/>
      <c r="G103" s="10"/>
      <c r="H103" s="10"/>
      <c r="I103" s="10"/>
      <c r="J103" s="10"/>
      <c r="K103" s="10"/>
      <c r="L103" s="10"/>
    </row>
    <row r="104" spans="2:12" ht="14.25" customHeight="1" x14ac:dyDescent="0.3">
      <c r="B104" s="6" t="s">
        <v>70</v>
      </c>
      <c r="C104" s="10"/>
      <c r="D104" s="10"/>
      <c r="E104" s="10"/>
      <c r="F104" s="10"/>
      <c r="G104" s="10"/>
      <c r="H104" s="10"/>
      <c r="I104" s="10"/>
      <c r="J104" s="10"/>
      <c r="K104" s="10"/>
      <c r="L104" s="10"/>
    </row>
    <row r="105" spans="2:12" ht="14.25" customHeight="1" x14ac:dyDescent="0.3">
      <c r="B105" t="s">
        <v>71</v>
      </c>
      <c r="C105" s="10">
        <f>IFERROR(CashFlow!E25,0)</f>
        <v>0</v>
      </c>
      <c r="D105" s="10">
        <f>IFERROR(CashFlow!F25,0)</f>
        <v>0</v>
      </c>
      <c r="E105" s="10">
        <f>IFERROR(CashFlow!G25,0)</f>
        <v>0</v>
      </c>
      <c r="F105" s="10">
        <f>IFERROR(CashFlow!H25,0)</f>
        <v>693</v>
      </c>
      <c r="G105" s="10">
        <f>IFERROR(CashFlow!I25,0)</f>
        <v>0</v>
      </c>
      <c r="H105" s="10">
        <f>IFERROR(CashFlow!J25,0)</f>
        <v>349</v>
      </c>
      <c r="I105" s="10">
        <f>IFERROR(CashFlow!K25,0)</f>
        <v>1684</v>
      </c>
      <c r="J105" s="10">
        <f>IFERROR(CashFlow!L25,0)</f>
        <v>5629</v>
      </c>
      <c r="K105" s="10">
        <f>IFERROR(CashFlow!M25,0)</f>
        <v>2599</v>
      </c>
      <c r="L105" s="10">
        <f>IFERROR(CashFlow!N25,0)</f>
        <v>3314</v>
      </c>
    </row>
    <row r="106" spans="2:12" ht="14.25" customHeight="1" x14ac:dyDescent="0.3">
      <c r="B106" t="s">
        <v>72</v>
      </c>
      <c r="C106" s="10">
        <f>IFERROR(CashFlow!E26,0)</f>
        <v>0</v>
      </c>
      <c r="D106" s="10">
        <f>IFERROR(CashFlow!F26,0)</f>
        <v>0</v>
      </c>
      <c r="E106" s="10">
        <f>IFERROR(CashFlow!G26,0)</f>
        <v>-39</v>
      </c>
      <c r="F106" s="10">
        <f>IFERROR(CashFlow!H26,0)</f>
        <v>0</v>
      </c>
      <c r="G106" s="10">
        <f>IFERROR(CashFlow!I26,0)</f>
        <v>-562</v>
      </c>
      <c r="H106" s="10">
        <f>IFERROR(CashFlow!J26,0)</f>
        <v>-7</v>
      </c>
      <c r="I106" s="10">
        <f>IFERROR(CashFlow!K26,0)</f>
        <v>-7</v>
      </c>
      <c r="J106" s="10">
        <f>IFERROR(CashFlow!L26,0)</f>
        <v>0</v>
      </c>
      <c r="K106" s="10">
        <f>IFERROR(CashFlow!M26,0)</f>
        <v>-378</v>
      </c>
      <c r="L106" s="10">
        <f>IFERROR(CashFlow!N26,0)</f>
        <v>-2632</v>
      </c>
    </row>
    <row r="107" spans="2:12" ht="14.25" customHeight="1" x14ac:dyDescent="0.3">
      <c r="B107" t="s">
        <v>73</v>
      </c>
      <c r="C107" s="10">
        <f>IFERROR(CashFlow!E27,0)</f>
        <v>-38</v>
      </c>
      <c r="D107" s="10">
        <f>IFERROR(CashFlow!F27,0)</f>
        <v>-54</v>
      </c>
      <c r="E107" s="10">
        <f>IFERROR(CashFlow!G27,0)</f>
        <v>-53</v>
      </c>
      <c r="F107" s="10">
        <f>IFERROR(CashFlow!H27,0)</f>
        <v>-399</v>
      </c>
      <c r="G107" s="10">
        <f>IFERROR(CashFlow!I27,0)</f>
        <v>-317</v>
      </c>
      <c r="H107" s="10">
        <f>IFERROR(CashFlow!J27,0)</f>
        <v>-218</v>
      </c>
      <c r="I107" s="10">
        <f>IFERROR(CashFlow!K27,0)</f>
        <v>-300</v>
      </c>
      <c r="J107" s="10">
        <f>IFERROR(CashFlow!L27,0)</f>
        <v>-619</v>
      </c>
      <c r="K107" s="10">
        <f>IFERROR(CashFlow!M27,0)</f>
        <v>-538</v>
      </c>
      <c r="L107" s="10">
        <f>IFERROR(CashFlow!N27,0)</f>
        <v>-1000</v>
      </c>
    </row>
    <row r="108" spans="2:12" ht="14.25" customHeight="1" x14ac:dyDescent="0.3">
      <c r="B108" t="s">
        <v>74</v>
      </c>
      <c r="C108" s="10">
        <f>IFERROR(CashFlow!E28,0)</f>
        <v>-4</v>
      </c>
      <c r="D108" s="10">
        <f>IFERROR(CashFlow!F28,0)</f>
        <v>-277</v>
      </c>
      <c r="E108" s="10">
        <f>IFERROR(CashFlow!G28,0)</f>
        <v>-397</v>
      </c>
      <c r="F108" s="10">
        <f>IFERROR(CashFlow!H28,0)</f>
        <v>-536</v>
      </c>
      <c r="G108" s="10">
        <f>IFERROR(CashFlow!I28,0)</f>
        <v>-355</v>
      </c>
      <c r="H108" s="10">
        <f>IFERROR(CashFlow!J28,0)</f>
        <v>-355</v>
      </c>
      <c r="I108" s="10">
        <f>IFERROR(CashFlow!K28,0)</f>
        <v>-666</v>
      </c>
      <c r="J108" s="10">
        <f>IFERROR(CashFlow!L28,0)</f>
        <v>-888</v>
      </c>
      <c r="K108" s="10">
        <f>IFERROR(CashFlow!M28,0)</f>
        <v>-976</v>
      </c>
      <c r="L108" s="10">
        <f>IFERROR(CashFlow!N28,0)</f>
        <v>-976</v>
      </c>
    </row>
    <row r="109" spans="2:12" ht="14.25" customHeight="1" x14ac:dyDescent="0.3">
      <c r="B109" t="s">
        <v>75</v>
      </c>
      <c r="C109" s="10">
        <f>IFERROR(CashFlow!E29,0)</f>
        <v>0</v>
      </c>
      <c r="D109" s="10">
        <f>IFERROR(CashFlow!F29,0)</f>
        <v>0</v>
      </c>
      <c r="E109" s="10">
        <f>IFERROR(CashFlow!G29,0)</f>
        <v>0</v>
      </c>
      <c r="F109" s="10">
        <f>IFERROR(CashFlow!H29,0)</f>
        <v>0</v>
      </c>
      <c r="G109" s="10">
        <f>IFERROR(CashFlow!I29,0)</f>
        <v>0</v>
      </c>
      <c r="H109" s="10">
        <f>IFERROR(CashFlow!J29,0)</f>
        <v>-172</v>
      </c>
      <c r="I109" s="10">
        <f>IFERROR(CashFlow!K29,0)</f>
        <v>-254</v>
      </c>
      <c r="J109" s="10">
        <f>IFERROR(CashFlow!L29,0)</f>
        <v>-318</v>
      </c>
      <c r="K109" s="10">
        <f>IFERROR(CashFlow!M29,0)</f>
        <v>-700</v>
      </c>
      <c r="L109" s="10">
        <f>IFERROR(CashFlow!N29,0)</f>
        <v>-865</v>
      </c>
    </row>
    <row r="110" spans="2:12" ht="14.25" customHeight="1" x14ac:dyDescent="0.3">
      <c r="B110" t="s">
        <v>76</v>
      </c>
      <c r="C110" s="10">
        <f>IFERROR(CashFlow!E30,0)</f>
        <v>-124</v>
      </c>
      <c r="D110" s="10">
        <f>IFERROR(CashFlow!F30,0)</f>
        <v>79</v>
      </c>
      <c r="E110" s="10">
        <f>IFERROR(CashFlow!G30,0)</f>
        <v>0</v>
      </c>
      <c r="F110" s="10">
        <f>IFERROR(CashFlow!H30,0)</f>
        <v>0</v>
      </c>
      <c r="G110" s="10">
        <f>IFERROR(CashFlow!I30,0)</f>
        <v>0</v>
      </c>
      <c r="H110" s="10">
        <f>IFERROR(CashFlow!J30,0)</f>
        <v>0</v>
      </c>
      <c r="I110" s="10">
        <f>IFERROR(CashFlow!K30,0)</f>
        <v>0</v>
      </c>
      <c r="J110" s="10">
        <f>IFERROR(CashFlow!L30,0)</f>
        <v>-5133</v>
      </c>
      <c r="K110" s="10">
        <f>IFERROR(CashFlow!M30,0)</f>
        <v>-14</v>
      </c>
      <c r="L110" s="10">
        <f>IFERROR(CashFlow!N30,0)</f>
        <v>0</v>
      </c>
    </row>
    <row r="111" spans="2:12" ht="14.25" customHeight="1" x14ac:dyDescent="0.3">
      <c r="B111" s="11" t="s">
        <v>77</v>
      </c>
      <c r="C111" s="12">
        <f t="shared" ref="C111:L111" si="28">SUM(C105:C110)</f>
        <v>-166</v>
      </c>
      <c r="D111" s="12">
        <f t="shared" si="28"/>
        <v>-252</v>
      </c>
      <c r="E111" s="12">
        <f t="shared" si="28"/>
        <v>-489</v>
      </c>
      <c r="F111" s="12">
        <f t="shared" si="28"/>
        <v>-242</v>
      </c>
      <c r="G111" s="12">
        <f t="shared" si="28"/>
        <v>-1234</v>
      </c>
      <c r="H111" s="12">
        <f t="shared" si="28"/>
        <v>-403</v>
      </c>
      <c r="I111" s="12">
        <f t="shared" si="28"/>
        <v>457</v>
      </c>
      <c r="J111" s="12">
        <f t="shared" si="28"/>
        <v>-1329</v>
      </c>
      <c r="K111" s="12">
        <f t="shared" si="28"/>
        <v>-7</v>
      </c>
      <c r="L111" s="12">
        <f t="shared" si="28"/>
        <v>-2159</v>
      </c>
    </row>
    <row r="112" spans="2:12" ht="14.25" customHeight="1" x14ac:dyDescent="0.3">
      <c r="C112" s="10"/>
      <c r="D112" s="10"/>
      <c r="E112" s="10"/>
      <c r="F112" s="10"/>
      <c r="G112" s="10"/>
      <c r="H112" s="10"/>
      <c r="I112" s="10"/>
      <c r="J112" s="10"/>
      <c r="K112" s="10"/>
      <c r="L112" s="10"/>
    </row>
    <row r="113" spans="2:12" ht="14.25" customHeight="1" x14ac:dyDescent="0.3">
      <c r="B113" s="11" t="s">
        <v>78</v>
      </c>
      <c r="C113" s="12">
        <f t="shared" ref="C113:L113" si="29">SUM(C111,C102,C89)</f>
        <v>593</v>
      </c>
      <c r="D113" s="12">
        <f t="shared" si="29"/>
        <v>-204</v>
      </c>
      <c r="E113" s="12">
        <f t="shared" si="29"/>
        <v>-43</v>
      </c>
      <c r="F113" s="12">
        <f t="shared" si="29"/>
        <v>-355</v>
      </c>
      <c r="G113" s="12">
        <f t="shared" si="29"/>
        <v>106</v>
      </c>
      <c r="H113" s="12">
        <f t="shared" si="29"/>
        <v>38</v>
      </c>
      <c r="I113" s="12">
        <f t="shared" si="29"/>
        <v>13</v>
      </c>
      <c r="J113" s="12">
        <f t="shared" si="29"/>
        <v>177</v>
      </c>
      <c r="K113" s="12">
        <f t="shared" si="29"/>
        <v>-2</v>
      </c>
      <c r="L113" s="12">
        <f t="shared" si="29"/>
        <v>466</v>
      </c>
    </row>
    <row r="115" spans="2:12" ht="9.75" customHeight="1" x14ac:dyDescent="0.3">
      <c r="B115" s="1"/>
      <c r="C115" s="1"/>
      <c r="D115" s="1"/>
      <c r="E115" s="1"/>
      <c r="F115" s="1"/>
      <c r="G115" s="1"/>
      <c r="H115" s="1"/>
      <c r="I115" s="1"/>
      <c r="J115" s="1"/>
      <c r="K115" s="1"/>
      <c r="L115" s="1"/>
    </row>
  </sheetData>
  <mergeCells count="1">
    <mergeCell ref="B4:L4"/>
  </mergeCells>
  <pageMargins left="0.7" right="0.7" top="0.75" bottom="0.75" header="0.511811023622047" footer="0.511811023622047"/>
  <pageSetup scale="61" orientation="portrait" horizontalDpi="300" verticalDpi="300" r:id="rId1"/>
  <rowBreaks count="1" manualBreakCount="1">
    <brk id="7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3CCCC"/>
    <pageSetUpPr fitToPage="1"/>
  </sheetPr>
  <dimension ref="B2:R42"/>
  <sheetViews>
    <sheetView showGridLines="0" zoomScale="66" zoomScaleNormal="66" workbookViewId="0">
      <pane ySplit="3" topLeftCell="A4" activePane="bottomLeft" state="frozen"/>
      <selection activeCell="C3" sqref="C3"/>
      <selection pane="bottomLeft" activeCell="C3" sqref="C3"/>
    </sheetView>
  </sheetViews>
  <sheetFormatPr defaultColWidth="8.6640625" defaultRowHeight="14.4" x14ac:dyDescent="0.3"/>
  <cols>
    <col min="1" max="1" width="1.88671875" customWidth="1"/>
    <col min="2" max="2" width="25" customWidth="1"/>
    <col min="3" max="12" width="9.88671875" customWidth="1"/>
    <col min="13" max="13" width="10.33203125" bestFit="1" customWidth="1"/>
    <col min="14" max="15" width="8.6640625" bestFit="1" customWidth="1"/>
  </cols>
  <sheetData>
    <row r="2" spans="2:18" ht="14.25" customHeight="1" x14ac:dyDescent="0.3">
      <c r="B2" s="372" t="str">
        <f>"Ratio Analysis"&amp;" - " &amp;'Data Sheet'!B1</f>
        <v>Ratio Analysis - TITAN COMPANY LTD</v>
      </c>
      <c r="C2" s="372"/>
      <c r="D2" s="372"/>
      <c r="E2" s="372"/>
      <c r="F2" s="372"/>
      <c r="G2" s="372"/>
      <c r="H2" s="372"/>
      <c r="I2" s="372"/>
      <c r="J2" s="372"/>
      <c r="K2" s="372"/>
      <c r="L2" s="372"/>
      <c r="M2" s="372"/>
      <c r="N2" s="372"/>
      <c r="O2" s="372"/>
    </row>
    <row r="3" spans="2:18" ht="14.25" customHeight="1" x14ac:dyDescent="0.3">
      <c r="B3" s="2" t="s">
        <v>0</v>
      </c>
      <c r="C3" s="3">
        <f>HistoricalFS!C5</f>
        <v>42825</v>
      </c>
      <c r="D3" s="3">
        <f>HistoricalFS!D5</f>
        <v>43190</v>
      </c>
      <c r="E3" s="3">
        <f>HistoricalFS!E5</f>
        <v>43555</v>
      </c>
      <c r="F3" s="3">
        <f>HistoricalFS!F5</f>
        <v>43921</v>
      </c>
      <c r="G3" s="3">
        <f>HistoricalFS!G5</f>
        <v>44286</v>
      </c>
      <c r="H3" s="3">
        <f>HistoricalFS!H5</f>
        <v>44651</v>
      </c>
      <c r="I3" s="3">
        <f>HistoricalFS!I5</f>
        <v>45016</v>
      </c>
      <c r="J3" s="3">
        <f>HistoricalFS!J5</f>
        <v>45382</v>
      </c>
      <c r="K3" s="3">
        <f>HistoricalFS!K5</f>
        <v>45747</v>
      </c>
      <c r="L3" s="3">
        <f>HistoricalFS!L5</f>
        <v>46112</v>
      </c>
      <c r="M3" s="23" t="s">
        <v>79</v>
      </c>
      <c r="N3" s="24" t="s">
        <v>80</v>
      </c>
      <c r="O3" s="24" t="s">
        <v>81</v>
      </c>
    </row>
    <row r="5" spans="2:18" ht="14.25" customHeight="1" x14ac:dyDescent="0.3">
      <c r="B5" s="25" t="s">
        <v>3</v>
      </c>
      <c r="C5" s="26"/>
      <c r="D5" s="26">
        <f>HistoricalFS!D10</f>
        <v>0.21559283996552248</v>
      </c>
      <c r="E5" s="26">
        <f>HistoricalFS!E10</f>
        <v>0.22697284142391605</v>
      </c>
      <c r="F5" s="26">
        <f>HistoricalFS!F10</f>
        <v>6.4387021880302431E-2</v>
      </c>
      <c r="G5" s="26">
        <f>HistoricalFS!G10</f>
        <v>2.8120843625308867E-2</v>
      </c>
      <c r="H5" s="26">
        <f>HistoricalFS!H10</f>
        <v>0.33057660321567184</v>
      </c>
      <c r="I5" s="26">
        <f>HistoricalFS!I10</f>
        <v>0.40890308691274013</v>
      </c>
      <c r="J5" s="26">
        <f>HistoricalFS!J10</f>
        <v>0.25900184842883545</v>
      </c>
      <c r="K5" s="26">
        <f>HistoricalFS!K10</f>
        <v>0.18346253229974163</v>
      </c>
      <c r="L5" s="26">
        <f>HistoricalFS!L10</f>
        <v>0.448723038242689</v>
      </c>
      <c r="M5" s="25"/>
      <c r="N5" s="26">
        <f>AVERAGE(D5:L5)</f>
        <v>0.24063785066608087</v>
      </c>
      <c r="O5" s="26">
        <f>MEDIAN(D5:L5)</f>
        <v>0.22697284142391605</v>
      </c>
    </row>
    <row r="6" spans="2:18" ht="14.25" customHeight="1" x14ac:dyDescent="0.3">
      <c r="B6" t="s">
        <v>82</v>
      </c>
      <c r="D6" s="27">
        <f>HistoricalFS!D21/HistoricalFS!C21-1</f>
        <v>0.41266431824040017</v>
      </c>
      <c r="E6" s="27">
        <f>HistoricalFS!E21/HistoricalFS!D21-1</f>
        <v>0.21262011920690882</v>
      </c>
      <c r="F6" s="27">
        <f>HistoricalFS!F21/HistoricalFS!E21-1</f>
        <v>0.23533571740253434</v>
      </c>
      <c r="G6" s="27">
        <f>HistoricalFS!G21/HistoricalFS!F21-1</f>
        <v>-0.29963459196102316</v>
      </c>
      <c r="H6" s="27">
        <f>HistoricalFS!H21/HistoricalFS!G21-1</f>
        <v>0.93855072463768119</v>
      </c>
      <c r="I6" s="27">
        <f>HistoricalFS!I21/HistoricalFS!H21-1</f>
        <v>0.45992822966507174</v>
      </c>
      <c r="J6" s="27">
        <f>HistoricalFS!J21/HistoricalFS!I21-1</f>
        <v>8.3981974600573439E-2</v>
      </c>
      <c r="K6" s="27">
        <f>HistoricalFS!K21/HistoricalFS!J21-1</f>
        <v>7.5963718820861725E-2</v>
      </c>
      <c r="L6" s="27">
        <f>HistoricalFS!L21/HistoricalFS!K21-1</f>
        <v>0.46768528275377586</v>
      </c>
      <c r="N6" s="27">
        <f>AVERAGE(D6:L6)</f>
        <v>0.28745505481853156</v>
      </c>
      <c r="O6" s="27">
        <f>MEDIAN(D6:L6)</f>
        <v>0.23533571740253434</v>
      </c>
    </row>
    <row r="7" spans="2:18" ht="14.25" customHeight="1" x14ac:dyDescent="0.3">
      <c r="B7" t="s">
        <v>83</v>
      </c>
      <c r="D7" s="27">
        <f>HistoricalFS!D30/HistoricalFS!C30-1</f>
        <v>0.56549520766773353</v>
      </c>
      <c r="E7" s="27">
        <f>HistoricalFS!E30/HistoricalFS!D30-1</f>
        <v>0.26962153282365553</v>
      </c>
      <c r="F7" s="27">
        <f>HistoricalFS!F30/HistoricalFS!E30-1</f>
        <v>0.12867828190083697</v>
      </c>
      <c r="G7" s="27">
        <f>HistoricalFS!G30/HistoricalFS!F30-1</f>
        <v>-0.32539682539682535</v>
      </c>
      <c r="H7" s="27">
        <f>HistoricalFS!H30/HistoricalFS!G30-1</f>
        <v>1.0405228758169933</v>
      </c>
      <c r="I7" s="27">
        <f>HistoricalFS!I30/HistoricalFS!H30-1</f>
        <v>0.52049967969250477</v>
      </c>
      <c r="J7" s="27">
        <f>HistoricalFS!J30/HistoricalFS!I30-1</f>
        <v>0.104276385085317</v>
      </c>
      <c r="K7" s="27">
        <f>HistoricalFS!K30/HistoricalFS!J30-1</f>
        <v>4.6928653185806857E-2</v>
      </c>
      <c r="L7" s="27">
        <f>HistoricalFS!L30/HistoricalFS!K30-1</f>
        <v>0.45426384839650136</v>
      </c>
      <c r="N7" s="27">
        <f>AVERAGE(D7:L7)</f>
        <v>0.31165440435250269</v>
      </c>
      <c r="O7" s="27">
        <f>MEDIAN(D7:L7)</f>
        <v>0.26962153282365553</v>
      </c>
    </row>
    <row r="8" spans="2:18" ht="14.25" customHeight="1" x14ac:dyDescent="0.3">
      <c r="B8" t="s">
        <v>84</v>
      </c>
      <c r="D8" s="27">
        <f>HistoricalFS!D42/HistoricalFS!C42-1</f>
        <v>0.580297728315744</v>
      </c>
      <c r="E8" s="27">
        <f>HistoricalFS!E42/HistoricalFS!D42-1</f>
        <v>0.26022088918332664</v>
      </c>
      <c r="F8" s="27">
        <f>HistoricalFS!F42/HistoricalFS!E42-1</f>
        <v>7.5144924927086576E-2</v>
      </c>
      <c r="G8" s="27">
        <f>HistoricalFS!G42/HistoricalFS!F42-1</f>
        <v>-0.34762223710649698</v>
      </c>
      <c r="H8" s="27">
        <f>HistoricalFS!H42/HistoricalFS!G42-1</f>
        <v>1.2566735112936347</v>
      </c>
      <c r="I8" s="27">
        <f>HistoricalFS!I42/HistoricalFS!H42-1</f>
        <v>0.48953594176524118</v>
      </c>
      <c r="J8" s="27">
        <f>HistoricalFS!J42/HistoricalFS!I42-1</f>
        <v>6.7806963958460642E-2</v>
      </c>
      <c r="K8" s="27">
        <f>HistoricalFS!K42/HistoricalFS!J42-1</f>
        <v>-4.5480549199084619E-2</v>
      </c>
      <c r="L8" s="27">
        <f>HistoricalFS!L42/HistoricalFS!K42-1</f>
        <v>0.52022774947557693</v>
      </c>
      <c r="N8" s="27">
        <f>AVERAGE(D8:L8)</f>
        <v>0.31742276917927659</v>
      </c>
      <c r="O8" s="27">
        <f>MEDIAN(D8:L8)</f>
        <v>0.26022088918332664</v>
      </c>
    </row>
    <row r="9" spans="2:18" ht="14.25" customHeight="1" x14ac:dyDescent="0.3">
      <c r="B9" s="28" t="s">
        <v>85</v>
      </c>
      <c r="C9" s="28"/>
      <c r="D9" s="29">
        <f>HistoricalFS!D50/HistoricalFS!C50-1</f>
        <v>0.44227353463587948</v>
      </c>
      <c r="E9" s="29">
        <f>HistoricalFS!E50/HistoricalFS!D50-1</f>
        <v>0.33335335816412348</v>
      </c>
      <c r="F9" s="29">
        <f>HistoricalFS!F50/HistoricalFS!E50-1</f>
        <v>-0.19801757152511834</v>
      </c>
      <c r="G9" s="29">
        <f>HistoricalFS!G50/HistoricalFS!F50-1</f>
        <v>0</v>
      </c>
      <c r="H9" s="29">
        <f>HistoricalFS!H50/HistoricalFS!G50-1</f>
        <v>0.87500000000000022</v>
      </c>
      <c r="I9" s="29">
        <f>HistoricalFS!I50/HistoricalFS!H50-1</f>
        <v>0.33333333333333348</v>
      </c>
      <c r="J9" s="29">
        <f>HistoricalFS!J50/HistoricalFS!I50-1</f>
        <v>0.10000000000000009</v>
      </c>
      <c r="K9" s="29">
        <f>HistoricalFS!K50/HistoricalFS!J50-1</f>
        <v>0</v>
      </c>
      <c r="L9" s="29">
        <f>HistoricalFS!L50/HistoricalFS!K50-1</f>
        <v>0.36363636363636354</v>
      </c>
      <c r="M9" s="28"/>
      <c r="N9" s="29">
        <f>AVERAGE(D9:L9)</f>
        <v>0.24995322424939795</v>
      </c>
      <c r="O9" s="29">
        <f>MEDIAN(D9:L9)</f>
        <v>0.33333333333333348</v>
      </c>
    </row>
    <row r="11" spans="2:18" ht="14.25" customHeight="1" x14ac:dyDescent="0.3">
      <c r="B11" s="25" t="s">
        <v>7</v>
      </c>
      <c r="C11" s="26">
        <f>HistoricalFS!C16</f>
        <v>0.20020013830205197</v>
      </c>
      <c r="D11" s="26">
        <f>HistoricalFS!D16</f>
        <v>0.20826227669501496</v>
      </c>
      <c r="E11" s="26">
        <f>HistoricalFS!E16</f>
        <v>0.20820769198099762</v>
      </c>
      <c r="F11" s="26">
        <f>HistoricalFS!F16</f>
        <v>0.21024130723921719</v>
      </c>
      <c r="G11" s="26">
        <f>HistoricalFS!G16</f>
        <v>0.18402328589909445</v>
      </c>
      <c r="H11" s="26">
        <f>HistoricalFS!H16</f>
        <v>0.19354838709677419</v>
      </c>
      <c r="I11" s="26">
        <f>HistoricalFS!I16</f>
        <v>0.20406654343807765</v>
      </c>
      <c r="J11" s="26">
        <f>HistoricalFS!J16</f>
        <v>0.18440216114634719</v>
      </c>
      <c r="K11" s="26">
        <f>HistoricalFS!K16</f>
        <v>0.17255524679105466</v>
      </c>
      <c r="L11" s="26">
        <f>HistoricalFS!L16</f>
        <v>0.16125091340884179</v>
      </c>
      <c r="M11" s="25"/>
      <c r="N11" s="26">
        <f>AVERAGE(C11:L11)</f>
        <v>0.19267579519974717</v>
      </c>
      <c r="O11" s="26">
        <f>MEDIAN(C11:L11)</f>
        <v>0.19687426269941308</v>
      </c>
    </row>
    <row r="12" spans="2:18" ht="14.25" customHeight="1" x14ac:dyDescent="0.3">
      <c r="B12" t="s">
        <v>11</v>
      </c>
      <c r="C12" s="27">
        <f>HistoricalFS!C22</f>
        <v>8.7769770067182798E-2</v>
      </c>
      <c r="D12" s="27">
        <f>HistoricalFS!D22</f>
        <v>0.10199897393076955</v>
      </c>
      <c r="E12" s="27">
        <f>HistoricalFS!E22</f>
        <v>0.10080582369156038</v>
      </c>
      <c r="F12" s="27">
        <f>HistoricalFS!F22</f>
        <v>0.1169960098802964</v>
      </c>
      <c r="G12" s="27">
        <f>HistoricalFS!G22</f>
        <v>7.9698761781556091E-2</v>
      </c>
      <c r="H12" s="27">
        <f>HistoricalFS!H22</f>
        <v>0.11611514288690579</v>
      </c>
      <c r="I12" s="27">
        <f>HistoricalFS!I22</f>
        <v>0.12032039433148491</v>
      </c>
      <c r="J12" s="27">
        <f>HistoricalFS!J22</f>
        <v>0.10359408033826638</v>
      </c>
      <c r="K12" s="27">
        <f>HistoricalFS!K22</f>
        <v>9.4184200079396582E-2</v>
      </c>
      <c r="L12" s="27">
        <f>HistoricalFS!L22</f>
        <v>9.5416971136280601E-2</v>
      </c>
      <c r="N12" s="27">
        <f>AVERAGE(C12:L12)</f>
        <v>0.10169001281236993</v>
      </c>
      <c r="O12" s="27">
        <f>MEDIAN(C12:L12)</f>
        <v>0.10140239881116497</v>
      </c>
    </row>
    <row r="13" spans="2:18" ht="14.25" customHeight="1" x14ac:dyDescent="0.3">
      <c r="B13" t="s">
        <v>17</v>
      </c>
      <c r="C13" s="27">
        <f>HistoricalFS!C31</f>
        <v>7.6238817630570596E-2</v>
      </c>
      <c r="D13" s="27">
        <f>HistoricalFS!D31</f>
        <v>9.8183783019236692E-2</v>
      </c>
      <c r="E13" s="27">
        <f>HistoricalFS!E31</f>
        <v>0.1015965805328205</v>
      </c>
      <c r="F13" s="27">
        <f>HistoricalFS!F31</f>
        <v>0.1077332319969599</v>
      </c>
      <c r="G13" s="27">
        <f>HistoricalFS!G31</f>
        <v>7.0689336536684536E-2</v>
      </c>
      <c r="H13" s="27">
        <f>HistoricalFS!H31</f>
        <v>0.10840654189381575</v>
      </c>
      <c r="I13" s="27">
        <f>HistoricalFS!I31</f>
        <v>0.11699322242760321</v>
      </c>
      <c r="J13" s="27">
        <f>HistoricalFS!J31</f>
        <v>0.10261530028971889</v>
      </c>
      <c r="K13" s="27">
        <f>HistoricalFS!K31</f>
        <v>9.077676326584623E-2</v>
      </c>
      <c r="L13" s="27">
        <f>HistoricalFS!L31</f>
        <v>9.1123949579831928E-2</v>
      </c>
      <c r="N13" s="27">
        <f>AVERAGE(C13:L13)</f>
        <v>9.6435752717308837E-2</v>
      </c>
      <c r="O13" s="27">
        <f>MEDIAN(C13:L13)</f>
        <v>9.9890181776028597E-2</v>
      </c>
      <c r="R13" t="s">
        <v>414</v>
      </c>
    </row>
    <row r="14" spans="2:18" ht="14.25" customHeight="1" x14ac:dyDescent="0.3">
      <c r="B14" t="s">
        <v>86</v>
      </c>
      <c r="C14" s="27">
        <f>HistoricalFS!C37</f>
        <v>7.3392841926184074E-2</v>
      </c>
      <c r="D14" s="27">
        <f>HistoricalFS!D37</f>
        <v>9.4900857766581109E-2</v>
      </c>
      <c r="E14" s="27">
        <f>HistoricalFS!E37</f>
        <v>9.8940163369150014E-2</v>
      </c>
      <c r="F14" s="27">
        <f>HistoricalFS!F37</f>
        <v>9.9847995439863196E-2</v>
      </c>
      <c r="G14" s="27">
        <f>HistoricalFS!G37</f>
        <v>6.1310293845869522E-2</v>
      </c>
      <c r="H14" s="27">
        <f>HistoricalFS!H37</f>
        <v>0.10083683461231292</v>
      </c>
      <c r="I14" s="27">
        <f>HistoricalFS!I37</f>
        <v>0.10959950708564387</v>
      </c>
      <c r="J14" s="27">
        <f>HistoricalFS!J37</f>
        <v>9.0498003288700959E-2</v>
      </c>
      <c r="K14" s="27">
        <f>HistoricalFS!K37</f>
        <v>7.5013232764324464E-2</v>
      </c>
      <c r="L14" s="27">
        <f>HistoricalFS!L37</f>
        <v>7.7651169163317504E-2</v>
      </c>
      <c r="N14" s="27">
        <f>AVERAGE(C14:L14)</f>
        <v>8.8199089926194768E-2</v>
      </c>
      <c r="O14" s="27">
        <f>MEDIAN(C14:L14)</f>
        <v>9.2699430527641041E-2</v>
      </c>
    </row>
    <row r="15" spans="2:18" ht="14.25" customHeight="1" x14ac:dyDescent="0.3">
      <c r="B15" s="28" t="s">
        <v>25</v>
      </c>
      <c r="C15" s="29">
        <f>HistoricalFS!C43</f>
        <v>5.2581927375586562E-2</v>
      </c>
      <c r="D15" s="29">
        <f>HistoricalFS!D43</f>
        <v>6.8357675078490651E-2</v>
      </c>
      <c r="E15" s="29">
        <f>HistoricalFS!E43</f>
        <v>7.0210005602037009E-2</v>
      </c>
      <c r="F15" s="29">
        <f>HistoricalFS!F43</f>
        <v>7.0919627588827666E-2</v>
      </c>
      <c r="G15" s="29">
        <f>HistoricalFS!G43</f>
        <v>4.5000924043614859E-2</v>
      </c>
      <c r="H15" s="29">
        <f>HistoricalFS!H43</f>
        <v>7.632209451717073E-2</v>
      </c>
      <c r="I15" s="29">
        <f>HistoricalFS!I43</f>
        <v>8.0690080098582875E-2</v>
      </c>
      <c r="J15" s="29">
        <f>HistoricalFS!J43</f>
        <v>6.8436300994440535E-2</v>
      </c>
      <c r="K15" s="29">
        <f>HistoricalFS!K43</f>
        <v>5.5197168188434564E-2</v>
      </c>
      <c r="L15" s="29">
        <f>HistoricalFS!L43</f>
        <v>5.792153818048959E-2</v>
      </c>
      <c r="M15" s="28"/>
      <c r="N15" s="29">
        <f>AVERAGE(C15:L15)</f>
        <v>6.4563734166767514E-2</v>
      </c>
      <c r="O15" s="29">
        <f>MEDIAN(C15:L15)</f>
        <v>6.83969880364656E-2</v>
      </c>
    </row>
    <row r="17" spans="2:15" ht="14.25" customHeight="1" x14ac:dyDescent="0.3">
      <c r="B17" s="25" t="s">
        <v>87</v>
      </c>
      <c r="C17" s="26">
        <f>HistoricalFS!C19</f>
        <v>0.11243036823486917</v>
      </c>
      <c r="D17" s="26">
        <f>HistoricalFS!D19</f>
        <v>0.10626330276424539</v>
      </c>
      <c r="E17" s="26">
        <f>HistoricalFS!E19</f>
        <v>0.10740186828943722</v>
      </c>
      <c r="F17" s="26">
        <f>HistoricalFS!F19</f>
        <v>9.3245297358920773E-2</v>
      </c>
      <c r="G17" s="26">
        <f>HistoricalFS!G19</f>
        <v>0.10432452411753834</v>
      </c>
      <c r="H17" s="26">
        <f>HistoricalFS!H19</f>
        <v>7.7433244209868399E-2</v>
      </c>
      <c r="I17" s="26">
        <f>HistoricalFS!I19</f>
        <v>8.3746149106592727E-2</v>
      </c>
      <c r="J17" s="26">
        <f>HistoricalFS!J19</f>
        <v>8.0808080808080815E-2</v>
      </c>
      <c r="K17" s="26">
        <f>HistoricalFS!K19</f>
        <v>7.8371046711658066E-2</v>
      </c>
      <c r="L17" s="26">
        <f>HistoricalFS!L19</f>
        <v>6.5833942272561202E-2</v>
      </c>
      <c r="M17" s="25"/>
      <c r="N17" s="26">
        <f>AVERAGE(C17:L17)</f>
        <v>9.0985782387377215E-2</v>
      </c>
      <c r="O17" s="26">
        <f>MEDIAN(C17:L17)</f>
        <v>8.8495723232756757E-2</v>
      </c>
    </row>
    <row r="18" spans="2:15" ht="14.25" customHeight="1" x14ac:dyDescent="0.3">
      <c r="B18" t="s">
        <v>15</v>
      </c>
      <c r="C18" s="27">
        <f>HistoricalFS!C28</f>
        <v>8.3350740489094577E-3</v>
      </c>
      <c r="D18" s="27">
        <f>HistoricalFS!D28</f>
        <v>8.1533421382563153E-3</v>
      </c>
      <c r="E18" s="27">
        <f>HistoricalFS!E28</f>
        <v>8.2331741707670752E-3</v>
      </c>
      <c r="F18" s="27">
        <f>HistoricalFS!F28</f>
        <v>1.6530495914877447E-2</v>
      </c>
      <c r="G18" s="27">
        <f>HistoricalFS!G28</f>
        <v>1.7325817778599151E-2</v>
      </c>
      <c r="H18" s="27">
        <f>HistoricalFS!H28</f>
        <v>1.3854647730823988E-2</v>
      </c>
      <c r="I18" s="27">
        <f>HistoricalFS!I28</f>
        <v>1.0868761552680222E-2</v>
      </c>
      <c r="J18" s="27">
        <f>HistoricalFS!J28</f>
        <v>1.1432150967034689E-2</v>
      </c>
      <c r="K18" s="27">
        <f>HistoricalFS!K28</f>
        <v>1.146288209606987E-2</v>
      </c>
      <c r="L18" s="27">
        <f>HistoricalFS!L28</f>
        <v>9.4309462915601015E-3</v>
      </c>
      <c r="N18" s="27">
        <f>AVERAGE(C18:L18)</f>
        <v>1.1562729268957832E-2</v>
      </c>
      <c r="O18" s="27">
        <f>MEDIAN(C18:L18)</f>
        <v>1.1150456259857455E-2</v>
      </c>
    </row>
    <row r="19" spans="2:15" ht="14.25" customHeight="1" x14ac:dyDescent="0.3">
      <c r="B19" s="28" t="s">
        <v>88</v>
      </c>
      <c r="C19" s="29">
        <f t="shared" ref="C19:L19" si="0">C13</f>
        <v>7.6238817630570596E-2</v>
      </c>
      <c r="D19" s="29">
        <f t="shared" si="0"/>
        <v>9.8183783019236692E-2</v>
      </c>
      <c r="E19" s="29">
        <f t="shared" si="0"/>
        <v>0.1015965805328205</v>
      </c>
      <c r="F19" s="29">
        <f t="shared" si="0"/>
        <v>0.1077332319969599</v>
      </c>
      <c r="G19" s="29">
        <f t="shared" si="0"/>
        <v>7.0689336536684536E-2</v>
      </c>
      <c r="H19" s="29">
        <f t="shared" si="0"/>
        <v>0.10840654189381575</v>
      </c>
      <c r="I19" s="29">
        <f t="shared" si="0"/>
        <v>0.11699322242760321</v>
      </c>
      <c r="J19" s="29">
        <f t="shared" si="0"/>
        <v>0.10261530028971889</v>
      </c>
      <c r="K19" s="29">
        <f t="shared" si="0"/>
        <v>9.077676326584623E-2</v>
      </c>
      <c r="L19" s="29">
        <f t="shared" si="0"/>
        <v>9.1123949579831928E-2</v>
      </c>
      <c r="M19" s="28"/>
      <c r="N19" s="29">
        <f>AVERAGE(C19:L19)</f>
        <v>9.6435752717308837E-2</v>
      </c>
      <c r="O19" s="29">
        <f>MEDIAN(C19:L19)</f>
        <v>9.9890181776028597E-2</v>
      </c>
    </row>
    <row r="21" spans="2:15" ht="14.25" customHeight="1" x14ac:dyDescent="0.3">
      <c r="B21" s="25" t="s">
        <v>89</v>
      </c>
      <c r="C21" s="26">
        <f>HistoricalFS!C30/SUM(HistoricalFS!C56:C58)</f>
        <v>0.16533465471535494</v>
      </c>
      <c r="D21" s="26">
        <f>HistoricalFS!D30/SUM(HistoricalFS!D56:D58)</f>
        <v>0.23340593933834661</v>
      </c>
      <c r="E21" s="26">
        <f>HistoricalFS!E30/SUM(HistoricalFS!E56:E58)</f>
        <v>0.23743343183904786</v>
      </c>
      <c r="F21" s="26">
        <f>HistoricalFS!F30/SUM(HistoricalFS!F56:F58)</f>
        <v>0.22167921024337797</v>
      </c>
      <c r="G21" s="26">
        <f>HistoricalFS!G30/SUM(HistoricalFS!G56:G58)</f>
        <v>0.11648267986296156</v>
      </c>
      <c r="H21" s="26">
        <f>HistoricalFS!H30/SUM(HistoricalFS!H56:H58)</f>
        <v>0.18832187236096032</v>
      </c>
      <c r="I21" s="26">
        <f>HistoricalFS!I30/SUM(HistoricalFS!I56:I58)</f>
        <v>0.22372513903289659</v>
      </c>
      <c r="J21" s="26">
        <f>HistoricalFS!J30/SUM(HistoricalFS!J56:J58)</f>
        <v>0.21034468921792865</v>
      </c>
      <c r="K21" s="26">
        <f>HistoricalFS!K30/SUM(HistoricalFS!K56:K58)</f>
        <v>0.16937748834912503</v>
      </c>
      <c r="L21" s="26">
        <f>HistoricalFS!L30/SUM(HistoricalFS!L56:L58)</f>
        <v>0.17228650375615231</v>
      </c>
      <c r="M21" s="25"/>
      <c r="N21" s="26">
        <f>AVERAGE(C21:L21)</f>
        <v>0.19383916087161518</v>
      </c>
      <c r="O21" s="26">
        <f>MEDIAN(C21:L21)</f>
        <v>0.19933328078944448</v>
      </c>
    </row>
    <row r="22" spans="2:15" ht="14.25" customHeight="1" x14ac:dyDescent="0.3">
      <c r="B22" t="s">
        <v>90</v>
      </c>
      <c r="C22" s="27">
        <f>HistoricalFS!C42/SUM(HistoricalFS!C56:C57)</f>
        <v>0.16474891195970104</v>
      </c>
      <c r="D22" s="27">
        <f>HistoricalFS!D42/SUM(HistoricalFS!D56:D57)</f>
        <v>0.21649036912461614</v>
      </c>
      <c r="E22" s="27">
        <f>HistoricalFS!E42/SUM(HistoricalFS!E56:E57)</f>
        <v>0.22876699916806029</v>
      </c>
      <c r="F22" s="27">
        <f>HistoricalFS!F42/SUM(HistoricalFS!F56:F57)</f>
        <v>0.2238716449242765</v>
      </c>
      <c r="G22" s="27">
        <f>HistoricalFS!G42/SUM(HistoricalFS!G56:G57)</f>
        <v>0.12991863412031479</v>
      </c>
      <c r="H22" s="27">
        <f>HistoricalFS!H42/SUM(HistoricalFS!H56:H57)</f>
        <v>0.236267870579383</v>
      </c>
      <c r="I22" s="27">
        <f>HistoricalFS!I42/SUM(HistoricalFS!I56:I57)</f>
        <v>0.27626360644671338</v>
      </c>
      <c r="J22" s="27">
        <f>HistoricalFS!J42/SUM(HistoricalFS!J56:J57)</f>
        <v>0.37219205791546894</v>
      </c>
      <c r="K22" s="27">
        <f>HistoricalFS!K42/SUM(HistoricalFS!K56:K57)</f>
        <v>0.28707845836200963</v>
      </c>
      <c r="L22" s="27">
        <f>HistoricalFS!L42/SUM(HistoricalFS!L56:L57)</f>
        <v>0.32305928803413358</v>
      </c>
      <c r="N22" s="27">
        <f>AVERAGE(C22:L22)</f>
        <v>0.24586578406346776</v>
      </c>
      <c r="O22" s="27">
        <f>MEDIAN(C22:L22)</f>
        <v>0.23251743487372165</v>
      </c>
    </row>
    <row r="23" spans="2:15" ht="14.25" customHeight="1" x14ac:dyDescent="0.3">
      <c r="B23" t="s">
        <v>91</v>
      </c>
      <c r="C23" s="27">
        <f>HistoricalFS!C53</f>
        <v>0.66895651675080292</v>
      </c>
      <c r="D23" s="27">
        <f>HistoricalFS!D53</f>
        <v>0.69787006198328383</v>
      </c>
      <c r="E23" s="27">
        <f>HistoricalFS!E53</f>
        <v>0.68033701796709056</v>
      </c>
      <c r="F23" s="27">
        <f>HistoricalFS!F53</f>
        <v>0.76155391828533159</v>
      </c>
      <c r="G23" s="27">
        <f>HistoricalFS!G53</f>
        <v>0.6344969199178645</v>
      </c>
      <c r="H23" s="27">
        <f>HistoricalFS!H53</f>
        <v>0.69631483166515018</v>
      </c>
      <c r="I23" s="27">
        <f>HistoricalFS!I53</f>
        <v>0.72816127061698221</v>
      </c>
      <c r="J23" s="27">
        <f>HistoricalFS!J53</f>
        <v>0.71996567505720821</v>
      </c>
      <c r="K23" s="27">
        <f>HistoricalFS!K53</f>
        <v>0.70662271501348517</v>
      </c>
      <c r="L23" s="27">
        <f>HistoricalFS!L53</f>
        <v>0.73684210526315796</v>
      </c>
      <c r="N23" s="27">
        <f>AVERAGE(C23:L23)</f>
        <v>0.70311210325203566</v>
      </c>
      <c r="O23" s="27">
        <f>MEDIAN(C23:L23)</f>
        <v>0.7022463884983845</v>
      </c>
    </row>
    <row r="24" spans="2:15" ht="14.25" customHeight="1" x14ac:dyDescent="0.3">
      <c r="B24" t="s">
        <v>92</v>
      </c>
      <c r="C24" s="27">
        <f t="shared" ref="C24:L24" si="1">C22*C23</f>
        <v>0.1102098582830463</v>
      </c>
      <c r="D24" s="27">
        <f t="shared" si="1"/>
        <v>0.15108214731977987</v>
      </c>
      <c r="E24" s="27">
        <f t="shared" si="1"/>
        <v>0.15563865802327803</v>
      </c>
      <c r="F24" s="27">
        <f t="shared" si="1"/>
        <v>0.17049032838506523</v>
      </c>
      <c r="G24" s="27">
        <f t="shared" si="1"/>
        <v>8.2432973189275713E-2</v>
      </c>
      <c r="H24" s="27">
        <f t="shared" si="1"/>
        <v>0.16451682253036656</v>
      </c>
      <c r="I24" s="27">
        <f t="shared" si="1"/>
        <v>0.20116445869546873</v>
      </c>
      <c r="J24" s="27">
        <f t="shared" si="1"/>
        <v>0.26796550622804211</v>
      </c>
      <c r="K24" s="27">
        <f t="shared" si="1"/>
        <v>0.20285615966964898</v>
      </c>
      <c r="L24" s="27">
        <f t="shared" si="1"/>
        <v>0.23804368591988792</v>
      </c>
      <c r="N24" s="27">
        <f>AVERAGE(C24:L24)</f>
        <v>0.17444005982438598</v>
      </c>
      <c r="O24" s="27">
        <f>MEDIAN(C24:L24)</f>
        <v>0.16750357545771588</v>
      </c>
    </row>
    <row r="25" spans="2:15" ht="14.25" customHeight="1" x14ac:dyDescent="0.3">
      <c r="B25" s="28" t="s">
        <v>93</v>
      </c>
      <c r="C25" s="30">
        <f>HistoricalFS!C30/HistoricalFS!C33</f>
        <v>26.788288288288275</v>
      </c>
      <c r="D25" s="30">
        <f>HistoricalFS!D30/HistoricalFS!D33</f>
        <v>29.90740740740743</v>
      </c>
      <c r="E25" s="30">
        <f>HistoricalFS!E30/HistoricalFS!E33</f>
        <v>38.245717548534472</v>
      </c>
      <c r="F25" s="30">
        <f>HistoricalFS!F30/HistoricalFS!F33</f>
        <v>13.662650602409638</v>
      </c>
      <c r="G25" s="30">
        <f>HistoricalFS!G30/HistoricalFS!G33</f>
        <v>7.5369458128078817</v>
      </c>
      <c r="H25" s="30">
        <f>HistoricalFS!H30/HistoricalFS!H33</f>
        <v>14.321100917431192</v>
      </c>
      <c r="I25" s="30">
        <f>HistoricalFS!I30/HistoricalFS!I33</f>
        <v>15.823333333333334</v>
      </c>
      <c r="J25" s="30">
        <f>HistoricalFS!J30/HistoricalFS!J33</f>
        <v>8.4684975767366719</v>
      </c>
      <c r="K25" s="30">
        <f>HistoricalFS!K30/HistoricalFS!K33</f>
        <v>5.7586568730325292</v>
      </c>
      <c r="L25" s="30">
        <f>HistoricalFS!L30/HistoricalFS!L33</f>
        <v>6.7635593220338981</v>
      </c>
      <c r="M25" s="28"/>
      <c r="N25" s="30">
        <f>AVERAGE(C25:L25)</f>
        <v>16.727615768201531</v>
      </c>
      <c r="O25" s="30">
        <f>MEDIAN(C25:L25)</f>
        <v>13.991875759920415</v>
      </c>
    </row>
    <row r="27" spans="2:15" ht="14.25" customHeight="1" x14ac:dyDescent="0.3">
      <c r="B27" s="25" t="s">
        <v>94</v>
      </c>
      <c r="C27" s="31">
        <f>HistoricalFS!C9/HistoricalFS!C69</f>
        <v>63.876830443159925</v>
      </c>
      <c r="D27" s="31">
        <f>HistoricalFS!D9/HistoricalFS!D69</f>
        <v>54.515776657986407</v>
      </c>
      <c r="E27" s="31">
        <f>HistoricalFS!E9/HistoricalFS!E69</f>
        <v>47.041312879058154</v>
      </c>
      <c r="F27" s="31">
        <f>HistoricalFS!F9/HistoricalFS!F69</f>
        <v>67.474358974358978</v>
      </c>
      <c r="G27" s="31">
        <f>HistoricalFS!G9/HistoricalFS!G69</f>
        <v>59.136612021857921</v>
      </c>
      <c r="H27" s="31">
        <f>HistoricalFS!H9/HistoricalFS!H69</f>
        <v>50.971681415929204</v>
      </c>
      <c r="I27" s="31">
        <f>HistoricalFS!I9/HistoricalFS!I69</f>
        <v>60.200296735905042</v>
      </c>
      <c r="J27" s="31">
        <f>HistoricalFS!J9/HistoricalFS!J69</f>
        <v>50.180746561886053</v>
      </c>
      <c r="K27" s="31">
        <f>HistoricalFS!K9/HistoricalFS!K69</f>
        <v>56.606741573033709</v>
      </c>
      <c r="L27" s="31">
        <f>HistoricalFS!L9/HistoricalFS!L69</f>
        <v>95.615720524017462</v>
      </c>
      <c r="M27" s="25"/>
      <c r="N27" s="31">
        <f>AVERAGE(C27:L27)</f>
        <v>60.562007778719284</v>
      </c>
      <c r="O27" s="31">
        <f>MEDIAN(C27:L27)</f>
        <v>57.871676797445815</v>
      </c>
    </row>
    <row r="28" spans="2:15" ht="14.25" customHeight="1" x14ac:dyDescent="0.3">
      <c r="B28" t="s">
        <v>95</v>
      </c>
      <c r="C28" s="32">
        <f>HistoricalFS!C12/HistoricalFS!C59</f>
        <v>13.545351213282249</v>
      </c>
      <c r="D28" s="32">
        <f>HistoricalFS!D12/HistoricalFS!D59</f>
        <v>14.536025056947608</v>
      </c>
      <c r="E28" s="32">
        <f>HistoricalFS!E12/HistoricalFS!E59</f>
        <v>17.285298013245033</v>
      </c>
      <c r="F28" s="32">
        <f>HistoricalFS!F12/HistoricalFS!F59</f>
        <v>27.895973154362416</v>
      </c>
      <c r="G28" s="32">
        <f>HistoricalFS!G12/HistoricalFS!G59</f>
        <v>22.384030418250951</v>
      </c>
      <c r="H28" s="32">
        <f>HistoricalFS!H12/HistoricalFS!H59</f>
        <v>17.948222565687789</v>
      </c>
      <c r="I28" s="32">
        <f>HistoricalFS!I12/HistoricalFS!I59</f>
        <v>26.602141680395388</v>
      </c>
      <c r="J28" s="32">
        <f>HistoricalFS!J12/HistoricalFS!J59</f>
        <v>29.548936170212766</v>
      </c>
      <c r="K28" s="32">
        <f>HistoricalFS!K12/HistoricalFS!K59</f>
        <v>25.483443708609272</v>
      </c>
      <c r="L28" s="32">
        <f>HistoricalFS!L12/HistoricalFS!L59</f>
        <v>25.649790502793294</v>
      </c>
      <c r="N28" s="32">
        <f>AVERAGE(C28:L28)</f>
        <v>22.08792124837867</v>
      </c>
      <c r="O28" s="32">
        <f>MEDIAN(C28:L28)</f>
        <v>23.933737063430112</v>
      </c>
    </row>
    <row r="29" spans="2:15" ht="14.25" customHeight="1" x14ac:dyDescent="0.3">
      <c r="B29" t="s">
        <v>96</v>
      </c>
      <c r="C29" s="32">
        <f>HistoricalFS!C12/HistoricalFS!C70</f>
        <v>2.153181044878536</v>
      </c>
      <c r="D29" s="32">
        <f>HistoricalFS!D12/HistoricalFS!D70</f>
        <v>2.1540885492266457</v>
      </c>
      <c r="E29" s="32">
        <f>HistoricalFS!E12/HistoricalFS!E70</f>
        <v>2.2248729190404073</v>
      </c>
      <c r="F29" s="32">
        <f>HistoricalFS!F12/HistoricalFS!F70</f>
        <v>2.0518326545723804</v>
      </c>
      <c r="G29" s="32">
        <f>HistoricalFS!G12/HistoricalFS!G70</f>
        <v>2.1004995242626072</v>
      </c>
      <c r="H29" s="32">
        <f>HistoricalFS!H12/HistoricalFS!H70</f>
        <v>1.7065912263942979</v>
      </c>
      <c r="I29" s="32">
        <f>HistoricalFS!I12/HistoricalFS!I70</f>
        <v>1.9473589001447178</v>
      </c>
      <c r="J29" s="32">
        <f>HistoricalFS!J12/HistoricalFS!J70</f>
        <v>2.1869718125032809</v>
      </c>
      <c r="K29" s="32">
        <f>HistoricalFS!K12/HistoricalFS!K70</f>
        <v>1.7749077490774907</v>
      </c>
      <c r="L29" s="32">
        <f>HistoricalFS!L12/HistoricalFS!L70</f>
        <v>1.7186673841330744</v>
      </c>
      <c r="N29" s="32">
        <f>AVERAGE(C29:L29)</f>
        <v>2.001897176423344</v>
      </c>
      <c r="O29" s="32">
        <f>MEDIAN(C29:L29)</f>
        <v>2.0761660894174936</v>
      </c>
    </row>
    <row r="30" spans="2:15" ht="14.25" customHeight="1" x14ac:dyDescent="0.3">
      <c r="B30" t="s">
        <v>97</v>
      </c>
      <c r="C30" s="32">
        <f>HistoricalFS!C9/HistoricalFS!C63</f>
        <v>11.155553873073558</v>
      </c>
      <c r="D30" s="32">
        <f>HistoricalFS!D9/HistoricalFS!D63</f>
        <v>10.93748176494935</v>
      </c>
      <c r="E30" s="32">
        <f>HistoricalFS!E9/HistoricalFS!E63</f>
        <v>12.624882710020872</v>
      </c>
      <c r="F30" s="32">
        <f>HistoricalFS!F9/HistoricalFS!F63</f>
        <v>7.995442461071022</v>
      </c>
      <c r="G30" s="32">
        <f>HistoricalFS!G9/HistoricalFS!G63</f>
        <v>8.5786761791518042</v>
      </c>
      <c r="H30" s="32">
        <f>HistoricalFS!H9/HistoricalFS!H63</f>
        <v>11.320361635220126</v>
      </c>
      <c r="I30" s="32">
        <f>HistoricalFS!I9/HistoricalFS!I63</f>
        <v>13.534022681787858</v>
      </c>
      <c r="J30" s="32">
        <f>HistoricalFS!J9/HistoricalFS!J63</f>
        <v>13.772984631976273</v>
      </c>
      <c r="K30" s="32">
        <f>HistoricalFS!K9/HistoricalFS!K63</f>
        <v>14.883308714918758</v>
      </c>
      <c r="L30" s="32">
        <f>HistoricalFS!L9/HistoricalFS!L63</f>
        <v>12.733934283221867</v>
      </c>
      <c r="N30" s="32">
        <f>AVERAGE(C30:L30)</f>
        <v>11.753664893539149</v>
      </c>
      <c r="O30" s="32">
        <f>MEDIAN(C30:L30)</f>
        <v>11.972622172620499</v>
      </c>
    </row>
    <row r="31" spans="2:15" ht="14.25" customHeight="1" x14ac:dyDescent="0.3">
      <c r="B31" s="28" t="s">
        <v>98</v>
      </c>
      <c r="C31" s="30">
        <f>HistoricalFS!C9/SUM(HistoricalFS!C56:C58)</f>
        <v>2.1686413805171378</v>
      </c>
      <c r="D31" s="30">
        <f>HistoricalFS!D9/SUM(HistoricalFS!D56:D58)</f>
        <v>2.3772351416996882</v>
      </c>
      <c r="E31" s="30">
        <f>HistoricalFS!E9/SUM(HistoricalFS!E56:E58)</f>
        <v>2.337021881975109</v>
      </c>
      <c r="F31" s="30">
        <f>HistoricalFS!F9/SUM(HistoricalFS!F56:F58)</f>
        <v>2.0576678721532597</v>
      </c>
      <c r="G31" s="30">
        <f>HistoricalFS!G9/SUM(HistoricalFS!G56:G58)</f>
        <v>1.6478111914731632</v>
      </c>
      <c r="H31" s="30">
        <f>HistoricalFS!H9/SUM(HistoricalFS!H56:H58)</f>
        <v>1.7371818072143805</v>
      </c>
      <c r="I31" s="30">
        <f>HistoricalFS!I9/SUM(HistoricalFS!I56:I58)</f>
        <v>1.9122914506551041</v>
      </c>
      <c r="J31" s="30">
        <f>HistoricalFS!J9/SUM(HistoricalFS!J56:J58)</f>
        <v>2.0498374864572049</v>
      </c>
      <c r="K31" s="30">
        <f>HistoricalFS!K9/SUM(HistoricalFS!K56:K58)</f>
        <v>1.865868337396994</v>
      </c>
      <c r="L31" s="30">
        <f>HistoricalFS!L9/SUM(HistoricalFS!L56:L58)</f>
        <v>1.8906830152836542</v>
      </c>
      <c r="M31" s="28"/>
      <c r="N31" s="30">
        <f>AVERAGE(C31:L31)</f>
        <v>2.0044239564825692</v>
      </c>
      <c r="O31" s="30">
        <f>MEDIAN(C31:L31)</f>
        <v>1.9810644685561545</v>
      </c>
    </row>
    <row r="32" spans="2:15" x14ac:dyDescent="0.3">
      <c r="B32" s="351" t="s">
        <v>562</v>
      </c>
    </row>
    <row r="33" spans="2:15" ht="14.25" customHeight="1" x14ac:dyDescent="0.3">
      <c r="B33" s="25" t="s">
        <v>99</v>
      </c>
      <c r="C33" s="348">
        <f t="shared" ref="C33:L33" si="2">365/C27</f>
        <v>5.714121966724556</v>
      </c>
      <c r="D33" s="348">
        <f t="shared" si="2"/>
        <v>6.6953095484612994</v>
      </c>
      <c r="E33" s="348">
        <f t="shared" si="2"/>
        <v>7.7591371851887798</v>
      </c>
      <c r="F33" s="348">
        <f t="shared" si="2"/>
        <v>5.4094622838685158</v>
      </c>
      <c r="G33" s="348">
        <f t="shared" si="2"/>
        <v>6.172149325448161</v>
      </c>
      <c r="H33" s="348">
        <f t="shared" si="2"/>
        <v>7.160838918017987</v>
      </c>
      <c r="I33" s="348">
        <f t="shared" si="2"/>
        <v>6.0630930375847196</v>
      </c>
      <c r="J33" s="348">
        <f t="shared" si="2"/>
        <v>7.2737060527758199</v>
      </c>
      <c r="K33" s="348">
        <f t="shared" si="2"/>
        <v>6.4479952362048429</v>
      </c>
      <c r="L33" s="348">
        <f t="shared" si="2"/>
        <v>3.8173639020825725</v>
      </c>
      <c r="M33" s="25"/>
      <c r="N33" s="352">
        <f>AVERAGE(C33:L33)</f>
        <v>6.2513177456357258</v>
      </c>
      <c r="O33" s="352">
        <f>MEDIAN(C33:L33)</f>
        <v>6.3100722808265015</v>
      </c>
    </row>
    <row r="34" spans="2:15" ht="14.25" customHeight="1" x14ac:dyDescent="0.3">
      <c r="B34" t="s">
        <v>100</v>
      </c>
      <c r="C34" s="349">
        <f t="shared" ref="C34:L34" si="3">365/C28</f>
        <v>26.946514287653883</v>
      </c>
      <c r="D34" s="349">
        <f t="shared" si="3"/>
        <v>25.110028262199876</v>
      </c>
      <c r="E34" s="349">
        <f t="shared" si="3"/>
        <v>21.116210997364067</v>
      </c>
      <c r="F34" s="349">
        <f t="shared" si="3"/>
        <v>13.084325754841814</v>
      </c>
      <c r="G34" s="349">
        <f t="shared" si="3"/>
        <v>16.30626804824189</v>
      </c>
      <c r="H34" s="349">
        <f t="shared" si="3"/>
        <v>20.336275565123788</v>
      </c>
      <c r="I34" s="349">
        <f t="shared" si="3"/>
        <v>13.720699798730454</v>
      </c>
      <c r="J34" s="349">
        <f t="shared" si="3"/>
        <v>12.352390552995391</v>
      </c>
      <c r="K34" s="349">
        <f t="shared" si="3"/>
        <v>14.323024948024948</v>
      </c>
      <c r="L34" s="349">
        <f t="shared" si="3"/>
        <v>14.230135718272281</v>
      </c>
      <c r="N34" s="353">
        <f>AVERAGE(C34:L34)</f>
        <v>17.752587393344839</v>
      </c>
      <c r="O34" s="353">
        <f>MEDIAN(C34:L34)</f>
        <v>15.314646498133419</v>
      </c>
    </row>
    <row r="35" spans="2:15" ht="14.25" customHeight="1" x14ac:dyDescent="0.3">
      <c r="B35" t="s">
        <v>101</v>
      </c>
      <c r="C35" s="349">
        <f t="shared" ref="C35:L35" si="4">365/C29</f>
        <v>169.51663255078961</v>
      </c>
      <c r="D35" s="349">
        <f t="shared" si="4"/>
        <v>169.44521622894342</v>
      </c>
      <c r="E35" s="349">
        <f t="shared" si="4"/>
        <v>164.05431378859396</v>
      </c>
      <c r="F35" s="349">
        <f t="shared" si="4"/>
        <v>177.88975099242154</v>
      </c>
      <c r="G35" s="349">
        <f t="shared" si="4"/>
        <v>173.76818979672723</v>
      </c>
      <c r="H35" s="349">
        <f t="shared" si="4"/>
        <v>213.87664155005382</v>
      </c>
      <c r="I35" s="349">
        <f t="shared" si="4"/>
        <v>187.43334881560614</v>
      </c>
      <c r="J35" s="349">
        <f t="shared" si="4"/>
        <v>166.89744143625191</v>
      </c>
      <c r="K35" s="349">
        <f t="shared" si="4"/>
        <v>205.64449064449065</v>
      </c>
      <c r="L35" s="349">
        <f t="shared" si="4"/>
        <v>212.37384462503914</v>
      </c>
      <c r="N35" s="353">
        <f>AVERAGE(C35:L35)</f>
        <v>184.08998704289175</v>
      </c>
      <c r="O35" s="353">
        <f>MEDIAN(C35:L35)</f>
        <v>175.82897039457438</v>
      </c>
    </row>
    <row r="36" spans="2:15" ht="14.25" customHeight="1" x14ac:dyDescent="0.3">
      <c r="B36" s="28" t="s">
        <v>102</v>
      </c>
      <c r="C36" s="350">
        <f t="shared" ref="C36:L36" si="5">SUM(C33,C35)-C34</f>
        <v>148.28424022986027</v>
      </c>
      <c r="D36" s="350">
        <f t="shared" si="5"/>
        <v>151.03049751520484</v>
      </c>
      <c r="E36" s="350">
        <f t="shared" si="5"/>
        <v>150.69723997641867</v>
      </c>
      <c r="F36" s="350">
        <f t="shared" si="5"/>
        <v>170.21488752144825</v>
      </c>
      <c r="G36" s="350">
        <f t="shared" si="5"/>
        <v>163.63407107393351</v>
      </c>
      <c r="H36" s="350">
        <f t="shared" si="5"/>
        <v>200.70120490294801</v>
      </c>
      <c r="I36" s="350">
        <f t="shared" si="5"/>
        <v>179.77574205446038</v>
      </c>
      <c r="J36" s="350">
        <f t="shared" si="5"/>
        <v>161.81875693603234</v>
      </c>
      <c r="K36" s="350">
        <f t="shared" si="5"/>
        <v>197.76946093267054</v>
      </c>
      <c r="L36" s="350">
        <f t="shared" si="5"/>
        <v>201.96107280884942</v>
      </c>
      <c r="M36" s="28"/>
      <c r="N36" s="354">
        <f>AVERAGE(C36:L36)</f>
        <v>172.58871739518261</v>
      </c>
      <c r="O36" s="354">
        <f>MEDIAN(C36:L36)</f>
        <v>166.92447929769088</v>
      </c>
    </row>
    <row r="38" spans="2:15" ht="14.25" customHeight="1" x14ac:dyDescent="0.3">
      <c r="B38" s="25" t="s">
        <v>103</v>
      </c>
      <c r="C38" s="26">
        <f>HistoricalFS!C89/HistoricalFS!C9</f>
        <v>0.12910202453390926</v>
      </c>
      <c r="D38" s="26">
        <f>HistoricalFS!D89/HistoricalFS!D9</f>
        <v>-3.1638168534662715E-3</v>
      </c>
      <c r="E38" s="26">
        <f>HistoricalFS!E89/HistoricalFS!E9</f>
        <v>6.2845956118051299E-2</v>
      </c>
      <c r="F38" s="26">
        <f>HistoricalFS!F89/HistoricalFS!F9</f>
        <v>-1.6530495914877447E-2</v>
      </c>
      <c r="G38" s="26">
        <f>HistoricalFS!G89/HistoricalFS!G9</f>
        <v>0.19123082609499167</v>
      </c>
      <c r="H38" s="26">
        <f>HistoricalFS!H89/HistoricalFS!H9</f>
        <v>-2.5139761797284627E-2</v>
      </c>
      <c r="I38" s="26">
        <f>HistoricalFS!I89/HistoricalFS!I9</f>
        <v>3.3764633394947625E-2</v>
      </c>
      <c r="J38" s="26">
        <f>HistoricalFS!J89/HistoricalFS!J9</f>
        <v>3.3180643645759927E-2</v>
      </c>
      <c r="K38" s="26">
        <f>HistoricalFS!K89/HistoricalFS!K9</f>
        <v>-8.9486568744210661E-3</v>
      </c>
      <c r="L38" s="26">
        <f>HistoricalFS!L89/HistoricalFS!L9</f>
        <v>6.3824442820606508E-2</v>
      </c>
      <c r="M38" s="25"/>
      <c r="N38" s="26">
        <f>AVERAGE(C38:L38)</f>
        <v>4.6016579516821685E-2</v>
      </c>
      <c r="O38" s="26">
        <f>MEDIAN(C38:L38)</f>
        <v>3.3472638520353773E-2</v>
      </c>
    </row>
    <row r="39" spans="2:15" ht="14.25" customHeight="1" x14ac:dyDescent="0.3">
      <c r="B39" t="s">
        <v>104</v>
      </c>
      <c r="C39" s="27">
        <f>HistoricalFS!C89/HistoricalFS!C74</f>
        <v>0.20362601798141439</v>
      </c>
      <c r="D39" s="27">
        <f>HistoricalFS!D89/HistoricalFS!D74</f>
        <v>-5.3565576869753721E-3</v>
      </c>
      <c r="E39" s="27">
        <f>HistoricalFS!E89/HistoricalFS!E74</f>
        <v>0.10615004133275946</v>
      </c>
      <c r="F39" s="27">
        <f>HistoricalFS!F89/HistoricalFS!F74</f>
        <v>-2.5694034258712344E-2</v>
      </c>
      <c r="G39" s="27">
        <f>HistoricalFS!G89/HistoricalFS!G74</f>
        <v>0.25170274872293846</v>
      </c>
      <c r="H39" s="27">
        <f>HistoricalFS!H89/HistoricalFS!H74</f>
        <v>-3.4170285067019066E-2</v>
      </c>
      <c r="I39" s="27">
        <f>HistoricalFS!I89/HistoricalFS!I74</f>
        <v>5.0703182827535158E-2</v>
      </c>
      <c r="J39" s="27">
        <f>HistoricalFS!J89/HistoricalFS!J74</f>
        <v>5.3729356198687669E-2</v>
      </c>
      <c r="K39" s="27">
        <f>HistoricalFS!K89/HistoricalFS!K74</f>
        <v>-1.3310370279247139E-2</v>
      </c>
      <c r="L39" s="27">
        <f>HistoricalFS!L89/HistoricalFS!L74</f>
        <v>9.2303627747230069E-2</v>
      </c>
      <c r="N39" s="27">
        <f>AVERAGE(C39:L39)</f>
        <v>6.7968372751861128E-2</v>
      </c>
      <c r="O39" s="27">
        <f>MEDIAN(C39:L39)</f>
        <v>5.221626951311141E-2</v>
      </c>
    </row>
    <row r="40" spans="2:15" ht="14.25" customHeight="1" x14ac:dyDescent="0.3">
      <c r="B40" s="28" t="s">
        <v>105</v>
      </c>
      <c r="C40" s="29">
        <f>HistoricalFS!C89/HistoricalFS!C58</f>
        <v>0.90946276886789945</v>
      </c>
      <c r="D40" s="29">
        <f>HistoricalFS!D89/HistoricalFS!D58</f>
        <v>-3.0159490482019623E-2</v>
      </c>
      <c r="E40" s="29">
        <f>HistoricalFS!E89/HistoricalFS!E58</f>
        <v>0.51943601701643971</v>
      </c>
      <c r="F40" s="29">
        <f>HistoricalFS!F89/HistoricalFS!F58</f>
        <v>-9.7697922515440766E-2</v>
      </c>
      <c r="G40" s="29">
        <f>HistoricalFS!G89/HistoricalFS!G58</f>
        <v>0.7341255764455481</v>
      </c>
      <c r="H40" s="29">
        <f>HistoricalFS!H89/HistoricalFS!H58</f>
        <v>-9.9518900343642608E-2</v>
      </c>
      <c r="I40" s="29">
        <f>HistoricalFS!I89/HistoricalFS!I58</f>
        <v>0.14625814027970535</v>
      </c>
      <c r="J40" s="29">
        <f>HistoricalFS!J89/HistoricalFS!J58</f>
        <v>0.10915765069551778</v>
      </c>
      <c r="K40" s="29">
        <f>HistoricalFS!K89/HistoricalFS!K58</f>
        <v>-2.6038407854839487E-2</v>
      </c>
      <c r="L40" s="29">
        <f>HistoricalFS!L89/HistoricalFS!L58</f>
        <v>0.18255445609222429</v>
      </c>
      <c r="M40" s="28"/>
      <c r="N40" s="29">
        <f>AVERAGE(C40:L40)</f>
        <v>0.23475798882013915</v>
      </c>
      <c r="O40" s="29">
        <f>MEDIAN(C40:L40)</f>
        <v>0.12770789548761158</v>
      </c>
    </row>
    <row r="42" spans="2:15" ht="9.75" customHeight="1" x14ac:dyDescent="0.3">
      <c r="B42" s="1"/>
      <c r="C42" s="1"/>
      <c r="D42" s="1"/>
      <c r="E42" s="1"/>
      <c r="F42" s="1"/>
      <c r="G42" s="1"/>
      <c r="H42" s="1"/>
      <c r="I42" s="1"/>
      <c r="J42" s="1"/>
      <c r="K42" s="1"/>
      <c r="L42" s="1"/>
      <c r="M42" s="1"/>
      <c r="N42" s="1"/>
      <c r="O42" s="1"/>
    </row>
  </sheetData>
  <mergeCells count="1">
    <mergeCell ref="B2:O2"/>
  </mergeCells>
  <pageMargins left="0.25" right="0.25" top="0.75" bottom="0.75" header="0.3" footer="0.3"/>
  <pageSetup scale="84" fitToWidth="0" orientation="landscape" horizontalDpi="300" verticalDpi="300" r:id="rId1"/>
  <extLst>
    <ext xmlns:x14="http://schemas.microsoft.com/office/spreadsheetml/2009/9/main" uri="{05C60535-1F16-4fd2-B633-F4F36F0B64E0}">
      <x14:sparklineGroups xmlns:xm="http://schemas.microsoft.com/office/excel/2006/main">
        <x14:sparklineGroup displayEmptyCellsAs="gap" markers="1" xr2:uid="{DF29DA59-25D2-4BF1-BB6F-1ECC7CE9F6D8}">
          <x14:colorSeries rgb="FF376092"/>
          <x14:colorNegative rgb="FFD00000"/>
          <x14:colorAxis rgb="FF000000"/>
          <x14:colorMarkers theme="1"/>
          <x14:colorFirst rgb="FFD00000"/>
          <x14:colorLast rgb="FFD00000"/>
          <x14:colorHigh rgb="FFD00000"/>
          <x14:colorLow rgb="FFD00000"/>
          <x14:sparklines>
            <x14:sparkline>
              <xm:f>'Ratio Analysis'!C38:L38</xm:f>
              <xm:sqref>M38</xm:sqref>
            </x14:sparkline>
            <x14:sparkline>
              <xm:f>'Ratio Analysis'!C39:L39</xm:f>
              <xm:sqref>M39</xm:sqref>
            </x14:sparkline>
            <x14:sparkline>
              <xm:f>'Ratio Analysis'!C40:L40</xm:f>
              <xm:sqref>M40</xm:sqref>
            </x14:sparkline>
          </x14:sparklines>
        </x14:sparklineGroup>
        <x14:sparklineGroup displayEmptyCellsAs="gap" markers="1" xr2:uid="{64526CC7-A419-457A-8B7C-DB766CDADE78}">
          <x14:colorSeries rgb="FF376092"/>
          <x14:colorNegative rgb="FFD00000"/>
          <x14:colorAxis rgb="FF000000"/>
          <x14:colorMarkers theme="1"/>
          <x14:colorFirst rgb="FFD00000"/>
          <x14:colorLast rgb="FFD00000"/>
          <x14:colorHigh rgb="FFD00000"/>
          <x14:colorLow rgb="FFD00000"/>
          <x14:sparklines>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s>
        </x14:sparklineGroup>
        <x14:sparklineGroup displayEmptyCellsAs="gap" markers="1" xr2:uid="{024FDF00-D252-41BD-A6D5-FA29D4945B02}">
          <x14:colorSeries rgb="FF376092"/>
          <x14:colorNegative rgb="FFD00000"/>
          <x14:colorAxis rgb="FF000000"/>
          <x14:colorMarkers theme="1"/>
          <x14:colorFirst rgb="FFD00000"/>
          <x14:colorLast rgb="FFD00000"/>
          <x14:colorHigh rgb="FFD00000"/>
          <x14:colorLow rgb="FFD00000"/>
          <x14:sparklines>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s>
        </x14:sparklineGroup>
        <x14:sparklineGroup displayEmptyCellsAs="gap" markers="1" xr2:uid="{5B4AF55C-7068-4586-AB10-9F7E27FAA84C}">
          <x14:colorSeries rgb="FF376092"/>
          <x14:colorNegative rgb="FFD00000"/>
          <x14:colorAxis rgb="FF000000"/>
          <x14:colorMarkers theme="1"/>
          <x14:colorFirst rgb="FFD00000"/>
          <x14:colorLast rgb="FFD00000"/>
          <x14:colorHigh rgb="FFD00000"/>
          <x14:colorLow rgb="FFD00000"/>
          <x14:sparklines>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s>
        </x14:sparklineGroup>
        <x14:sparklineGroup displayEmptyCellsAs="gap" markers="1" xr2:uid="{F879DFFF-001F-4089-AE26-9097D82B44EE}">
          <x14:colorSeries rgb="FF376092"/>
          <x14:colorNegative rgb="FFD00000"/>
          <x14:colorAxis rgb="FF000000"/>
          <x14:colorMarkers theme="1"/>
          <x14:colorFirst rgb="FFD00000"/>
          <x14:colorLast rgb="FFD00000"/>
          <x14:colorHigh rgb="FFD00000"/>
          <x14:colorLow rgb="FFD00000"/>
          <x14:sparklines>
            <x14:sparkline>
              <xm:f>'Ratio Analysis'!C17:L17</xm:f>
              <xm:sqref>M17</xm:sqref>
            </x14:sparkline>
            <x14:sparkline>
              <xm:f>'Ratio Analysis'!C18:L18</xm:f>
              <xm:sqref>M18</xm:sqref>
            </x14:sparkline>
            <x14:sparkline>
              <xm:f>'Ratio Analysis'!C19:L19</xm:f>
              <xm:sqref>M19</xm:sqref>
            </x14:sparkline>
          </x14:sparklines>
        </x14:sparklineGroup>
        <x14:sparklineGroup displayEmptyCellsAs="gap" markers="1" xr2:uid="{C050C530-7B58-4829-9917-8741842745C3}">
          <x14:colorSeries rgb="FF376092"/>
          <x14:colorNegative rgb="FFD00000"/>
          <x14:colorAxis rgb="FF000000"/>
          <x14:colorMarkers theme="1"/>
          <x14:colorFirst rgb="FFD00000"/>
          <x14:colorLast rgb="FFD00000"/>
          <x14:colorHigh rgb="FFD00000"/>
          <x14:colorLow rgb="FFD00000"/>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s>
        </x14:sparklineGroup>
        <x14:sparklineGroup displayEmptyCellsAs="gap" markers="1" xr2:uid="{73CFC72F-6210-4D90-A87B-A707BC538A0D}">
          <x14:colorSeries rgb="FF376092"/>
          <x14:colorNegative rgb="FFD00000"/>
          <x14:colorAxis rgb="FF000000"/>
          <x14:colorMarkers theme="1"/>
          <x14:colorFirst rgb="FFD00000"/>
          <x14:colorLast rgb="FFD00000"/>
          <x14:colorHigh rgb="FFD00000"/>
          <x14:colorLow rgb="FFD00000"/>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3CCCC"/>
  </sheetPr>
  <dimension ref="B2:L43"/>
  <sheetViews>
    <sheetView showGridLines="0" zoomScale="66" zoomScaleNormal="66" workbookViewId="0">
      <pane ySplit="4" topLeftCell="A5" activePane="bottomLeft" state="frozen"/>
      <selection activeCell="C3" sqref="C3"/>
      <selection pane="bottomLeft" activeCell="C3" sqref="C3"/>
    </sheetView>
  </sheetViews>
  <sheetFormatPr defaultColWidth="8.6640625" defaultRowHeight="14.4" x14ac:dyDescent="0.3"/>
  <cols>
    <col min="1" max="1" width="1.88671875" customWidth="1"/>
    <col min="2" max="2" width="22" customWidth="1"/>
    <col min="3" max="12" width="9.6640625" customWidth="1"/>
    <col min="13" max="13" width="5" customWidth="1"/>
  </cols>
  <sheetData>
    <row r="2" spans="2:12" ht="14.25" customHeight="1" x14ac:dyDescent="0.3">
      <c r="B2" s="372" t="str">
        <f>"Common Size Income Statement"&amp;" - "&amp;'Data Sheet'!B1</f>
        <v>Common Size Income Statement - TITAN COMPANY LTD</v>
      </c>
      <c r="C2" s="372"/>
      <c r="D2" s="372"/>
      <c r="E2" s="372"/>
      <c r="F2" s="372"/>
      <c r="G2" s="372"/>
      <c r="H2" s="372"/>
      <c r="I2" s="372"/>
      <c r="J2" s="372"/>
      <c r="K2" s="372"/>
      <c r="L2" s="372"/>
    </row>
    <row r="4" spans="2:12" ht="14.25" customHeight="1" x14ac:dyDescent="0.3">
      <c r="B4" s="33" t="s">
        <v>106</v>
      </c>
      <c r="C4" s="34">
        <f>'Data Sheet'!B16</f>
        <v>42825</v>
      </c>
      <c r="D4" s="34">
        <f>'Data Sheet'!C16</f>
        <v>43190</v>
      </c>
      <c r="E4" s="34">
        <f>'Data Sheet'!D16</f>
        <v>43555</v>
      </c>
      <c r="F4" s="34">
        <f>'Data Sheet'!E16</f>
        <v>43921</v>
      </c>
      <c r="G4" s="34">
        <f>'Data Sheet'!F16</f>
        <v>44286</v>
      </c>
      <c r="H4" s="34">
        <f>'Data Sheet'!G16</f>
        <v>44651</v>
      </c>
      <c r="I4" s="34">
        <f>'Data Sheet'!H16</f>
        <v>45016</v>
      </c>
      <c r="J4" s="34">
        <f>'Data Sheet'!I16</f>
        <v>45382</v>
      </c>
      <c r="K4" s="34">
        <f>'Data Sheet'!J16</f>
        <v>45747</v>
      </c>
      <c r="L4" s="34">
        <f>'Data Sheet'!K16</f>
        <v>46112</v>
      </c>
    </row>
    <row r="6" spans="2:12" ht="14.25" customHeight="1" x14ac:dyDescent="0.3">
      <c r="B6" s="20" t="str">
        <f>'Data Sheet'!A17</f>
        <v>Sales</v>
      </c>
      <c r="C6" s="35">
        <f>'Data Sheet'!B17/'Data Sheet'!B17</f>
        <v>1</v>
      </c>
      <c r="D6" s="35">
        <f>'Data Sheet'!C17/'Data Sheet'!C17</f>
        <v>1</v>
      </c>
      <c r="E6" s="35">
        <f>'Data Sheet'!D17/'Data Sheet'!D17</f>
        <v>1</v>
      </c>
      <c r="F6" s="35">
        <f>'Data Sheet'!E17/'Data Sheet'!E17</f>
        <v>1</v>
      </c>
      <c r="G6" s="35">
        <f>'Data Sheet'!F17/'Data Sheet'!F17</f>
        <v>1</v>
      </c>
      <c r="H6" s="35">
        <f>'Data Sheet'!G17/'Data Sheet'!G17</f>
        <v>1</v>
      </c>
      <c r="I6" s="35">
        <f>'Data Sheet'!H17/'Data Sheet'!H17</f>
        <v>1</v>
      </c>
      <c r="J6" s="35">
        <f>'Data Sheet'!I17/'Data Sheet'!I17</f>
        <v>1</v>
      </c>
      <c r="K6" s="35">
        <f>'Data Sheet'!J17/'Data Sheet'!J17</f>
        <v>1</v>
      </c>
      <c r="L6" s="35">
        <f>'Data Sheet'!K17/'Data Sheet'!K17</f>
        <v>1</v>
      </c>
    </row>
    <row r="7" spans="2:12" ht="14.25" customHeight="1" x14ac:dyDescent="0.3">
      <c r="B7" s="18" t="str">
        <f>'Data Sheet'!A18</f>
        <v>Raw Material Cost</v>
      </c>
      <c r="C7" s="27">
        <f>'Data Sheet'!B18/'Data Sheet'!B$17</f>
        <v>0.74061276707415746</v>
      </c>
      <c r="D7" s="27">
        <f>'Data Sheet'!C18/'Data Sheet'!C$17</f>
        <v>0.78567063922127922</v>
      </c>
      <c r="E7" s="27">
        <f>'Data Sheet'!D18/'Data Sheet'!D$17</f>
        <v>0.767027057636264</v>
      </c>
      <c r="F7" s="27">
        <f>'Data Sheet'!E18/'Data Sheet'!E$17</f>
        <v>0.76159034771043133</v>
      </c>
      <c r="G7" s="27">
        <f>'Data Sheet'!F18/'Data Sheet'!F$17</f>
        <v>0.75272592866383292</v>
      </c>
      <c r="H7" s="27">
        <f>'Data Sheet'!G18/'Data Sheet'!G$17</f>
        <v>0.91794853987985692</v>
      </c>
      <c r="I7" s="27">
        <f>'Data Sheet'!H18/'Data Sheet'!H$17</f>
        <v>0.80317929759704254</v>
      </c>
      <c r="J7" s="27">
        <f>'Data Sheet'!I18/'Data Sheet'!I$17</f>
        <v>0.82419152767989978</v>
      </c>
      <c r="K7" s="27">
        <f>'Data Sheet'!J18/'Data Sheet'!J$17</f>
        <v>0.91423514622204582</v>
      </c>
      <c r="L7" s="27">
        <f>'Data Sheet'!K18/'Data Sheet'!K$17</f>
        <v>0.91618332115454881</v>
      </c>
    </row>
    <row r="8" spans="2:12" ht="14.25" customHeight="1" x14ac:dyDescent="0.3">
      <c r="B8" s="18" t="str">
        <f>'Data Sheet'!A19</f>
        <v>Change in Inventory</v>
      </c>
      <c r="C8" s="27">
        <f>'Data Sheet'!B19/'Data Sheet'!B$17</f>
        <v>2.3656890254984037E-2</v>
      </c>
      <c r="D8" s="27">
        <f>'Data Sheet'!C19/'Data Sheet'!C$17</f>
        <v>6.0708682568051529E-2</v>
      </c>
      <c r="E8" s="27">
        <f>'Data Sheet'!D19/'Data Sheet'!D$17</f>
        <v>3.9255212220125672E-2</v>
      </c>
      <c r="F8" s="27">
        <f>'Data Sheet'!E19/'Data Sheet'!E$17</f>
        <v>4.1706251187535626E-2</v>
      </c>
      <c r="G8" s="27">
        <f>'Data Sheet'!F19/'Data Sheet'!F$17</f>
        <v>-5.6366660506375899E-3</v>
      </c>
      <c r="H8" s="27">
        <f>'Data Sheet'!G19/'Data Sheet'!G$17</f>
        <v>0.16649883676516547</v>
      </c>
      <c r="I8" s="27">
        <f>'Data Sheet'!H19/'Data Sheet'!H$17</f>
        <v>5.5058533579790514E-2</v>
      </c>
      <c r="J8" s="27">
        <f>'Data Sheet'!I19/'Data Sheet'!I$17</f>
        <v>5.2286430193406938E-2</v>
      </c>
      <c r="K8" s="27">
        <f>'Data Sheet'!J19/'Data Sheet'!J$17</f>
        <v>0.12926756649464072</v>
      </c>
      <c r="L8" s="27">
        <f>'Data Sheet'!K19/'Data Sheet'!K$17</f>
        <v>0.1134453781512605</v>
      </c>
    </row>
    <row r="9" spans="2:12" ht="14.25" customHeight="1" x14ac:dyDescent="0.3">
      <c r="B9" s="18" t="str">
        <f>'Data Sheet'!A20</f>
        <v>Power and Fuel</v>
      </c>
      <c r="C9" s="27">
        <f>'Data Sheet'!B20/'Data Sheet'!B$17</f>
        <v>3.3059770768496394E-3</v>
      </c>
      <c r="D9" s="27">
        <f>'Data Sheet'!C20/'Data Sheet'!C$17</f>
        <v>2.8114545058645379E-3</v>
      </c>
      <c r="E9" s="27">
        <f>'Data Sheet'!D20/'Data Sheet'!D$17</f>
        <v>2.4526607653150992E-3</v>
      </c>
      <c r="F9" s="27">
        <f>'Data Sheet'!E20/'Data Sheet'!E$17</f>
        <v>2.4700741022230669E-3</v>
      </c>
      <c r="G9" s="27">
        <f>'Data Sheet'!F20/'Data Sheet'!F$17</f>
        <v>1.7094806874884494E-3</v>
      </c>
      <c r="H9" s="27">
        <f>'Data Sheet'!G20/'Data Sheet'!G$17</f>
        <v>1.5625542553560888E-3</v>
      </c>
      <c r="I9" s="27">
        <f>'Data Sheet'!H20/'Data Sheet'!H$17</f>
        <v>1.4540973505853358E-3</v>
      </c>
      <c r="J9" s="27">
        <f>'Data Sheet'!I20/'Data Sheet'!I$17</f>
        <v>1.3898676689374364E-3</v>
      </c>
      <c r="K9" s="27">
        <f>'Data Sheet'!J20/'Data Sheet'!J$17</f>
        <v>1.2901945216355697E-3</v>
      </c>
      <c r="L9" s="27">
        <f>'Data Sheet'!K20/'Data Sheet'!K$17</f>
        <v>9.9333211545487763E-4</v>
      </c>
    </row>
    <row r="10" spans="2:12" ht="14.25" customHeight="1" x14ac:dyDescent="0.3">
      <c r="B10" s="18" t="str">
        <f>'Data Sheet'!A21</f>
        <v>Other Mfr. Exp</v>
      </c>
      <c r="C10" s="27">
        <f>'Data Sheet'!B21/'Data Sheet'!B$17</f>
        <v>1.2097281995169231E-2</v>
      </c>
      <c r="D10" s="27">
        <f>'Data Sheet'!C21/'Data Sheet'!C$17</f>
        <v>7.7439070160430327E-3</v>
      </c>
      <c r="E10" s="27">
        <f>'Data Sheet'!D21/'Data Sheet'!D$17</f>
        <v>9.772217537004791E-3</v>
      </c>
      <c r="F10" s="27">
        <f>'Data Sheet'!E21/'Data Sheet'!E$17</f>
        <v>1.0212806384191525E-2</v>
      </c>
      <c r="G10" s="27">
        <f>'Data Sheet'!F21/'Data Sheet'!F$17</f>
        <v>6.5145074847532802E-3</v>
      </c>
      <c r="H10" s="27">
        <f>'Data Sheet'!G21/'Data Sheet'!G$17</f>
        <v>6.3543873051147611E-3</v>
      </c>
      <c r="I10" s="27">
        <f>'Data Sheet'!H21/'Data Sheet'!H$17</f>
        <v>5.5452865064695009E-3</v>
      </c>
      <c r="J10" s="27">
        <f>'Data Sheet'!I21/'Data Sheet'!I$17</f>
        <v>5.5986218776916449E-3</v>
      </c>
      <c r="K10" s="27">
        <f>'Data Sheet'!J21/'Data Sheet'!J$17</f>
        <v>5.3923514622204582E-3</v>
      </c>
      <c r="L10" s="27">
        <f>'Data Sheet'!K21/'Data Sheet'!K$17</f>
        <v>4.2816039459261969E-3</v>
      </c>
    </row>
    <row r="11" spans="2:12" ht="14.25" customHeight="1" x14ac:dyDescent="0.3">
      <c r="B11" s="18" t="str">
        <f>'Data Sheet'!A22</f>
        <v>Employee Cost</v>
      </c>
      <c r="C11" s="27">
        <f>'Data Sheet'!B22/'Data Sheet'!B$17</f>
        <v>6.7440725806755683E-2</v>
      </c>
      <c r="D11" s="27">
        <f>'Data Sheet'!C22/'Data Sheet'!C$17</f>
        <v>5.6220405129849868E-2</v>
      </c>
      <c r="E11" s="27">
        <f>'Data Sheet'!D22/'Data Sheet'!D$17</f>
        <v>5.1795584300544227E-2</v>
      </c>
      <c r="F11" s="27">
        <f>'Data Sheet'!E22/'Data Sheet'!E$17</f>
        <v>5.7191715751472541E-2</v>
      </c>
      <c r="G11" s="27">
        <f>'Data Sheet'!F22/'Data Sheet'!F$17</f>
        <v>4.9390131214193313E-2</v>
      </c>
      <c r="H11" s="27">
        <f>'Data Sheet'!G22/'Data Sheet'!G$17</f>
        <v>4.7084968228063476E-2</v>
      </c>
      <c r="I11" s="27">
        <f>'Data Sheet'!H22/'Data Sheet'!H$17</f>
        <v>4.0813308687615527E-2</v>
      </c>
      <c r="J11" s="27">
        <f>'Data Sheet'!I22/'Data Sheet'!I$17</f>
        <v>3.6704251820530893E-2</v>
      </c>
      <c r="K11" s="27">
        <f>'Data Sheet'!J22/'Data Sheet'!J$17</f>
        <v>3.5794627497684264E-2</v>
      </c>
      <c r="L11" s="27">
        <f>'Data Sheet'!K22/'Data Sheet'!K$17</f>
        <v>3.0736207526488857E-2</v>
      </c>
    </row>
    <row r="12" spans="2:12" ht="14.25" customHeight="1" x14ac:dyDescent="0.3">
      <c r="B12" s="18" t="str">
        <f>'Data Sheet'!A23</f>
        <v>Selling and admin</v>
      </c>
      <c r="C12" s="27">
        <f>'Data Sheet'!B23/'Data Sheet'!B$17</f>
        <v>9.1333649552856055E-2</v>
      </c>
      <c r="D12" s="27">
        <f>'Data Sheet'!C23/'Data Sheet'!C$17</f>
        <v>7.9269741441720318E-2</v>
      </c>
      <c r="E12" s="27">
        <f>'Data Sheet'!D23/'Data Sheet'!D$17</f>
        <v>7.3530274257123385E-2</v>
      </c>
      <c r="F12" s="27">
        <f>'Data Sheet'!E23/'Data Sheet'!E$17</f>
        <v>6.9827094812844381E-2</v>
      </c>
      <c r="G12" s="27">
        <f>'Data Sheet'!F23/'Data Sheet'!F$17</f>
        <v>4.7542043984476069E-2</v>
      </c>
      <c r="H12" s="27">
        <f>'Data Sheet'!G23/'Data Sheet'!G$17</f>
        <v>5.8925657140872945E-2</v>
      </c>
      <c r="I12" s="27">
        <f>'Data Sheet'!H23/'Data Sheet'!H$17</f>
        <v>6.6913123844731984E-2</v>
      </c>
      <c r="J12" s="27">
        <f>'Data Sheet'!I23/'Data Sheet'!I$17</f>
        <v>6.360112755461593E-2</v>
      </c>
      <c r="K12" s="27">
        <f>'Data Sheet'!J23/'Data Sheet'!J$17</f>
        <v>5.7794098187111287E-2</v>
      </c>
      <c r="L12" s="27">
        <f>'Data Sheet'!K23/'Data Sheet'!K$17</f>
        <v>4.7782700036536355E-2</v>
      </c>
    </row>
    <row r="13" spans="2:12" ht="14.25" customHeight="1" x14ac:dyDescent="0.3">
      <c r="B13" s="18" t="str">
        <f>'Data Sheet'!A24</f>
        <v>Other Expenses</v>
      </c>
      <c r="C13" s="27">
        <f>'Data Sheet'!B24/'Data Sheet'!B$17</f>
        <v>2.1096718682013117E-2</v>
      </c>
      <c r="D13" s="27">
        <f>'Data Sheet'!C24/'Data Sheet'!C$17</f>
        <v>2.6993561322525072E-2</v>
      </c>
      <c r="E13" s="27">
        <f>'Data Sheet'!D24/'Data Sheet'!D$17</f>
        <v>3.3871594032313837E-2</v>
      </c>
      <c r="F13" s="27">
        <f>'Data Sheet'!E24/'Data Sheet'!E$17</f>
        <v>2.3418202546076381E-2</v>
      </c>
      <c r="G13" s="27">
        <f>'Data Sheet'!F24/'Data Sheet'!F$17</f>
        <v>5.678248013306228E-2</v>
      </c>
      <c r="H13" s="27">
        <f>'Data Sheet'!G24/'Data Sheet'!G$17</f>
        <v>1.8507587068995451E-2</v>
      </c>
      <c r="I13" s="27">
        <f>'Data Sheet'!H24/'Data Sheet'!H$17</f>
        <v>1.6833025261860753E-2</v>
      </c>
      <c r="J13" s="27">
        <f>'Data Sheet'!I24/'Data Sheet'!I$17</f>
        <v>1.7206953253464882E-2</v>
      </c>
      <c r="K13" s="27">
        <f>'Data Sheet'!J24/'Data Sheet'!J$17</f>
        <v>2.0576948524546779E-2</v>
      </c>
      <c r="L13" s="27">
        <f>'Data Sheet'!K24/'Data Sheet'!K$17</f>
        <v>1.8051242236024844E-2</v>
      </c>
    </row>
    <row r="14" spans="2:12" ht="14.25" customHeight="1" x14ac:dyDescent="0.3">
      <c r="B14" s="18" t="str">
        <f>'Data Sheet'!A25</f>
        <v>Other Income</v>
      </c>
      <c r="C14" s="27">
        <f>'Data Sheet'!B25/'Data Sheet'!B$17</f>
        <v>-3.1958783877027307E-3</v>
      </c>
      <c r="D14" s="27">
        <f>'Data Sheet'!C25/'Data Sheet'!C$17</f>
        <v>4.3381512267234587E-3</v>
      </c>
      <c r="E14" s="27">
        <f>'Data Sheet'!D25/'Data Sheet'!D$17</f>
        <v>9.0239310120271889E-3</v>
      </c>
      <c r="F14" s="27">
        <f>'Data Sheet'!E25/'Data Sheet'!E$17</f>
        <v>7.2677180315409463E-3</v>
      </c>
      <c r="G14" s="27">
        <f>'Data Sheet'!F25/'Data Sheet'!F$17</f>
        <v>8.3163925337275922E-3</v>
      </c>
      <c r="H14" s="27">
        <f>'Data Sheet'!G25/'Data Sheet'!G$17</f>
        <v>6.1460467377339491E-3</v>
      </c>
      <c r="I14" s="27">
        <f>'Data Sheet'!H25/'Data Sheet'!H$17</f>
        <v>7.5415896487985214E-3</v>
      </c>
      <c r="J14" s="27">
        <f>'Data Sheet'!I25/'Data Sheet'!I$17</f>
        <v>1.0453370918487198E-2</v>
      </c>
      <c r="K14" s="27">
        <f>'Data Sheet'!J25/'Data Sheet'!J$17</f>
        <v>8.0554452825195178E-3</v>
      </c>
      <c r="L14" s="27">
        <f>'Data Sheet'!K25/'Data Sheet'!K$17</f>
        <v>5.1379247351114356E-3</v>
      </c>
    </row>
    <row r="15" spans="2:12" ht="14.25" customHeight="1" x14ac:dyDescent="0.3">
      <c r="B15" s="18" t="str">
        <f>'Data Sheet'!A26</f>
        <v>Depreciation</v>
      </c>
      <c r="C15" s="27">
        <f>'Data Sheet'!B26/'Data Sheet'!B$17</f>
        <v>8.3350740489094577E-3</v>
      </c>
      <c r="D15" s="27">
        <f>'Data Sheet'!C26/'Data Sheet'!C$17</f>
        <v>8.1533421382563153E-3</v>
      </c>
      <c r="E15" s="27">
        <f>'Data Sheet'!D26/'Data Sheet'!D$17</f>
        <v>8.2331741707670752E-3</v>
      </c>
      <c r="F15" s="27">
        <f>'Data Sheet'!E26/'Data Sheet'!E$17</f>
        <v>1.6530495914877447E-2</v>
      </c>
      <c r="G15" s="27">
        <f>'Data Sheet'!F26/'Data Sheet'!F$17</f>
        <v>1.7325817778599151E-2</v>
      </c>
      <c r="H15" s="27">
        <f>'Data Sheet'!G26/'Data Sheet'!G$17</f>
        <v>1.3854647730823988E-2</v>
      </c>
      <c r="I15" s="27">
        <f>'Data Sheet'!H26/'Data Sheet'!H$17</f>
        <v>1.0868761552680222E-2</v>
      </c>
      <c r="J15" s="27">
        <f>'Data Sheet'!I26/'Data Sheet'!I$17</f>
        <v>1.1432150967034689E-2</v>
      </c>
      <c r="K15" s="27">
        <f>'Data Sheet'!J26/'Data Sheet'!J$17</f>
        <v>1.146288209606987E-2</v>
      </c>
      <c r="L15" s="27">
        <f>'Data Sheet'!K26/'Data Sheet'!K$17</f>
        <v>9.4309462915601015E-3</v>
      </c>
    </row>
    <row r="16" spans="2:12" ht="14.25" customHeight="1" x14ac:dyDescent="0.3">
      <c r="B16" s="18" t="str">
        <f>'Data Sheet'!A27</f>
        <v>Interest</v>
      </c>
      <c r="C16" s="27">
        <f>'Data Sheet'!B27/'Data Sheet'!B$17</f>
        <v>2.845975704386528E-3</v>
      </c>
      <c r="D16" s="27">
        <f>'Data Sheet'!C27/'Data Sheet'!C$17</f>
        <v>3.2829252526555899E-3</v>
      </c>
      <c r="E16" s="27">
        <f>'Data Sheet'!D27/'Data Sheet'!D$17</f>
        <v>2.6564171636704868E-3</v>
      </c>
      <c r="F16" s="27">
        <f>'Data Sheet'!E27/'Data Sheet'!E$17</f>
        <v>7.8852365570967128E-3</v>
      </c>
      <c r="G16" s="27">
        <f>'Data Sheet'!F27/'Data Sheet'!F$17</f>
        <v>9.3790426908150065E-3</v>
      </c>
      <c r="H16" s="27">
        <f>'Data Sheet'!G27/'Data Sheet'!G$17</f>
        <v>7.5697072815028299E-3</v>
      </c>
      <c r="I16" s="27">
        <f>'Data Sheet'!H27/'Data Sheet'!H$17</f>
        <v>7.3937153419593345E-3</v>
      </c>
      <c r="J16" s="27">
        <f>'Data Sheet'!I27/'Data Sheet'!I$17</f>
        <v>1.2117297001017931E-2</v>
      </c>
      <c r="K16" s="27">
        <f>'Data Sheet'!J27/'Data Sheet'!J$17</f>
        <v>1.5763530501521766E-2</v>
      </c>
      <c r="L16" s="27">
        <f>'Data Sheet'!K27/'Data Sheet'!K$17</f>
        <v>1.3472780416514432E-2</v>
      </c>
    </row>
    <row r="17" spans="2:12" ht="14.25" customHeight="1" x14ac:dyDescent="0.3">
      <c r="B17" s="18" t="str">
        <f>'Data Sheet'!A28</f>
        <v>Profit before tax</v>
      </c>
      <c r="C17" s="27">
        <f>'Data Sheet'!B28/'Data Sheet'!B$17</f>
        <v>7.3392841926184102E-2</v>
      </c>
      <c r="D17" s="27">
        <f>'Data Sheet'!C28/'Data Sheet'!C$17</f>
        <v>9.4900857766581026E-2</v>
      </c>
      <c r="E17" s="27">
        <f>'Data Sheet'!D28/'Data Sheet'!D$17</f>
        <v>9.8940163369149972E-2</v>
      </c>
      <c r="F17" s="27">
        <f>'Data Sheet'!E28/'Data Sheet'!E$17</f>
        <v>9.9847995439863196E-2</v>
      </c>
      <c r="G17" s="27">
        <f>'Data Sheet'!F28/'Data Sheet'!F$17</f>
        <v>6.1310293845869522E-2</v>
      </c>
      <c r="H17" s="27">
        <f>'Data Sheet'!G28/'Data Sheet'!G$17</f>
        <v>0.10083683461231292</v>
      </c>
      <c r="I17" s="27">
        <f>'Data Sheet'!H28/'Data Sheet'!H$17</f>
        <v>0.10959950708564387</v>
      </c>
      <c r="J17" s="27">
        <f>'Data Sheet'!I28/'Data Sheet'!I$17</f>
        <v>9.0498003288700959E-2</v>
      </c>
      <c r="K17" s="27">
        <f>'Data Sheet'!J28/'Data Sheet'!J$17</f>
        <v>7.5013232764324464E-2</v>
      </c>
      <c r="L17" s="27">
        <f>'Data Sheet'!K28/'Data Sheet'!K$17</f>
        <v>7.7651169163317504E-2</v>
      </c>
    </row>
    <row r="18" spans="2:12" ht="14.25" customHeight="1" x14ac:dyDescent="0.3">
      <c r="B18" s="18" t="str">
        <f>'Data Sheet'!A29</f>
        <v>Tax</v>
      </c>
      <c r="C18" s="27">
        <f>'Data Sheet'!B29/'Data Sheet'!B$17</f>
        <v>2.0810914550597515E-2</v>
      </c>
      <c r="D18" s="27">
        <f>'Data Sheet'!C29/'Data Sheet'!C$17</f>
        <v>2.6543182688090462E-2</v>
      </c>
      <c r="E18" s="27">
        <f>'Data Sheet'!D29/'Data Sheet'!D$17</f>
        <v>2.8730157767113008E-2</v>
      </c>
      <c r="F18" s="27">
        <f>'Data Sheet'!E29/'Data Sheet'!E$17</f>
        <v>2.892836785103553E-2</v>
      </c>
      <c r="G18" s="27">
        <f>'Data Sheet'!F29/'Data Sheet'!F$17</f>
        <v>1.6309369802254666E-2</v>
      </c>
      <c r="H18" s="27">
        <f>'Data Sheet'!G29/'Data Sheet'!G$17</f>
        <v>2.4514740095142193E-2</v>
      </c>
      <c r="I18" s="27">
        <f>'Data Sheet'!H29/'Data Sheet'!H$17</f>
        <v>2.8909426987060997E-2</v>
      </c>
      <c r="J18" s="27">
        <f>'Data Sheet'!I29/'Data Sheet'!I$17</f>
        <v>2.2061702294260434E-2</v>
      </c>
      <c r="K18" s="27">
        <f>'Data Sheet'!J29/'Data Sheet'!J$17</f>
        <v>1.9816064575889903E-2</v>
      </c>
      <c r="L18" s="27">
        <f>'Data Sheet'!K29/'Data Sheet'!K$17</f>
        <v>1.9729630982827914E-2</v>
      </c>
    </row>
    <row r="19" spans="2:12" ht="14.25" customHeight="1" x14ac:dyDescent="0.3">
      <c r="B19" s="18" t="str">
        <f>'Data Sheet'!A30</f>
        <v>Net profit</v>
      </c>
      <c r="C19" s="27">
        <f>'Data Sheet'!B30/'Data Sheet'!B$17</f>
        <v>5.3651996142021277E-2</v>
      </c>
      <c r="D19" s="27">
        <f>'Data Sheet'!C30/'Data Sheet'!C$17</f>
        <v>7.010583897909213E-2</v>
      </c>
      <c r="E19" s="27">
        <f>'Data Sheet'!D30/'Data Sheet'!D$17</f>
        <v>7.0993684057249984E-2</v>
      </c>
      <c r="F19" s="27">
        <f>'Data Sheet'!E30/'Data Sheet'!E$17</f>
        <v>7.1299638989169675E-2</v>
      </c>
      <c r="G19" s="27">
        <f>'Data Sheet'!F30/'Data Sheet'!F$17</f>
        <v>4.495472186287193E-2</v>
      </c>
      <c r="H19" s="27">
        <f>'Data Sheet'!G30/'Data Sheet'!G$17</f>
        <v>7.5454008819750687E-2</v>
      </c>
      <c r="I19" s="27">
        <f>'Data Sheet'!H30/'Data Sheet'!H$17</f>
        <v>8.0098582871226121E-2</v>
      </c>
      <c r="J19" s="27">
        <f>'Data Sheet'!I30/'Data Sheet'!I$17</f>
        <v>6.8436300994440535E-2</v>
      </c>
      <c r="K19" s="27">
        <f>'Data Sheet'!J30/'Data Sheet'!J$17</f>
        <v>5.5197168188434564E-2</v>
      </c>
      <c r="L19" s="27">
        <f>'Data Sheet'!K30/'Data Sheet'!K$17</f>
        <v>5.792153818048959E-2</v>
      </c>
    </row>
    <row r="20" spans="2:12" ht="14.25" customHeight="1" x14ac:dyDescent="0.3">
      <c r="B20" s="18" t="str">
        <f>'Data Sheet'!A31</f>
        <v>Dividend Amount</v>
      </c>
      <c r="C20" s="27">
        <f>'Data Sheet'!B31/'Data Sheet'!B$17</f>
        <v>1.7406904394370488E-2</v>
      </c>
      <c r="D20" s="27">
        <f>'Data Sheet'!C31/'Data Sheet'!C$17</f>
        <v>2.0652900134431197E-2</v>
      </c>
      <c r="E20" s="27">
        <f>'Data Sheet'!D31/'Data Sheet'!D$17</f>
        <v>2.2443539759294424E-2</v>
      </c>
      <c r="F20" s="27">
        <f>'Data Sheet'!E31/'Data Sheet'!E$17</f>
        <v>1.6910507315219456E-2</v>
      </c>
      <c r="G20" s="27">
        <f>'Data Sheet'!F31/'Data Sheet'!F$17</f>
        <v>1.6447976344483459E-2</v>
      </c>
      <c r="H20" s="27">
        <f>'Data Sheet'!G31/'Data Sheet'!G$17</f>
        <v>2.3177888121115316E-2</v>
      </c>
      <c r="I20" s="27">
        <f>'Data Sheet'!H31/'Data Sheet'!H$17</f>
        <v>2.1934688847812692E-2</v>
      </c>
      <c r="J20" s="27">
        <f>'Data Sheet'!I31/'Data Sheet'!I$17</f>
        <v>1.9164513350559863E-2</v>
      </c>
      <c r="K20" s="27">
        <f>'Data Sheet'!J31/'Data Sheet'!J$17</f>
        <v>1.6193595342066956E-2</v>
      </c>
      <c r="L20" s="27">
        <f>'Data Sheet'!K31/'Data Sheet'!K$17</f>
        <v>1.524251004749726E-2</v>
      </c>
    </row>
    <row r="21" spans="2:12" ht="14.25" customHeight="1" x14ac:dyDescent="0.3">
      <c r="B21" s="18" t="str">
        <f>'Data Sheet'!A34</f>
        <v>EBITDA</v>
      </c>
      <c r="C21" s="27">
        <f>'Data Sheet'!B34/'Data Sheet'!B$17</f>
        <v>8.7769770067182798E-2</v>
      </c>
      <c r="D21" s="27">
        <f>'Data Sheet'!C34/'Data Sheet'!C$17</f>
        <v>0.10199897393076955</v>
      </c>
      <c r="E21" s="27">
        <f>'Data Sheet'!D34/'Data Sheet'!D$17</f>
        <v>0.10080582369156038</v>
      </c>
      <c r="F21" s="27">
        <f>'Data Sheet'!E34/'Data Sheet'!E$17</f>
        <v>0.1169960098802964</v>
      </c>
      <c r="G21" s="27">
        <f>'Data Sheet'!F34/'Data Sheet'!F$17</f>
        <v>7.9698761781556091E-2</v>
      </c>
      <c r="H21" s="27">
        <f>'Data Sheet'!G34/'Data Sheet'!G$17</f>
        <v>0.11611514288690579</v>
      </c>
      <c r="I21" s="27">
        <f>'Data Sheet'!H34/'Data Sheet'!H$17</f>
        <v>0.12032039433148491</v>
      </c>
      <c r="J21" s="27">
        <f>'Data Sheet'!I34/'Data Sheet'!I$17</f>
        <v>0.10359408033826638</v>
      </c>
      <c r="K21" s="27">
        <f>'Data Sheet'!J34/'Data Sheet'!J$17</f>
        <v>9.4184200079396582E-2</v>
      </c>
      <c r="L21" s="27">
        <f>'Data Sheet'!K34/'Data Sheet'!K$17</f>
        <v>9.5416971136280601E-2</v>
      </c>
    </row>
    <row r="23" spans="2:12" ht="14.25" customHeight="1" x14ac:dyDescent="0.3">
      <c r="B23" s="372" t="str">
        <f>"Common Size Balance Sheet Statement"&amp;" - "&amp;'Data Sheet'!B1</f>
        <v>Common Size Balance Sheet Statement - TITAN COMPANY LTD</v>
      </c>
      <c r="C23" s="372"/>
      <c r="D23" s="372"/>
      <c r="E23" s="372"/>
      <c r="F23" s="372"/>
      <c r="G23" s="372"/>
      <c r="H23" s="372"/>
      <c r="I23" s="372"/>
      <c r="J23" s="372"/>
      <c r="K23" s="372"/>
      <c r="L23" s="372"/>
    </row>
    <row r="25" spans="2:12" ht="14.25" customHeight="1" x14ac:dyDescent="0.3">
      <c r="B25" s="33" t="s">
        <v>106</v>
      </c>
      <c r="C25" s="34">
        <f t="shared" ref="C25:L25" si="0">C4</f>
        <v>42825</v>
      </c>
      <c r="D25" s="34">
        <f t="shared" si="0"/>
        <v>43190</v>
      </c>
      <c r="E25" s="34">
        <f t="shared" si="0"/>
        <v>43555</v>
      </c>
      <c r="F25" s="34">
        <f t="shared" si="0"/>
        <v>43921</v>
      </c>
      <c r="G25" s="34">
        <f t="shared" si="0"/>
        <v>44286</v>
      </c>
      <c r="H25" s="34">
        <f t="shared" si="0"/>
        <v>44651</v>
      </c>
      <c r="I25" s="34">
        <f t="shared" si="0"/>
        <v>45016</v>
      </c>
      <c r="J25" s="34">
        <f t="shared" si="0"/>
        <v>45382</v>
      </c>
      <c r="K25" s="34">
        <f t="shared" si="0"/>
        <v>45747</v>
      </c>
      <c r="L25" s="34">
        <f t="shared" si="0"/>
        <v>46112</v>
      </c>
    </row>
    <row r="27" spans="2:12" ht="14.25" customHeight="1" x14ac:dyDescent="0.3">
      <c r="B27" s="6" t="s">
        <v>37</v>
      </c>
      <c r="C27" s="35">
        <f>'Data Sheet'!B61/'Data Sheet'!B61</f>
        <v>1</v>
      </c>
      <c r="D27" s="35">
        <f>'Data Sheet'!C61/'Data Sheet'!C61</f>
        <v>1</v>
      </c>
      <c r="E27" s="35">
        <f>'Data Sheet'!D61/'Data Sheet'!D61</f>
        <v>1</v>
      </c>
      <c r="F27" s="35">
        <f>'Data Sheet'!E61/'Data Sheet'!E61</f>
        <v>1</v>
      </c>
      <c r="G27" s="35">
        <f>'Data Sheet'!F61/'Data Sheet'!F61</f>
        <v>1</v>
      </c>
      <c r="H27" s="35">
        <f>'Data Sheet'!G61/'Data Sheet'!G61</f>
        <v>1</v>
      </c>
      <c r="I27" s="35">
        <f>'Data Sheet'!H61/'Data Sheet'!H61</f>
        <v>1</v>
      </c>
      <c r="J27" s="35">
        <f>'Data Sheet'!I61/'Data Sheet'!I61</f>
        <v>1</v>
      </c>
      <c r="K27" s="35">
        <f>'Data Sheet'!J61/'Data Sheet'!J61</f>
        <v>1</v>
      </c>
      <c r="L27" s="35">
        <f>'Data Sheet'!K61/'Data Sheet'!K61</f>
        <v>1</v>
      </c>
    </row>
    <row r="28" spans="2:12" ht="14.25" customHeight="1" x14ac:dyDescent="0.3">
      <c r="B28" s="18" t="str">
        <f>'Data Sheet'!A57</f>
        <v>Equity Share Capital</v>
      </c>
      <c r="C28" s="27">
        <f>'Data Sheet'!B57/'Data Sheet'!B$61</f>
        <v>1.0559531469853953E-2</v>
      </c>
      <c r="D28" s="27">
        <f>'Data Sheet'!C57/'Data Sheet'!C$61</f>
        <v>9.3246115970524214E-3</v>
      </c>
      <c r="E28" s="27">
        <f>'Data Sheet'!D57/'Data Sheet'!D$61</f>
        <v>7.5816578194065846E-3</v>
      </c>
      <c r="F28" s="27">
        <f>'Data Sheet'!E57/'Data Sheet'!E$61</f>
        <v>6.5711754282339043E-3</v>
      </c>
      <c r="G28" s="27">
        <f>'Data Sheet'!F57/'Data Sheet'!F$61</f>
        <v>5.4123084407686692E-3</v>
      </c>
      <c r="H28" s="27">
        <f>'Data Sheet'!G57/'Data Sheet'!G$61</f>
        <v>4.2004908438738912E-3</v>
      </c>
      <c r="I28" s="27">
        <f>'Data Sheet'!H57/'Data Sheet'!H$61</f>
        <v>3.2938564026646928E-3</v>
      </c>
      <c r="J28" s="27">
        <f>'Data Sheet'!I57/'Data Sheet'!I$61</f>
        <v>2.8211874346213586E-3</v>
      </c>
      <c r="K28" s="27">
        <f>'Data Sheet'!J57/'Data Sheet'!J$61</f>
        <v>2.1896912289334483E-3</v>
      </c>
      <c r="L28" s="27">
        <f>'Data Sheet'!K57/'Data Sheet'!K$61</f>
        <v>1.4695926421294232E-3</v>
      </c>
    </row>
    <row r="29" spans="2:12" ht="14.25" customHeight="1" x14ac:dyDescent="0.3">
      <c r="B29" s="18" t="str">
        <f>'Data Sheet'!A58</f>
        <v>Reserves</v>
      </c>
      <c r="C29" s="27">
        <f>'Data Sheet'!B58/'Data Sheet'!B$61</f>
        <v>0.49284157015641861</v>
      </c>
      <c r="D29" s="27">
        <f>'Data Sheet'!C58/'Data Sheet'!C$61</f>
        <v>0.52526824800652028</v>
      </c>
      <c r="E29" s="27">
        <f>'Data Sheet'!D58/'Data Sheet'!D$61</f>
        <v>0.51079861039945895</v>
      </c>
      <c r="F29" s="27">
        <f>'Data Sheet'!E58/'Data Sheet'!E$61</f>
        <v>0.48582398109864144</v>
      </c>
      <c r="G29" s="27">
        <f>'Data Sheet'!F58/'Data Sheet'!F$61</f>
        <v>0.45049866212600342</v>
      </c>
      <c r="H29" s="27">
        <f>'Data Sheet'!G58/'Data Sheet'!G$61</f>
        <v>0.43486879365678688</v>
      </c>
      <c r="I29" s="27">
        <f>'Data Sheet'!H58/'Data Sheet'!H$61</f>
        <v>0.43530717986676537</v>
      </c>
      <c r="J29" s="27">
        <f>'Data Sheet'!I58/'Data Sheet'!I$61</f>
        <v>0.29492503249120361</v>
      </c>
      <c r="K29" s="27">
        <f>'Data Sheet'!J58/'Data Sheet'!J$61</f>
        <v>0.28379874523311599</v>
      </c>
      <c r="L29" s="27">
        <f>'Data Sheet'!K58/'Data Sheet'!K$61</f>
        <v>0.25782269117088558</v>
      </c>
    </row>
    <row r="30" spans="2:12" ht="14.25" customHeight="1" x14ac:dyDescent="0.3">
      <c r="B30" s="18" t="str">
        <f>'Data Sheet'!A59</f>
        <v>Borrowings</v>
      </c>
      <c r="C30" s="27">
        <f>'Data Sheet'!B59/'Data Sheet'!B$61</f>
        <v>0.22389703564763661</v>
      </c>
      <c r="D30" s="27">
        <f>'Data Sheet'!C59/'Data Sheet'!C$61</f>
        <v>0.17760769831867104</v>
      </c>
      <c r="E30" s="27">
        <f>'Data Sheet'!D59/'Data Sheet'!D$61</f>
        <v>0.20435633620954685</v>
      </c>
      <c r="F30" s="27">
        <f>'Data Sheet'!E59/'Data Sheet'!E$61</f>
        <v>0.26299468399291198</v>
      </c>
      <c r="G30" s="27">
        <f>'Data Sheet'!F59/'Data Sheet'!F$61</f>
        <v>0.34286061785453659</v>
      </c>
      <c r="H30" s="27">
        <f>'Data Sheet'!G59/'Data Sheet'!G$61</f>
        <v>0.34335472909193882</v>
      </c>
      <c r="I30" s="27">
        <f>'Data Sheet'!H59/'Data Sheet'!H$61</f>
        <v>0.34666913397483345</v>
      </c>
      <c r="J30" s="27">
        <f>'Data Sheet'!I59/'Data Sheet'!I$61</f>
        <v>0.49221796050337591</v>
      </c>
      <c r="K30" s="27">
        <f>'Data Sheet'!J59/'Data Sheet'!J$61</f>
        <v>0.5111821872309017</v>
      </c>
      <c r="L30" s="27">
        <f>'Data Sheet'!K59/'Data Sheet'!K$61</f>
        <v>0.50562243027691089</v>
      </c>
    </row>
    <row r="31" spans="2:12" ht="14.25" customHeight="1" x14ac:dyDescent="0.3">
      <c r="B31" s="18" t="str">
        <f>'Data Sheet'!A33</f>
        <v>Trade Payables</v>
      </c>
      <c r="C31" s="27">
        <f>'Data Sheet'!B33/'Data Sheet'!B$61</f>
        <v>9.3130357523041732E-2</v>
      </c>
      <c r="D31" s="27">
        <f>'Data Sheet'!C33/'Data Sheet'!C$61</f>
        <v>9.2216816650281891E-2</v>
      </c>
      <c r="E31" s="27">
        <f>'Data Sheet'!D33/'Data Sheet'!D$61</f>
        <v>7.7370826586870528E-2</v>
      </c>
      <c r="F31" s="27">
        <f>'Data Sheet'!E33/'Data Sheet'!E$61</f>
        <v>4.4004725339633788E-2</v>
      </c>
      <c r="G31" s="27">
        <f>'Data Sheet'!F33/'Data Sheet'!F$61</f>
        <v>4.7981026514230113E-2</v>
      </c>
      <c r="H31" s="27">
        <f>'Data Sheet'!G33/'Data Sheet'!G$61</f>
        <v>6.1072305078346233E-2</v>
      </c>
      <c r="I31" s="27">
        <f>'Data Sheet'!H33/'Data Sheet'!H$61</f>
        <v>4.4929681717246484E-2</v>
      </c>
      <c r="J31" s="27">
        <f>'Data Sheet'!I33/'Data Sheet'!I$61</f>
        <v>4.4695216660855235E-2</v>
      </c>
      <c r="K31" s="27">
        <f>'Data Sheet'!J33/'Data Sheet'!J$61</f>
        <v>4.8296223397711897E-2</v>
      </c>
      <c r="L31" s="27">
        <f>'Data Sheet'!K33/'Data Sheet'!K$61</f>
        <v>4.729116097818728E-2</v>
      </c>
    </row>
    <row r="32" spans="2:12" ht="14.25" customHeight="1" x14ac:dyDescent="0.3">
      <c r="B32" s="18" t="str">
        <f>'Data Sheet'!A60</f>
        <v>Other Liabilities</v>
      </c>
      <c r="C32" s="27">
        <f>('Data Sheet'!B60-'Data Sheet'!B33)/'Data Sheet'!B$61</f>
        <v>0.17957150520304918</v>
      </c>
      <c r="D32" s="27">
        <f>('Data Sheet'!C60-'Data Sheet'!C33)/'Data Sheet'!C$61</f>
        <v>0.19558262542747429</v>
      </c>
      <c r="E32" s="27">
        <f>('Data Sheet'!D60-'Data Sheet'!D33)/'Data Sheet'!D$61</f>
        <v>0.19989256898471713</v>
      </c>
      <c r="F32" s="27">
        <f>('Data Sheet'!E60-'Data Sheet'!E33)/'Data Sheet'!E$61</f>
        <v>0.20060543414057885</v>
      </c>
      <c r="G32" s="27">
        <f>('Data Sheet'!F60-'Data Sheet'!F33)/'Data Sheet'!F$61</f>
        <v>0.1532473850644612</v>
      </c>
      <c r="H32" s="27">
        <f>('Data Sheet'!G60-'Data Sheet'!G33)/'Data Sheet'!G$61</f>
        <v>0.15650368132905418</v>
      </c>
      <c r="I32" s="27">
        <f>('Data Sheet'!H60-'Data Sheet'!H33)/'Data Sheet'!H$61</f>
        <v>0.16980014803849</v>
      </c>
      <c r="J32" s="27">
        <f>('Data Sheet'!I60-'Data Sheet'!I33)/'Data Sheet'!I$61</f>
        <v>0.1653406029099439</v>
      </c>
      <c r="K32" s="27">
        <f>('Data Sheet'!J60-'Data Sheet'!J33)/'Data Sheet'!J$61</f>
        <v>0.15453315290933695</v>
      </c>
      <c r="L32" s="27">
        <f>('Data Sheet'!K60-'Data Sheet'!K33)/'Data Sheet'!K$61</f>
        <v>0.18779412493188685</v>
      </c>
    </row>
    <row r="34" spans="2:12" ht="14.25" customHeight="1" x14ac:dyDescent="0.3">
      <c r="B34" s="6" t="s">
        <v>47</v>
      </c>
      <c r="C34" s="35">
        <f>'Data Sheet'!B66/'Data Sheet'!B66</f>
        <v>1</v>
      </c>
      <c r="D34" s="35">
        <f>'Data Sheet'!C66/'Data Sheet'!C66</f>
        <v>1</v>
      </c>
      <c r="E34" s="35">
        <f>'Data Sheet'!D66/'Data Sheet'!D66</f>
        <v>1</v>
      </c>
      <c r="F34" s="35">
        <f>'Data Sheet'!E66/'Data Sheet'!E66</f>
        <v>1</v>
      </c>
      <c r="G34" s="35">
        <f>'Data Sheet'!F66/'Data Sheet'!F66</f>
        <v>1</v>
      </c>
      <c r="H34" s="35">
        <f>'Data Sheet'!G66/'Data Sheet'!G66</f>
        <v>1</v>
      </c>
      <c r="I34" s="35">
        <f>'Data Sheet'!H66/'Data Sheet'!H66</f>
        <v>1</v>
      </c>
      <c r="J34" s="35">
        <f>'Data Sheet'!I66/'Data Sheet'!I66</f>
        <v>1</v>
      </c>
      <c r="K34" s="35">
        <f>'Data Sheet'!J66/'Data Sheet'!J66</f>
        <v>1</v>
      </c>
      <c r="L34" s="35">
        <f>'Data Sheet'!K66/'Data Sheet'!K66</f>
        <v>1</v>
      </c>
    </row>
    <row r="35" spans="2:12" ht="14.25" customHeight="1" x14ac:dyDescent="0.3">
      <c r="B35" s="18" t="str">
        <f>'Data Sheet'!A62</f>
        <v>Net Block</v>
      </c>
      <c r="C35" s="27">
        <f>'Data Sheet'!B62/'Data Sheet'!B$61</f>
        <v>0.14138686921429142</v>
      </c>
      <c r="D35" s="27">
        <f>'Data Sheet'!C62/'Data Sheet'!C$61</f>
        <v>0.15479506440472887</v>
      </c>
      <c r="E35" s="27">
        <f>'Data Sheet'!D62/'Data Sheet'!D$61</f>
        <v>0.13378748129778034</v>
      </c>
      <c r="F35" s="27">
        <f>'Data Sheet'!E62/'Data Sheet'!E$61</f>
        <v>0.19440342587123449</v>
      </c>
      <c r="G35" s="27">
        <f>'Data Sheet'!F62/'Data Sheet'!F$61</f>
        <v>0.15342982242763317</v>
      </c>
      <c r="H35" s="27">
        <f>'Data Sheet'!G62/'Data Sheet'!G$61</f>
        <v>0.12006796299792336</v>
      </c>
      <c r="I35" s="27">
        <f>'Data Sheet'!H62/'Data Sheet'!H$61</f>
        <v>0.11095484826054774</v>
      </c>
      <c r="J35" s="27">
        <f>'Data Sheet'!I62/'Data Sheet'!I$61</f>
        <v>0.11757060893270359</v>
      </c>
      <c r="K35" s="27">
        <f>'Data Sheet'!J62/'Data Sheet'!J$61</f>
        <v>9.9938491819411987E-2</v>
      </c>
      <c r="L35" s="27">
        <f>'Data Sheet'!K62/'Data Sheet'!K$61</f>
        <v>0.11357144036591206</v>
      </c>
    </row>
    <row r="36" spans="2:12" ht="14.25" customHeight="1" x14ac:dyDescent="0.3">
      <c r="B36" s="18" t="str">
        <f>'Data Sheet'!A63</f>
        <v>Capital Work in Progress</v>
      </c>
      <c r="C36" s="27">
        <f>'Data Sheet'!B63/'Data Sheet'!B$61</f>
        <v>1.8087271351888833E-2</v>
      </c>
      <c r="D36" s="27">
        <f>'Data Sheet'!C63/'Data Sheet'!C$61</f>
        <v>4.5551746447867036E-3</v>
      </c>
      <c r="E36" s="27">
        <f>'Data Sheet'!D63/'Data Sheet'!D$61</f>
        <v>2.7131028263409234E-3</v>
      </c>
      <c r="F36" s="27">
        <f>'Data Sheet'!E63/'Data Sheet'!E$61</f>
        <v>1.3290017720023627E-3</v>
      </c>
      <c r="G36" s="27">
        <f>'Data Sheet'!F63/'Data Sheet'!F$61</f>
        <v>1.9459985405010946E-3</v>
      </c>
      <c r="H36" s="27">
        <f>'Data Sheet'!G63/'Data Sheet'!G$61</f>
        <v>4.0117047385312445E-3</v>
      </c>
      <c r="I36" s="27">
        <f>'Data Sheet'!H63/'Data Sheet'!H$61</f>
        <v>5.329385640266469E-3</v>
      </c>
      <c r="J36" s="27">
        <f>'Data Sheet'!I63/'Data Sheet'!I$61</f>
        <v>3.0747773163850764E-3</v>
      </c>
      <c r="K36" s="27">
        <f>'Data Sheet'!J63/'Data Sheet'!J$61</f>
        <v>2.5833435846967646E-3</v>
      </c>
      <c r="L36" s="27">
        <f>'Data Sheet'!K63/'Data Sheet'!K$61</f>
        <v>2.691501131090966E-3</v>
      </c>
    </row>
    <row r="37" spans="2:12" ht="14.25" customHeight="1" x14ac:dyDescent="0.3">
      <c r="B37" s="18" t="str">
        <f>'Data Sheet'!A64</f>
        <v>Investments</v>
      </c>
      <c r="C37" s="27">
        <f>'Data Sheet'!B64/'Data Sheet'!B$61</f>
        <v>5.1231211872158074E-2</v>
      </c>
      <c r="D37" s="27">
        <f>'Data Sheet'!C64/'Data Sheet'!C$61</f>
        <v>3.7800492383185027E-3</v>
      </c>
      <c r="E37" s="27">
        <f>'Data Sheet'!D64/'Data Sheet'!D$61</f>
        <v>9.2588797114221879E-3</v>
      </c>
      <c r="F37" s="27">
        <f>'Data Sheet'!E64/'Data Sheet'!E$61</f>
        <v>1.1665682220909628E-2</v>
      </c>
      <c r="G37" s="27">
        <f>'Data Sheet'!F64/'Data Sheet'!F$61</f>
        <v>0.17173437119922161</v>
      </c>
      <c r="H37" s="27">
        <f>'Data Sheet'!G64/'Data Sheet'!G$61</f>
        <v>1.3875778742684539E-2</v>
      </c>
      <c r="I37" s="27">
        <f>'Data Sheet'!H64/'Data Sheet'!H$61</f>
        <v>9.3079200592153966E-2</v>
      </c>
      <c r="J37" s="27">
        <f>'Data Sheet'!I64/'Data Sheet'!I$61</f>
        <v>7.4333534091989728E-2</v>
      </c>
      <c r="K37" s="27">
        <f>'Data Sheet'!J64/'Data Sheet'!J$61</f>
        <v>4.8911305203592076E-2</v>
      </c>
      <c r="L37" s="27">
        <f>'Data Sheet'!K64/'Data Sheet'!K$61</f>
        <v>5.7892042733772561E-2</v>
      </c>
    </row>
    <row r="38" spans="2:12" ht="14.25" customHeight="1" x14ac:dyDescent="0.3">
      <c r="B38" s="18" t="str">
        <f>'Data Sheet'!A65</f>
        <v>Other Assets</v>
      </c>
      <c r="C38" s="27">
        <f>'Data Sheet'!B74/'Data Sheet'!B$66</f>
        <v>8.6086705195436944E-2</v>
      </c>
      <c r="D38" s="27">
        <f>'Data Sheet'!C74/'Data Sheet'!C$66</f>
        <v>0.11862464604707051</v>
      </c>
      <c r="E38" s="27">
        <f>'Data Sheet'!D74/'Data Sheet'!D$66</f>
        <v>0.12615629248563603</v>
      </c>
      <c r="F38" s="27">
        <f>'Data Sheet'!E74/'Data Sheet'!E$66</f>
        <v>0.14316302421736563</v>
      </c>
      <c r="G38" s="27">
        <f>'Data Sheet'!F74/'Data Sheet'!F$66</f>
        <v>0.10526635855023109</v>
      </c>
      <c r="H38" s="27">
        <f>'Data Sheet'!G74/'Data Sheet'!G$66</f>
        <v>0.11884085331319615</v>
      </c>
      <c r="I38" s="27">
        <f>'Data Sheet'!H74/'Data Sheet'!H$66</f>
        <v>0.10222057735011103</v>
      </c>
      <c r="J38" s="27">
        <f>'Data Sheet'!I74/'Data Sheet'!I$66</f>
        <v>0.12048689257298634</v>
      </c>
      <c r="K38" s="27">
        <f>'Data Sheet'!J74/'Data Sheet'!J$66</f>
        <v>8.990035674744741E-2</v>
      </c>
      <c r="L38" s="27">
        <f>'Data Sheet'!K74/'Data Sheet'!K$66</f>
        <v>7.3281484783936854E-2</v>
      </c>
    </row>
    <row r="39" spans="2:12" ht="14.25" customHeight="1" x14ac:dyDescent="0.3">
      <c r="B39" s="18" t="str">
        <f>'Data Sheet'!A67</f>
        <v>Receivables</v>
      </c>
      <c r="C39" s="27">
        <f>'Data Sheet'!B67/'Data Sheet'!B$61</f>
        <v>2.4692033488867771E-2</v>
      </c>
      <c r="D39" s="27">
        <f>'Data Sheet'!C67/'Data Sheet'!C$61</f>
        <v>3.105648122474015E-2</v>
      </c>
      <c r="E39" s="27">
        <f>'Data Sheet'!D67/'Data Sheet'!D$61</f>
        <v>3.5905699821688425E-2</v>
      </c>
      <c r="F39" s="27">
        <f>'Data Sheet'!E67/'Data Sheet'!E$61</f>
        <v>2.3036030714707618E-2</v>
      </c>
      <c r="G39" s="27">
        <f>'Data Sheet'!F67/'Data Sheet'!F$61</f>
        <v>2.2257358306981268E-2</v>
      </c>
      <c r="H39" s="27">
        <f>'Data Sheet'!G67/'Data Sheet'!G$61</f>
        <v>2.6666037379648858E-2</v>
      </c>
      <c r="I39" s="27">
        <f>'Data Sheet'!H67/'Data Sheet'!H$61</f>
        <v>2.4944485566247225E-2</v>
      </c>
      <c r="J39" s="27">
        <f>'Data Sheet'!I67/'Data Sheet'!I$61</f>
        <v>3.2269312454433069E-2</v>
      </c>
      <c r="K39" s="27">
        <f>'Data Sheet'!J67/'Data Sheet'!J$61</f>
        <v>2.6276294747201379E-2</v>
      </c>
      <c r="L39" s="27">
        <f>'Data Sheet'!K67/'Data Sheet'!K$61</f>
        <v>1.5125245620118558E-2</v>
      </c>
    </row>
    <row r="40" spans="2:12" ht="14.25" customHeight="1" x14ac:dyDescent="0.3">
      <c r="B40" s="18" t="str">
        <f>'Data Sheet'!A68</f>
        <v>Inventory</v>
      </c>
      <c r="C40" s="27">
        <f>'Data Sheet'!B68/'Data Sheet'!B$61</f>
        <v>0.58586963890874533</v>
      </c>
      <c r="D40" s="27">
        <f>'Data Sheet'!C68/'Data Sheet'!C$61</f>
        <v>0.62228916168821891</v>
      </c>
      <c r="E40" s="27">
        <f>'Data Sheet'!D68/'Data Sheet'!D$61</f>
        <v>0.60110300396931127</v>
      </c>
      <c r="F40" s="27">
        <f>'Data Sheet'!E68/'Data Sheet'!E$61</f>
        <v>0.59827229769639689</v>
      </c>
      <c r="G40" s="27">
        <f>'Data Sheet'!F68/'Data Sheet'!F$61</f>
        <v>0.51131111651666261</v>
      </c>
      <c r="H40" s="27">
        <f>'Data Sheet'!G68/'Data Sheet'!G$61</f>
        <v>0.64229752690202002</v>
      </c>
      <c r="I40" s="27">
        <f>'Data Sheet'!H68/'Data Sheet'!H$61</f>
        <v>0.61376757957068839</v>
      </c>
      <c r="J40" s="27">
        <f>'Data Sheet'!I68/'Data Sheet'!I$61</f>
        <v>0.60389260468507311</v>
      </c>
      <c r="K40" s="27">
        <f>'Data Sheet'!J68/'Data Sheet'!J$61</f>
        <v>0.69341862467708204</v>
      </c>
      <c r="L40" s="27">
        <f>'Data Sheet'!K68/'Data Sheet'!K$61</f>
        <v>0.70578425059031391</v>
      </c>
    </row>
    <row r="41" spans="2:12" ht="14.25" customHeight="1" x14ac:dyDescent="0.3">
      <c r="B41" s="18" t="str">
        <f>'Data Sheet'!A69</f>
        <v>Cash &amp; Bank</v>
      </c>
      <c r="C41" s="27">
        <f>'Data Sheet'!B69/'Data Sheet'!B$61</f>
        <v>9.2646269968611611E-2</v>
      </c>
      <c r="D41" s="27">
        <f>'Data Sheet'!C69/'Data Sheet'!C$61</f>
        <v>6.489942275213631E-2</v>
      </c>
      <c r="E41" s="27">
        <f>'Data Sheet'!D69/'Data Sheet'!D$61</f>
        <v>9.1075539887820842E-2</v>
      </c>
      <c r="F41" s="27">
        <f>'Data Sheet'!E69/'Data Sheet'!E$61</f>
        <v>2.8130537507383344E-2</v>
      </c>
      <c r="G41" s="27">
        <f>'Data Sheet'!F69/'Data Sheet'!F$61</f>
        <v>3.4054974458769156E-2</v>
      </c>
      <c r="H41" s="27">
        <f>'Data Sheet'!G69/'Data Sheet'!G$61</f>
        <v>7.4240135925995848E-2</v>
      </c>
      <c r="I41" s="27">
        <f>'Data Sheet'!H69/'Data Sheet'!H$61</f>
        <v>4.9703923019985198E-2</v>
      </c>
      <c r="J41" s="27">
        <f>'Data Sheet'!I69/'Data Sheet'!I$61</f>
        <v>4.8372269946429139E-2</v>
      </c>
      <c r="K41" s="27">
        <f>'Data Sheet'!J69/'Data Sheet'!J$61</f>
        <v>3.8971583220568339E-2</v>
      </c>
      <c r="L41" s="27">
        <f>'Data Sheet'!K69/'Data Sheet'!K$61</f>
        <v>3.1654034774855108E-2</v>
      </c>
    </row>
    <row r="43" spans="2:12" ht="9.75" customHeight="1" x14ac:dyDescent="0.3">
      <c r="B43" s="1"/>
      <c r="C43" s="1"/>
      <c r="D43" s="1"/>
      <c r="E43" s="1"/>
      <c r="F43" s="1"/>
      <c r="G43" s="1"/>
      <c r="H43" s="1"/>
      <c r="I43" s="1"/>
      <c r="J43" s="1"/>
      <c r="K43" s="1"/>
      <c r="L43" s="1"/>
    </row>
  </sheetData>
  <mergeCells count="2">
    <mergeCell ref="B2:L2"/>
    <mergeCell ref="B23:L23"/>
  </mergeCells>
  <pageMargins left="0.7" right="0.7" top="0.75" bottom="0.75" header="0.511811023622047" footer="0.511811023622047"/>
  <pageSetup scale="74"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80"/>
  </sheetPr>
  <dimension ref="B2:P60"/>
  <sheetViews>
    <sheetView showGridLines="0" zoomScale="66" zoomScaleNormal="66" workbookViewId="0">
      <selection activeCell="C3" sqref="C3"/>
    </sheetView>
  </sheetViews>
  <sheetFormatPr defaultColWidth="8.6640625" defaultRowHeight="14.4" x14ac:dyDescent="0.3"/>
  <cols>
    <col min="1" max="1" width="1.88671875" customWidth="1"/>
    <col min="2" max="2" width="42.6640625" customWidth="1"/>
    <col min="3" max="12" width="15.21875" customWidth="1"/>
    <col min="13" max="13" width="11.5546875" bestFit="1" customWidth="1"/>
  </cols>
  <sheetData>
    <row r="2" spans="2:16" ht="18" customHeight="1" x14ac:dyDescent="0.35">
      <c r="B2" s="373" t="str">
        <f>"Assumption Sheet"&amp;" - "&amp;'Data Sheet'!B1</f>
        <v>Assumption Sheet - TITAN COMPANY LTD</v>
      </c>
      <c r="C2" s="373"/>
      <c r="D2" s="373"/>
      <c r="E2" s="373"/>
      <c r="F2" s="373"/>
      <c r="G2" s="373"/>
      <c r="H2" s="373"/>
      <c r="I2" s="373"/>
      <c r="J2" s="373"/>
      <c r="K2" s="373"/>
      <c r="L2" s="373"/>
      <c r="M2" s="373"/>
    </row>
    <row r="4" spans="2:16" ht="15" customHeight="1" x14ac:dyDescent="0.3">
      <c r="B4" s="36" t="s">
        <v>107</v>
      </c>
      <c r="C4" s="37"/>
      <c r="D4" s="37"/>
      <c r="E4" s="37"/>
      <c r="F4" s="37"/>
      <c r="G4" s="37"/>
      <c r="H4" s="37"/>
      <c r="I4" s="37"/>
      <c r="J4" s="37"/>
      <c r="K4" s="37"/>
      <c r="L4" s="37"/>
      <c r="M4" s="37"/>
    </row>
    <row r="5" spans="2:16" ht="14.25" customHeight="1" x14ac:dyDescent="0.3">
      <c r="B5" s="4" t="s">
        <v>0</v>
      </c>
      <c r="C5" s="38">
        <f>'Data Sheet'!F56</f>
        <v>44286</v>
      </c>
      <c r="D5" s="38">
        <f>'Data Sheet'!G56</f>
        <v>44651</v>
      </c>
      <c r="E5" s="38">
        <f>'Data Sheet'!H56</f>
        <v>45016</v>
      </c>
      <c r="F5" s="38">
        <f>'Data Sheet'!I56</f>
        <v>45382</v>
      </c>
      <c r="G5" s="38">
        <f>'Data Sheet'!J56</f>
        <v>45747</v>
      </c>
      <c r="H5" s="38">
        <f>'Data Sheet'!K56</f>
        <v>46112</v>
      </c>
      <c r="I5" s="39">
        <f>H5+365</f>
        <v>46477</v>
      </c>
      <c r="J5" s="39">
        <f>I5+365</f>
        <v>46842</v>
      </c>
      <c r="K5" s="39">
        <f>J5+365</f>
        <v>47207</v>
      </c>
      <c r="L5" s="39">
        <f>K5+365</f>
        <v>47572</v>
      </c>
      <c r="M5" s="39">
        <f>L5+365</f>
        <v>47937</v>
      </c>
    </row>
    <row r="7" spans="2:16" ht="14.25" customHeight="1" x14ac:dyDescent="0.3">
      <c r="B7" t="str">
        <f>HistoricalFS!B10</f>
        <v>Sales Growth</v>
      </c>
      <c r="C7" s="27">
        <f>HistoricalFS!G10</f>
        <v>2.8120843625308867E-2</v>
      </c>
      <c r="D7" s="27">
        <f>HistoricalFS!H10</f>
        <v>0.33057660321567184</v>
      </c>
      <c r="E7" s="27">
        <f>HistoricalFS!I10</f>
        <v>0.40890308691274013</v>
      </c>
      <c r="F7" s="27">
        <f>HistoricalFS!J10</f>
        <v>0.25900184842883545</v>
      </c>
      <c r="G7" s="27">
        <f>HistoricalFS!K10</f>
        <v>0.18346253229974163</v>
      </c>
      <c r="H7" s="27">
        <f>HistoricalFS!L10</f>
        <v>0.448723038242689</v>
      </c>
      <c r="I7" s="40">
        <f>IF($C$39="Bull",I42,I41)</f>
        <v>0.18</v>
      </c>
      <c r="J7" s="40">
        <f>IF($C$39="Bull",J42,J41)</f>
        <v>0.16</v>
      </c>
      <c r="K7" s="40">
        <f>IF($C$39="Bull",K42,K41)</f>
        <v>0.15</v>
      </c>
      <c r="L7" s="40">
        <f>IF($C$39="Bull",L42,L41)</f>
        <v>0.14000000000000001</v>
      </c>
      <c r="M7" s="40">
        <f>IF($C$39="Bull",M42,M41)</f>
        <v>0.13</v>
      </c>
    </row>
    <row r="8" spans="2:16" ht="14.25" customHeight="1" x14ac:dyDescent="0.3">
      <c r="B8" t="str">
        <f>HistoricalFS!B13</f>
        <v>COGS % of Sales</v>
      </c>
      <c r="C8" s="27">
        <f>HistoricalFS!G13</f>
        <v>0.81597671410090555</v>
      </c>
      <c r="D8" s="27">
        <f>HistoricalFS!H13</f>
        <v>0.80645161290322576</v>
      </c>
      <c r="E8" s="27">
        <f>HistoricalFS!I13</f>
        <v>0.79593345656192238</v>
      </c>
      <c r="F8" s="27">
        <f>HistoricalFS!J13</f>
        <v>0.81559783885365278</v>
      </c>
      <c r="G8" s="27">
        <f>HistoricalFS!K13</f>
        <v>0.82744475320894539</v>
      </c>
      <c r="H8" s="27">
        <f>HistoricalFS!L13</f>
        <v>0.83874908659115821</v>
      </c>
      <c r="I8" s="40">
        <f>IF($C$39="Bull",I44,I43)</f>
        <v>0.83499999999999996</v>
      </c>
      <c r="J8" s="40">
        <f>IF($C$39="Bull",J44,J43)</f>
        <v>0.83</v>
      </c>
      <c r="K8" s="40">
        <f>IF($C$39="Bull",K44,K43)</f>
        <v>0.82499999999999996</v>
      </c>
      <c r="L8" s="40">
        <f>IF($C$39="Bull",L44,L43)</f>
        <v>0.82</v>
      </c>
      <c r="M8" s="40">
        <f>IF($C$39="Bull",M44,M43)</f>
        <v>0.81499999999999995</v>
      </c>
    </row>
    <row r="9" spans="2:16" ht="14.25" customHeight="1" x14ac:dyDescent="0.3">
      <c r="B9" t="str">
        <f>HistoricalFS!B16</f>
        <v>Gross Margins</v>
      </c>
      <c r="C9" s="27">
        <f>HistoricalFS!G16</f>
        <v>0.18402328589909445</v>
      </c>
      <c r="D9" s="27">
        <f>HistoricalFS!H16</f>
        <v>0.19354838709677419</v>
      </c>
      <c r="E9" s="27">
        <f>HistoricalFS!I16</f>
        <v>0.20406654343807765</v>
      </c>
      <c r="F9" s="27">
        <f>HistoricalFS!J16</f>
        <v>0.18440216114634719</v>
      </c>
      <c r="G9" s="27">
        <f>HistoricalFS!K16</f>
        <v>0.17255524679105466</v>
      </c>
      <c r="H9" s="27">
        <f>HistoricalFS!L16</f>
        <v>0.16125091340884179</v>
      </c>
      <c r="I9" s="41">
        <f>1-I8</f>
        <v>0.16500000000000004</v>
      </c>
      <c r="J9" s="41">
        <f>1-J8</f>
        <v>0.17000000000000004</v>
      </c>
      <c r="K9" s="41">
        <f>1-K8</f>
        <v>0.17500000000000004</v>
      </c>
      <c r="L9" s="41">
        <f>1-L8</f>
        <v>0.18000000000000005</v>
      </c>
      <c r="M9" s="41">
        <f>1-M8</f>
        <v>0.18500000000000005</v>
      </c>
    </row>
    <row r="10" spans="2:16" ht="14.25" customHeight="1" x14ac:dyDescent="0.3">
      <c r="B10" t="str">
        <f>HistoricalFS!B19</f>
        <v>S&amp;G % of Sales</v>
      </c>
      <c r="C10" s="27">
        <f>HistoricalFS!G19</f>
        <v>0.10432452411753834</v>
      </c>
      <c r="D10" s="27">
        <f>HistoricalFS!H19</f>
        <v>7.7433244209868399E-2</v>
      </c>
      <c r="E10" s="27">
        <f>HistoricalFS!I19</f>
        <v>8.3746149106592727E-2</v>
      </c>
      <c r="F10" s="27">
        <f>HistoricalFS!J19</f>
        <v>8.0808080808080815E-2</v>
      </c>
      <c r="G10" s="27">
        <f>HistoricalFS!K19</f>
        <v>7.8371046711658066E-2</v>
      </c>
      <c r="H10" s="27">
        <f>HistoricalFS!L19</f>
        <v>6.5833942272561202E-2</v>
      </c>
      <c r="I10" s="40">
        <f>IF($C$39="Bull",I46,I45)</f>
        <v>6.4000000000000001E-2</v>
      </c>
      <c r="J10" s="40">
        <f>IF($C$39="Bull",J46,J45)</f>
        <v>6.2E-2</v>
      </c>
      <c r="K10" s="40">
        <f>IF($C$39="Bull",K46,K45)</f>
        <v>0.06</v>
      </c>
      <c r="L10" s="40">
        <f>IF($C$39="Bull",L46,L45)</f>
        <v>5.8999999999999997E-2</v>
      </c>
      <c r="M10" s="40">
        <f>IF($C$39="Bull",M46,M45)</f>
        <v>5.8000000000000003E-2</v>
      </c>
    </row>
    <row r="11" spans="2:16" ht="14.25" customHeight="1" x14ac:dyDescent="0.3">
      <c r="B11" t="str">
        <f>HistoricalFS!B22</f>
        <v>EBITDA Margins</v>
      </c>
      <c r="C11" s="27">
        <f>HistoricalFS!G22</f>
        <v>7.9698761781556091E-2</v>
      </c>
      <c r="D11" s="27">
        <f>HistoricalFS!H22</f>
        <v>0.11611514288690579</v>
      </c>
      <c r="E11" s="27">
        <f>HistoricalFS!I22</f>
        <v>0.12032039433148491</v>
      </c>
      <c r="F11" s="27">
        <f>HistoricalFS!J22</f>
        <v>0.10359408033826638</v>
      </c>
      <c r="G11" s="27">
        <f>HistoricalFS!K22</f>
        <v>9.4184200079396582E-2</v>
      </c>
      <c r="H11" s="27">
        <f>HistoricalFS!L22</f>
        <v>9.5416971136280601E-2</v>
      </c>
      <c r="I11" s="41">
        <f>I9-I10</f>
        <v>0.10100000000000003</v>
      </c>
      <c r="J11" s="41">
        <f>J9-J10</f>
        <v>0.10800000000000004</v>
      </c>
      <c r="K11" s="41">
        <f>K9-K10</f>
        <v>0.11500000000000005</v>
      </c>
      <c r="L11" s="41">
        <f>L9-L10</f>
        <v>0.12100000000000005</v>
      </c>
      <c r="M11" s="41">
        <f>M9-M10</f>
        <v>0.12700000000000006</v>
      </c>
    </row>
    <row r="12" spans="2:16" ht="14.25" customHeight="1" x14ac:dyDescent="0.3">
      <c r="B12" t="s">
        <v>108</v>
      </c>
      <c r="C12" s="14">
        <f>HistoricalFS!G24</f>
        <v>180</v>
      </c>
      <c r="D12" s="14">
        <f>HistoricalFS!H24</f>
        <v>177</v>
      </c>
      <c r="E12" s="14">
        <f>HistoricalFS!I24</f>
        <v>306</v>
      </c>
      <c r="F12" s="14">
        <f>HistoricalFS!J24</f>
        <v>534</v>
      </c>
      <c r="G12" s="14">
        <f>HistoricalFS!K24</f>
        <v>487</v>
      </c>
      <c r="H12" s="14">
        <f>HistoricalFS!L24</f>
        <v>450</v>
      </c>
      <c r="I12" s="42">
        <f>H12*(1+0.1)</f>
        <v>495.00000000000006</v>
      </c>
      <c r="J12" s="42">
        <f>I12*(1+0.1)</f>
        <v>544.50000000000011</v>
      </c>
      <c r="K12" s="42">
        <f>J12*(1+0.1)</f>
        <v>598.95000000000016</v>
      </c>
      <c r="L12" s="42">
        <f>K12*(1+0.1)</f>
        <v>658.84500000000025</v>
      </c>
      <c r="M12" s="42">
        <f>L12*(1+0.1)</f>
        <v>724.72950000000037</v>
      </c>
    </row>
    <row r="13" spans="2:16" ht="14.25" customHeight="1" x14ac:dyDescent="0.3">
      <c r="B13" t="s">
        <v>109</v>
      </c>
      <c r="C13" s="14">
        <f>HistoricalFS!G27</f>
        <v>375</v>
      </c>
      <c r="D13" s="14">
        <f>HistoricalFS!H27</f>
        <v>399</v>
      </c>
      <c r="E13" s="14">
        <f>HistoricalFS!I27</f>
        <v>441</v>
      </c>
      <c r="F13" s="14">
        <f>HistoricalFS!J27</f>
        <v>584</v>
      </c>
      <c r="G13" s="14">
        <f>HistoricalFS!K27</f>
        <v>693</v>
      </c>
      <c r="H13" s="14">
        <f>HistoricalFS!L27</f>
        <v>826</v>
      </c>
      <c r="I13" s="42">
        <f>H13*(1+0.15)</f>
        <v>949.9</v>
      </c>
      <c r="J13" s="42">
        <f>I13*(1+0.15)</f>
        <v>1092.385</v>
      </c>
      <c r="K13" s="42">
        <f>J13*(1+0.15)</f>
        <v>1256.2427499999999</v>
      </c>
      <c r="L13" s="42">
        <f>K13*(1+0.15)</f>
        <v>1444.6791624999998</v>
      </c>
      <c r="M13" s="42">
        <f>L13*(1+0.15)</f>
        <v>1661.3810368749996</v>
      </c>
    </row>
    <row r="14" spans="2:16" ht="14.25" customHeight="1" x14ac:dyDescent="0.3">
      <c r="B14" t="s">
        <v>110</v>
      </c>
      <c r="C14" s="14">
        <f>HistoricalFS!G33</f>
        <v>203</v>
      </c>
      <c r="D14" s="14">
        <f>HistoricalFS!H33</f>
        <v>218</v>
      </c>
      <c r="E14" s="14">
        <f>HistoricalFS!I33</f>
        <v>300</v>
      </c>
      <c r="F14" s="14">
        <f>HistoricalFS!J33</f>
        <v>619</v>
      </c>
      <c r="G14" s="14">
        <f>HistoricalFS!K33</f>
        <v>953</v>
      </c>
      <c r="H14" s="14">
        <f>HistoricalFS!L33</f>
        <v>1180</v>
      </c>
      <c r="I14" s="42">
        <f>H14*(1+0.18)</f>
        <v>1392.3999999999999</v>
      </c>
      <c r="J14" s="42">
        <f>I14*(1+0.15)</f>
        <v>1601.2599999999998</v>
      </c>
      <c r="K14" s="42">
        <f>J14*(1+0.13)</f>
        <v>1809.4237999999996</v>
      </c>
      <c r="L14" s="42">
        <f>K14*(1+0.11)</f>
        <v>2008.4604179999997</v>
      </c>
      <c r="M14" s="42">
        <f>L14*(1+0.1)</f>
        <v>2209.3064597999996</v>
      </c>
    </row>
    <row r="15" spans="2:16" ht="14.25" customHeight="1" x14ac:dyDescent="0.3">
      <c r="B15" t="s">
        <v>111</v>
      </c>
      <c r="C15" s="43">
        <f>HistoricalFS!G51</f>
        <v>0.3655030800821355</v>
      </c>
      <c r="D15" s="43">
        <f>HistoricalFS!H51</f>
        <v>0.30368516833484988</v>
      </c>
      <c r="E15" s="43">
        <f>HistoricalFS!I51</f>
        <v>0.27183872938301773</v>
      </c>
      <c r="F15" s="43">
        <f>HistoricalFS!J51</f>
        <v>0.28003432494279179</v>
      </c>
      <c r="G15" s="43">
        <f>HistoricalFS!K51</f>
        <v>0.29337728498651489</v>
      </c>
      <c r="H15" s="43">
        <f>HistoricalFS!L51</f>
        <v>0.26315789473684209</v>
      </c>
      <c r="I15" s="44">
        <v>0.27</v>
      </c>
      <c r="J15" s="44">
        <v>0.27</v>
      </c>
      <c r="K15" s="44">
        <v>0.27</v>
      </c>
      <c r="L15" s="44">
        <v>0.27</v>
      </c>
      <c r="M15" s="44">
        <v>0.27</v>
      </c>
      <c r="P15" s="27"/>
    </row>
    <row r="16" spans="2:16" ht="14.25" customHeight="1" x14ac:dyDescent="0.3">
      <c r="B16" t="s">
        <v>112</v>
      </c>
      <c r="C16" s="43">
        <f>HistoricalFS!G40</f>
        <v>0.26601356443104746</v>
      </c>
      <c r="D16" s="43">
        <f>HistoricalFS!H40</f>
        <v>0.24311294765840222</v>
      </c>
      <c r="E16" s="43">
        <f>HistoricalFS!I40</f>
        <v>0.26377333033505734</v>
      </c>
      <c r="F16" s="43">
        <f>HistoricalFS!J40</f>
        <v>0.24378109452736318</v>
      </c>
      <c r="G16" s="43">
        <f>HistoricalFS!K40</f>
        <v>0.26416758544652702</v>
      </c>
      <c r="H16" s="43">
        <f>HistoricalFS!L40</f>
        <v>0.25408028231142477</v>
      </c>
      <c r="I16" s="40">
        <v>0.2535</v>
      </c>
      <c r="J16" s="40">
        <v>0.2535</v>
      </c>
      <c r="K16" s="40">
        <v>0.2535</v>
      </c>
      <c r="L16" s="40">
        <v>0.2535</v>
      </c>
      <c r="M16" s="40">
        <v>0.2535</v>
      </c>
    </row>
    <row r="18" spans="2:16" ht="15" customHeight="1" x14ac:dyDescent="0.3">
      <c r="B18" s="36" t="s">
        <v>113</v>
      </c>
      <c r="C18" s="37"/>
      <c r="D18" s="37"/>
      <c r="E18" s="37"/>
      <c r="F18" s="37"/>
      <c r="G18" s="37"/>
      <c r="H18" s="37"/>
      <c r="I18" s="37"/>
      <c r="J18" s="37"/>
      <c r="K18" s="37"/>
      <c r="L18" s="37"/>
      <c r="M18" s="37"/>
    </row>
    <row r="19" spans="2:16" ht="14.25" customHeight="1" x14ac:dyDescent="0.3">
      <c r="B19" s="4" t="s">
        <v>0</v>
      </c>
      <c r="C19" s="38">
        <f t="shared" ref="C19:M19" si="0">C5</f>
        <v>44286</v>
      </c>
      <c r="D19" s="38">
        <f t="shared" si="0"/>
        <v>44651</v>
      </c>
      <c r="E19" s="38">
        <f t="shared" si="0"/>
        <v>45016</v>
      </c>
      <c r="F19" s="38">
        <f t="shared" si="0"/>
        <v>45382</v>
      </c>
      <c r="G19" s="38">
        <f t="shared" si="0"/>
        <v>45747</v>
      </c>
      <c r="H19" s="38">
        <f t="shared" si="0"/>
        <v>46112</v>
      </c>
      <c r="I19" s="39">
        <f t="shared" si="0"/>
        <v>46477</v>
      </c>
      <c r="J19" s="39">
        <f t="shared" si="0"/>
        <v>46842</v>
      </c>
      <c r="K19" s="39">
        <f t="shared" si="0"/>
        <v>47207</v>
      </c>
      <c r="L19" s="39">
        <f t="shared" si="0"/>
        <v>47572</v>
      </c>
      <c r="M19" s="39">
        <f t="shared" si="0"/>
        <v>47937</v>
      </c>
    </row>
    <row r="20" spans="2:16" ht="14.25" customHeight="1" x14ac:dyDescent="0.3">
      <c r="B20" t="str">
        <f>'Ratio Analysis'!B33</f>
        <v>Debtor Days</v>
      </c>
      <c r="C20" s="45">
        <f>'Ratio Analysis'!G33</f>
        <v>6.172149325448161</v>
      </c>
      <c r="D20" s="45">
        <f>'Ratio Analysis'!H33</f>
        <v>7.160838918017987</v>
      </c>
      <c r="E20" s="45">
        <f>'Ratio Analysis'!I33</f>
        <v>6.0630930375847196</v>
      </c>
      <c r="F20" s="45">
        <f>'Ratio Analysis'!J33</f>
        <v>7.2737060527758199</v>
      </c>
      <c r="G20" s="45">
        <f>'Ratio Analysis'!K33</f>
        <v>6.4479952362048429</v>
      </c>
      <c r="H20" s="45">
        <f>'Ratio Analysis'!L33</f>
        <v>3.8173639020825725</v>
      </c>
      <c r="I20" s="46">
        <v>4.5</v>
      </c>
      <c r="J20" s="46">
        <v>5</v>
      </c>
      <c r="K20" s="46">
        <v>5.5</v>
      </c>
      <c r="L20" s="46">
        <v>5.5</v>
      </c>
      <c r="M20" s="46">
        <v>5.5</v>
      </c>
    </row>
    <row r="21" spans="2:16" ht="14.25" customHeight="1" x14ac:dyDescent="0.3">
      <c r="B21" t="str">
        <f>'Ratio Analysis'!B34</f>
        <v>Creditor Days</v>
      </c>
      <c r="C21" s="45">
        <f>'Ratio Analysis'!G34</f>
        <v>16.30626804824189</v>
      </c>
      <c r="D21" s="45">
        <f>'Ratio Analysis'!H34</f>
        <v>20.336275565123788</v>
      </c>
      <c r="E21" s="45">
        <f>'Ratio Analysis'!I34</f>
        <v>13.720699798730454</v>
      </c>
      <c r="F21" s="45">
        <f>'Ratio Analysis'!J34</f>
        <v>12.352390552995391</v>
      </c>
      <c r="G21" s="45">
        <f>'Ratio Analysis'!K34</f>
        <v>14.323024948024948</v>
      </c>
      <c r="H21" s="45">
        <f>'Ratio Analysis'!L34</f>
        <v>14.230135718272281</v>
      </c>
      <c r="I21" s="46">
        <v>14</v>
      </c>
      <c r="J21" s="46">
        <v>14</v>
      </c>
      <c r="K21" s="46">
        <v>14</v>
      </c>
      <c r="L21" s="46">
        <v>14</v>
      </c>
      <c r="M21" s="46">
        <v>14</v>
      </c>
      <c r="P21" s="27"/>
    </row>
    <row r="22" spans="2:16" ht="14.25" customHeight="1" x14ac:dyDescent="0.3">
      <c r="B22" t="str">
        <f>'Ratio Analysis'!B35</f>
        <v>Inventory Days</v>
      </c>
      <c r="C22" s="45">
        <f>'Ratio Analysis'!G35</f>
        <v>173.76818979672723</v>
      </c>
      <c r="D22" s="45">
        <f>'Ratio Analysis'!H35</f>
        <v>213.87664155005382</v>
      </c>
      <c r="E22" s="45">
        <f>'Ratio Analysis'!I35</f>
        <v>187.43334881560614</v>
      </c>
      <c r="F22" s="45">
        <f>'Ratio Analysis'!J35</f>
        <v>166.89744143625191</v>
      </c>
      <c r="G22" s="45">
        <f>'Ratio Analysis'!K35</f>
        <v>205.64449064449065</v>
      </c>
      <c r="H22" s="45">
        <f>'Ratio Analysis'!L35</f>
        <v>212.37384462503914</v>
      </c>
      <c r="I22" s="46">
        <v>205</v>
      </c>
      <c r="J22" s="46">
        <v>200</v>
      </c>
      <c r="K22" s="46">
        <v>195</v>
      </c>
      <c r="L22" s="46">
        <v>190</v>
      </c>
      <c r="M22" s="46">
        <v>185</v>
      </c>
    </row>
    <row r="24" spans="2:16" ht="15" customHeight="1" x14ac:dyDescent="0.3">
      <c r="B24" s="36" t="s">
        <v>114</v>
      </c>
      <c r="C24" s="37"/>
      <c r="D24" s="37"/>
      <c r="E24" s="37"/>
      <c r="F24" s="37"/>
      <c r="G24" s="37"/>
      <c r="H24" s="37"/>
      <c r="I24" s="37"/>
      <c r="J24" s="37"/>
      <c r="K24" s="37"/>
      <c r="L24" s="37"/>
      <c r="M24" s="37"/>
    </row>
    <row r="25" spans="2:16" ht="14.25" customHeight="1" x14ac:dyDescent="0.3">
      <c r="B25" s="4" t="s">
        <v>0</v>
      </c>
      <c r="C25" s="38">
        <f t="shared" ref="C25:M25" si="1">C19</f>
        <v>44286</v>
      </c>
      <c r="D25" s="38">
        <f t="shared" si="1"/>
        <v>44651</v>
      </c>
      <c r="E25" s="38">
        <f t="shared" si="1"/>
        <v>45016</v>
      </c>
      <c r="F25" s="38">
        <f t="shared" si="1"/>
        <v>45382</v>
      </c>
      <c r="G25" s="38">
        <f t="shared" si="1"/>
        <v>45747</v>
      </c>
      <c r="H25" s="38">
        <f t="shared" si="1"/>
        <v>46112</v>
      </c>
      <c r="I25" s="39">
        <f t="shared" si="1"/>
        <v>46477</v>
      </c>
      <c r="J25" s="39">
        <f t="shared" si="1"/>
        <v>46842</v>
      </c>
      <c r="K25" s="39">
        <f t="shared" si="1"/>
        <v>47207</v>
      </c>
      <c r="L25" s="39">
        <f t="shared" si="1"/>
        <v>47572</v>
      </c>
      <c r="M25" s="39">
        <f t="shared" si="1"/>
        <v>47937</v>
      </c>
    </row>
    <row r="26" spans="2:16" ht="14.25" customHeight="1" x14ac:dyDescent="0.3">
      <c r="B26" t="s">
        <v>115</v>
      </c>
      <c r="C26" s="14">
        <f>-HistoricalFS!G92</f>
        <v>146</v>
      </c>
      <c r="D26" s="14">
        <f>-HistoricalFS!H92</f>
        <v>224</v>
      </c>
      <c r="E26" s="14">
        <f>-HistoricalFS!I92</f>
        <v>432</v>
      </c>
      <c r="F26" s="14">
        <f>-HistoricalFS!J92</f>
        <v>691</v>
      </c>
      <c r="G26" s="14">
        <f>-HistoricalFS!K92</f>
        <v>494</v>
      </c>
      <c r="H26" s="14">
        <f>-HistoricalFS!L92</f>
        <v>902</v>
      </c>
      <c r="I26" s="47">
        <f>HistoricalFS!$L$9*(1+I7)*I27</f>
        <v>1136.8403199999998</v>
      </c>
      <c r="J26" s="47">
        <f>HistoricalFS!$L$9*(1+I7)*(1+J7)*J27</f>
        <v>1378.6772607999999</v>
      </c>
      <c r="K26" s="47">
        <f>HistoricalFS!$L$9*(1+I7)*(1+J7)*(1+K7)*K27</f>
        <v>1654.4127129599997</v>
      </c>
      <c r="L26" s="47">
        <f>HistoricalFS!$L$9*(1+I7)*(1+J7)*(1+K7)*(1+L7)*L27</f>
        <v>1886.0304927743998</v>
      </c>
      <c r="M26" s="47">
        <f>HistoricalFS!$L$9*(1+I7)*(1+J7)*(1+K7)*(1+L7)*(1+M7)*M27</f>
        <v>2042.4138544669433</v>
      </c>
    </row>
    <row r="27" spans="2:16" ht="14.25" customHeight="1" x14ac:dyDescent="0.3">
      <c r="B27" t="s">
        <v>116</v>
      </c>
      <c r="C27" s="27">
        <f>C26/HistoricalFS!G9</f>
        <v>6.7455183884679356E-3</v>
      </c>
      <c r="D27" s="27">
        <f>D26/HistoricalFS!H9</f>
        <v>7.7780478488836419E-3</v>
      </c>
      <c r="E27" s="27">
        <f>E26/HistoricalFS!I9</f>
        <v>1.0646950092421443E-2</v>
      </c>
      <c r="F27" s="27">
        <f>F26/HistoricalFS!J9</f>
        <v>1.3526740270926317E-2</v>
      </c>
      <c r="G27" s="27">
        <f>G26/HistoricalFS!K9</f>
        <v>8.1712319703586087E-3</v>
      </c>
      <c r="H27" s="27">
        <f>H26/HistoricalFS!L9</f>
        <v>1.0298684691267811E-2</v>
      </c>
      <c r="I27" s="40">
        <f>IF($C$39="Bull",I48,I47)</f>
        <v>1.0999999999999999E-2</v>
      </c>
      <c r="J27" s="40">
        <f>IF($C$39="Bull",J48,J47)</f>
        <v>1.15E-2</v>
      </c>
      <c r="K27" s="40">
        <f>IF($C$39="Bull",K48,K47)</f>
        <v>1.2E-2</v>
      </c>
      <c r="L27" s="40">
        <f>IF($C$39="Bull",L48,L47)</f>
        <v>1.2E-2</v>
      </c>
      <c r="M27" s="40">
        <f>IF($C$39="Bull",M48,M47)</f>
        <v>1.15E-2</v>
      </c>
    </row>
    <row r="29" spans="2:16" ht="15" customHeight="1" x14ac:dyDescent="0.3">
      <c r="B29" s="36" t="s">
        <v>117</v>
      </c>
      <c r="C29" s="37"/>
      <c r="D29" s="37"/>
      <c r="E29" s="37"/>
      <c r="F29" s="37"/>
      <c r="G29" s="37"/>
      <c r="H29" s="37"/>
      <c r="I29" s="37"/>
      <c r="J29" s="37"/>
      <c r="K29" s="37"/>
      <c r="L29" s="37"/>
      <c r="M29" s="37"/>
    </row>
    <row r="30" spans="2:16" ht="14.25" customHeight="1" x14ac:dyDescent="0.3">
      <c r="B30" s="4" t="s">
        <v>0</v>
      </c>
      <c r="C30" s="38">
        <f t="shared" ref="C30:M30" si="2">C25</f>
        <v>44286</v>
      </c>
      <c r="D30" s="38">
        <f t="shared" si="2"/>
        <v>44651</v>
      </c>
      <c r="E30" s="38">
        <f t="shared" si="2"/>
        <v>45016</v>
      </c>
      <c r="F30" s="38">
        <f t="shared" si="2"/>
        <v>45382</v>
      </c>
      <c r="G30" s="38">
        <f t="shared" si="2"/>
        <v>45747</v>
      </c>
      <c r="H30" s="38">
        <f t="shared" si="2"/>
        <v>46112</v>
      </c>
      <c r="I30" s="39">
        <f t="shared" si="2"/>
        <v>46477</v>
      </c>
      <c r="J30" s="39">
        <f t="shared" si="2"/>
        <v>46842</v>
      </c>
      <c r="K30" s="39">
        <f t="shared" si="2"/>
        <v>47207</v>
      </c>
      <c r="L30" s="39">
        <f t="shared" si="2"/>
        <v>47572</v>
      </c>
      <c r="M30" s="39">
        <f t="shared" si="2"/>
        <v>47937</v>
      </c>
    </row>
    <row r="31" spans="2:16" ht="14.25" customHeight="1" x14ac:dyDescent="0.3">
      <c r="B31" t="s">
        <v>118</v>
      </c>
      <c r="C31" s="27">
        <f>HistoricalFS!C60/HistoricalFS!C9</f>
        <v>0.11385109378523066</v>
      </c>
      <c r="D31" s="27">
        <f>HistoricalFS!D60/HistoricalFS!D9</f>
        <v>0.11551963830749447</v>
      </c>
      <c r="E31" s="27">
        <f>HistoricalFS!E60/HistoricalFS!E9</f>
        <v>0.11834606431623802</v>
      </c>
      <c r="F31" s="27">
        <f>HistoricalFS!F60/HistoricalFS!F9</f>
        <v>0.12906137184115524</v>
      </c>
      <c r="G31" s="27">
        <f>HistoricalFS!G60/HistoricalFS!G9</f>
        <v>0.11642949547218628</v>
      </c>
      <c r="H31" s="27">
        <f>HistoricalFS!H60/HistoricalFS!H9</f>
        <v>0.11514288690579534</v>
      </c>
      <c r="I31" s="40">
        <v>0.115</v>
      </c>
      <c r="J31" s="40">
        <v>0.115</v>
      </c>
      <c r="K31" s="40">
        <v>0.115</v>
      </c>
      <c r="L31" s="40">
        <v>0.115</v>
      </c>
      <c r="M31" s="40">
        <v>0.115</v>
      </c>
    </row>
    <row r="32" spans="2:16" ht="14.25" customHeight="1" x14ac:dyDescent="0.3">
      <c r="B32" t="s">
        <v>119</v>
      </c>
      <c r="C32" s="27">
        <f>HistoricalFS!C66/HistoricalFS!C9</f>
        <v>5.4580293993664028E-2</v>
      </c>
      <c r="D32" s="27">
        <f>HistoricalFS!D66/HistoricalFS!D9</f>
        <v>7.0064895466870822E-2</v>
      </c>
      <c r="E32" s="27">
        <f>HistoricalFS!E66/HistoricalFS!E9</f>
        <v>7.4690623969842052E-2</v>
      </c>
      <c r="F32" s="27">
        <f>HistoricalFS!F66/HistoricalFS!F9</f>
        <v>9.2105263157894732E-2</v>
      </c>
      <c r="G32" s="27">
        <f>HistoricalFS!G66/HistoricalFS!G9</f>
        <v>7.9975974866013683E-2</v>
      </c>
      <c r="H32" s="27">
        <f>HistoricalFS!H66/HistoricalFS!H9</f>
        <v>8.7433591444147363E-2</v>
      </c>
      <c r="I32" s="40">
        <v>8.7999999999999995E-2</v>
      </c>
      <c r="J32" s="40">
        <v>0.09</v>
      </c>
      <c r="K32" s="40">
        <v>0.09</v>
      </c>
      <c r="L32" s="40">
        <v>0.09</v>
      </c>
      <c r="M32" s="40">
        <v>0.09</v>
      </c>
    </row>
    <row r="33" spans="2:13" ht="14.25" customHeight="1" x14ac:dyDescent="0.3">
      <c r="B33" t="s">
        <v>120</v>
      </c>
      <c r="C33" s="14">
        <f>HistoricalFS!C64</f>
        <v>152.07</v>
      </c>
      <c r="D33" s="14">
        <f>HistoricalFS!D64</f>
        <v>43.37</v>
      </c>
      <c r="E33" s="14">
        <f>HistoricalFS!E64</f>
        <v>31.77</v>
      </c>
      <c r="F33" s="14">
        <f>HistoricalFS!F64</f>
        <v>18</v>
      </c>
      <c r="G33" s="14">
        <f>HistoricalFS!G64</f>
        <v>32</v>
      </c>
      <c r="H33" s="14">
        <f>HistoricalFS!H64</f>
        <v>85</v>
      </c>
      <c r="I33" s="48">
        <v>95</v>
      </c>
      <c r="J33" s="48">
        <v>105</v>
      </c>
      <c r="K33" s="48">
        <v>115</v>
      </c>
      <c r="L33" s="48">
        <v>125</v>
      </c>
      <c r="M33" s="48">
        <v>135</v>
      </c>
    </row>
    <row r="34" spans="2:13" ht="14.25" customHeight="1" x14ac:dyDescent="0.3">
      <c r="B34" t="s">
        <v>121</v>
      </c>
      <c r="C34" s="14">
        <f>HistoricalFS!C65</f>
        <v>430.73</v>
      </c>
      <c r="D34" s="14">
        <f>HistoricalFS!D65</f>
        <v>35.99</v>
      </c>
      <c r="E34" s="14">
        <f>HistoricalFS!E65</f>
        <v>108.42</v>
      </c>
      <c r="F34" s="14">
        <f>HistoricalFS!F65</f>
        <v>158</v>
      </c>
      <c r="G34" s="14">
        <f>HistoricalFS!G65</f>
        <v>2824</v>
      </c>
      <c r="H34" s="14">
        <f>HistoricalFS!H65</f>
        <v>294</v>
      </c>
      <c r="I34" s="42">
        <f>H34*(1+0.12)</f>
        <v>329.28000000000003</v>
      </c>
      <c r="J34" s="42">
        <f>I34*(1+0.12)</f>
        <v>368.79360000000008</v>
      </c>
      <c r="K34" s="42">
        <f>J34*(1+0.12)</f>
        <v>413.04883200000012</v>
      </c>
      <c r="L34" s="42">
        <f>K34*(1+0.12)</f>
        <v>462.61469184000015</v>
      </c>
      <c r="M34" s="42">
        <f>L34*(1+0.12)</f>
        <v>518.12845486080016</v>
      </c>
    </row>
    <row r="35" spans="2:13" ht="14.25" customHeight="1" x14ac:dyDescent="0.3">
      <c r="B35" t="s">
        <v>122</v>
      </c>
      <c r="C35" s="14">
        <f>HistoricalFS!C58</f>
        <v>1882.43</v>
      </c>
      <c r="D35" s="14">
        <f>HistoricalFS!D58</f>
        <v>1691.01</v>
      </c>
      <c r="E35" s="14">
        <f>HistoricalFS!E58</f>
        <v>2392.98</v>
      </c>
      <c r="F35" s="14">
        <f>HistoricalFS!F58</f>
        <v>3562</v>
      </c>
      <c r="G35" s="14">
        <f>HistoricalFS!G58</f>
        <v>5638</v>
      </c>
      <c r="H35" s="14">
        <f>HistoricalFS!H58</f>
        <v>7275</v>
      </c>
      <c r="I35" s="42">
        <f>H35*(1+0.2)</f>
        <v>8730</v>
      </c>
      <c r="J35" s="42">
        <f>I35*(1+0.18)</f>
        <v>10301.4</v>
      </c>
      <c r="K35" s="42">
        <f>J35*(1+0.16)</f>
        <v>11949.623999999998</v>
      </c>
      <c r="L35" s="42">
        <f>K35*(1+0.15)</f>
        <v>13742.067599999997</v>
      </c>
      <c r="M35" s="42">
        <f>L35*(1+0.14)</f>
        <v>15665.957063999998</v>
      </c>
    </row>
    <row r="37" spans="2:13" ht="15" customHeight="1" x14ac:dyDescent="0.3">
      <c r="B37" s="36" t="s">
        <v>123</v>
      </c>
      <c r="C37" s="37"/>
      <c r="D37" s="37"/>
      <c r="E37" s="37"/>
      <c r="F37" s="37"/>
      <c r="G37" s="37"/>
      <c r="H37" s="37"/>
      <c r="I37" s="37"/>
      <c r="J37" s="37"/>
      <c r="K37" s="37"/>
      <c r="L37" s="37"/>
      <c r="M37" s="37"/>
    </row>
    <row r="38" spans="2:13" ht="14.25" customHeight="1" x14ac:dyDescent="0.3">
      <c r="B38" s="4" t="s">
        <v>0</v>
      </c>
      <c r="C38" s="38"/>
      <c r="D38" s="38"/>
      <c r="E38" s="38"/>
      <c r="F38" s="38"/>
      <c r="G38" s="38"/>
      <c r="H38" s="38"/>
      <c r="I38" s="39">
        <f>I30</f>
        <v>46477</v>
      </c>
      <c r="J38" s="39">
        <f>J30</f>
        <v>46842</v>
      </c>
      <c r="K38" s="39">
        <f>K30</f>
        <v>47207</v>
      </c>
      <c r="L38" s="39">
        <f>L30</f>
        <v>47572</v>
      </c>
      <c r="M38" s="39">
        <f>M30</f>
        <v>47937</v>
      </c>
    </row>
    <row r="39" spans="2:13" ht="14.25" customHeight="1" x14ac:dyDescent="0.3">
      <c r="B39" t="s">
        <v>124</v>
      </c>
      <c r="C39" s="49" t="s">
        <v>201</v>
      </c>
    </row>
    <row r="41" spans="2:13" ht="14.25" customHeight="1" x14ac:dyDescent="0.3">
      <c r="B41" t="s">
        <v>125</v>
      </c>
      <c r="I41" s="40">
        <v>0.18</v>
      </c>
      <c r="J41" s="40">
        <v>0.16</v>
      </c>
      <c r="K41" s="40">
        <v>0.15</v>
      </c>
      <c r="L41" s="40">
        <v>0.14000000000000001</v>
      </c>
      <c r="M41" s="40">
        <v>0.13</v>
      </c>
    </row>
    <row r="42" spans="2:13" ht="14.25" customHeight="1" x14ac:dyDescent="0.3">
      <c r="B42" t="s">
        <v>126</v>
      </c>
      <c r="I42" s="40">
        <v>0.22</v>
      </c>
      <c r="J42" s="40">
        <v>0.2</v>
      </c>
      <c r="K42" s="40">
        <v>0.19</v>
      </c>
      <c r="L42" s="40">
        <v>0.18</v>
      </c>
      <c r="M42" s="40">
        <v>0.17</v>
      </c>
    </row>
    <row r="43" spans="2:13" ht="14.25" customHeight="1" x14ac:dyDescent="0.3">
      <c r="B43" t="s">
        <v>127</v>
      </c>
      <c r="I43" s="40">
        <v>0.83499999999999996</v>
      </c>
      <c r="J43" s="40">
        <v>0.83</v>
      </c>
      <c r="K43" s="40">
        <v>0.82499999999999996</v>
      </c>
      <c r="L43" s="40">
        <v>0.82</v>
      </c>
      <c r="M43" s="40">
        <v>0.81499999999999995</v>
      </c>
    </row>
    <row r="44" spans="2:13" ht="14.25" customHeight="1" x14ac:dyDescent="0.3">
      <c r="B44" t="s">
        <v>128</v>
      </c>
      <c r="I44" s="40">
        <v>0.82</v>
      </c>
      <c r="J44" s="40">
        <v>0.81499999999999995</v>
      </c>
      <c r="K44" s="40">
        <v>0.81</v>
      </c>
      <c r="L44" s="40">
        <v>0.80500000000000005</v>
      </c>
      <c r="M44" s="40">
        <v>0.8</v>
      </c>
    </row>
    <row r="45" spans="2:13" ht="14.25" customHeight="1" x14ac:dyDescent="0.3">
      <c r="B45" t="s">
        <v>129</v>
      </c>
      <c r="I45" s="40">
        <v>6.4000000000000001E-2</v>
      </c>
      <c r="J45" s="40">
        <v>6.2E-2</v>
      </c>
      <c r="K45" s="40">
        <v>0.06</v>
      </c>
      <c r="L45" s="40">
        <v>5.8999999999999997E-2</v>
      </c>
      <c r="M45" s="40">
        <v>5.8000000000000003E-2</v>
      </c>
    </row>
    <row r="46" spans="2:13" ht="14.25" customHeight="1" x14ac:dyDescent="0.3">
      <c r="B46" t="s">
        <v>130</v>
      </c>
      <c r="I46" s="40">
        <v>6.0999999999999999E-2</v>
      </c>
      <c r="J46" s="40">
        <v>5.8999999999999997E-2</v>
      </c>
      <c r="K46" s="40">
        <v>5.7000000000000002E-2</v>
      </c>
      <c r="L46" s="40">
        <v>5.6000000000000001E-2</v>
      </c>
      <c r="M46" s="40">
        <v>5.5E-2</v>
      </c>
    </row>
    <row r="47" spans="2:13" ht="14.25" customHeight="1" x14ac:dyDescent="0.3">
      <c r="B47" t="s">
        <v>131</v>
      </c>
      <c r="I47" s="40">
        <v>1.0999999999999999E-2</v>
      </c>
      <c r="J47" s="40">
        <v>1.15E-2</v>
      </c>
      <c r="K47" s="40">
        <v>1.2E-2</v>
      </c>
      <c r="L47" s="40">
        <v>1.2E-2</v>
      </c>
      <c r="M47" s="40">
        <v>1.15E-2</v>
      </c>
    </row>
    <row r="48" spans="2:13" ht="14.25" customHeight="1" x14ac:dyDescent="0.3">
      <c r="B48" t="s">
        <v>132</v>
      </c>
      <c r="I48" s="70">
        <v>1.03E-2</v>
      </c>
      <c r="J48" s="70">
        <v>1.0500000000000001E-2</v>
      </c>
      <c r="K48" s="70">
        <v>1.0500000000000001E-2</v>
      </c>
      <c r="L48" s="70">
        <v>1.03E-2</v>
      </c>
      <c r="M48" s="70">
        <v>0.01</v>
      </c>
    </row>
    <row r="50" spans="2:13" ht="14.25" customHeight="1" x14ac:dyDescent="0.3">
      <c r="B50" t="s">
        <v>133</v>
      </c>
      <c r="I50" s="41">
        <f t="shared" ref="I50:M51" si="3">(1-I43)-I45</f>
        <v>0.10100000000000003</v>
      </c>
      <c r="J50" s="41">
        <f t="shared" si="3"/>
        <v>0.10800000000000004</v>
      </c>
      <c r="K50" s="41">
        <f t="shared" si="3"/>
        <v>0.11500000000000005</v>
      </c>
      <c r="L50" s="41">
        <f t="shared" si="3"/>
        <v>0.12100000000000005</v>
      </c>
      <c r="M50" s="41">
        <f t="shared" si="3"/>
        <v>0.12700000000000006</v>
      </c>
    </row>
    <row r="51" spans="2:13" ht="14.25" customHeight="1" x14ac:dyDescent="0.3">
      <c r="B51" t="s">
        <v>134</v>
      </c>
      <c r="I51" s="41">
        <f t="shared" si="3"/>
        <v>0.11900000000000005</v>
      </c>
      <c r="J51" s="41">
        <f t="shared" si="3"/>
        <v>0.12600000000000006</v>
      </c>
      <c r="K51" s="41">
        <f t="shared" si="3"/>
        <v>0.13299999999999995</v>
      </c>
      <c r="L51" s="41">
        <f t="shared" si="3"/>
        <v>0.13899999999999996</v>
      </c>
      <c r="M51" s="41">
        <f t="shared" si="3"/>
        <v>0.14499999999999996</v>
      </c>
    </row>
    <row r="52" spans="2:13" ht="14.25" customHeight="1" x14ac:dyDescent="0.3">
      <c r="I52" s="41"/>
      <c r="J52" s="41"/>
      <c r="K52" s="41"/>
      <c r="L52" s="41"/>
      <c r="M52" s="41"/>
    </row>
    <row r="53" spans="2:13" ht="14.25" customHeight="1" x14ac:dyDescent="0.3">
      <c r="B53" s="36" t="s">
        <v>354</v>
      </c>
      <c r="C53" s="37"/>
      <c r="D53" s="37"/>
      <c r="E53" s="37"/>
      <c r="F53" s="37"/>
      <c r="G53" s="37"/>
      <c r="H53" s="37"/>
      <c r="I53" s="37"/>
      <c r="J53" s="37"/>
      <c r="K53" s="37"/>
      <c r="L53" s="37"/>
      <c r="M53" s="37"/>
    </row>
    <row r="54" spans="2:13" ht="14.25" customHeight="1" x14ac:dyDescent="0.3">
      <c r="B54" s="4" t="s">
        <v>0</v>
      </c>
      <c r="C54" s="38"/>
      <c r="D54" s="38"/>
      <c r="E54" s="38"/>
      <c r="F54" s="38"/>
      <c r="G54" s="38"/>
      <c r="H54" s="38"/>
      <c r="I54" s="39">
        <f>I38</f>
        <v>46477</v>
      </c>
      <c r="J54" s="39">
        <f t="shared" ref="J54:M54" si="4">J38</f>
        <v>46842</v>
      </c>
      <c r="K54" s="39">
        <f t="shared" si="4"/>
        <v>47207</v>
      </c>
      <c r="L54" s="39">
        <f t="shared" si="4"/>
        <v>47572</v>
      </c>
      <c r="M54" s="39">
        <f t="shared" si="4"/>
        <v>47937</v>
      </c>
    </row>
    <row r="55" spans="2:13" ht="14.25" customHeight="1" x14ac:dyDescent="0.3">
      <c r="B55" t="s">
        <v>355</v>
      </c>
      <c r="H55" s="41"/>
      <c r="I55" s="41">
        <f>(-ForcastedFS!H75-SUM(ForcastedFS!H67:H70))/(ForcastedFS!H24*(1-ForcastedFS!H32))</f>
        <v>1.4650611118560981</v>
      </c>
      <c r="J55" s="41">
        <f>(-ForcastedFS!I75-SUM(ForcastedFS!I67:I70))/(ForcastedFS!I24*(1-ForcastedFS!I32))</f>
        <v>0.76580649147882585</v>
      </c>
      <c r="K55" s="41">
        <f>(-ForcastedFS!J75-SUM(ForcastedFS!J67:J70))/(ForcastedFS!J24*(1-ForcastedFS!J32))</f>
        <v>0.64668815956086134</v>
      </c>
      <c r="L55" s="41">
        <f>(-ForcastedFS!K75-SUM(ForcastedFS!K67:K70))/(ForcastedFS!K24*(1-ForcastedFS!K32))</f>
        <v>0.54633704596301669</v>
      </c>
      <c r="M55" s="41">
        <f>(-ForcastedFS!L75-SUM(ForcastedFS!L67:L70))/(ForcastedFS!L24*(1-ForcastedFS!L32))</f>
        <v>0.46518056965479176</v>
      </c>
    </row>
    <row r="56" spans="2:13" ht="14.25" customHeight="1" x14ac:dyDescent="0.3">
      <c r="I56" s="41"/>
      <c r="J56" s="41"/>
      <c r="K56" s="41"/>
      <c r="L56" s="41"/>
      <c r="M56" s="41"/>
    </row>
    <row r="57" spans="2:13" ht="11.4" customHeight="1" x14ac:dyDescent="0.3">
      <c r="B57" s="1"/>
      <c r="C57" s="1"/>
      <c r="D57" s="1"/>
      <c r="E57" s="1"/>
      <c r="F57" s="1"/>
      <c r="G57" s="1"/>
      <c r="H57" s="1"/>
      <c r="I57" s="1"/>
      <c r="J57" s="1"/>
      <c r="K57" s="1"/>
      <c r="L57" s="1"/>
      <c r="M57" s="1"/>
    </row>
    <row r="58" spans="2:13" ht="14.25" customHeight="1" x14ac:dyDescent="0.3">
      <c r="I58" s="41"/>
      <c r="J58" s="41"/>
      <c r="K58" s="41"/>
      <c r="L58" s="41"/>
      <c r="M58" s="41"/>
    </row>
    <row r="60" spans="2:13" ht="10.5" customHeight="1" x14ac:dyDescent="0.3"/>
  </sheetData>
  <mergeCells count="1">
    <mergeCell ref="B2:M2"/>
  </mergeCells>
  <conditionalFormatting sqref="C39">
    <cfRule type="containsText" dxfId="11" priority="2" operator="containsText" text="Bull">
      <formula>NOT(ISERROR(SEARCH("Bull",C39)))</formula>
    </cfRule>
    <cfRule type="containsText" dxfId="10" priority="3" operator="containsText" text="Bull">
      <formula>NOT(ISERROR(SEARCH("Bull",C39)))</formula>
    </cfRule>
    <cfRule type="containsText" dxfId="9" priority="4" operator="containsText" text="Bull">
      <formula>NOT(ISERROR(SEARCH("Bull",C39)))</formula>
    </cfRule>
    <cfRule type="containsText" dxfId="8" priority="5" operator="containsText" text="Bear">
      <formula>NOT(ISERROR(SEARCH("Bear",C39)))</formula>
    </cfRule>
    <cfRule type="containsText" dxfId="7" priority="6" operator="containsText" text="Bull">
      <formula>NOT(ISERROR(SEARCH("Bull",C39)))</formula>
    </cfRule>
    <cfRule type="containsText" dxfId="6" priority="7" operator="containsText" text="Bull">
      <formula>NOT(ISERROR(SEARCH("Bull",C39)))</formula>
    </cfRule>
    <cfRule type="containsText" dxfId="5" priority="8" operator="containsText" text="Bull">
      <formula>NOT(ISERROR(SEARCH("Bull",C39)))</formula>
    </cfRule>
    <cfRule type="containsText" dxfId="4" priority="9" operator="containsText" text="Base">
      <formula>NOT(ISERROR(SEARCH("Base",C39)))</formula>
    </cfRule>
  </conditionalFormatting>
  <dataValidations count="1">
    <dataValidation type="list" sqref="C39" xr:uid="{00000000-0002-0000-0400-000000000000}">
      <formula1>"Base,Bull"</formula1>
      <formula2>0</formula2>
    </dataValidation>
  </dataValidations>
  <pageMargins left="0.7" right="0.7" top="0.75" bottom="0.75" header="0.511811023622047" footer="0.511811023622047"/>
  <pageSetup scale="56" orientation="landscape" horizontalDpi="300" verticalDpi="3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D2CD"/>
  </sheetPr>
  <dimension ref="A2:L87"/>
  <sheetViews>
    <sheetView showGridLines="0" zoomScale="66" zoomScaleNormal="66" workbookViewId="0">
      <selection activeCell="C3" sqref="C3"/>
    </sheetView>
  </sheetViews>
  <sheetFormatPr defaultColWidth="8.6640625" defaultRowHeight="14.4" x14ac:dyDescent="0.3"/>
  <cols>
    <col min="1" max="1" width="1.88671875" customWidth="1"/>
    <col min="2" max="2" width="41" customWidth="1"/>
    <col min="3" max="7" width="11" customWidth="1"/>
    <col min="8" max="9" width="12.109375" customWidth="1"/>
    <col min="10" max="12" width="12.109375" bestFit="1" customWidth="1"/>
    <col min="13" max="13" width="5" customWidth="1"/>
  </cols>
  <sheetData>
    <row r="2" spans="1:12" ht="18" customHeight="1" x14ac:dyDescent="0.35">
      <c r="B2" s="373" t="str">
        <f>"Forcasted Financial Statements"&amp;" - "&amp;'Data Sheet'!B1</f>
        <v>Forcasted Financial Statements - TITAN COMPANY LTD</v>
      </c>
      <c r="C2" s="373"/>
      <c r="D2" s="373"/>
      <c r="E2" s="373"/>
      <c r="F2" s="373"/>
      <c r="G2" s="373"/>
      <c r="H2" s="373"/>
      <c r="I2" s="373"/>
      <c r="J2" s="373"/>
      <c r="K2" s="373"/>
      <c r="L2" s="373"/>
    </row>
    <row r="4" spans="1:12" ht="15" customHeight="1" x14ac:dyDescent="0.3">
      <c r="A4" t="s">
        <v>1</v>
      </c>
      <c r="B4" s="36" t="str">
        <f>"Income Statement"&amp;" - "&amp;'Data Sheet'!B1</f>
        <v>Income Statement - TITAN COMPANY LTD</v>
      </c>
      <c r="C4" s="36"/>
      <c r="D4" s="36"/>
      <c r="E4" s="36"/>
      <c r="F4" s="36"/>
      <c r="G4" s="36"/>
      <c r="H4" s="36"/>
      <c r="I4" s="36"/>
      <c r="J4" s="36"/>
      <c r="K4" s="36"/>
      <c r="L4" s="36"/>
    </row>
    <row r="5" spans="1:12" ht="14.25" customHeight="1" x14ac:dyDescent="0.3">
      <c r="B5" s="4" t="s">
        <v>135</v>
      </c>
      <c r="C5" s="38">
        <f>'Assumptions Sheet'!D5</f>
        <v>44651</v>
      </c>
      <c r="D5" s="38">
        <f>'Assumptions Sheet'!E5</f>
        <v>45016</v>
      </c>
      <c r="E5" s="38">
        <f>'Assumptions Sheet'!F5</f>
        <v>45382</v>
      </c>
      <c r="F5" s="38">
        <f>'Assumptions Sheet'!G5</f>
        <v>45747</v>
      </c>
      <c r="G5" s="38">
        <f>'Assumptions Sheet'!H5</f>
        <v>46112</v>
      </c>
      <c r="H5" s="39">
        <f>'Assumptions Sheet'!I5</f>
        <v>46477</v>
      </c>
      <c r="I5" s="39">
        <f>'Assumptions Sheet'!J5</f>
        <v>46842</v>
      </c>
      <c r="J5" s="39">
        <f>'Assumptions Sheet'!K5</f>
        <v>47207</v>
      </c>
      <c r="K5" s="39">
        <f>'Assumptions Sheet'!L5</f>
        <v>47572</v>
      </c>
      <c r="L5" s="39">
        <f>'Assumptions Sheet'!M5</f>
        <v>47937</v>
      </c>
    </row>
    <row r="6" spans="1:12" ht="14.25" customHeight="1" x14ac:dyDescent="0.3">
      <c r="B6" s="6" t="s">
        <v>2</v>
      </c>
      <c r="C6" s="7">
        <f>HistoricalFS!H9</f>
        <v>28799</v>
      </c>
      <c r="D6" s="7">
        <f>HistoricalFS!I9</f>
        <v>40575</v>
      </c>
      <c r="E6" s="7">
        <f>HistoricalFS!J9</f>
        <v>51084</v>
      </c>
      <c r="F6" s="7">
        <f>HistoricalFS!K9</f>
        <v>60456</v>
      </c>
      <c r="G6" s="7">
        <f>HistoricalFS!L9</f>
        <v>87584</v>
      </c>
      <c r="H6" s="7">
        <f>G6*(1+H7)</f>
        <v>103349.12</v>
      </c>
      <c r="I6" s="7">
        <f>H6*(1+I7)</f>
        <v>119884.97919999999</v>
      </c>
      <c r="J6" s="7">
        <f>I6*(1+J7)</f>
        <v>137867.72607999996</v>
      </c>
      <c r="K6" s="7">
        <f>J6*(1+K7)</f>
        <v>157169.20773119997</v>
      </c>
      <c r="L6" s="7">
        <f>K6*(1+L7)</f>
        <v>177601.20473625595</v>
      </c>
    </row>
    <row r="7" spans="1:12" ht="14.25" customHeight="1" x14ac:dyDescent="0.3">
      <c r="B7" t="s">
        <v>136</v>
      </c>
      <c r="C7" s="27">
        <f>HistoricalFS!H10</f>
        <v>0.33057660321567184</v>
      </c>
      <c r="D7" s="27">
        <f>HistoricalFS!I10</f>
        <v>0.40890308691274013</v>
      </c>
      <c r="E7" s="27">
        <f>HistoricalFS!J10</f>
        <v>0.25900184842883545</v>
      </c>
      <c r="F7" s="27">
        <f>HistoricalFS!K10</f>
        <v>0.18346253229974163</v>
      </c>
      <c r="G7" s="27">
        <f>HistoricalFS!L10</f>
        <v>0.448723038242689</v>
      </c>
      <c r="H7" s="27">
        <f>'Assumptions Sheet'!I7</f>
        <v>0.18</v>
      </c>
      <c r="I7" s="27">
        <f>'Assumptions Sheet'!J7</f>
        <v>0.16</v>
      </c>
      <c r="J7" s="27">
        <f>'Assumptions Sheet'!K7</f>
        <v>0.15</v>
      </c>
      <c r="K7" s="27">
        <f>'Assumptions Sheet'!L7</f>
        <v>0.14000000000000001</v>
      </c>
      <c r="L7" s="27">
        <f>'Assumptions Sheet'!M7</f>
        <v>0.13</v>
      </c>
    </row>
    <row r="9" spans="1:12" ht="14.25" customHeight="1" x14ac:dyDescent="0.3">
      <c r="B9" t="s">
        <v>4</v>
      </c>
      <c r="C9" s="10">
        <f>HistoricalFS!H12</f>
        <v>23225</v>
      </c>
      <c r="D9" s="10">
        <f>HistoricalFS!I12</f>
        <v>32295</v>
      </c>
      <c r="E9" s="10">
        <f>HistoricalFS!J12</f>
        <v>41664</v>
      </c>
      <c r="F9" s="10">
        <f>HistoricalFS!K12</f>
        <v>50024</v>
      </c>
      <c r="G9" s="10">
        <f>HistoricalFS!L12</f>
        <v>73461</v>
      </c>
      <c r="H9" s="10">
        <f>H6*H10</f>
        <v>86296.515199999994</v>
      </c>
      <c r="I9" s="10">
        <f>I6*I10</f>
        <v>99504.532735999979</v>
      </c>
      <c r="J9" s="10">
        <f>J6*J10</f>
        <v>113740.87401599996</v>
      </c>
      <c r="K9" s="10">
        <f>K6*K10</f>
        <v>128878.75033958397</v>
      </c>
      <c r="L9" s="10">
        <f>L6*L10</f>
        <v>144744.9818600486</v>
      </c>
    </row>
    <row r="10" spans="1:12" ht="14.25" customHeight="1" x14ac:dyDescent="0.3">
      <c r="B10" t="s">
        <v>5</v>
      </c>
      <c r="C10" s="27">
        <f>C9/C6</f>
        <v>0.80645161290322576</v>
      </c>
      <c r="D10" s="27">
        <f>D9/D6</f>
        <v>0.79593345656192238</v>
      </c>
      <c r="E10" s="27">
        <f>E9/E6</f>
        <v>0.81559783885365278</v>
      </c>
      <c r="F10" s="27">
        <f>F9/F6</f>
        <v>0.82744475320894539</v>
      </c>
      <c r="G10" s="27">
        <f>G9/G6</f>
        <v>0.83874908659115821</v>
      </c>
      <c r="H10" s="27">
        <f>'Assumptions Sheet'!I8</f>
        <v>0.83499999999999996</v>
      </c>
      <c r="I10" s="27">
        <f>'Assumptions Sheet'!J8</f>
        <v>0.83</v>
      </c>
      <c r="J10" s="27">
        <f>'Assumptions Sheet'!K8</f>
        <v>0.82499999999999996</v>
      </c>
      <c r="K10" s="27">
        <f>'Assumptions Sheet'!L8</f>
        <v>0.82</v>
      </c>
      <c r="L10" s="27">
        <f>'Assumptions Sheet'!M8</f>
        <v>0.81499999999999995</v>
      </c>
    </row>
    <row r="11" spans="1:12" ht="15" customHeight="1" x14ac:dyDescent="0.3"/>
    <row r="12" spans="1:12" ht="14.25" customHeight="1" x14ac:dyDescent="0.3">
      <c r="B12" s="50" t="s">
        <v>6</v>
      </c>
      <c r="C12" s="51">
        <f t="shared" ref="C12:L12" si="0">C6-C9</f>
        <v>5574</v>
      </c>
      <c r="D12" s="51">
        <f t="shared" si="0"/>
        <v>8280</v>
      </c>
      <c r="E12" s="51">
        <f t="shared" si="0"/>
        <v>9420</v>
      </c>
      <c r="F12" s="51">
        <f t="shared" si="0"/>
        <v>10432</v>
      </c>
      <c r="G12" s="51">
        <f t="shared" si="0"/>
        <v>14123</v>
      </c>
      <c r="H12" s="51">
        <f t="shared" si="0"/>
        <v>17052.604800000001</v>
      </c>
      <c r="I12" s="51">
        <f t="shared" si="0"/>
        <v>20380.446464000008</v>
      </c>
      <c r="J12" s="51">
        <f t="shared" si="0"/>
        <v>24126.852064000006</v>
      </c>
      <c r="K12" s="51">
        <f t="shared" si="0"/>
        <v>28290.457391616001</v>
      </c>
      <c r="L12" s="51">
        <f t="shared" si="0"/>
        <v>32856.22287620735</v>
      </c>
    </row>
    <row r="13" spans="1:12" ht="14.25" customHeight="1" x14ac:dyDescent="0.3">
      <c r="B13" t="s">
        <v>137</v>
      </c>
      <c r="C13" s="27">
        <f t="shared" ref="C13:L13" si="1">C12/C6</f>
        <v>0.19354838709677419</v>
      </c>
      <c r="D13" s="27">
        <f t="shared" si="1"/>
        <v>0.20406654343807765</v>
      </c>
      <c r="E13" s="27">
        <f t="shared" si="1"/>
        <v>0.18440216114634719</v>
      </c>
      <c r="F13" s="27">
        <f t="shared" si="1"/>
        <v>0.17255524679105466</v>
      </c>
      <c r="G13" s="27">
        <f t="shared" si="1"/>
        <v>0.16125091340884179</v>
      </c>
      <c r="H13" s="27">
        <f t="shared" si="1"/>
        <v>0.16500000000000001</v>
      </c>
      <c r="I13" s="27">
        <f t="shared" si="1"/>
        <v>0.1700000000000001</v>
      </c>
      <c r="J13" s="27">
        <f t="shared" si="1"/>
        <v>0.1750000000000001</v>
      </c>
      <c r="K13" s="27">
        <f t="shared" si="1"/>
        <v>0.18000000000000002</v>
      </c>
      <c r="L13" s="27">
        <f t="shared" si="1"/>
        <v>0.185</v>
      </c>
    </row>
    <row r="15" spans="1:12" ht="14.25" customHeight="1" x14ac:dyDescent="0.3">
      <c r="B15" t="s">
        <v>138</v>
      </c>
      <c r="C15" s="10">
        <f>HistoricalFS!H18</f>
        <v>2230</v>
      </c>
      <c r="D15" s="10">
        <f>HistoricalFS!I18</f>
        <v>3398</v>
      </c>
      <c r="E15" s="10">
        <f>HistoricalFS!J18</f>
        <v>4128</v>
      </c>
      <c r="F15" s="10">
        <f>HistoricalFS!K18</f>
        <v>4738</v>
      </c>
      <c r="G15" s="10">
        <f>HistoricalFS!L18</f>
        <v>5766</v>
      </c>
      <c r="H15" s="10">
        <f>H6*H16</f>
        <v>6614.3436799999999</v>
      </c>
      <c r="I15" s="10">
        <f>I6*I16</f>
        <v>7432.8687103999991</v>
      </c>
      <c r="J15" s="10">
        <f>J6*J16</f>
        <v>8272.063564799997</v>
      </c>
      <c r="K15" s="10">
        <f>K6*K16</f>
        <v>9272.9832561407984</v>
      </c>
      <c r="L15" s="10">
        <f>L6*L16</f>
        <v>10300.869874702847</v>
      </c>
    </row>
    <row r="16" spans="1:12" ht="14.25" customHeight="1" x14ac:dyDescent="0.3">
      <c r="B16" t="s">
        <v>9</v>
      </c>
      <c r="C16" s="27">
        <f>C15/C6</f>
        <v>7.7433244209868399E-2</v>
      </c>
      <c r="D16" s="27">
        <f>D15/D6</f>
        <v>8.3746149106592727E-2</v>
      </c>
      <c r="E16" s="27">
        <f>E15/E6</f>
        <v>8.0808080808080815E-2</v>
      </c>
      <c r="F16" s="27">
        <f>F15/F6</f>
        <v>7.8371046711658066E-2</v>
      </c>
      <c r="G16" s="27">
        <f>G15/G6</f>
        <v>6.5833942272561202E-2</v>
      </c>
      <c r="H16" s="27">
        <f>'Assumptions Sheet'!I10</f>
        <v>6.4000000000000001E-2</v>
      </c>
      <c r="I16" s="27">
        <f>'Assumptions Sheet'!J10</f>
        <v>6.2E-2</v>
      </c>
      <c r="J16" s="27">
        <f>'Assumptions Sheet'!K10</f>
        <v>0.06</v>
      </c>
      <c r="K16" s="27">
        <f>'Assumptions Sheet'!L10</f>
        <v>5.8999999999999997E-2</v>
      </c>
      <c r="L16" s="27">
        <f>'Assumptions Sheet'!M10</f>
        <v>5.8000000000000003E-2</v>
      </c>
    </row>
    <row r="17" spans="2:12" ht="15" customHeight="1" x14ac:dyDescent="0.3"/>
    <row r="18" spans="2:12" ht="14.25" customHeight="1" x14ac:dyDescent="0.3">
      <c r="B18" s="50" t="s">
        <v>10</v>
      </c>
      <c r="C18" s="51">
        <f t="shared" ref="C18:L18" si="2">C12-C15</f>
        <v>3344</v>
      </c>
      <c r="D18" s="51">
        <f t="shared" si="2"/>
        <v>4882</v>
      </c>
      <c r="E18" s="51">
        <f t="shared" si="2"/>
        <v>5292</v>
      </c>
      <c r="F18" s="51">
        <f t="shared" si="2"/>
        <v>5694</v>
      </c>
      <c r="G18" s="51">
        <f t="shared" si="2"/>
        <v>8357</v>
      </c>
      <c r="H18" s="51">
        <f t="shared" si="2"/>
        <v>10438.261120000001</v>
      </c>
      <c r="I18" s="51">
        <f t="shared" si="2"/>
        <v>12947.57775360001</v>
      </c>
      <c r="J18" s="51">
        <f t="shared" si="2"/>
        <v>15854.788499200009</v>
      </c>
      <c r="K18" s="51">
        <f t="shared" si="2"/>
        <v>19017.474135475204</v>
      </c>
      <c r="L18" s="51">
        <f t="shared" si="2"/>
        <v>22555.353001504503</v>
      </c>
    </row>
    <row r="19" spans="2:12" ht="14.25" customHeight="1" x14ac:dyDescent="0.3">
      <c r="B19" t="s">
        <v>139</v>
      </c>
      <c r="C19" s="27">
        <f>C18/C6</f>
        <v>0.11611514288690579</v>
      </c>
      <c r="D19" s="27">
        <f>D18/D6</f>
        <v>0.12032039433148491</v>
      </c>
      <c r="E19" s="27">
        <f>E18/E6</f>
        <v>0.10359408033826638</v>
      </c>
      <c r="F19" s="27">
        <f>F18/F6</f>
        <v>9.4184200079396582E-2</v>
      </c>
      <c r="G19" s="27">
        <f>G18/G6</f>
        <v>9.5416971136280601E-2</v>
      </c>
      <c r="H19" s="27">
        <f>'Assumptions Sheet'!I11</f>
        <v>0.10100000000000003</v>
      </c>
      <c r="I19" s="27">
        <f>'Assumptions Sheet'!J11</f>
        <v>0.10800000000000004</v>
      </c>
      <c r="J19" s="27">
        <f>'Assumptions Sheet'!K11</f>
        <v>0.11500000000000005</v>
      </c>
      <c r="K19" s="27">
        <f>'Assumptions Sheet'!L11</f>
        <v>0.12100000000000005</v>
      </c>
      <c r="L19" s="27">
        <f>'Assumptions Sheet'!M11</f>
        <v>0.12700000000000006</v>
      </c>
    </row>
    <row r="21" spans="2:12" ht="14.25" customHeight="1" x14ac:dyDescent="0.3">
      <c r="B21" t="s">
        <v>12</v>
      </c>
      <c r="C21" s="10">
        <f>HistoricalFS!H24</f>
        <v>177</v>
      </c>
      <c r="D21" s="10">
        <f>HistoricalFS!I24</f>
        <v>306</v>
      </c>
      <c r="E21" s="10">
        <f>HistoricalFS!J24</f>
        <v>534</v>
      </c>
      <c r="F21" s="10">
        <f>HistoricalFS!K24</f>
        <v>487</v>
      </c>
      <c r="G21" s="10">
        <f>HistoricalFS!L24</f>
        <v>450</v>
      </c>
      <c r="H21" s="10">
        <f>'Assumptions Sheet'!I12</f>
        <v>495.00000000000006</v>
      </c>
      <c r="I21" s="10">
        <f>'Assumptions Sheet'!J12</f>
        <v>544.50000000000011</v>
      </c>
      <c r="J21" s="10">
        <f>'Assumptions Sheet'!K12</f>
        <v>598.95000000000016</v>
      </c>
      <c r="K21" s="10">
        <f>'Assumptions Sheet'!L12</f>
        <v>658.84500000000025</v>
      </c>
      <c r="L21" s="10">
        <f>'Assumptions Sheet'!M12</f>
        <v>724.72950000000037</v>
      </c>
    </row>
    <row r="22" spans="2:12" ht="14.25" customHeight="1" x14ac:dyDescent="0.3">
      <c r="B22" t="s">
        <v>14</v>
      </c>
      <c r="C22" s="10">
        <f>HistoricalFS!H27</f>
        <v>399</v>
      </c>
      <c r="D22" s="10">
        <f>HistoricalFS!I27</f>
        <v>441</v>
      </c>
      <c r="E22" s="10">
        <f>HistoricalFS!J27</f>
        <v>584</v>
      </c>
      <c r="F22" s="10">
        <f>HistoricalFS!K27</f>
        <v>693</v>
      </c>
      <c r="G22" s="10">
        <f>HistoricalFS!L27</f>
        <v>826</v>
      </c>
      <c r="H22" s="10">
        <f>'Assumptions Sheet'!I13</f>
        <v>949.9</v>
      </c>
      <c r="I22" s="10">
        <f>'Assumptions Sheet'!J13</f>
        <v>1092.385</v>
      </c>
      <c r="J22" s="10">
        <f>'Assumptions Sheet'!K13</f>
        <v>1256.2427499999999</v>
      </c>
      <c r="K22" s="10">
        <f>'Assumptions Sheet'!L13</f>
        <v>1444.6791624999998</v>
      </c>
      <c r="L22" s="10">
        <f>'Assumptions Sheet'!M13</f>
        <v>1661.3810368749996</v>
      </c>
    </row>
    <row r="23" spans="2:12" ht="15" customHeight="1" x14ac:dyDescent="0.3"/>
    <row r="24" spans="2:12" ht="14.25" customHeight="1" x14ac:dyDescent="0.3">
      <c r="B24" s="50" t="s">
        <v>16</v>
      </c>
      <c r="C24" s="51">
        <f t="shared" ref="C24:L24" si="3">SUM(C18,C21)-C22</f>
        <v>3122</v>
      </c>
      <c r="D24" s="51">
        <f t="shared" si="3"/>
        <v>4747</v>
      </c>
      <c r="E24" s="51">
        <f t="shared" si="3"/>
        <v>5242</v>
      </c>
      <c r="F24" s="51">
        <f t="shared" si="3"/>
        <v>5488</v>
      </c>
      <c r="G24" s="51">
        <f t="shared" si="3"/>
        <v>7981</v>
      </c>
      <c r="H24" s="51">
        <f t="shared" si="3"/>
        <v>9983.3611200000014</v>
      </c>
      <c r="I24" s="51">
        <f t="shared" si="3"/>
        <v>12399.692753600009</v>
      </c>
      <c r="J24" s="51">
        <f t="shared" si="3"/>
        <v>15197.495749200009</v>
      </c>
      <c r="K24" s="51">
        <f t="shared" si="3"/>
        <v>18231.639972975205</v>
      </c>
      <c r="L24" s="51">
        <f t="shared" si="3"/>
        <v>21618.701464629507</v>
      </c>
    </row>
    <row r="25" spans="2:12" ht="14.25" customHeight="1" x14ac:dyDescent="0.3">
      <c r="B25" t="s">
        <v>140</v>
      </c>
      <c r="C25" s="27">
        <f t="shared" ref="C25:L25" si="4">C24/C6</f>
        <v>0.10840654189381575</v>
      </c>
      <c r="D25" s="27">
        <f t="shared" si="4"/>
        <v>0.11699322242760321</v>
      </c>
      <c r="E25" s="27">
        <f t="shared" si="4"/>
        <v>0.10261530028971889</v>
      </c>
      <c r="F25" s="27">
        <f t="shared" si="4"/>
        <v>9.077676326584623E-2</v>
      </c>
      <c r="G25" s="27">
        <f t="shared" si="4"/>
        <v>9.1123949579831928E-2</v>
      </c>
      <c r="H25" s="27">
        <f t="shared" si="4"/>
        <v>9.6598414384176684E-2</v>
      </c>
      <c r="I25" s="27">
        <f t="shared" si="4"/>
        <v>0.10342991120609053</v>
      </c>
      <c r="J25" s="27">
        <f t="shared" si="4"/>
        <v>0.11023243931927489</v>
      </c>
      <c r="K25" s="27">
        <f t="shared" si="4"/>
        <v>0.11600007556286743</v>
      </c>
      <c r="L25" s="27">
        <f t="shared" si="4"/>
        <v>0.12172609694136952</v>
      </c>
    </row>
    <row r="27" spans="2:12" ht="14.25" customHeight="1" x14ac:dyDescent="0.3">
      <c r="B27" t="s">
        <v>18</v>
      </c>
      <c r="C27" s="10">
        <f>HistoricalFS!H33</f>
        <v>218</v>
      </c>
      <c r="D27" s="10">
        <f>HistoricalFS!I33</f>
        <v>300</v>
      </c>
      <c r="E27" s="10">
        <f>HistoricalFS!J33</f>
        <v>619</v>
      </c>
      <c r="F27" s="10">
        <f>HistoricalFS!K33</f>
        <v>953</v>
      </c>
      <c r="G27" s="10">
        <f>HistoricalFS!L33</f>
        <v>1180</v>
      </c>
      <c r="H27" s="10">
        <f>'Assumptions Sheet'!I14</f>
        <v>1392.3999999999999</v>
      </c>
      <c r="I27" s="10">
        <f>'Assumptions Sheet'!J14</f>
        <v>1601.2599999999998</v>
      </c>
      <c r="J27" s="10">
        <f>'Assumptions Sheet'!K14</f>
        <v>1809.4237999999996</v>
      </c>
      <c r="K27" s="10">
        <f>'Assumptions Sheet'!L14</f>
        <v>2008.4604179999997</v>
      </c>
      <c r="L27" s="10">
        <f>'Assumptions Sheet'!M14</f>
        <v>2209.3064597999996</v>
      </c>
    </row>
    <row r="28" spans="2:12" ht="15" customHeight="1" x14ac:dyDescent="0.3"/>
    <row r="29" spans="2:12" ht="14.25" customHeight="1" x14ac:dyDescent="0.3">
      <c r="B29" s="50" t="s">
        <v>141</v>
      </c>
      <c r="C29" s="51">
        <f t="shared" ref="C29:L29" si="5">C24-C27</f>
        <v>2904</v>
      </c>
      <c r="D29" s="51">
        <f t="shared" si="5"/>
        <v>4447</v>
      </c>
      <c r="E29" s="51">
        <f t="shared" si="5"/>
        <v>4623</v>
      </c>
      <c r="F29" s="51">
        <f t="shared" si="5"/>
        <v>4535</v>
      </c>
      <c r="G29" s="51">
        <f t="shared" si="5"/>
        <v>6801</v>
      </c>
      <c r="H29" s="51">
        <f t="shared" si="5"/>
        <v>8590.9611200000018</v>
      </c>
      <c r="I29" s="51">
        <f t="shared" si="5"/>
        <v>10798.432753600009</v>
      </c>
      <c r="J29" s="51">
        <f t="shared" si="5"/>
        <v>13388.07194920001</v>
      </c>
      <c r="K29" s="51">
        <f t="shared" si="5"/>
        <v>16223.179554975206</v>
      </c>
      <c r="L29" s="51">
        <f t="shared" si="5"/>
        <v>19409.395004829508</v>
      </c>
    </row>
    <row r="31" spans="2:12" ht="14.25" customHeight="1" x14ac:dyDescent="0.3">
      <c r="B31" t="s">
        <v>142</v>
      </c>
      <c r="C31" s="10">
        <f>HistoricalFS!H39</f>
        <v>706</v>
      </c>
      <c r="D31" s="10">
        <f>HistoricalFS!I39</f>
        <v>1173</v>
      </c>
      <c r="E31" s="10">
        <f>HistoricalFS!J39</f>
        <v>1127</v>
      </c>
      <c r="F31" s="10">
        <f>HistoricalFS!K39</f>
        <v>1198</v>
      </c>
      <c r="G31" s="10">
        <f>HistoricalFS!L39</f>
        <v>1728</v>
      </c>
      <c r="H31" s="10">
        <f>H29*H32</f>
        <v>2177.8086439200006</v>
      </c>
      <c r="I31" s="10">
        <f>I29*I32</f>
        <v>2737.4027030376024</v>
      </c>
      <c r="J31" s="10">
        <f>J29*J32</f>
        <v>3393.8762391222026</v>
      </c>
      <c r="K31" s="10">
        <f>K29*K32</f>
        <v>4112.5760171862148</v>
      </c>
      <c r="L31" s="10">
        <f>L29*L32</f>
        <v>4920.2816337242803</v>
      </c>
    </row>
    <row r="32" spans="2:12" ht="14.25" customHeight="1" x14ac:dyDescent="0.3">
      <c r="B32" t="s">
        <v>23</v>
      </c>
      <c r="C32" s="27">
        <f>C31/C29</f>
        <v>0.24311294765840222</v>
      </c>
      <c r="D32" s="27">
        <f>D31/D29</f>
        <v>0.26377333033505734</v>
      </c>
      <c r="E32" s="27">
        <f>E31/E29</f>
        <v>0.24378109452736318</v>
      </c>
      <c r="F32" s="27">
        <f>F31/F29</f>
        <v>0.26416758544652702</v>
      </c>
      <c r="G32" s="27">
        <f>G31/G29</f>
        <v>0.25408028231142477</v>
      </c>
      <c r="H32" s="27">
        <f>'Assumptions Sheet'!I16</f>
        <v>0.2535</v>
      </c>
      <c r="I32" s="27">
        <f>'Assumptions Sheet'!J16</f>
        <v>0.2535</v>
      </c>
      <c r="J32" s="27">
        <f>'Assumptions Sheet'!K16</f>
        <v>0.2535</v>
      </c>
      <c r="K32" s="27">
        <f>'Assumptions Sheet'!L16</f>
        <v>0.2535</v>
      </c>
      <c r="L32" s="27">
        <f>'Assumptions Sheet'!M16</f>
        <v>0.2535</v>
      </c>
    </row>
    <row r="33" spans="1:12" ht="15" customHeight="1" x14ac:dyDescent="0.3"/>
    <row r="34" spans="1:12" ht="15" customHeight="1" x14ac:dyDescent="0.3">
      <c r="B34" s="52" t="s">
        <v>24</v>
      </c>
      <c r="C34" s="53">
        <f t="shared" ref="C34:L34" si="6">C29-C31</f>
        <v>2198</v>
      </c>
      <c r="D34" s="53">
        <f t="shared" si="6"/>
        <v>3274</v>
      </c>
      <c r="E34" s="53">
        <f t="shared" si="6"/>
        <v>3496</v>
      </c>
      <c r="F34" s="53">
        <f t="shared" si="6"/>
        <v>3337</v>
      </c>
      <c r="G34" s="53">
        <f t="shared" si="6"/>
        <v>5073</v>
      </c>
      <c r="H34" s="53">
        <f t="shared" si="6"/>
        <v>6413.1524760800012</v>
      </c>
      <c r="I34" s="53">
        <f t="shared" si="6"/>
        <v>8061.0300505624073</v>
      </c>
      <c r="J34" s="53">
        <f t="shared" si="6"/>
        <v>9994.1957100778072</v>
      </c>
      <c r="K34" s="53">
        <f t="shared" si="6"/>
        <v>12110.603537788991</v>
      </c>
      <c r="L34" s="53">
        <f t="shared" si="6"/>
        <v>14489.113371105228</v>
      </c>
    </row>
    <row r="35" spans="1:12" ht="15" customHeight="1" x14ac:dyDescent="0.3"/>
    <row r="36" spans="1:12" ht="15" customHeight="1" x14ac:dyDescent="0.3">
      <c r="A36" t="s">
        <v>1</v>
      </c>
      <c r="B36" s="36" t="str">
        <f>"Balance Sheet"&amp;" - "&amp;'Data Sheet'!B1</f>
        <v>Balance Sheet - TITAN COMPANY LTD</v>
      </c>
      <c r="C36" s="36"/>
      <c r="D36" s="36"/>
      <c r="E36" s="36"/>
      <c r="F36" s="36"/>
      <c r="G36" s="36"/>
      <c r="H36" s="36"/>
      <c r="I36" s="36"/>
      <c r="J36" s="36"/>
      <c r="K36" s="36"/>
      <c r="L36" s="36"/>
    </row>
    <row r="37" spans="1:12" ht="14.25" customHeight="1" x14ac:dyDescent="0.3">
      <c r="B37" s="4" t="s">
        <v>135</v>
      </c>
      <c r="C37" s="38">
        <f t="shared" ref="C37:L37" si="7">C5</f>
        <v>44651</v>
      </c>
      <c r="D37" s="38">
        <f t="shared" si="7"/>
        <v>45016</v>
      </c>
      <c r="E37" s="38">
        <f t="shared" si="7"/>
        <v>45382</v>
      </c>
      <c r="F37" s="38">
        <f t="shared" si="7"/>
        <v>45747</v>
      </c>
      <c r="G37" s="38">
        <f t="shared" si="7"/>
        <v>46112</v>
      </c>
      <c r="H37" s="39">
        <f t="shared" si="7"/>
        <v>46477</v>
      </c>
      <c r="I37" s="39">
        <f t="shared" si="7"/>
        <v>46842</v>
      </c>
      <c r="J37" s="39">
        <f t="shared" si="7"/>
        <v>47207</v>
      </c>
      <c r="K37" s="39">
        <f t="shared" si="7"/>
        <v>47572</v>
      </c>
      <c r="L37" s="39">
        <f t="shared" si="7"/>
        <v>47937</v>
      </c>
    </row>
    <row r="38" spans="1:12" ht="14.25" customHeight="1" x14ac:dyDescent="0.3">
      <c r="B38" t="s">
        <v>32</v>
      </c>
      <c r="C38" s="10">
        <f>HistoricalFS!G56</f>
        <v>89</v>
      </c>
      <c r="D38" s="10">
        <f>HistoricalFS!H56</f>
        <v>89</v>
      </c>
      <c r="E38" s="10">
        <f>HistoricalFS!I56</f>
        <v>89</v>
      </c>
      <c r="F38" s="10">
        <f>HistoricalFS!J56</f>
        <v>89</v>
      </c>
      <c r="G38" s="10">
        <f>HistoricalFS!K56</f>
        <v>89</v>
      </c>
      <c r="H38" s="54">
        <v>89</v>
      </c>
      <c r="I38" s="54">
        <v>89</v>
      </c>
      <c r="J38" s="54">
        <v>89</v>
      </c>
      <c r="K38" s="54">
        <v>89</v>
      </c>
      <c r="L38" s="54">
        <v>89</v>
      </c>
    </row>
    <row r="39" spans="1:12" ht="14.25" customHeight="1" x14ac:dyDescent="0.3">
      <c r="B39" t="s">
        <v>33</v>
      </c>
      <c r="C39" s="10">
        <f>HistoricalFS!H57</f>
        <v>9214</v>
      </c>
      <c r="D39" s="10">
        <f>HistoricalFS!I57</f>
        <v>11762</v>
      </c>
      <c r="E39" s="10">
        <f>HistoricalFS!J57</f>
        <v>9304</v>
      </c>
      <c r="F39" s="10">
        <f>HistoricalFS!K57</f>
        <v>11535</v>
      </c>
      <c r="G39" s="10">
        <f>HistoricalFS!L57</f>
        <v>15614</v>
      </c>
      <c r="H39" s="10">
        <f>G39+H34*(1-'Assumptions Sheet'!I15)</f>
        <v>20295.6013075384</v>
      </c>
      <c r="I39" s="10">
        <f>H39+I34*(1-'Assumptions Sheet'!J15)</f>
        <v>26180.153244448957</v>
      </c>
      <c r="J39" s="10">
        <f>I39+J34*(1-'Assumptions Sheet'!K15)</f>
        <v>33475.916112805753</v>
      </c>
      <c r="K39" s="10">
        <f>J39+K34*(1-'Assumptions Sheet'!L15)</f>
        <v>42316.656695391721</v>
      </c>
      <c r="L39" s="10">
        <f>K39+L34*(1-'Assumptions Sheet'!M15)</f>
        <v>52893.709456298537</v>
      </c>
    </row>
    <row r="40" spans="1:12" ht="14.25" customHeight="1" x14ac:dyDescent="0.3">
      <c r="B40" t="s">
        <v>34</v>
      </c>
      <c r="C40" s="10">
        <f>HistoricalFS!H58</f>
        <v>7275</v>
      </c>
      <c r="D40" s="10">
        <f>HistoricalFS!I58</f>
        <v>9367</v>
      </c>
      <c r="E40" s="10">
        <f>HistoricalFS!J58</f>
        <v>15528</v>
      </c>
      <c r="F40" s="10">
        <f>HistoricalFS!K58</f>
        <v>20777</v>
      </c>
      <c r="G40" s="10">
        <f>HistoricalFS!L58</f>
        <v>30621</v>
      </c>
      <c r="H40" s="10">
        <f>'Assumptions Sheet'!I35</f>
        <v>8730</v>
      </c>
      <c r="I40" s="10">
        <f>'Assumptions Sheet'!J35</f>
        <v>10301.4</v>
      </c>
      <c r="J40" s="10">
        <f>'Assumptions Sheet'!K35</f>
        <v>11949.623999999998</v>
      </c>
      <c r="K40" s="10">
        <f>'Assumptions Sheet'!L35</f>
        <v>13742.067599999997</v>
      </c>
      <c r="L40" s="10">
        <f>'Assumptions Sheet'!M35</f>
        <v>15665.957063999998</v>
      </c>
    </row>
    <row r="41" spans="1:12" ht="14.25" customHeight="1" x14ac:dyDescent="0.3">
      <c r="B41" t="s">
        <v>35</v>
      </c>
      <c r="C41" s="10">
        <f>HistoricalFS!H59</f>
        <v>1294</v>
      </c>
      <c r="D41" s="10">
        <f>HistoricalFS!I59</f>
        <v>1214</v>
      </c>
      <c r="E41" s="10">
        <f>HistoricalFS!J59</f>
        <v>1410</v>
      </c>
      <c r="F41" s="10">
        <f>HistoricalFS!K59</f>
        <v>1963</v>
      </c>
      <c r="G41" s="10">
        <f>HistoricalFS!L59</f>
        <v>2864</v>
      </c>
      <c r="H41" s="10">
        <f>'Assumptions Sheet'!I21*(ForcastedFS!H9/365)</f>
        <v>3310.0033227397262</v>
      </c>
      <c r="I41" s="10">
        <f>'Assumptions Sheet'!J21*(ForcastedFS!I9/365)</f>
        <v>3816.6122145315062</v>
      </c>
      <c r="J41" s="10">
        <f>'Assumptions Sheet'!K21*(ForcastedFS!J9/365)</f>
        <v>4362.6636608876697</v>
      </c>
      <c r="K41" s="10">
        <f>'Assumptions Sheet'!L21*(ForcastedFS!K9/365)</f>
        <v>4943.2945335730838</v>
      </c>
      <c r="L41" s="10">
        <f>'Assumptions Sheet'!M21*(ForcastedFS!L9/365)</f>
        <v>5551.8623179196729</v>
      </c>
    </row>
    <row r="42" spans="1:12" ht="15" customHeight="1" x14ac:dyDescent="0.3">
      <c r="B42" t="s">
        <v>36</v>
      </c>
      <c r="C42" s="10">
        <f>HistoricalFS!H60</f>
        <v>3316</v>
      </c>
      <c r="D42" s="10">
        <f>HistoricalFS!I60</f>
        <v>4588</v>
      </c>
      <c r="E42" s="10">
        <f>HistoricalFS!J60</f>
        <v>5216</v>
      </c>
      <c r="F42" s="10">
        <f>HistoricalFS!K60</f>
        <v>6281</v>
      </c>
      <c r="G42" s="10">
        <f>HistoricalFS!L60</f>
        <v>11373</v>
      </c>
      <c r="H42" s="10">
        <f>H6*'Assumptions Sheet'!I31</f>
        <v>11885.148800000001</v>
      </c>
      <c r="I42" s="10">
        <f>I6*'Assumptions Sheet'!J31</f>
        <v>13786.772607999999</v>
      </c>
      <c r="J42" s="10">
        <f>J6*'Assumptions Sheet'!K31</f>
        <v>15854.788499199996</v>
      </c>
      <c r="K42" s="10">
        <f>K6*'Assumptions Sheet'!L31</f>
        <v>18074.458889087997</v>
      </c>
      <c r="L42" s="10">
        <f>L6*'Assumptions Sheet'!M31</f>
        <v>20424.138544669437</v>
      </c>
    </row>
    <row r="43" spans="1:12" ht="15" customHeight="1" x14ac:dyDescent="0.3">
      <c r="B43" s="55" t="s">
        <v>37</v>
      </c>
      <c r="C43" s="56">
        <f t="shared" ref="C43:L43" si="8">SUM(C38:C42)</f>
        <v>21188</v>
      </c>
      <c r="D43" s="56">
        <f t="shared" si="8"/>
        <v>27020</v>
      </c>
      <c r="E43" s="56">
        <f t="shared" si="8"/>
        <v>31547</v>
      </c>
      <c r="F43" s="56">
        <f t="shared" si="8"/>
        <v>40645</v>
      </c>
      <c r="G43" s="56">
        <f t="shared" si="8"/>
        <v>60561</v>
      </c>
      <c r="H43" s="56">
        <f t="shared" si="8"/>
        <v>44309.753430278128</v>
      </c>
      <c r="I43" s="56">
        <f t="shared" si="8"/>
        <v>54173.938066980467</v>
      </c>
      <c r="J43" s="56">
        <f t="shared" si="8"/>
        <v>65731.992272893418</v>
      </c>
      <c r="K43" s="56">
        <f t="shared" si="8"/>
        <v>79165.477718052804</v>
      </c>
      <c r="L43" s="56">
        <f t="shared" si="8"/>
        <v>94624.667382887637</v>
      </c>
    </row>
    <row r="45" spans="1:12" ht="14.25" customHeight="1" x14ac:dyDescent="0.3">
      <c r="B45" t="s">
        <v>38</v>
      </c>
      <c r="C45" s="10">
        <f>HistoricalFS!H63</f>
        <v>2544</v>
      </c>
      <c r="D45" s="10">
        <f>HistoricalFS!I63</f>
        <v>2998</v>
      </c>
      <c r="E45" s="10">
        <f>HistoricalFS!J63</f>
        <v>3709</v>
      </c>
      <c r="F45" s="10">
        <f>HistoricalFS!K63</f>
        <v>4062</v>
      </c>
      <c r="G45" s="10">
        <f>HistoricalFS!L63</f>
        <v>6878</v>
      </c>
      <c r="H45" s="10">
        <f>G45+'Assumptions Sheet'!I26-'Assumptions Sheet'!I13</f>
        <v>7064.9403199999997</v>
      </c>
      <c r="I45" s="10">
        <f>H45+'Assumptions Sheet'!J26-'Assumptions Sheet'!J13</f>
        <v>7351.2325807999987</v>
      </c>
      <c r="J45" s="10">
        <f>I45+'Assumptions Sheet'!K26-'Assumptions Sheet'!K13</f>
        <v>7749.4025437599994</v>
      </c>
      <c r="K45" s="10">
        <f>J45+'Assumptions Sheet'!L26-'Assumptions Sheet'!L13</f>
        <v>8190.7538740343998</v>
      </c>
      <c r="L45" s="10">
        <f>K45+'Assumptions Sheet'!M26-'Assumptions Sheet'!M13</f>
        <v>8571.7866916263429</v>
      </c>
    </row>
    <row r="46" spans="1:12" ht="14.25" customHeight="1" x14ac:dyDescent="0.3">
      <c r="B46" t="s">
        <v>39</v>
      </c>
      <c r="C46" s="10">
        <f>HistoricalFS!H64</f>
        <v>85</v>
      </c>
      <c r="D46" s="10">
        <f>HistoricalFS!I64</f>
        <v>144</v>
      </c>
      <c r="E46" s="10">
        <f>HistoricalFS!J64</f>
        <v>97</v>
      </c>
      <c r="F46" s="10">
        <f>HistoricalFS!K64</f>
        <v>105</v>
      </c>
      <c r="G46" s="10">
        <f>HistoricalFS!L64</f>
        <v>163</v>
      </c>
      <c r="H46" s="10">
        <f>'Assumptions Sheet'!I33</f>
        <v>95</v>
      </c>
      <c r="I46" s="10">
        <f>'Assumptions Sheet'!J33</f>
        <v>105</v>
      </c>
      <c r="J46" s="10">
        <f>'Assumptions Sheet'!K33</f>
        <v>115</v>
      </c>
      <c r="K46" s="10">
        <f>'Assumptions Sheet'!L33</f>
        <v>125</v>
      </c>
      <c r="L46" s="10">
        <f>'Assumptions Sheet'!M33</f>
        <v>135</v>
      </c>
    </row>
    <row r="47" spans="1:12" ht="14.25" customHeight="1" x14ac:dyDescent="0.3">
      <c r="B47" t="s">
        <v>40</v>
      </c>
      <c r="C47" s="10">
        <f>HistoricalFS!H65</f>
        <v>294</v>
      </c>
      <c r="D47" s="10">
        <f>HistoricalFS!I65</f>
        <v>2515</v>
      </c>
      <c r="E47" s="10">
        <f>HistoricalFS!J65</f>
        <v>2345</v>
      </c>
      <c r="F47" s="10">
        <f>HistoricalFS!K65</f>
        <v>1988</v>
      </c>
      <c r="G47" s="10">
        <f>HistoricalFS!L65</f>
        <v>3506</v>
      </c>
      <c r="H47" s="10">
        <f>'Assumptions Sheet'!I34</f>
        <v>329.28000000000003</v>
      </c>
      <c r="I47" s="10">
        <f>'Assumptions Sheet'!J34</f>
        <v>368.79360000000008</v>
      </c>
      <c r="J47" s="10">
        <f>'Assumptions Sheet'!K34</f>
        <v>413.04883200000012</v>
      </c>
      <c r="K47" s="10">
        <f>'Assumptions Sheet'!L34</f>
        <v>462.61469184000015</v>
      </c>
      <c r="L47" s="10">
        <f>'Assumptions Sheet'!M34</f>
        <v>518.12845486080016</v>
      </c>
    </row>
    <row r="48" spans="1:12" ht="15" customHeight="1" x14ac:dyDescent="0.3">
      <c r="B48" t="s">
        <v>41</v>
      </c>
      <c r="C48" s="10">
        <f>HistoricalFS!H66</f>
        <v>2518</v>
      </c>
      <c r="D48" s="10">
        <f>HistoricalFS!I66</f>
        <v>2762</v>
      </c>
      <c r="E48" s="10">
        <f>HistoricalFS!J66</f>
        <v>3801</v>
      </c>
      <c r="F48" s="10">
        <f>HistoricalFS!K66</f>
        <v>3654</v>
      </c>
      <c r="G48" s="10">
        <f>HistoricalFS!L66</f>
        <v>4438</v>
      </c>
      <c r="H48" s="10">
        <f>H6*'Assumptions Sheet'!I32</f>
        <v>9094.7225599999983</v>
      </c>
      <c r="I48" s="10">
        <f>I6*'Assumptions Sheet'!J32</f>
        <v>10789.648127999999</v>
      </c>
      <c r="J48" s="10">
        <f>J6*'Assumptions Sheet'!K32</f>
        <v>12408.095347199996</v>
      </c>
      <c r="K48" s="10">
        <f>K6*'Assumptions Sheet'!L32</f>
        <v>14145.228695807997</v>
      </c>
      <c r="L48" s="10">
        <f>L6*'Assumptions Sheet'!M32</f>
        <v>15984.108426263036</v>
      </c>
    </row>
    <row r="49" spans="1:12" ht="15" customHeight="1" x14ac:dyDescent="0.3">
      <c r="B49" s="55" t="s">
        <v>46</v>
      </c>
      <c r="C49" s="56">
        <f t="shared" ref="C49:L49" si="9">SUM(C45:C48)</f>
        <v>5441</v>
      </c>
      <c r="D49" s="56">
        <f t="shared" si="9"/>
        <v>8419</v>
      </c>
      <c r="E49" s="56">
        <f t="shared" si="9"/>
        <v>9952</v>
      </c>
      <c r="F49" s="56">
        <f t="shared" si="9"/>
        <v>9809</v>
      </c>
      <c r="G49" s="56">
        <f t="shared" si="9"/>
        <v>14985</v>
      </c>
      <c r="H49" s="56">
        <f t="shared" si="9"/>
        <v>16583.942879999999</v>
      </c>
      <c r="I49" s="56">
        <f t="shared" si="9"/>
        <v>18614.674308799997</v>
      </c>
      <c r="J49" s="56">
        <f t="shared" si="9"/>
        <v>20685.546722959996</v>
      </c>
      <c r="K49" s="56">
        <f t="shared" si="9"/>
        <v>22923.597261682396</v>
      </c>
      <c r="L49" s="56">
        <f t="shared" si="9"/>
        <v>25209.023572750179</v>
      </c>
    </row>
    <row r="51" spans="1:12" ht="14.25" customHeight="1" x14ac:dyDescent="0.3">
      <c r="B51" t="s">
        <v>43</v>
      </c>
      <c r="C51" s="10">
        <f>HistoricalFS!H69</f>
        <v>565</v>
      </c>
      <c r="D51" s="10">
        <f>HistoricalFS!I69</f>
        <v>674</v>
      </c>
      <c r="E51" s="10">
        <f>HistoricalFS!J69</f>
        <v>1018</v>
      </c>
      <c r="F51" s="10">
        <f>HistoricalFS!K69</f>
        <v>1068</v>
      </c>
      <c r="G51" s="10">
        <f>HistoricalFS!L69</f>
        <v>916</v>
      </c>
      <c r="H51" s="10">
        <f>'Assumptions Sheet'!I20*(ForcastedFS!H6/365)</f>
        <v>1274.1672328767122</v>
      </c>
      <c r="I51" s="10">
        <f>'Assumptions Sheet'!J20*(ForcastedFS!I6/365)</f>
        <v>1642.2599890410957</v>
      </c>
      <c r="J51" s="10">
        <f>'Assumptions Sheet'!K20*(ForcastedFS!J6/365)</f>
        <v>2077.4588861369857</v>
      </c>
      <c r="K51" s="10">
        <f>'Assumptions Sheet'!L20*(ForcastedFS!K6/365)</f>
        <v>2368.3031301961641</v>
      </c>
      <c r="L51" s="10">
        <f>'Assumptions Sheet'!M20*(ForcastedFS!L6/365)</f>
        <v>2676.1825371216651</v>
      </c>
    </row>
    <row r="52" spans="1:12" ht="14.25" customHeight="1" x14ac:dyDescent="0.3">
      <c r="B52" t="s">
        <v>44</v>
      </c>
      <c r="C52" s="10">
        <f>HistoricalFS!H70</f>
        <v>13609</v>
      </c>
      <c r="D52" s="10">
        <f>HistoricalFS!I70</f>
        <v>16584</v>
      </c>
      <c r="E52" s="10">
        <f>HistoricalFS!J70</f>
        <v>19051</v>
      </c>
      <c r="F52" s="10">
        <f>HistoricalFS!K70</f>
        <v>28184</v>
      </c>
      <c r="G52" s="10">
        <f>HistoricalFS!L70</f>
        <v>42743</v>
      </c>
      <c r="H52" s="10">
        <f>'Assumptions Sheet'!I22*(ForcastedFS!H9/365)</f>
        <v>48467.905797260275</v>
      </c>
      <c r="I52" s="10">
        <f>'Assumptions Sheet'!J22*(ForcastedFS!I9/365)</f>
        <v>54523.031636164378</v>
      </c>
      <c r="J52" s="10">
        <f>'Assumptions Sheet'!K22*(ForcastedFS!J9/365)</f>
        <v>60765.672419506831</v>
      </c>
      <c r="K52" s="10">
        <f>'Assumptions Sheet'!L22*(ForcastedFS!K9/365)</f>
        <v>67087.568669920423</v>
      </c>
      <c r="L52" s="10">
        <f>'Assumptions Sheet'!M22*(ForcastedFS!L9/365)</f>
        <v>73363.894915367098</v>
      </c>
    </row>
    <row r="53" spans="1:12" ht="15" customHeight="1" x14ac:dyDescent="0.3">
      <c r="B53" t="s">
        <v>45</v>
      </c>
      <c r="C53" s="10">
        <f>HistoricalFS!H71</f>
        <v>1573</v>
      </c>
      <c r="D53" s="10">
        <f>HistoricalFS!I71</f>
        <v>1343</v>
      </c>
      <c r="E53" s="10">
        <f>HistoricalFS!J71</f>
        <v>1526</v>
      </c>
      <c r="F53" s="10">
        <f>HistoricalFS!K71</f>
        <v>1584</v>
      </c>
      <c r="G53" s="10">
        <f>HistoricalFS!L71</f>
        <v>1917</v>
      </c>
      <c r="H53" s="10">
        <f>H87</f>
        <v>-22016.262479858859</v>
      </c>
      <c r="I53" s="10">
        <f>I87</f>
        <v>-20606.027867025012</v>
      </c>
      <c r="J53" s="10">
        <f>J87</f>
        <v>-17796.685755710394</v>
      </c>
      <c r="K53" s="10">
        <f>K87</f>
        <v>-13213.991343746189</v>
      </c>
      <c r="L53" s="10">
        <f>L87</f>
        <v>-6624.4336423513014</v>
      </c>
    </row>
    <row r="54" spans="1:12" ht="15" customHeight="1" x14ac:dyDescent="0.3">
      <c r="B54" s="55" t="s">
        <v>42</v>
      </c>
      <c r="C54" s="56">
        <f t="shared" ref="C54:L54" si="10">SUM(C51:C53)</f>
        <v>15747</v>
      </c>
      <c r="D54" s="56">
        <f t="shared" si="10"/>
        <v>18601</v>
      </c>
      <c r="E54" s="56">
        <f t="shared" si="10"/>
        <v>21595</v>
      </c>
      <c r="F54" s="56">
        <f t="shared" si="10"/>
        <v>30836</v>
      </c>
      <c r="G54" s="56">
        <f t="shared" si="10"/>
        <v>45576</v>
      </c>
      <c r="H54" s="56">
        <f t="shared" si="10"/>
        <v>27725.810550278125</v>
      </c>
      <c r="I54" s="56">
        <f t="shared" si="10"/>
        <v>35559.263758180459</v>
      </c>
      <c r="J54" s="56">
        <f t="shared" si="10"/>
        <v>45046.445549933422</v>
      </c>
      <c r="K54" s="56">
        <f t="shared" si="10"/>
        <v>56241.880456370396</v>
      </c>
      <c r="L54" s="56">
        <f t="shared" si="10"/>
        <v>69415.643810137466</v>
      </c>
    </row>
    <row r="55" spans="1:12" ht="15" customHeight="1" x14ac:dyDescent="0.3"/>
    <row r="56" spans="1:12" ht="15" customHeight="1" x14ac:dyDescent="0.3">
      <c r="B56" s="55" t="s">
        <v>47</v>
      </c>
      <c r="C56" s="56">
        <f t="shared" ref="C56:L56" si="11">SUM(C54,C49)</f>
        <v>21188</v>
      </c>
      <c r="D56" s="56">
        <f t="shared" si="11"/>
        <v>27020</v>
      </c>
      <c r="E56" s="56">
        <f t="shared" si="11"/>
        <v>31547</v>
      </c>
      <c r="F56" s="56">
        <f t="shared" si="11"/>
        <v>40645</v>
      </c>
      <c r="G56" s="56">
        <f t="shared" si="11"/>
        <v>60561</v>
      </c>
      <c r="H56" s="56">
        <f t="shared" si="11"/>
        <v>44309.753430278128</v>
      </c>
      <c r="I56" s="56">
        <f t="shared" si="11"/>
        <v>54173.938066980452</v>
      </c>
      <c r="J56" s="56">
        <f t="shared" si="11"/>
        <v>65731.992272893418</v>
      </c>
      <c r="K56" s="56">
        <f t="shared" si="11"/>
        <v>79165.477718052789</v>
      </c>
      <c r="L56" s="56">
        <f t="shared" si="11"/>
        <v>94624.667382887652</v>
      </c>
    </row>
    <row r="57" spans="1:12" ht="15" customHeight="1" x14ac:dyDescent="0.3"/>
    <row r="58" spans="1:12" ht="15" customHeight="1" x14ac:dyDescent="0.3">
      <c r="B58" s="57" t="s">
        <v>48</v>
      </c>
      <c r="C58" s="58" t="str">
        <f t="shared" ref="C58:L58" si="12">IF(ROUND(C56-C43,0)=0,"TRUE","FALSE")</f>
        <v>TRUE</v>
      </c>
      <c r="D58" s="58" t="str">
        <f t="shared" si="12"/>
        <v>TRUE</v>
      </c>
      <c r="E58" s="58" t="str">
        <f t="shared" si="12"/>
        <v>TRUE</v>
      </c>
      <c r="F58" s="58" t="str">
        <f t="shared" si="12"/>
        <v>TRUE</v>
      </c>
      <c r="G58" s="58" t="str">
        <f t="shared" si="12"/>
        <v>TRUE</v>
      </c>
      <c r="H58" s="58" t="str">
        <f t="shared" si="12"/>
        <v>TRUE</v>
      </c>
      <c r="I58" s="58" t="str">
        <f t="shared" si="12"/>
        <v>TRUE</v>
      </c>
      <c r="J58" s="58" t="str">
        <f t="shared" si="12"/>
        <v>TRUE</v>
      </c>
      <c r="K58" s="58" t="str">
        <f t="shared" si="12"/>
        <v>TRUE</v>
      </c>
      <c r="L58" s="58" t="str">
        <f t="shared" si="12"/>
        <v>TRUE</v>
      </c>
    </row>
    <row r="60" spans="1:12" ht="15" customHeight="1" x14ac:dyDescent="0.3">
      <c r="A60" t="s">
        <v>1</v>
      </c>
      <c r="B60" s="36" t="str">
        <f>"Balance Sheet"&amp;" - "&amp;'Data Sheet'!B1</f>
        <v>Balance Sheet - TITAN COMPANY LTD</v>
      </c>
      <c r="C60" s="36"/>
      <c r="D60" s="36"/>
      <c r="E60" s="36"/>
      <c r="F60" s="36"/>
      <c r="G60" s="36"/>
      <c r="H60" s="36"/>
      <c r="I60" s="36"/>
      <c r="J60" s="36"/>
      <c r="K60" s="36"/>
      <c r="L60" s="36"/>
    </row>
    <row r="61" spans="1:12" ht="14.25" customHeight="1" x14ac:dyDescent="0.3">
      <c r="B61" s="4" t="s">
        <v>135</v>
      </c>
      <c r="C61" s="38">
        <f t="shared" ref="C61:L61" si="13">C37</f>
        <v>44651</v>
      </c>
      <c r="D61" s="38">
        <f t="shared" si="13"/>
        <v>45016</v>
      </c>
      <c r="E61" s="38">
        <f t="shared" si="13"/>
        <v>45382</v>
      </c>
      <c r="F61" s="38">
        <f t="shared" si="13"/>
        <v>45747</v>
      </c>
      <c r="G61" s="38">
        <f t="shared" si="13"/>
        <v>46112</v>
      </c>
      <c r="H61" s="39">
        <f t="shared" si="13"/>
        <v>46477</v>
      </c>
      <c r="I61" s="39">
        <f t="shared" si="13"/>
        <v>46842</v>
      </c>
      <c r="J61" s="39">
        <f t="shared" si="13"/>
        <v>47207</v>
      </c>
      <c r="K61" s="39">
        <f t="shared" si="13"/>
        <v>47572</v>
      </c>
      <c r="L61" s="39">
        <f t="shared" si="13"/>
        <v>47937</v>
      </c>
    </row>
    <row r="62" spans="1:12" ht="14.25" customHeight="1" x14ac:dyDescent="0.3">
      <c r="B62" s="6" t="s">
        <v>143</v>
      </c>
    </row>
    <row r="63" spans="1:12" ht="14.25" customHeight="1" x14ac:dyDescent="0.3">
      <c r="B63" t="s">
        <v>144</v>
      </c>
      <c r="C63" s="10">
        <f t="shared" ref="C63:L63" si="14">C34</f>
        <v>2198</v>
      </c>
      <c r="D63" s="10">
        <f t="shared" si="14"/>
        <v>3274</v>
      </c>
      <c r="E63" s="10">
        <f t="shared" si="14"/>
        <v>3496</v>
      </c>
      <c r="F63" s="10">
        <f t="shared" si="14"/>
        <v>3337</v>
      </c>
      <c r="G63" s="10">
        <f t="shared" si="14"/>
        <v>5073</v>
      </c>
      <c r="H63" s="10">
        <f t="shared" si="14"/>
        <v>6413.1524760800012</v>
      </c>
      <c r="I63" s="10">
        <f t="shared" si="14"/>
        <v>8061.0300505624073</v>
      </c>
      <c r="J63" s="10">
        <f t="shared" si="14"/>
        <v>9994.1957100778072</v>
      </c>
      <c r="K63" s="10">
        <f t="shared" si="14"/>
        <v>12110.603537788991</v>
      </c>
      <c r="L63" s="10">
        <f t="shared" si="14"/>
        <v>14489.113371105228</v>
      </c>
    </row>
    <row r="64" spans="1:12" ht="14.25" customHeight="1" x14ac:dyDescent="0.3">
      <c r="B64" t="s">
        <v>145</v>
      </c>
      <c r="C64" s="10">
        <f t="shared" ref="C64:L64" si="15">C22</f>
        <v>399</v>
      </c>
      <c r="D64" s="10">
        <f t="shared" si="15"/>
        <v>441</v>
      </c>
      <c r="E64" s="10">
        <f t="shared" si="15"/>
        <v>584</v>
      </c>
      <c r="F64" s="10">
        <f t="shared" si="15"/>
        <v>693</v>
      </c>
      <c r="G64" s="10">
        <f t="shared" si="15"/>
        <v>826</v>
      </c>
      <c r="H64" s="10">
        <f t="shared" si="15"/>
        <v>949.9</v>
      </c>
      <c r="I64" s="10">
        <f t="shared" si="15"/>
        <v>1092.385</v>
      </c>
      <c r="J64" s="10">
        <f t="shared" si="15"/>
        <v>1256.2427499999999</v>
      </c>
      <c r="K64" s="10">
        <f t="shared" si="15"/>
        <v>1444.6791624999998</v>
      </c>
      <c r="L64" s="10">
        <f t="shared" si="15"/>
        <v>1661.3810368749996</v>
      </c>
    </row>
    <row r="66" spans="2:12" ht="14.25" customHeight="1" x14ac:dyDescent="0.3">
      <c r="B66" s="6" t="s">
        <v>146</v>
      </c>
    </row>
    <row r="67" spans="2:12" ht="14.25" customHeight="1" x14ac:dyDescent="0.3">
      <c r="B67" t="s">
        <v>147</v>
      </c>
      <c r="D67" s="10">
        <f t="shared" ref="D67:L67" si="16">-(D51-C51)</f>
        <v>-109</v>
      </c>
      <c r="E67" s="10">
        <f t="shared" si="16"/>
        <v>-344</v>
      </c>
      <c r="F67" s="10">
        <f t="shared" si="16"/>
        <v>-50</v>
      </c>
      <c r="G67" s="10">
        <f t="shared" si="16"/>
        <v>152</v>
      </c>
      <c r="H67" s="10">
        <f t="shared" si="16"/>
        <v>-358.16723287671221</v>
      </c>
      <c r="I67" s="10">
        <f t="shared" si="16"/>
        <v>-368.09275616438345</v>
      </c>
      <c r="J67" s="10">
        <f t="shared" si="16"/>
        <v>-435.19889709589006</v>
      </c>
      <c r="K67" s="10">
        <f t="shared" si="16"/>
        <v>-290.84424405917844</v>
      </c>
      <c r="L67" s="10">
        <f t="shared" si="16"/>
        <v>-307.87940692550092</v>
      </c>
    </row>
    <row r="68" spans="2:12" ht="14.25" customHeight="1" x14ac:dyDescent="0.3">
      <c r="B68" t="s">
        <v>148</v>
      </c>
      <c r="D68" s="10">
        <f t="shared" ref="D68:L68" si="17">-(D52-C52)</f>
        <v>-2975</v>
      </c>
      <c r="E68" s="10">
        <f t="shared" si="17"/>
        <v>-2467</v>
      </c>
      <c r="F68" s="10">
        <f t="shared" si="17"/>
        <v>-9133</v>
      </c>
      <c r="G68" s="10">
        <f t="shared" si="17"/>
        <v>-14559</v>
      </c>
      <c r="H68" s="10">
        <f t="shared" si="17"/>
        <v>-5724.905797260275</v>
      </c>
      <c r="I68" s="10">
        <f t="shared" si="17"/>
        <v>-6055.1258389041031</v>
      </c>
      <c r="J68" s="10">
        <f t="shared" si="17"/>
        <v>-6242.6407833424528</v>
      </c>
      <c r="K68" s="10">
        <f t="shared" si="17"/>
        <v>-6321.8962504135925</v>
      </c>
      <c r="L68" s="10">
        <f t="shared" si="17"/>
        <v>-6276.3262454466749</v>
      </c>
    </row>
    <row r="69" spans="2:12" ht="14.25" customHeight="1" x14ac:dyDescent="0.3">
      <c r="B69" t="s">
        <v>149</v>
      </c>
      <c r="D69" s="10">
        <f t="shared" ref="D69:L69" si="18">(D41-C41)</f>
        <v>-80</v>
      </c>
      <c r="E69" s="10">
        <f t="shared" si="18"/>
        <v>196</v>
      </c>
      <c r="F69" s="10">
        <f t="shared" si="18"/>
        <v>553</v>
      </c>
      <c r="G69" s="10">
        <f t="shared" si="18"/>
        <v>901</v>
      </c>
      <c r="H69" s="10">
        <f t="shared" si="18"/>
        <v>446.00332273972617</v>
      </c>
      <c r="I69" s="10">
        <f t="shared" si="18"/>
        <v>506.60889179178002</v>
      </c>
      <c r="J69" s="10">
        <f t="shared" si="18"/>
        <v>546.05144635616352</v>
      </c>
      <c r="K69" s="10">
        <f t="shared" si="18"/>
        <v>580.63087268541403</v>
      </c>
      <c r="L69" s="10">
        <f t="shared" si="18"/>
        <v>608.56778434658918</v>
      </c>
    </row>
    <row r="70" spans="2:12" ht="14.25" customHeight="1" x14ac:dyDescent="0.3">
      <c r="B70" t="s">
        <v>150</v>
      </c>
      <c r="D70" s="10">
        <f t="shared" ref="D70:L70" si="19">-(D48-C48)+(D42-C42)</f>
        <v>1028</v>
      </c>
      <c r="E70" s="10">
        <f t="shared" si="19"/>
        <v>-411</v>
      </c>
      <c r="F70" s="10">
        <f t="shared" si="19"/>
        <v>1212</v>
      </c>
      <c r="G70" s="10">
        <f t="shared" si="19"/>
        <v>4308</v>
      </c>
      <c r="H70" s="10">
        <f t="shared" si="19"/>
        <v>-4144.5737599999975</v>
      </c>
      <c r="I70" s="10">
        <f t="shared" si="19"/>
        <v>206.6982399999979</v>
      </c>
      <c r="J70" s="10">
        <f t="shared" si="19"/>
        <v>449.56867199999942</v>
      </c>
      <c r="K70" s="10">
        <f t="shared" si="19"/>
        <v>482.53704128000027</v>
      </c>
      <c r="L70" s="10">
        <f t="shared" si="19"/>
        <v>510.79992512640092</v>
      </c>
    </row>
    <row r="71" spans="2:12" ht="15" customHeight="1" x14ac:dyDescent="0.3">
      <c r="B71" t="s">
        <v>151</v>
      </c>
      <c r="C71" s="10">
        <f t="shared" ref="C71:L71" si="20">-C31</f>
        <v>-706</v>
      </c>
      <c r="D71" s="10">
        <f t="shared" si="20"/>
        <v>-1173</v>
      </c>
      <c r="E71" s="10">
        <f t="shared" si="20"/>
        <v>-1127</v>
      </c>
      <c r="F71" s="10">
        <f t="shared" si="20"/>
        <v>-1198</v>
      </c>
      <c r="G71" s="10">
        <f t="shared" si="20"/>
        <v>-1728</v>
      </c>
      <c r="H71" s="10">
        <f t="shared" si="20"/>
        <v>-2177.8086439200006</v>
      </c>
      <c r="I71" s="10">
        <f t="shared" si="20"/>
        <v>-2737.4027030376024</v>
      </c>
      <c r="J71" s="10">
        <f t="shared" si="20"/>
        <v>-3393.8762391222026</v>
      </c>
      <c r="K71" s="10">
        <f t="shared" si="20"/>
        <v>-4112.5760171862148</v>
      </c>
      <c r="L71" s="10">
        <f t="shared" si="20"/>
        <v>-4920.2816337242803</v>
      </c>
    </row>
    <row r="72" spans="2:12" ht="15" customHeight="1" x14ac:dyDescent="0.3">
      <c r="B72" s="55" t="s">
        <v>152</v>
      </c>
      <c r="C72" s="59"/>
      <c r="D72" s="56">
        <f t="shared" ref="D72:L72" si="21">SUM(D67:D70,D63:D64)</f>
        <v>1579</v>
      </c>
      <c r="E72" s="56">
        <f t="shared" si="21"/>
        <v>1054</v>
      </c>
      <c r="F72" s="56">
        <f t="shared" si="21"/>
        <v>-3388</v>
      </c>
      <c r="G72" s="56">
        <f t="shared" si="21"/>
        <v>-3299</v>
      </c>
      <c r="H72" s="56">
        <f t="shared" si="21"/>
        <v>-2418.5909913172568</v>
      </c>
      <c r="I72" s="56">
        <f t="shared" si="21"/>
        <v>3443.5035872856988</v>
      </c>
      <c r="J72" s="56">
        <f t="shared" si="21"/>
        <v>5568.2188979956263</v>
      </c>
      <c r="K72" s="56">
        <f t="shared" si="21"/>
        <v>8005.7101197816337</v>
      </c>
      <c r="L72" s="56">
        <f t="shared" si="21"/>
        <v>10685.656465081041</v>
      </c>
    </row>
    <row r="74" spans="2:12" ht="14.25" customHeight="1" x14ac:dyDescent="0.3">
      <c r="B74" s="6" t="s">
        <v>153</v>
      </c>
    </row>
    <row r="75" spans="2:12" ht="14.25" customHeight="1" x14ac:dyDescent="0.3">
      <c r="B75" t="s">
        <v>154</v>
      </c>
      <c r="C75" s="10">
        <f>-'Assumptions Sheet'!D26</f>
        <v>-224</v>
      </c>
      <c r="D75" s="10">
        <f>-'Assumptions Sheet'!E26</f>
        <v>-432</v>
      </c>
      <c r="E75" s="10">
        <f>-'Assumptions Sheet'!F26</f>
        <v>-691</v>
      </c>
      <c r="F75" s="10">
        <f>-'Assumptions Sheet'!G26</f>
        <v>-494</v>
      </c>
      <c r="G75" s="10">
        <f>-'Assumptions Sheet'!H26</f>
        <v>-902</v>
      </c>
      <c r="H75" s="10">
        <f>-'Assumptions Sheet'!I26</f>
        <v>-1136.8403199999998</v>
      </c>
      <c r="I75" s="10">
        <f>-'Assumptions Sheet'!J26</f>
        <v>-1378.6772607999999</v>
      </c>
      <c r="J75" s="10">
        <f>-'Assumptions Sheet'!K26</f>
        <v>-1654.4127129599997</v>
      </c>
      <c r="K75" s="10">
        <f>-'Assumptions Sheet'!L26</f>
        <v>-1886.0304927743998</v>
      </c>
      <c r="L75" s="10">
        <f>-'Assumptions Sheet'!M26</f>
        <v>-2042.4138544669433</v>
      </c>
    </row>
    <row r="76" spans="2:12" ht="14.25" customHeight="1" x14ac:dyDescent="0.3">
      <c r="B76" t="s">
        <v>155</v>
      </c>
      <c r="D76" s="10">
        <f t="shared" ref="D76:L76" si="22">-(D47-C47)</f>
        <v>-2221</v>
      </c>
      <c r="E76" s="10">
        <f t="shared" si="22"/>
        <v>170</v>
      </c>
      <c r="F76" s="10">
        <f t="shared" si="22"/>
        <v>357</v>
      </c>
      <c r="G76" s="10">
        <f t="shared" si="22"/>
        <v>-1518</v>
      </c>
      <c r="H76" s="10">
        <f t="shared" si="22"/>
        <v>3176.72</v>
      </c>
      <c r="I76" s="10">
        <f t="shared" si="22"/>
        <v>-39.513600000000054</v>
      </c>
      <c r="J76" s="10">
        <f t="shared" si="22"/>
        <v>-44.255232000000035</v>
      </c>
      <c r="K76" s="10">
        <f t="shared" si="22"/>
        <v>-49.56585984000003</v>
      </c>
      <c r="L76" s="10">
        <f t="shared" si="22"/>
        <v>-55.513763020800013</v>
      </c>
    </row>
    <row r="77" spans="2:12" ht="15" customHeight="1" x14ac:dyDescent="0.3">
      <c r="B77" t="s">
        <v>156</v>
      </c>
      <c r="D77" s="10">
        <f t="shared" ref="D77:L77" si="23">-(D46-C46)</f>
        <v>-59</v>
      </c>
      <c r="E77" s="10">
        <f t="shared" si="23"/>
        <v>47</v>
      </c>
      <c r="F77" s="10">
        <f t="shared" si="23"/>
        <v>-8</v>
      </c>
      <c r="G77" s="10">
        <f t="shared" si="23"/>
        <v>-58</v>
      </c>
      <c r="H77" s="10">
        <f t="shared" si="23"/>
        <v>68</v>
      </c>
      <c r="I77" s="10">
        <f t="shared" si="23"/>
        <v>-10</v>
      </c>
      <c r="J77" s="10">
        <f t="shared" si="23"/>
        <v>-10</v>
      </c>
      <c r="K77" s="10">
        <f t="shared" si="23"/>
        <v>-10</v>
      </c>
      <c r="L77" s="10">
        <f t="shared" si="23"/>
        <v>-10</v>
      </c>
    </row>
    <row r="78" spans="2:12" ht="15" customHeight="1" x14ac:dyDescent="0.3">
      <c r="B78" s="55" t="s">
        <v>157</v>
      </c>
      <c r="C78" s="59"/>
      <c r="D78" s="56">
        <f t="shared" ref="D78:L78" si="24">SUM(D75:D77)</f>
        <v>-2712</v>
      </c>
      <c r="E78" s="56">
        <f t="shared" si="24"/>
        <v>-474</v>
      </c>
      <c r="F78" s="56">
        <f t="shared" si="24"/>
        <v>-145</v>
      </c>
      <c r="G78" s="56">
        <f t="shared" si="24"/>
        <v>-2478</v>
      </c>
      <c r="H78" s="56">
        <f t="shared" si="24"/>
        <v>2107.87968</v>
      </c>
      <c r="I78" s="56">
        <f t="shared" si="24"/>
        <v>-1428.1908607999999</v>
      </c>
      <c r="J78" s="56">
        <f t="shared" si="24"/>
        <v>-1708.6679449599997</v>
      </c>
      <c r="K78" s="56">
        <f t="shared" si="24"/>
        <v>-1945.5963526143998</v>
      </c>
      <c r="L78" s="56">
        <f t="shared" si="24"/>
        <v>-2107.9276174877432</v>
      </c>
    </row>
    <row r="80" spans="2:12" ht="14.25" customHeight="1" x14ac:dyDescent="0.3">
      <c r="B80" s="6" t="s">
        <v>158</v>
      </c>
    </row>
    <row r="81" spans="2:12" ht="14.25" customHeight="1" x14ac:dyDescent="0.3">
      <c r="B81" t="s">
        <v>159</v>
      </c>
      <c r="C81" s="10">
        <f>-C34*'Assumptions Sheet'!D15</f>
        <v>-667.5</v>
      </c>
      <c r="D81" s="10">
        <f>-D34*'Assumptions Sheet'!E15</f>
        <v>-890</v>
      </c>
      <c r="E81" s="10">
        <f>-E34*'Assumptions Sheet'!F15</f>
        <v>-979.00000000000011</v>
      </c>
      <c r="F81" s="10">
        <f>-F34*'Assumptions Sheet'!G15</f>
        <v>-979.00000000000023</v>
      </c>
      <c r="G81" s="10">
        <f>-G34*'Assumptions Sheet'!H15</f>
        <v>-1335</v>
      </c>
      <c r="H81" s="10">
        <f>-H34*'Assumptions Sheet'!I15</f>
        <v>-1731.5511685416004</v>
      </c>
      <c r="I81" s="10">
        <f>-I34*'Assumptions Sheet'!J15</f>
        <v>-2176.47811365185</v>
      </c>
      <c r="J81" s="10">
        <f>-J34*'Assumptions Sheet'!K15</f>
        <v>-2698.4328417210081</v>
      </c>
      <c r="K81" s="10">
        <f>-K34*'Assumptions Sheet'!L15</f>
        <v>-3269.8629552030279</v>
      </c>
      <c r="L81" s="10">
        <f>-L34*'Assumptions Sheet'!M15</f>
        <v>-3912.0606101984117</v>
      </c>
    </row>
    <row r="82" spans="2:12" ht="15" customHeight="1" x14ac:dyDescent="0.3">
      <c r="B82" t="s">
        <v>160</v>
      </c>
      <c r="C82" s="10"/>
      <c r="D82" s="10">
        <f t="shared" ref="D82:L82" si="25">D40-C40</f>
        <v>2092</v>
      </c>
      <c r="E82" s="10">
        <f t="shared" si="25"/>
        <v>6161</v>
      </c>
      <c r="F82" s="10">
        <f t="shared" si="25"/>
        <v>5249</v>
      </c>
      <c r="G82" s="10">
        <f t="shared" si="25"/>
        <v>9844</v>
      </c>
      <c r="H82" s="10">
        <f t="shared" si="25"/>
        <v>-21891</v>
      </c>
      <c r="I82" s="10">
        <f t="shared" si="25"/>
        <v>1571.3999999999996</v>
      </c>
      <c r="J82" s="10">
        <f t="shared" si="25"/>
        <v>1648.2239999999983</v>
      </c>
      <c r="K82" s="10">
        <f t="shared" si="25"/>
        <v>1792.4435999999987</v>
      </c>
      <c r="L82" s="10">
        <f t="shared" si="25"/>
        <v>1923.8894640000017</v>
      </c>
    </row>
    <row r="83" spans="2:12" ht="15" customHeight="1" x14ac:dyDescent="0.3">
      <c r="B83" s="55" t="s">
        <v>161</v>
      </c>
      <c r="C83" s="56">
        <f t="shared" ref="C83:L83" si="26">SUM(C81:C82)</f>
        <v>-667.5</v>
      </c>
      <c r="D83" s="56">
        <f t="shared" si="26"/>
        <v>1202</v>
      </c>
      <c r="E83" s="56">
        <f t="shared" si="26"/>
        <v>5182</v>
      </c>
      <c r="F83" s="56">
        <f t="shared" si="26"/>
        <v>4270</v>
      </c>
      <c r="G83" s="56">
        <f t="shared" si="26"/>
        <v>8509</v>
      </c>
      <c r="H83" s="56">
        <f t="shared" si="26"/>
        <v>-23622.551168541599</v>
      </c>
      <c r="I83" s="56">
        <f t="shared" si="26"/>
        <v>-605.07811365185034</v>
      </c>
      <c r="J83" s="56">
        <f t="shared" si="26"/>
        <v>-1050.2088417210098</v>
      </c>
      <c r="K83" s="56">
        <f t="shared" si="26"/>
        <v>-1477.4193552030292</v>
      </c>
      <c r="L83" s="56">
        <f t="shared" si="26"/>
        <v>-1988.17114619841</v>
      </c>
    </row>
    <row r="84" spans="2:12" ht="15" customHeight="1" x14ac:dyDescent="0.3"/>
    <row r="85" spans="2:12" ht="14.25" customHeight="1" x14ac:dyDescent="0.3">
      <c r="B85" s="50" t="s">
        <v>162</v>
      </c>
      <c r="C85" s="60"/>
      <c r="D85" s="51">
        <f t="shared" ref="D85:L85" si="27">SUM(D83,D78,D72)</f>
        <v>69</v>
      </c>
      <c r="E85" s="51">
        <f t="shared" si="27"/>
        <v>5762</v>
      </c>
      <c r="F85" s="51">
        <f t="shared" si="27"/>
        <v>737</v>
      </c>
      <c r="G85" s="51">
        <f t="shared" si="27"/>
        <v>2732</v>
      </c>
      <c r="H85" s="51">
        <f t="shared" si="27"/>
        <v>-23933.262479858859</v>
      </c>
      <c r="I85" s="51">
        <f t="shared" si="27"/>
        <v>1410.2346128338486</v>
      </c>
      <c r="J85" s="51">
        <f t="shared" si="27"/>
        <v>2809.3421113146169</v>
      </c>
      <c r="K85" s="51">
        <f t="shared" si="27"/>
        <v>4582.6944119642048</v>
      </c>
      <c r="L85" s="51">
        <f t="shared" si="27"/>
        <v>6589.5577013948878</v>
      </c>
    </row>
    <row r="86" spans="2:12" ht="14.25" customHeight="1" x14ac:dyDescent="0.3">
      <c r="B86" s="6" t="s">
        <v>163</v>
      </c>
      <c r="D86" s="7">
        <f t="shared" ref="D86:L86" si="28">C53</f>
        <v>1573</v>
      </c>
      <c r="E86" s="7">
        <f t="shared" si="28"/>
        <v>1343</v>
      </c>
      <c r="F86" s="7">
        <f t="shared" si="28"/>
        <v>1526</v>
      </c>
      <c r="G86" s="7">
        <f t="shared" si="28"/>
        <v>1584</v>
      </c>
      <c r="H86" s="7">
        <f t="shared" si="28"/>
        <v>1917</v>
      </c>
      <c r="I86" s="7">
        <f t="shared" si="28"/>
        <v>-22016.262479858859</v>
      </c>
      <c r="J86" s="7">
        <f t="shared" si="28"/>
        <v>-20606.027867025012</v>
      </c>
      <c r="K86" s="7">
        <f t="shared" si="28"/>
        <v>-17796.685755710394</v>
      </c>
      <c r="L86" s="7">
        <f t="shared" si="28"/>
        <v>-13213.991343746189</v>
      </c>
    </row>
    <row r="87" spans="2:12" ht="15" customHeight="1" x14ac:dyDescent="0.3">
      <c r="B87" s="61" t="s">
        <v>164</v>
      </c>
      <c r="C87" s="62"/>
      <c r="D87" s="63">
        <f t="shared" ref="D87:L87" si="29">SUM(D85:D86)</f>
        <v>1642</v>
      </c>
      <c r="E87" s="63">
        <f t="shared" si="29"/>
        <v>7105</v>
      </c>
      <c r="F87" s="63">
        <f t="shared" si="29"/>
        <v>2263</v>
      </c>
      <c r="G87" s="63">
        <f t="shared" si="29"/>
        <v>4316</v>
      </c>
      <c r="H87" s="63">
        <f t="shared" si="29"/>
        <v>-22016.262479858859</v>
      </c>
      <c r="I87" s="63">
        <f t="shared" si="29"/>
        <v>-20606.027867025012</v>
      </c>
      <c r="J87" s="63">
        <f t="shared" si="29"/>
        <v>-17796.685755710394</v>
      </c>
      <c r="K87" s="63">
        <f t="shared" si="29"/>
        <v>-13213.991343746189</v>
      </c>
      <c r="L87" s="63">
        <f t="shared" si="29"/>
        <v>-6624.4336423513014</v>
      </c>
    </row>
  </sheetData>
  <mergeCells count="1">
    <mergeCell ref="B2:L2"/>
  </mergeCells>
  <conditionalFormatting sqref="C58:L58">
    <cfRule type="containsText" dxfId="3" priority="2" operator="containsText" text="TRUE">
      <formula>NOT(ISERROR(SEARCH("TRUE",C58)))</formula>
    </cfRule>
    <cfRule type="containsText" dxfId="2" priority="3" operator="containsText" text="FALSE">
      <formula>NOT(ISERROR(SEARCH("FALSE",C58)))</formula>
    </cfRule>
    <cfRule type="containsText" dxfId="1" priority="4" operator="containsText" text="TRUE">
      <formula>NOT(ISERROR(SEARCH("TRUE",C58)))</formula>
    </cfRule>
  </conditionalFormatting>
  <pageMargins left="0.7" right="0.7" top="0.75" bottom="0.75" header="0.511811023622047" footer="0.511811023622047"/>
  <pageSetup paperSize="9" scale="55"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A40E-EC7D-4341-8938-0AC79E197AD6}">
  <sheetPr>
    <tabColor rgb="FF33CCCC"/>
  </sheetPr>
  <dimension ref="B2:AE261"/>
  <sheetViews>
    <sheetView showGridLines="0" zoomScale="66" zoomScaleNormal="66" zoomScaleSheetLayoutView="30" workbookViewId="0">
      <selection activeCell="C3" sqref="C3"/>
    </sheetView>
  </sheetViews>
  <sheetFormatPr defaultRowHeight="14.4" x14ac:dyDescent="0.3"/>
  <cols>
    <col min="1" max="1" width="1.88671875" customWidth="1"/>
    <col min="2" max="2" width="11.6640625" customWidth="1"/>
    <col min="3" max="3" width="9" bestFit="1" customWidth="1"/>
    <col min="4" max="4" width="14.6640625" customWidth="1"/>
    <col min="5" max="5" width="2.109375" customWidth="1"/>
    <col min="6" max="6" width="11.33203125" bestFit="1" customWidth="1"/>
    <col min="7" max="7" width="9.44140625" customWidth="1"/>
    <col min="8" max="8" width="14.5546875" customWidth="1"/>
    <col min="9" max="9" width="2.21875" customWidth="1"/>
    <col min="11" max="12" width="9" bestFit="1" customWidth="1"/>
    <col min="13" max="13" width="5" customWidth="1"/>
    <col min="14" max="14" width="9" bestFit="1" customWidth="1"/>
    <col min="15" max="15" width="13.109375" bestFit="1" customWidth="1"/>
    <col min="18" max="18" width="11" customWidth="1"/>
    <col min="21" max="21" width="15.5546875" bestFit="1" customWidth="1"/>
    <col min="22" max="22" width="8.6640625" customWidth="1"/>
    <col min="23" max="23" width="18.77734375" bestFit="1" customWidth="1"/>
    <col min="25" max="25" width="12" customWidth="1"/>
    <col min="26" max="26" width="10.77734375" customWidth="1"/>
    <col min="27" max="27" width="18.77734375" bestFit="1" customWidth="1"/>
    <col min="29" max="29" width="11.44140625" bestFit="1" customWidth="1"/>
    <col min="31" max="31" width="14" bestFit="1" customWidth="1"/>
  </cols>
  <sheetData>
    <row r="2" spans="2:31" x14ac:dyDescent="0.3">
      <c r="B2" s="374" t="s">
        <v>248</v>
      </c>
      <c r="C2" s="374"/>
      <c r="D2" s="374"/>
    </row>
    <row r="3" spans="2:31" x14ac:dyDescent="0.3">
      <c r="U3" s="79" t="s">
        <v>282</v>
      </c>
      <c r="V3" s="134">
        <f>SLOPE(W8:W261,H8:H261)</f>
        <v>0.60935632044105814</v>
      </c>
      <c r="Y3" s="79" t="s">
        <v>282</v>
      </c>
      <c r="Z3" s="134">
        <f>SLOPE(AA8:AA261,H8:H261)</f>
        <v>1.1254698672379466</v>
      </c>
      <c r="AC3" s="79" t="s">
        <v>282</v>
      </c>
      <c r="AD3" s="134">
        <f>SLOPE(AE8:AE261,H8:H261)</f>
        <v>1.1272013209881127</v>
      </c>
    </row>
    <row r="4" spans="2:31" x14ac:dyDescent="0.3">
      <c r="B4" s="374" t="s">
        <v>283</v>
      </c>
      <c r="C4" s="374"/>
      <c r="D4" s="374"/>
      <c r="F4" s="374" t="s">
        <v>284</v>
      </c>
      <c r="G4" s="374"/>
      <c r="H4" s="374"/>
      <c r="U4" s="374" t="s">
        <v>228</v>
      </c>
      <c r="V4" s="374"/>
      <c r="W4" s="374"/>
      <c r="Y4" s="374" t="s">
        <v>227</v>
      </c>
      <c r="Z4" s="374"/>
      <c r="AA4" s="374"/>
      <c r="AC4" s="374" t="s">
        <v>285</v>
      </c>
      <c r="AD4" s="374"/>
      <c r="AE4" s="374"/>
    </row>
    <row r="6" spans="2:31" x14ac:dyDescent="0.3">
      <c r="B6" s="99" t="s">
        <v>249</v>
      </c>
      <c r="C6" s="100" t="s">
        <v>250</v>
      </c>
      <c r="D6" s="101" t="s">
        <v>251</v>
      </c>
      <c r="F6" s="99" t="s">
        <v>249</v>
      </c>
      <c r="G6" s="100" t="s">
        <v>250</v>
      </c>
      <c r="H6" s="101" t="s">
        <v>251</v>
      </c>
      <c r="J6" s="375" t="s">
        <v>252</v>
      </c>
      <c r="K6" s="376"/>
      <c r="L6" s="376"/>
      <c r="M6" s="377"/>
      <c r="U6" s="99" t="s">
        <v>249</v>
      </c>
      <c r="V6" s="100" t="s">
        <v>250</v>
      </c>
      <c r="W6" s="101" t="s">
        <v>251</v>
      </c>
      <c r="Y6" s="99" t="s">
        <v>249</v>
      </c>
      <c r="Z6" s="100" t="s">
        <v>250</v>
      </c>
      <c r="AA6" s="101" t="s">
        <v>251</v>
      </c>
      <c r="AC6" s="99" t="s">
        <v>249</v>
      </c>
      <c r="AD6" s="100" t="s">
        <v>250</v>
      </c>
      <c r="AE6" s="101" t="s">
        <v>251</v>
      </c>
    </row>
    <row r="7" spans="2:31" x14ac:dyDescent="0.3">
      <c r="B7" s="102">
        <v>46213.645833333336</v>
      </c>
      <c r="C7">
        <v>4584.3999999999996</v>
      </c>
      <c r="D7" s="103"/>
      <c r="F7" s="102">
        <v>46213.645833333336</v>
      </c>
      <c r="G7" s="108">
        <v>24206.9</v>
      </c>
      <c r="H7" s="103"/>
      <c r="J7" s="111"/>
      <c r="M7" s="103"/>
      <c r="U7" s="102">
        <v>46213.645833333336</v>
      </c>
      <c r="V7">
        <v>6540.5</v>
      </c>
      <c r="W7" s="103"/>
      <c r="Y7" s="102">
        <v>46213.645833333336</v>
      </c>
      <c r="Z7">
        <v>476.15</v>
      </c>
      <c r="AA7" s="104"/>
      <c r="AC7" s="132">
        <v>46213.645833333336</v>
      </c>
      <c r="AD7">
        <v>93.67</v>
      </c>
      <c r="AE7" s="103"/>
    </row>
    <row r="8" spans="2:31" x14ac:dyDescent="0.3">
      <c r="B8" s="102">
        <v>46206.645833333336</v>
      </c>
      <c r="C8">
        <v>4461.1000000000004</v>
      </c>
      <c r="D8" s="104">
        <f>C8/C7-1</f>
        <v>-2.6895558851757984E-2</v>
      </c>
      <c r="F8" s="102">
        <v>46206.645833333336</v>
      </c>
      <c r="G8" s="108">
        <v>24270.85</v>
      </c>
      <c r="H8" s="104">
        <f>G8/G7-1</f>
        <v>2.6418087404829205E-3</v>
      </c>
      <c r="J8" s="111" t="s">
        <v>253</v>
      </c>
      <c r="M8" s="113">
        <f>N17</f>
        <v>1.1357275641250129</v>
      </c>
      <c r="U8" s="102">
        <v>46206.645833333336</v>
      </c>
      <c r="V8">
        <v>6159.5</v>
      </c>
      <c r="W8" s="104">
        <f>V8/V7-1</f>
        <v>-5.8252427184465994E-2</v>
      </c>
      <c r="Y8" s="102">
        <v>46206.645833333336</v>
      </c>
      <c r="Z8">
        <v>382.05</v>
      </c>
      <c r="AA8" s="104">
        <f>Z8/Z7-1</f>
        <v>-0.19762679827785357</v>
      </c>
      <c r="AC8" s="132">
        <v>46206.645833333336</v>
      </c>
      <c r="AD8">
        <v>95.02</v>
      </c>
      <c r="AE8" s="104">
        <f>AD8/AD7-1</f>
        <v>1.4412298494715481E-2</v>
      </c>
    </row>
    <row r="9" spans="2:31" x14ac:dyDescent="0.3">
      <c r="B9" s="102">
        <v>46198.645833333336</v>
      </c>
      <c r="C9">
        <v>4291.3</v>
      </c>
      <c r="D9" s="104">
        <f t="shared" ref="D9:D72" si="0">C9/C8-1</f>
        <v>-3.8062361301024472E-2</v>
      </c>
      <c r="F9" s="102">
        <v>46198.645833333336</v>
      </c>
      <c r="G9" s="108">
        <v>24056</v>
      </c>
      <c r="H9" s="104">
        <f t="shared" ref="H9:H72" si="1">G9/G8-1</f>
        <v>-8.8521827624495897E-3</v>
      </c>
      <c r="J9" s="111" t="s">
        <v>254</v>
      </c>
      <c r="M9" s="112">
        <v>0.75</v>
      </c>
      <c r="U9" s="102">
        <v>46198.645833333336</v>
      </c>
      <c r="V9">
        <v>5594.2</v>
      </c>
      <c r="W9" s="104">
        <f t="shared" ref="W9:W72" si="2">V9/V8-1</f>
        <v>-9.1776929945612484E-2</v>
      </c>
      <c r="Y9" s="102">
        <v>46198.645833333336</v>
      </c>
      <c r="Z9">
        <v>377.8</v>
      </c>
      <c r="AA9" s="104">
        <f t="shared" ref="AA9:AA72" si="3">Z9/Z8-1</f>
        <v>-1.1124198403350327E-2</v>
      </c>
      <c r="AC9" s="132">
        <v>46198.645833333336</v>
      </c>
      <c r="AD9">
        <v>97.02</v>
      </c>
      <c r="AE9" s="104">
        <f t="shared" ref="AE9:AE72" si="4">AD9/AD8-1</f>
        <v>2.1048200378867676E-2</v>
      </c>
    </row>
    <row r="10" spans="2:31" x14ac:dyDescent="0.3">
      <c r="B10" s="102">
        <v>46192.645833333336</v>
      </c>
      <c r="C10">
        <v>4419.8999999999996</v>
      </c>
      <c r="D10" s="104">
        <f t="shared" si="0"/>
        <v>2.9967608883088914E-2</v>
      </c>
      <c r="F10" s="102">
        <v>46192.645833333336</v>
      </c>
      <c r="G10" s="108">
        <v>24013.1</v>
      </c>
      <c r="H10" s="104">
        <f t="shared" si="1"/>
        <v>-1.7833388759561641E-3</v>
      </c>
      <c r="J10" s="111"/>
      <c r="M10" s="103"/>
      <c r="U10" s="102">
        <v>46192.645833333336</v>
      </c>
      <c r="V10">
        <v>5454.6</v>
      </c>
      <c r="W10" s="104">
        <f t="shared" si="2"/>
        <v>-2.4954417074827373E-2</v>
      </c>
      <c r="Y10" s="102">
        <v>46192.645833333336</v>
      </c>
      <c r="Z10">
        <v>383.5</v>
      </c>
      <c r="AA10" s="104">
        <f t="shared" si="3"/>
        <v>1.5087347803070417E-2</v>
      </c>
      <c r="AC10" s="132">
        <v>46192.645833333336</v>
      </c>
      <c r="AD10">
        <v>97.51</v>
      </c>
      <c r="AE10" s="104">
        <f t="shared" si="4"/>
        <v>5.050505050505194E-3</v>
      </c>
    </row>
    <row r="11" spans="2:31" x14ac:dyDescent="0.3">
      <c r="B11" s="102">
        <v>46185.645833333336</v>
      </c>
      <c r="C11">
        <v>4184</v>
      </c>
      <c r="D11" s="104">
        <f t="shared" si="0"/>
        <v>-5.3372248240910358E-2</v>
      </c>
      <c r="F11" s="102">
        <v>46185.645833333336</v>
      </c>
      <c r="G11" s="108">
        <v>23622.9</v>
      </c>
      <c r="H11" s="104">
        <f t="shared" si="1"/>
        <v>-1.6249463834323685E-2</v>
      </c>
      <c r="J11" s="111" t="s">
        <v>255</v>
      </c>
      <c r="M11" s="113">
        <v>1</v>
      </c>
      <c r="U11" s="102">
        <v>46185.645833333336</v>
      </c>
      <c r="V11">
        <v>5478.7</v>
      </c>
      <c r="W11" s="104">
        <f t="shared" si="2"/>
        <v>4.4182891504416233E-3</v>
      </c>
      <c r="Y11" s="102">
        <v>46185.645833333336</v>
      </c>
      <c r="Z11">
        <v>344.75</v>
      </c>
      <c r="AA11" s="104">
        <f t="shared" si="3"/>
        <v>-0.10104302477183835</v>
      </c>
      <c r="AC11" s="132">
        <v>46185.645833333336</v>
      </c>
      <c r="AD11">
        <v>76.41</v>
      </c>
      <c r="AE11" s="104">
        <f t="shared" si="4"/>
        <v>-0.21638806276279365</v>
      </c>
    </row>
    <row r="12" spans="2:31" x14ac:dyDescent="0.3">
      <c r="B12" s="102">
        <v>46178.645833333336</v>
      </c>
      <c r="C12">
        <v>4260.2</v>
      </c>
      <c r="D12" s="104">
        <f t="shared" si="0"/>
        <v>1.8212237093690131E-2</v>
      </c>
      <c r="F12" s="102">
        <v>46178.645833333336</v>
      </c>
      <c r="G12" s="108">
        <v>23366.7</v>
      </c>
      <c r="H12" s="104">
        <f t="shared" si="1"/>
        <v>-1.0845408480753882E-2</v>
      </c>
      <c r="J12" s="111" t="s">
        <v>256</v>
      </c>
      <c r="M12" s="112">
        <v>0.25</v>
      </c>
      <c r="U12" s="102">
        <v>46178.645833333336</v>
      </c>
      <c r="V12">
        <v>5351.9</v>
      </c>
      <c r="W12" s="104">
        <f t="shared" si="2"/>
        <v>-2.3144176538229866E-2</v>
      </c>
      <c r="Y12" s="102">
        <v>46178.645833333336</v>
      </c>
      <c r="Z12">
        <v>371.85</v>
      </c>
      <c r="AA12" s="104">
        <f t="shared" si="3"/>
        <v>7.8607686729514237E-2</v>
      </c>
      <c r="AC12" s="132">
        <v>46178.645833333336</v>
      </c>
      <c r="AD12">
        <v>98.73</v>
      </c>
      <c r="AE12" s="104">
        <f t="shared" si="4"/>
        <v>0.29210836277974095</v>
      </c>
    </row>
    <row r="13" spans="2:31" x14ac:dyDescent="0.3">
      <c r="B13" s="102">
        <v>46171.645833333336</v>
      </c>
      <c r="C13">
        <v>4074.9</v>
      </c>
      <c r="D13" s="104">
        <f t="shared" si="0"/>
        <v>-4.3495610534716622E-2</v>
      </c>
      <c r="F13" s="102">
        <v>46171.645833333336</v>
      </c>
      <c r="G13" s="108">
        <v>23547.75</v>
      </c>
      <c r="H13" s="104">
        <f t="shared" si="1"/>
        <v>7.7482057800202231E-3</v>
      </c>
      <c r="J13" s="111"/>
      <c r="M13" s="103"/>
      <c r="U13" s="102">
        <v>46171.645833333336</v>
      </c>
      <c r="V13">
        <v>4204.8999999999996</v>
      </c>
      <c r="W13" s="104">
        <f t="shared" si="2"/>
        <v>-0.21431641099422638</v>
      </c>
      <c r="Y13" s="102">
        <v>46171.645833333336</v>
      </c>
      <c r="Z13">
        <v>355.05</v>
      </c>
      <c r="AA13" s="104">
        <f t="shared" si="3"/>
        <v>-4.5179507866075053E-2</v>
      </c>
      <c r="AC13" s="132">
        <v>46171.645833333336</v>
      </c>
      <c r="AD13">
        <v>118.33</v>
      </c>
      <c r="AE13" s="104">
        <f t="shared" si="4"/>
        <v>0.19852121948749102</v>
      </c>
    </row>
    <row r="14" spans="2:31" x14ac:dyDescent="0.3">
      <c r="B14" s="102">
        <v>46164.645833333336</v>
      </c>
      <c r="C14">
        <v>4079.8</v>
      </c>
      <c r="D14" s="104">
        <f t="shared" si="0"/>
        <v>1.2024834965276288E-3</v>
      </c>
      <c r="F14" s="102">
        <v>46164.645833333336</v>
      </c>
      <c r="G14" s="108">
        <v>23719.3</v>
      </c>
      <c r="H14" s="104">
        <f t="shared" si="1"/>
        <v>7.2851970995104764E-3</v>
      </c>
      <c r="J14" s="118" t="s">
        <v>257</v>
      </c>
      <c r="K14" s="119"/>
      <c r="L14" s="119"/>
      <c r="M14" s="120">
        <f>(M8*M9)+(M11*M12)</f>
        <v>1.1017956730937597</v>
      </c>
      <c r="U14" s="102">
        <v>46164.645833333336</v>
      </c>
      <c r="V14">
        <v>3817.3</v>
      </c>
      <c r="W14" s="104">
        <f t="shared" si="2"/>
        <v>-9.2178173083783066E-2</v>
      </c>
      <c r="Y14" s="102">
        <v>46164.645833333336</v>
      </c>
      <c r="Z14">
        <v>352.4</v>
      </c>
      <c r="AA14" s="104">
        <f t="shared" si="3"/>
        <v>-7.4637375017604368E-3</v>
      </c>
      <c r="AC14" s="132">
        <v>46164.645833333336</v>
      </c>
      <c r="AD14">
        <v>107.44</v>
      </c>
      <c r="AE14" s="104">
        <f t="shared" si="4"/>
        <v>-9.203076142989941E-2</v>
      </c>
    </row>
    <row r="15" spans="2:31" x14ac:dyDescent="0.3">
      <c r="B15" s="102">
        <v>46157.645833333336</v>
      </c>
      <c r="C15">
        <v>4169.1000000000004</v>
      </c>
      <c r="D15" s="104">
        <f t="shared" si="0"/>
        <v>2.18883278592088E-2</v>
      </c>
      <c r="F15" s="102">
        <v>46157.645833333336</v>
      </c>
      <c r="G15" s="108">
        <v>23643.5</v>
      </c>
      <c r="H15" s="104">
        <f t="shared" si="1"/>
        <v>-3.1957098228024838E-3</v>
      </c>
      <c r="U15" s="102">
        <v>46157.645833333336</v>
      </c>
      <c r="V15">
        <v>3594.2</v>
      </c>
      <c r="W15" s="104">
        <f t="shared" si="2"/>
        <v>-5.8444450265894843E-2</v>
      </c>
      <c r="Y15" s="102">
        <v>46157.645833333336</v>
      </c>
      <c r="Z15">
        <v>353.05</v>
      </c>
      <c r="AA15" s="104">
        <f t="shared" si="3"/>
        <v>1.8444948921680915E-3</v>
      </c>
      <c r="AC15" s="132">
        <v>46157.645833333336</v>
      </c>
      <c r="AD15">
        <v>109.77</v>
      </c>
      <c r="AE15" s="104">
        <f t="shared" si="4"/>
        <v>2.1686522710349987E-2</v>
      </c>
    </row>
    <row r="16" spans="2:31" x14ac:dyDescent="0.3">
      <c r="B16" s="102">
        <v>46150.645833333336</v>
      </c>
      <c r="C16">
        <v>4509</v>
      </c>
      <c r="D16" s="104">
        <f t="shared" si="0"/>
        <v>8.1528387421745618E-2</v>
      </c>
      <c r="F16" s="102">
        <v>46150.645833333336</v>
      </c>
      <c r="G16" s="108">
        <v>24176.15</v>
      </c>
      <c r="H16" s="104">
        <f t="shared" si="1"/>
        <v>2.2528390466724613E-2</v>
      </c>
      <c r="J16" s="121" t="s">
        <v>258</v>
      </c>
      <c r="K16" s="122"/>
      <c r="L16" s="122"/>
      <c r="M16" s="122"/>
      <c r="N16" s="122"/>
      <c r="O16" s="122"/>
      <c r="P16" s="122"/>
      <c r="Q16" s="122"/>
      <c r="R16" s="123"/>
      <c r="U16" s="102">
        <v>46150.645833333336</v>
      </c>
      <c r="V16">
        <v>4246.7</v>
      </c>
      <c r="W16" s="104">
        <f t="shared" si="2"/>
        <v>0.18154248511490745</v>
      </c>
      <c r="Y16" s="102">
        <v>46150.645833333336</v>
      </c>
      <c r="Z16">
        <v>424.55</v>
      </c>
      <c r="AA16" s="104">
        <f t="shared" si="3"/>
        <v>0.20252088939243729</v>
      </c>
      <c r="AC16" s="132">
        <v>46150.645833333336</v>
      </c>
      <c r="AD16">
        <v>121.99</v>
      </c>
      <c r="AE16" s="104">
        <f t="shared" si="4"/>
        <v>0.11132367677871913</v>
      </c>
    </row>
    <row r="17" spans="2:31" ht="15" thickBot="1" x14ac:dyDescent="0.35">
      <c r="B17" s="102">
        <v>46142.645833333336</v>
      </c>
      <c r="C17">
        <v>4385.2</v>
      </c>
      <c r="D17" s="104">
        <f t="shared" si="0"/>
        <v>-2.7456198713683766E-2</v>
      </c>
      <c r="F17" s="102">
        <v>46142.645833333336</v>
      </c>
      <c r="G17" s="108">
        <v>23997.55</v>
      </c>
      <c r="H17" s="104">
        <f t="shared" si="1"/>
        <v>-7.3874458919225283E-3</v>
      </c>
      <c r="J17" s="111"/>
      <c r="M17" s="124" t="s">
        <v>282</v>
      </c>
      <c r="N17" s="125">
        <f>K33</f>
        <v>1.1357275641250129</v>
      </c>
      <c r="R17" s="103"/>
      <c r="U17" s="102">
        <v>46142.645833333336</v>
      </c>
      <c r="V17">
        <v>3955.8</v>
      </c>
      <c r="W17" s="104">
        <f t="shared" si="2"/>
        <v>-6.850024725080639E-2</v>
      </c>
      <c r="Y17" s="102">
        <v>46142.645833333336</v>
      </c>
      <c r="Z17">
        <v>412.75</v>
      </c>
      <c r="AA17" s="104">
        <f t="shared" si="3"/>
        <v>-2.7794134966435124E-2</v>
      </c>
      <c r="AC17" s="132">
        <v>46142.645833333336</v>
      </c>
      <c r="AD17">
        <v>119.2</v>
      </c>
      <c r="AE17" s="104">
        <f t="shared" si="4"/>
        <v>-2.2870727108779354E-2</v>
      </c>
    </row>
    <row r="18" spans="2:31" x14ac:dyDescent="0.3">
      <c r="B18" s="102">
        <v>46136.645833333336</v>
      </c>
      <c r="C18">
        <v>4410</v>
      </c>
      <c r="D18" s="104">
        <f t="shared" si="0"/>
        <v>5.6553862993706794E-3</v>
      </c>
      <c r="F18" s="102">
        <v>46136.645833333336</v>
      </c>
      <c r="G18" s="108">
        <v>23897.95</v>
      </c>
      <c r="H18" s="104">
        <f t="shared" si="1"/>
        <v>-4.1504236890849144E-3</v>
      </c>
      <c r="J18" s="126" t="s">
        <v>259</v>
      </c>
      <c r="K18" s="117"/>
      <c r="R18" s="103"/>
      <c r="U18" s="102">
        <v>46136.645833333336</v>
      </c>
      <c r="V18">
        <v>3799.3</v>
      </c>
      <c r="W18" s="104">
        <f t="shared" si="2"/>
        <v>-3.9562161888872072E-2</v>
      </c>
      <c r="Y18" s="102">
        <v>46136.645833333336</v>
      </c>
      <c r="Z18">
        <v>405.3</v>
      </c>
      <c r="AA18" s="104">
        <f t="shared" si="3"/>
        <v>-1.8049666868564462E-2</v>
      </c>
      <c r="AC18" s="132">
        <v>46136.645833333336</v>
      </c>
      <c r="AD18">
        <v>126.81</v>
      </c>
      <c r="AE18" s="104">
        <f t="shared" si="4"/>
        <v>6.3842281879194607E-2</v>
      </c>
    </row>
    <row r="19" spans="2:31" x14ac:dyDescent="0.3">
      <c r="B19" s="102">
        <v>46129.645833333336</v>
      </c>
      <c r="C19">
        <v>4525.8999999999996</v>
      </c>
      <c r="D19" s="104">
        <f t="shared" si="0"/>
        <v>2.6281179138321953E-2</v>
      </c>
      <c r="F19" s="102">
        <v>46129.645833333336</v>
      </c>
      <c r="G19" s="108">
        <v>24353.55</v>
      </c>
      <c r="H19" s="104">
        <f t="shared" si="1"/>
        <v>1.9064396736958589E-2</v>
      </c>
      <c r="J19" s="111" t="s">
        <v>260</v>
      </c>
      <c r="K19">
        <v>0.60488735819406625</v>
      </c>
      <c r="R19" s="103"/>
      <c r="U19" s="102">
        <v>46129.645833333336</v>
      </c>
      <c r="V19">
        <v>4210.6000000000004</v>
      </c>
      <c r="W19" s="104">
        <f t="shared" si="2"/>
        <v>0.10825678414444773</v>
      </c>
      <c r="Y19" s="102">
        <v>46129.645833333336</v>
      </c>
      <c r="Z19">
        <v>426.85</v>
      </c>
      <c r="AA19" s="104">
        <f t="shared" si="3"/>
        <v>5.3170490994325137E-2</v>
      </c>
      <c r="AC19" s="132">
        <v>46129.645833333336</v>
      </c>
      <c r="AD19">
        <v>126.31</v>
      </c>
      <c r="AE19" s="104">
        <f t="shared" si="4"/>
        <v>-3.9429067108271987E-3</v>
      </c>
    </row>
    <row r="20" spans="2:31" x14ac:dyDescent="0.3">
      <c r="B20" s="102">
        <v>46122.645833333336</v>
      </c>
      <c r="C20">
        <v>4505</v>
      </c>
      <c r="D20" s="104">
        <f t="shared" si="0"/>
        <v>-4.6178660597890886E-3</v>
      </c>
      <c r="F20" s="102">
        <v>46122.645833333336</v>
      </c>
      <c r="G20" s="108">
        <v>24050.6</v>
      </c>
      <c r="H20" s="104">
        <f t="shared" si="1"/>
        <v>-1.2439664853789334E-2</v>
      </c>
      <c r="J20" s="111" t="s">
        <v>261</v>
      </c>
      <c r="K20">
        <v>0.36588871610299667</v>
      </c>
      <c r="R20" s="103"/>
      <c r="U20" s="102">
        <v>46122.645833333336</v>
      </c>
      <c r="V20">
        <v>4138.8</v>
      </c>
      <c r="W20" s="104">
        <f t="shared" si="2"/>
        <v>-1.7052201586472249E-2</v>
      </c>
      <c r="Y20" s="102">
        <v>46122.645833333336</v>
      </c>
      <c r="Z20">
        <v>449.15</v>
      </c>
      <c r="AA20" s="104">
        <f t="shared" si="3"/>
        <v>5.2243176759985799E-2</v>
      </c>
      <c r="AC20" s="132">
        <v>46122.645833333336</v>
      </c>
      <c r="AD20">
        <v>109.76</v>
      </c>
      <c r="AE20" s="104">
        <f t="shared" si="4"/>
        <v>-0.13102683873010845</v>
      </c>
    </row>
    <row r="21" spans="2:31" x14ac:dyDescent="0.3">
      <c r="B21" s="102">
        <v>46114.645833333336</v>
      </c>
      <c r="C21">
        <v>4097.2</v>
      </c>
      <c r="D21" s="104">
        <f t="shared" si="0"/>
        <v>-9.0521642619311948E-2</v>
      </c>
      <c r="F21" s="102">
        <v>46114.645833333336</v>
      </c>
      <c r="G21" s="108">
        <v>22713.1</v>
      </c>
      <c r="H21" s="104">
        <f t="shared" si="1"/>
        <v>-5.5611918205782818E-2</v>
      </c>
      <c r="J21" s="111" t="s">
        <v>262</v>
      </c>
      <c r="K21">
        <v>0.36337240148435779</v>
      </c>
      <c r="R21" s="103"/>
      <c r="U21" s="102">
        <v>46114.645833333336</v>
      </c>
      <c r="V21">
        <v>3543.8</v>
      </c>
      <c r="W21" s="104">
        <f t="shared" si="2"/>
        <v>-0.14376147675654782</v>
      </c>
      <c r="Y21" s="102">
        <v>46114.645833333336</v>
      </c>
      <c r="Z21">
        <v>394.35</v>
      </c>
      <c r="AA21" s="104">
        <f t="shared" si="3"/>
        <v>-0.12200823778247794</v>
      </c>
      <c r="AC21" s="132">
        <v>46114.645833333336</v>
      </c>
      <c r="AD21">
        <v>87.28</v>
      </c>
      <c r="AE21" s="104">
        <f t="shared" si="4"/>
        <v>-0.20481049562682219</v>
      </c>
    </row>
    <row r="22" spans="2:31" x14ac:dyDescent="0.3">
      <c r="B22" s="102">
        <v>46108.645833333336</v>
      </c>
      <c r="C22">
        <v>3981.5</v>
      </c>
      <c r="D22" s="104">
        <f t="shared" si="0"/>
        <v>-2.8238797227374768E-2</v>
      </c>
      <c r="F22" s="102">
        <v>46108.645833333336</v>
      </c>
      <c r="G22" s="108">
        <v>22819.599999999999</v>
      </c>
      <c r="H22" s="104">
        <f t="shared" si="1"/>
        <v>4.6889240130145726E-3</v>
      </c>
      <c r="J22" s="111" t="s">
        <v>263</v>
      </c>
      <c r="K22">
        <v>2.7833701802593921E-2</v>
      </c>
      <c r="R22" s="103"/>
      <c r="U22" s="102">
        <v>46108.645833333336</v>
      </c>
      <c r="V22">
        <v>3431</v>
      </c>
      <c r="W22" s="104">
        <f t="shared" si="2"/>
        <v>-3.1830238726790472E-2</v>
      </c>
      <c r="Y22" s="102">
        <v>46108.645833333336</v>
      </c>
      <c r="Z22">
        <v>388.35</v>
      </c>
      <c r="AA22" s="104">
        <f t="shared" si="3"/>
        <v>-1.5214910612400101E-2</v>
      </c>
      <c r="AC22" s="132">
        <v>46108.645833333336</v>
      </c>
      <c r="AD22">
        <v>84.61</v>
      </c>
      <c r="AE22" s="104">
        <f t="shared" si="4"/>
        <v>-3.0591200733272261E-2</v>
      </c>
    </row>
    <row r="23" spans="2:31" ht="15" thickBot="1" x14ac:dyDescent="0.35">
      <c r="B23" s="102">
        <v>46101.645833333336</v>
      </c>
      <c r="C23">
        <v>4106.6000000000004</v>
      </c>
      <c r="D23" s="104">
        <f t="shared" si="0"/>
        <v>3.1420318975260653E-2</v>
      </c>
      <c r="F23" s="102">
        <v>46101.645833333336</v>
      </c>
      <c r="G23" s="108">
        <v>23114.5</v>
      </c>
      <c r="H23" s="104">
        <f t="shared" si="1"/>
        <v>1.2923101193710762E-2</v>
      </c>
      <c r="J23" s="127" t="s">
        <v>264</v>
      </c>
      <c r="K23" s="115">
        <v>254</v>
      </c>
      <c r="R23" s="103"/>
      <c r="U23" s="102">
        <v>46101.645833333336</v>
      </c>
      <c r="V23">
        <v>3328.8</v>
      </c>
      <c r="W23" s="104">
        <f t="shared" si="2"/>
        <v>-2.9787234042553123E-2</v>
      </c>
      <c r="Y23" s="102">
        <v>46101.645833333336</v>
      </c>
      <c r="Z23">
        <v>382.7</v>
      </c>
      <c r="AA23" s="104">
        <f t="shared" si="3"/>
        <v>-1.4548731814085336E-2</v>
      </c>
      <c r="AC23" s="132">
        <v>46101.645833333336</v>
      </c>
      <c r="AD23">
        <v>94.01</v>
      </c>
      <c r="AE23" s="104">
        <f t="shared" si="4"/>
        <v>0.11109797896229767</v>
      </c>
    </row>
    <row r="24" spans="2:31" x14ac:dyDescent="0.3">
      <c r="B24" s="102">
        <v>46094.645833333336</v>
      </c>
      <c r="C24">
        <v>4073.2</v>
      </c>
      <c r="D24" s="104">
        <f t="shared" si="0"/>
        <v>-8.133248916378677E-3</v>
      </c>
      <c r="F24" s="102">
        <v>46094.645833333336</v>
      </c>
      <c r="G24" s="108">
        <v>23151.1</v>
      </c>
      <c r="H24" s="104">
        <f t="shared" si="1"/>
        <v>1.5834216617274244E-3</v>
      </c>
      <c r="J24" s="111"/>
      <c r="R24" s="103"/>
      <c r="U24" s="102">
        <v>46094.645833333336</v>
      </c>
      <c r="V24">
        <v>3504.1</v>
      </c>
      <c r="W24" s="104">
        <f t="shared" si="2"/>
        <v>5.2661619802931936E-2</v>
      </c>
      <c r="Y24" s="102">
        <v>46094.645833333336</v>
      </c>
      <c r="Z24">
        <v>379</v>
      </c>
      <c r="AA24" s="104">
        <f t="shared" si="3"/>
        <v>-9.6681473739220758E-3</v>
      </c>
      <c r="AC24" s="132">
        <v>46094.645833333336</v>
      </c>
      <c r="AD24">
        <v>110.06</v>
      </c>
      <c r="AE24" s="104">
        <f t="shared" si="4"/>
        <v>0.17072651845548337</v>
      </c>
    </row>
    <row r="25" spans="2:31" ht="15" thickBot="1" x14ac:dyDescent="0.35">
      <c r="B25" s="102">
        <v>46087.645833333336</v>
      </c>
      <c r="C25">
        <v>4244.6000000000004</v>
      </c>
      <c r="D25" s="104">
        <f t="shared" si="0"/>
        <v>4.2079937150152347E-2</v>
      </c>
      <c r="F25" s="102">
        <v>46087.645833333336</v>
      </c>
      <c r="G25" s="108">
        <v>24450.45</v>
      </c>
      <c r="H25" s="104">
        <f t="shared" si="1"/>
        <v>5.6124762970226172E-2</v>
      </c>
      <c r="J25" s="111" t="s">
        <v>265</v>
      </c>
      <c r="R25" s="103"/>
      <c r="U25" s="102">
        <v>46087.645833333336</v>
      </c>
      <c r="V25">
        <v>3695.2</v>
      </c>
      <c r="W25" s="104">
        <f t="shared" si="2"/>
        <v>5.4536114836905236E-2</v>
      </c>
      <c r="Y25" s="102">
        <v>46087.645833333336</v>
      </c>
      <c r="Z25">
        <v>395.55</v>
      </c>
      <c r="AA25" s="104">
        <f t="shared" si="3"/>
        <v>4.366754617414248E-2</v>
      </c>
      <c r="AC25" s="132">
        <v>46087.645833333336</v>
      </c>
      <c r="AD25">
        <v>118.89</v>
      </c>
      <c r="AE25" s="104">
        <f t="shared" si="4"/>
        <v>8.0228966018535353E-2</v>
      </c>
    </row>
    <row r="26" spans="2:31" x14ac:dyDescent="0.3">
      <c r="B26" s="102">
        <v>46080.645833333336</v>
      </c>
      <c r="C26">
        <v>4327.5</v>
      </c>
      <c r="D26" s="104">
        <f t="shared" si="0"/>
        <v>1.9530697827828236E-2</v>
      </c>
      <c r="F26" s="102">
        <v>46080.645833333336</v>
      </c>
      <c r="G26" s="108">
        <v>25178.65</v>
      </c>
      <c r="H26" s="104">
        <f t="shared" si="1"/>
        <v>2.9782682936305926E-2</v>
      </c>
      <c r="J26" s="128"/>
      <c r="K26" s="116" t="s">
        <v>269</v>
      </c>
      <c r="L26" s="116" t="s">
        <v>270</v>
      </c>
      <c r="M26" s="116" t="s">
        <v>271</v>
      </c>
      <c r="N26" s="116" t="s">
        <v>272</v>
      </c>
      <c r="O26" s="116" t="s">
        <v>273</v>
      </c>
      <c r="R26" s="103"/>
      <c r="U26" s="102">
        <v>46080.645833333336</v>
      </c>
      <c r="V26">
        <v>3959.2</v>
      </c>
      <c r="W26" s="104">
        <f t="shared" si="2"/>
        <v>7.1444035505520587E-2</v>
      </c>
      <c r="Y26" s="102">
        <v>46080.645833333336</v>
      </c>
      <c r="Z26">
        <v>410.1</v>
      </c>
      <c r="AA26" s="104">
        <f t="shared" si="3"/>
        <v>3.6784224497535156E-2</v>
      </c>
      <c r="AC26" s="132">
        <v>46080.645833333336</v>
      </c>
      <c r="AD26">
        <v>143.81</v>
      </c>
      <c r="AE26" s="104">
        <f t="shared" si="4"/>
        <v>0.20960551770544211</v>
      </c>
    </row>
    <row r="27" spans="2:31" x14ac:dyDescent="0.3">
      <c r="B27" s="102">
        <v>46073.645833333336</v>
      </c>
      <c r="C27">
        <v>4236.3999999999996</v>
      </c>
      <c r="D27" s="104">
        <f t="shared" si="0"/>
        <v>-2.1051415366840076E-2</v>
      </c>
      <c r="F27" s="102">
        <v>46073.645833333336</v>
      </c>
      <c r="G27" s="108">
        <v>25571.25</v>
      </c>
      <c r="H27" s="104">
        <f t="shared" si="1"/>
        <v>1.5592575455792845E-2</v>
      </c>
      <c r="J27" s="111" t="s">
        <v>266</v>
      </c>
      <c r="K27">
        <v>1</v>
      </c>
      <c r="L27">
        <v>0.11264865629681275</v>
      </c>
      <c r="M27">
        <v>0.11264865629681275</v>
      </c>
      <c r="N27">
        <v>145.40658524684378</v>
      </c>
      <c r="O27">
        <v>9.7514758061248608E-27</v>
      </c>
      <c r="R27" s="103"/>
      <c r="U27" s="102">
        <v>46073.645833333336</v>
      </c>
      <c r="V27">
        <v>3556.6</v>
      </c>
      <c r="W27" s="104">
        <f t="shared" si="2"/>
        <v>-0.10168720953728028</v>
      </c>
      <c r="Y27" s="102">
        <v>46073.645833333336</v>
      </c>
      <c r="Z27">
        <v>401.2</v>
      </c>
      <c r="AA27" s="104">
        <f t="shared" si="3"/>
        <v>-2.1702023896610689E-2</v>
      </c>
      <c r="AC27" s="132">
        <v>46073.645833333336</v>
      </c>
      <c r="AD27">
        <v>157.91</v>
      </c>
      <c r="AE27" s="104">
        <f t="shared" si="4"/>
        <v>9.8046032960155793E-2</v>
      </c>
    </row>
    <row r="28" spans="2:31" x14ac:dyDescent="0.3">
      <c r="B28" s="102">
        <v>46066.645833333336</v>
      </c>
      <c r="C28">
        <v>4179.2</v>
      </c>
      <c r="D28" s="104">
        <f t="shared" si="0"/>
        <v>-1.3502030025493328E-2</v>
      </c>
      <c r="F28" s="102">
        <v>46066.645833333336</v>
      </c>
      <c r="G28" s="108">
        <v>25471.1</v>
      </c>
      <c r="H28" s="104">
        <f t="shared" si="1"/>
        <v>-3.9165077968421613E-3</v>
      </c>
      <c r="J28" s="111" t="s">
        <v>267</v>
      </c>
      <c r="K28">
        <v>252</v>
      </c>
      <c r="L28">
        <v>0.19522816892100148</v>
      </c>
      <c r="M28">
        <v>7.7471495603572012E-4</v>
      </c>
      <c r="R28" s="103"/>
      <c r="U28" s="102">
        <v>46066.645833333336</v>
      </c>
      <c r="V28">
        <v>3581.6</v>
      </c>
      <c r="W28" s="104">
        <f t="shared" si="2"/>
        <v>7.0291851768542468E-3</v>
      </c>
      <c r="Y28" s="102">
        <v>46066.645833333336</v>
      </c>
      <c r="Z28">
        <v>418.05</v>
      </c>
      <c r="AA28" s="104">
        <f t="shared" si="3"/>
        <v>4.1999002991026879E-2</v>
      </c>
      <c r="AC28" s="132">
        <v>46066.645833333336</v>
      </c>
      <c r="AD28">
        <v>177.92</v>
      </c>
      <c r="AE28" s="104">
        <f t="shared" si="4"/>
        <v>0.12671775061744017</v>
      </c>
    </row>
    <row r="29" spans="2:31" ht="15" thickBot="1" x14ac:dyDescent="0.35">
      <c r="B29" s="102">
        <v>46059.645833333336</v>
      </c>
      <c r="C29">
        <v>4141</v>
      </c>
      <c r="D29" s="104">
        <f t="shared" si="0"/>
        <v>-9.1405053598774266E-3</v>
      </c>
      <c r="F29" s="102">
        <v>46059.645833333336</v>
      </c>
      <c r="G29" s="108">
        <v>25693.7</v>
      </c>
      <c r="H29" s="104">
        <f t="shared" si="1"/>
        <v>8.7393163232056814E-3</v>
      </c>
      <c r="J29" s="127" t="s">
        <v>192</v>
      </c>
      <c r="K29" s="115">
        <v>253</v>
      </c>
      <c r="L29" s="115">
        <v>0.30787682521781423</v>
      </c>
      <c r="M29" s="115"/>
      <c r="N29" s="115"/>
      <c r="O29" s="115"/>
      <c r="R29" s="103"/>
      <c r="U29" s="102">
        <v>46059.645833333336</v>
      </c>
      <c r="V29">
        <v>3400.2</v>
      </c>
      <c r="W29" s="104">
        <f t="shared" si="2"/>
        <v>-5.0647755193209743E-2</v>
      </c>
      <c r="Y29" s="102">
        <v>46059.645833333336</v>
      </c>
      <c r="Z29">
        <v>380.25</v>
      </c>
      <c r="AA29" s="104">
        <f t="shared" si="3"/>
        <v>-9.0419806243272394E-2</v>
      </c>
      <c r="AC29" s="132">
        <v>46059.645833333336</v>
      </c>
      <c r="AD29">
        <v>172.72</v>
      </c>
      <c r="AE29" s="104">
        <f t="shared" si="4"/>
        <v>-2.9226618705035956E-2</v>
      </c>
    </row>
    <row r="30" spans="2:31" ht="15" thickBot="1" x14ac:dyDescent="0.35">
      <c r="B30" s="102">
        <v>46052.645833333336</v>
      </c>
      <c r="C30">
        <v>3977.4</v>
      </c>
      <c r="D30" s="104">
        <f t="shared" si="0"/>
        <v>-3.9507365370683334E-2</v>
      </c>
      <c r="F30" s="102">
        <v>46052.645833333336</v>
      </c>
      <c r="G30" s="108">
        <v>25320.65</v>
      </c>
      <c r="H30" s="104">
        <f t="shared" si="1"/>
        <v>-1.4519123364871489E-2</v>
      </c>
      <c r="J30" s="111"/>
      <c r="R30" s="103"/>
      <c r="U30" s="102">
        <v>46052.645833333336</v>
      </c>
      <c r="V30">
        <v>3320.6</v>
      </c>
      <c r="W30" s="104">
        <f t="shared" si="2"/>
        <v>-2.34103876242574E-2</v>
      </c>
      <c r="Y30" s="102">
        <v>46052.645833333336</v>
      </c>
      <c r="Z30">
        <v>361.65</v>
      </c>
      <c r="AA30" s="104">
        <f t="shared" si="3"/>
        <v>-4.8915187376725844E-2</v>
      </c>
      <c r="AC30" s="132">
        <v>46052.645833333336</v>
      </c>
      <c r="AD30">
        <v>162.36000000000001</v>
      </c>
      <c r="AE30" s="104">
        <f t="shared" si="4"/>
        <v>-5.9981472904122146E-2</v>
      </c>
    </row>
    <row r="31" spans="2:31" x14ac:dyDescent="0.3">
      <c r="B31" s="102">
        <v>46045.645833333336</v>
      </c>
      <c r="C31">
        <v>4021.8</v>
      </c>
      <c r="D31" s="104">
        <f t="shared" si="0"/>
        <v>1.1163071353145204E-2</v>
      </c>
      <c r="F31" s="102">
        <v>46045.645833333336</v>
      </c>
      <c r="G31" s="108">
        <v>25048.65</v>
      </c>
      <c r="H31" s="104">
        <f t="shared" si="1"/>
        <v>-1.0742220282654702E-2</v>
      </c>
      <c r="J31" s="128"/>
      <c r="K31" s="116" t="s">
        <v>274</v>
      </c>
      <c r="L31" s="116" t="s">
        <v>263</v>
      </c>
      <c r="M31" s="116" t="s">
        <v>275</v>
      </c>
      <c r="N31" s="116" t="s">
        <v>276</v>
      </c>
      <c r="O31" s="116" t="s">
        <v>277</v>
      </c>
      <c r="P31" s="116" t="s">
        <v>278</v>
      </c>
      <c r="Q31" s="116" t="s">
        <v>279</v>
      </c>
      <c r="R31" s="129" t="s">
        <v>280</v>
      </c>
      <c r="U31" s="102">
        <v>46045.645833333336</v>
      </c>
      <c r="V31">
        <v>3568</v>
      </c>
      <c r="W31" s="104">
        <f t="shared" si="2"/>
        <v>7.4504607601036055E-2</v>
      </c>
      <c r="Y31" s="102">
        <v>46045.645833333336</v>
      </c>
      <c r="Z31">
        <v>367.2</v>
      </c>
      <c r="AA31" s="104">
        <f t="shared" si="3"/>
        <v>1.5346329323931984E-2</v>
      </c>
      <c r="AC31" s="132">
        <v>46045.645833333336</v>
      </c>
      <c r="AD31">
        <v>163.18</v>
      </c>
      <c r="AE31" s="104">
        <f t="shared" si="4"/>
        <v>5.050505050504972E-3</v>
      </c>
    </row>
    <row r="32" spans="2:31" x14ac:dyDescent="0.3">
      <c r="B32" s="102">
        <v>46038.645833333336</v>
      </c>
      <c r="C32">
        <v>4196.8999999999996</v>
      </c>
      <c r="D32" s="104">
        <f t="shared" si="0"/>
        <v>4.353771942911111E-2</v>
      </c>
      <c r="F32" s="102">
        <v>46038.645833333336</v>
      </c>
      <c r="G32" s="108">
        <v>25694.35</v>
      </c>
      <c r="H32" s="104">
        <f t="shared" si="1"/>
        <v>2.5777836330500792E-2</v>
      </c>
      <c r="J32" s="111" t="s">
        <v>268</v>
      </c>
      <c r="K32">
        <v>-1.5959278792257051E-3</v>
      </c>
      <c r="L32">
        <v>1.7520928561154032E-3</v>
      </c>
      <c r="M32">
        <v>-0.91086946314253325</v>
      </c>
      <c r="N32">
        <v>0.36323460978315514</v>
      </c>
      <c r="O32">
        <v>-5.0465387362578539E-3</v>
      </c>
      <c r="P32">
        <v>1.8546829778064435E-3</v>
      </c>
      <c r="Q32">
        <v>-5.0465387362578539E-3</v>
      </c>
      <c r="R32" s="103">
        <v>1.8546829778064435E-3</v>
      </c>
      <c r="U32" s="102">
        <v>46038.645833333336</v>
      </c>
      <c r="V32">
        <v>3764</v>
      </c>
      <c r="W32" s="104">
        <f t="shared" si="2"/>
        <v>5.4932735426008961E-2</v>
      </c>
      <c r="Y32" s="102">
        <v>46038.645833333336</v>
      </c>
      <c r="Z32">
        <v>467.5</v>
      </c>
      <c r="AA32" s="104">
        <f t="shared" si="3"/>
        <v>0.27314814814814814</v>
      </c>
      <c r="AC32" s="132">
        <v>46038.645833333336</v>
      </c>
      <c r="AD32">
        <v>173.32</v>
      </c>
      <c r="AE32" s="104">
        <f t="shared" si="4"/>
        <v>6.2139968133349655E-2</v>
      </c>
    </row>
    <row r="33" spans="2:31" ht="15" thickBot="1" x14ac:dyDescent="0.35">
      <c r="B33" s="102">
        <v>46031.645833333336</v>
      </c>
      <c r="C33">
        <v>4201.8</v>
      </c>
      <c r="D33" s="104">
        <f t="shared" si="0"/>
        <v>1.1675284138292774E-3</v>
      </c>
      <c r="F33" s="102">
        <v>46031.645833333336</v>
      </c>
      <c r="G33" s="108">
        <v>25683.3</v>
      </c>
      <c r="H33" s="104">
        <f t="shared" si="1"/>
        <v>-4.3005563479903142E-4</v>
      </c>
      <c r="J33" s="127" t="s">
        <v>281</v>
      </c>
      <c r="K33" s="115">
        <v>1.1357275641250129</v>
      </c>
      <c r="L33" s="115">
        <v>9.4185083792477323E-2</v>
      </c>
      <c r="M33" s="115">
        <v>12.058465294010015</v>
      </c>
      <c r="N33" s="115">
        <v>9.751475806123954E-27</v>
      </c>
      <c r="O33" s="115">
        <v>0.95023735362021144</v>
      </c>
      <c r="P33" s="115">
        <v>1.3212177746298144</v>
      </c>
      <c r="Q33" s="115">
        <v>0.95023735362021144</v>
      </c>
      <c r="R33" s="130">
        <v>1.3212177746298144</v>
      </c>
      <c r="U33" s="102">
        <v>46031.645833333336</v>
      </c>
      <c r="V33">
        <v>3620.4</v>
      </c>
      <c r="W33" s="104">
        <f t="shared" si="2"/>
        <v>-3.8150903294367655E-2</v>
      </c>
      <c r="Y33" s="102">
        <v>46031.645833333336</v>
      </c>
      <c r="Z33">
        <v>506.9</v>
      </c>
      <c r="AA33" s="104">
        <f t="shared" si="3"/>
        <v>8.4278074866310115E-2</v>
      </c>
      <c r="AC33" s="132">
        <v>46031.645833333336</v>
      </c>
      <c r="AD33">
        <v>168.68</v>
      </c>
      <c r="AE33" s="104">
        <f t="shared" si="4"/>
        <v>-2.6771290099238287E-2</v>
      </c>
    </row>
    <row r="34" spans="2:31" x14ac:dyDescent="0.3">
      <c r="B34" s="102">
        <v>46024.645833333336</v>
      </c>
      <c r="C34">
        <v>4051.7</v>
      </c>
      <c r="D34" s="104">
        <f t="shared" si="0"/>
        <v>-3.5722785472892649E-2</v>
      </c>
      <c r="F34" s="102">
        <v>46024.645833333336</v>
      </c>
      <c r="G34" s="108">
        <v>26328.55</v>
      </c>
      <c r="H34" s="104">
        <f t="shared" si="1"/>
        <v>2.5123329167201947E-2</v>
      </c>
      <c r="J34" s="114"/>
      <c r="K34" s="106"/>
      <c r="L34" s="106"/>
      <c r="M34" s="106"/>
      <c r="N34" s="106"/>
      <c r="O34" s="106"/>
      <c r="P34" s="106"/>
      <c r="Q34" s="106"/>
      <c r="R34" s="131"/>
      <c r="U34" s="102">
        <v>46024.645833333336</v>
      </c>
      <c r="V34">
        <v>3229.5</v>
      </c>
      <c r="W34" s="104">
        <f t="shared" si="2"/>
        <v>-0.10797149486244617</v>
      </c>
      <c r="Y34" s="102">
        <v>46024.645833333336</v>
      </c>
      <c r="Z34">
        <v>495.7</v>
      </c>
      <c r="AA34" s="104">
        <f t="shared" si="3"/>
        <v>-2.209508778851843E-2</v>
      </c>
      <c r="AC34" s="132">
        <v>46024.645833333336</v>
      </c>
      <c r="AD34">
        <v>180.99</v>
      </c>
      <c r="AE34" s="104">
        <f t="shared" si="4"/>
        <v>7.2978420678207367E-2</v>
      </c>
    </row>
    <row r="35" spans="2:31" x14ac:dyDescent="0.3">
      <c r="B35" s="102">
        <v>46017.645833333336</v>
      </c>
      <c r="C35">
        <v>3992</v>
      </c>
      <c r="D35" s="104">
        <f t="shared" si="0"/>
        <v>-1.4734555865439147E-2</v>
      </c>
      <c r="F35" s="102">
        <v>46017.645833333336</v>
      </c>
      <c r="G35" s="108">
        <v>26042.3</v>
      </c>
      <c r="H35" s="104">
        <f t="shared" si="1"/>
        <v>-1.0872228056615363E-2</v>
      </c>
      <c r="U35" s="102">
        <v>46017.645833333336</v>
      </c>
      <c r="V35">
        <v>3208.3</v>
      </c>
      <c r="W35" s="104">
        <f t="shared" si="2"/>
        <v>-6.5644836662021033E-3</v>
      </c>
      <c r="Y35" s="102">
        <v>46017.645833333336</v>
      </c>
      <c r="Z35">
        <v>491.15</v>
      </c>
      <c r="AA35" s="104">
        <f t="shared" si="3"/>
        <v>-9.178938874319198E-3</v>
      </c>
      <c r="AC35" s="132">
        <v>46017.645833333336</v>
      </c>
      <c r="AD35">
        <v>212.78</v>
      </c>
      <c r="AE35" s="104">
        <f t="shared" si="4"/>
        <v>0.17564506326316365</v>
      </c>
    </row>
    <row r="36" spans="2:31" x14ac:dyDescent="0.3">
      <c r="B36" s="102">
        <v>46010.645833333336</v>
      </c>
      <c r="C36">
        <v>3930.1</v>
      </c>
      <c r="D36" s="104">
        <f t="shared" si="0"/>
        <v>-1.550601202404811E-2</v>
      </c>
      <c r="F36" s="102">
        <v>46010.645833333336</v>
      </c>
      <c r="G36" s="108">
        <v>25966.400000000001</v>
      </c>
      <c r="H36" s="104">
        <f t="shared" si="1"/>
        <v>-2.9144891196245526E-3</v>
      </c>
      <c r="U36" s="102">
        <v>46010.645833333336</v>
      </c>
      <c r="V36">
        <v>3339.5</v>
      </c>
      <c r="W36" s="104">
        <f t="shared" si="2"/>
        <v>4.0893931365520553E-2</v>
      </c>
      <c r="Y36" s="102">
        <v>46010.645833333336</v>
      </c>
      <c r="Z36">
        <v>484.85</v>
      </c>
      <c r="AA36" s="104">
        <f t="shared" si="3"/>
        <v>-1.282703858291756E-2</v>
      </c>
      <c r="AC36" s="132">
        <v>46010.645833333336</v>
      </c>
      <c r="AD36">
        <v>204.36</v>
      </c>
      <c r="AE36" s="104">
        <f t="shared" si="4"/>
        <v>-3.9571388288372922E-2</v>
      </c>
    </row>
    <row r="37" spans="2:31" x14ac:dyDescent="0.3">
      <c r="B37" s="102">
        <v>46003.645833333336</v>
      </c>
      <c r="C37">
        <v>3880.2</v>
      </c>
      <c r="D37" s="104">
        <f t="shared" si="0"/>
        <v>-1.269687794203711E-2</v>
      </c>
      <c r="F37" s="102">
        <v>46003.645833333336</v>
      </c>
      <c r="G37" s="108">
        <v>26046.95</v>
      </c>
      <c r="H37" s="104">
        <f t="shared" si="1"/>
        <v>3.10208577238269E-3</v>
      </c>
      <c r="U37" s="102">
        <v>46003.645833333336</v>
      </c>
      <c r="V37">
        <v>3196.6</v>
      </c>
      <c r="W37" s="104">
        <f t="shared" si="2"/>
        <v>-4.2790836951639544E-2</v>
      </c>
      <c r="Y37" s="102">
        <v>46003.645833333336</v>
      </c>
      <c r="Z37">
        <v>479.3</v>
      </c>
      <c r="AA37" s="104">
        <f t="shared" si="3"/>
        <v>-1.1446839228627437E-2</v>
      </c>
      <c r="AC37" s="132">
        <v>46003.645833333336</v>
      </c>
      <c r="AD37">
        <v>192.25</v>
      </c>
      <c r="AE37" s="104">
        <f t="shared" si="4"/>
        <v>-5.9258171853591723E-2</v>
      </c>
    </row>
    <row r="38" spans="2:31" x14ac:dyDescent="0.3">
      <c r="B38" s="102">
        <v>45996.645833333336</v>
      </c>
      <c r="C38">
        <v>3813.3</v>
      </c>
      <c r="D38" s="104">
        <f t="shared" si="0"/>
        <v>-1.7241379310344751E-2</v>
      </c>
      <c r="F38" s="102">
        <v>45996.645833333336</v>
      </c>
      <c r="G38" s="108">
        <v>26186.45</v>
      </c>
      <c r="H38" s="104">
        <f t="shared" si="1"/>
        <v>5.3557134328587885E-3</v>
      </c>
      <c r="U38" s="102">
        <v>45996.645833333336</v>
      </c>
      <c r="V38">
        <v>3223.3</v>
      </c>
      <c r="W38" s="104">
        <f t="shared" si="2"/>
        <v>8.3526246637053436E-3</v>
      </c>
      <c r="Y38" s="102">
        <v>45996.645833333336</v>
      </c>
      <c r="Z38">
        <v>492.5</v>
      </c>
      <c r="AA38" s="104">
        <f t="shared" si="3"/>
        <v>2.7540162737325291E-2</v>
      </c>
      <c r="AC38" s="132">
        <v>45996.645833333336</v>
      </c>
      <c r="AD38">
        <v>184.65</v>
      </c>
      <c r="AE38" s="104">
        <f t="shared" si="4"/>
        <v>-3.953185955786731E-2</v>
      </c>
    </row>
    <row r="39" spans="2:31" x14ac:dyDescent="0.3">
      <c r="B39" s="102">
        <v>45989.645833333336</v>
      </c>
      <c r="C39">
        <v>3907.7</v>
      </c>
      <c r="D39" s="104">
        <f t="shared" si="0"/>
        <v>2.4755461149135849E-2</v>
      </c>
      <c r="F39" s="102">
        <v>45989.645833333336</v>
      </c>
      <c r="G39" s="108">
        <v>26202.95</v>
      </c>
      <c r="H39" s="104">
        <f t="shared" si="1"/>
        <v>6.3009686307236024E-4</v>
      </c>
      <c r="U39" s="102">
        <v>45989.645833333336</v>
      </c>
      <c r="V39">
        <v>3254</v>
      </c>
      <c r="W39" s="104">
        <f t="shared" si="2"/>
        <v>9.5244004591568121E-3</v>
      </c>
      <c r="Y39" s="102">
        <v>45989.645833333336</v>
      </c>
      <c r="Z39">
        <v>505.35</v>
      </c>
      <c r="AA39" s="104">
        <f t="shared" si="3"/>
        <v>2.6091370558375626E-2</v>
      </c>
      <c r="AC39" s="132">
        <v>45989.645833333336</v>
      </c>
      <c r="AD39">
        <v>186.53</v>
      </c>
      <c r="AE39" s="104">
        <f t="shared" si="4"/>
        <v>1.0181424316274112E-2</v>
      </c>
    </row>
    <row r="40" spans="2:31" x14ac:dyDescent="0.3">
      <c r="B40" s="102">
        <v>45982.645833333336</v>
      </c>
      <c r="C40">
        <v>3904.2</v>
      </c>
      <c r="D40" s="104">
        <f t="shared" si="0"/>
        <v>-8.9566752821357287E-4</v>
      </c>
      <c r="F40" s="102">
        <v>45982.645833333336</v>
      </c>
      <c r="G40" s="108">
        <v>26068.15</v>
      </c>
      <c r="H40" s="104">
        <f t="shared" si="1"/>
        <v>-5.144458925426254E-3</v>
      </c>
      <c r="U40" s="102">
        <v>45982.645833333336</v>
      </c>
      <c r="V40">
        <v>3025.4</v>
      </c>
      <c r="W40" s="104">
        <f t="shared" si="2"/>
        <v>-7.0251997541487365E-2</v>
      </c>
      <c r="Y40" s="102">
        <v>45982.645833333336</v>
      </c>
      <c r="Z40">
        <v>496.45</v>
      </c>
      <c r="AA40" s="104">
        <f t="shared" si="3"/>
        <v>-1.7611556347086221E-2</v>
      </c>
      <c r="AC40" s="132">
        <v>45982.645833333336</v>
      </c>
      <c r="AD40">
        <v>186.13</v>
      </c>
      <c r="AE40" s="104">
        <f t="shared" si="4"/>
        <v>-2.1444271698922712E-3</v>
      </c>
    </row>
    <row r="41" spans="2:31" x14ac:dyDescent="0.3">
      <c r="B41" s="102">
        <v>45975.645833333336</v>
      </c>
      <c r="C41">
        <v>3829.2</v>
      </c>
      <c r="D41" s="104">
        <f t="shared" si="0"/>
        <v>-1.921008145074532E-2</v>
      </c>
      <c r="F41" s="102">
        <v>45975.645833333336</v>
      </c>
      <c r="G41" s="108">
        <v>25910.05</v>
      </c>
      <c r="H41" s="104">
        <f t="shared" si="1"/>
        <v>-6.0648722674989664E-3</v>
      </c>
      <c r="U41" s="102">
        <v>45975.645833333336</v>
      </c>
      <c r="V41">
        <v>3296</v>
      </c>
      <c r="W41" s="104">
        <f t="shared" si="2"/>
        <v>8.9442718318238912E-2</v>
      </c>
      <c r="Y41" s="102">
        <v>45975.645833333336</v>
      </c>
      <c r="Z41">
        <v>495.5</v>
      </c>
      <c r="AA41" s="104">
        <f t="shared" si="3"/>
        <v>-1.9135864638936129E-3</v>
      </c>
      <c r="AC41" s="132">
        <v>45975.645833333336</v>
      </c>
      <c r="AD41">
        <v>187.33</v>
      </c>
      <c r="AE41" s="104">
        <f t="shared" si="4"/>
        <v>6.4471068607963034E-3</v>
      </c>
    </row>
    <row r="42" spans="2:31" x14ac:dyDescent="0.3">
      <c r="B42" s="102">
        <v>45968.645833333336</v>
      </c>
      <c r="C42">
        <v>3769.3</v>
      </c>
      <c r="D42" s="104">
        <f t="shared" si="0"/>
        <v>-1.5642954141857235E-2</v>
      </c>
      <c r="F42" s="102">
        <v>45968.645833333336</v>
      </c>
      <c r="G42" s="108">
        <v>25492.3</v>
      </c>
      <c r="H42" s="104">
        <f t="shared" si="1"/>
        <v>-1.6123087373432266E-2</v>
      </c>
      <c r="U42" s="102">
        <v>45968.645833333336</v>
      </c>
      <c r="V42">
        <v>3389.3</v>
      </c>
      <c r="W42" s="104">
        <f t="shared" si="2"/>
        <v>2.8307038834951559E-2</v>
      </c>
      <c r="Y42" s="102">
        <v>45968.645833333336</v>
      </c>
      <c r="Z42">
        <v>512.79999999999995</v>
      </c>
      <c r="AA42" s="104">
        <f t="shared" si="3"/>
        <v>3.4914228052472129E-2</v>
      </c>
      <c r="AC42" s="132">
        <v>45968.645833333336</v>
      </c>
      <c r="AD42">
        <v>179.8</v>
      </c>
      <c r="AE42" s="104">
        <f t="shared" si="4"/>
        <v>-4.0196444776597451E-2</v>
      </c>
    </row>
    <row r="43" spans="2:31" x14ac:dyDescent="0.3">
      <c r="B43" s="102">
        <v>45961.645833333336</v>
      </c>
      <c r="C43">
        <v>3746.7</v>
      </c>
      <c r="D43" s="104">
        <f t="shared" si="0"/>
        <v>-5.9958082402569168E-3</v>
      </c>
      <c r="F43" s="102">
        <v>45961.645833333336</v>
      </c>
      <c r="G43" s="108">
        <v>25722.1</v>
      </c>
      <c r="H43" s="104">
        <f t="shared" si="1"/>
        <v>9.0144867273647122E-3</v>
      </c>
      <c r="U43" s="102">
        <v>45961.645833333336</v>
      </c>
      <c r="V43">
        <v>2169.6</v>
      </c>
      <c r="W43" s="104">
        <f t="shared" si="2"/>
        <v>-0.35986781931372269</v>
      </c>
      <c r="Y43" s="102">
        <v>45961.645833333336</v>
      </c>
      <c r="Z43">
        <v>509.7</v>
      </c>
      <c r="AA43" s="104">
        <f t="shared" si="3"/>
        <v>-6.0452418096723637E-3</v>
      </c>
      <c r="AC43" s="132">
        <v>45961.645833333336</v>
      </c>
      <c r="AD43">
        <v>181.91</v>
      </c>
      <c r="AE43" s="104">
        <f t="shared" si="4"/>
        <v>1.1735261401557118E-2</v>
      </c>
    </row>
    <row r="44" spans="2:31" x14ac:dyDescent="0.3">
      <c r="B44" s="102">
        <v>45954.645833333336</v>
      </c>
      <c r="C44">
        <v>3714.9</v>
      </c>
      <c r="D44" s="104">
        <f t="shared" si="0"/>
        <v>-8.4874689726959218E-3</v>
      </c>
      <c r="F44" s="102">
        <v>45954.645833333336</v>
      </c>
      <c r="G44" s="108">
        <v>25795.15</v>
      </c>
      <c r="H44" s="104">
        <f t="shared" si="1"/>
        <v>2.839970297915162E-3</v>
      </c>
      <c r="U44" s="102">
        <v>45954.645833333336</v>
      </c>
      <c r="V44">
        <v>2039.5</v>
      </c>
      <c r="W44" s="104">
        <f t="shared" si="2"/>
        <v>-5.9964970501474868E-2</v>
      </c>
      <c r="Y44" s="102">
        <v>45954.645833333336</v>
      </c>
      <c r="Z44">
        <v>495.3</v>
      </c>
      <c r="AA44" s="104">
        <f t="shared" si="3"/>
        <v>-2.8251912889935227E-2</v>
      </c>
      <c r="AC44" s="132">
        <v>45954.645833333336</v>
      </c>
      <c r="AD44">
        <v>180.29</v>
      </c>
      <c r="AE44" s="104">
        <f t="shared" si="4"/>
        <v>-8.9055027211258908E-3</v>
      </c>
    </row>
    <row r="45" spans="2:31" x14ac:dyDescent="0.3">
      <c r="B45" s="102">
        <v>45947.645833333336</v>
      </c>
      <c r="C45">
        <v>3674.8</v>
      </c>
      <c r="D45" s="104">
        <f t="shared" si="0"/>
        <v>-1.0794368623650685E-2</v>
      </c>
      <c r="F45" s="102">
        <v>45947.645833333336</v>
      </c>
      <c r="G45" s="108">
        <v>25709.85</v>
      </c>
      <c r="H45" s="104">
        <f t="shared" si="1"/>
        <v>-3.3068231818773608E-3</v>
      </c>
      <c r="U45" s="102">
        <v>45947.645833333336</v>
      </c>
      <c r="V45">
        <v>1962.9</v>
      </c>
      <c r="W45" s="104">
        <f t="shared" si="2"/>
        <v>-3.7558225055160488E-2</v>
      </c>
      <c r="Y45" s="102">
        <v>45947.645833333336</v>
      </c>
      <c r="Z45">
        <v>489.85</v>
      </c>
      <c r="AA45" s="104">
        <f t="shared" si="3"/>
        <v>-1.1003432263274715E-2</v>
      </c>
      <c r="AC45" s="132">
        <v>45947.645833333336</v>
      </c>
      <c r="AD45">
        <v>177.86</v>
      </c>
      <c r="AE45" s="104">
        <f t="shared" si="4"/>
        <v>-1.3478284985301348E-2</v>
      </c>
    </row>
    <row r="46" spans="2:31" x14ac:dyDescent="0.3">
      <c r="B46" s="102">
        <v>45940.645833333336</v>
      </c>
      <c r="C46">
        <v>3531.9</v>
      </c>
      <c r="D46" s="104">
        <f t="shared" si="0"/>
        <v>-3.8886470011973429E-2</v>
      </c>
      <c r="F46" s="102">
        <v>45940.645833333336</v>
      </c>
      <c r="G46" s="108">
        <v>25285.35</v>
      </c>
      <c r="H46" s="104">
        <f t="shared" si="1"/>
        <v>-1.6511181512144146E-2</v>
      </c>
      <c r="U46" s="102">
        <v>45940.645833333336</v>
      </c>
      <c r="V46">
        <v>2021.8</v>
      </c>
      <c r="W46" s="104">
        <f t="shared" si="2"/>
        <v>3.0006622853940623E-2</v>
      </c>
      <c r="Y46" s="102">
        <v>45940.645833333336</v>
      </c>
      <c r="Z46">
        <v>484.85</v>
      </c>
      <c r="AA46" s="104">
        <f t="shared" si="3"/>
        <v>-1.0207206287639048E-2</v>
      </c>
      <c r="AC46" s="132">
        <v>45940.645833333336</v>
      </c>
      <c r="AD46">
        <v>183.59</v>
      </c>
      <c r="AE46" s="104">
        <f t="shared" si="4"/>
        <v>3.2216349938153588E-2</v>
      </c>
    </row>
    <row r="47" spans="2:31" x14ac:dyDescent="0.3">
      <c r="B47" s="102">
        <v>45933.645833333336</v>
      </c>
      <c r="C47">
        <v>3453.3</v>
      </c>
      <c r="D47" s="104">
        <f t="shared" si="0"/>
        <v>-2.2254310710948744E-2</v>
      </c>
      <c r="F47" s="102">
        <v>45933.645833333336</v>
      </c>
      <c r="G47" s="108">
        <v>24894.25</v>
      </c>
      <c r="H47" s="104">
        <f t="shared" si="1"/>
        <v>-1.5467454474626607E-2</v>
      </c>
      <c r="U47" s="102">
        <v>45933.645833333336</v>
      </c>
      <c r="V47">
        <v>2087.3000000000002</v>
      </c>
      <c r="W47" s="104">
        <f t="shared" si="2"/>
        <v>3.2396874072608606E-2</v>
      </c>
      <c r="Y47" s="102">
        <v>45933.645833333336</v>
      </c>
      <c r="Z47">
        <v>492.15</v>
      </c>
      <c r="AA47" s="104">
        <f t="shared" si="3"/>
        <v>1.5056202949365716E-2</v>
      </c>
      <c r="AC47" s="132">
        <v>45933.645833333336</v>
      </c>
      <c r="AD47">
        <v>185.13</v>
      </c>
      <c r="AE47" s="104">
        <f t="shared" si="4"/>
        <v>8.3882564409825111E-3</v>
      </c>
    </row>
    <row r="48" spans="2:31" x14ac:dyDescent="0.3">
      <c r="B48" s="102">
        <v>45926.645833333336</v>
      </c>
      <c r="C48">
        <v>3327.3</v>
      </c>
      <c r="D48" s="104">
        <f t="shared" si="0"/>
        <v>-3.648683867604896E-2</v>
      </c>
      <c r="F48" s="102">
        <v>45926.645833333336</v>
      </c>
      <c r="G48" s="108">
        <v>24654.7</v>
      </c>
      <c r="H48" s="104">
        <f t="shared" si="1"/>
        <v>-9.6227040380810758E-3</v>
      </c>
      <c r="U48" s="102">
        <v>45926.645833333336</v>
      </c>
      <c r="V48">
        <v>2016.3</v>
      </c>
      <c r="W48" s="104">
        <f t="shared" si="2"/>
        <v>-3.4015234992574195E-2</v>
      </c>
      <c r="Y48" s="102">
        <v>45926.645833333336</v>
      </c>
      <c r="Z48">
        <v>455.8</v>
      </c>
      <c r="AA48" s="104">
        <f t="shared" si="3"/>
        <v>-7.3859595651732168E-2</v>
      </c>
      <c r="AC48" s="132">
        <v>45926.645833333336</v>
      </c>
      <c r="AD48">
        <v>182.61</v>
      </c>
      <c r="AE48" s="104">
        <f t="shared" si="4"/>
        <v>-1.3612056392804939E-2</v>
      </c>
    </row>
    <row r="49" spans="2:31" x14ac:dyDescent="0.3">
      <c r="B49" s="102">
        <v>45919.645833333336</v>
      </c>
      <c r="C49">
        <v>3467.2</v>
      </c>
      <c r="D49" s="104">
        <f t="shared" si="0"/>
        <v>4.2046103447239469E-2</v>
      </c>
      <c r="F49" s="102">
        <v>45919.645833333336</v>
      </c>
      <c r="G49" s="108">
        <v>25327.05</v>
      </c>
      <c r="H49" s="104">
        <f t="shared" si="1"/>
        <v>2.7270662388915623E-2</v>
      </c>
      <c r="U49" s="102">
        <v>45919.645833333336</v>
      </c>
      <c r="V49">
        <v>2154.5</v>
      </c>
      <c r="W49" s="104">
        <f t="shared" si="2"/>
        <v>6.8541387690323807E-2</v>
      </c>
      <c r="Y49" s="102">
        <v>45919.645833333336</v>
      </c>
      <c r="Z49">
        <v>511.4</v>
      </c>
      <c r="AA49" s="104">
        <f t="shared" si="3"/>
        <v>0.12198332602018414</v>
      </c>
      <c r="AC49" s="132">
        <v>45919.645833333336</v>
      </c>
      <c r="AD49">
        <v>202.53</v>
      </c>
      <c r="AE49" s="104">
        <f t="shared" si="4"/>
        <v>0.1090849351076062</v>
      </c>
    </row>
    <row r="50" spans="2:31" x14ac:dyDescent="0.3">
      <c r="B50" s="102">
        <v>45912.645833333336</v>
      </c>
      <c r="C50">
        <v>3571.9</v>
      </c>
      <c r="D50" s="104">
        <f t="shared" si="0"/>
        <v>3.0197277341947437E-2</v>
      </c>
      <c r="F50" s="102">
        <v>45912.645833333336</v>
      </c>
      <c r="G50" s="108">
        <v>25114</v>
      </c>
      <c r="H50" s="104">
        <f t="shared" si="1"/>
        <v>-8.4119548072120187E-3</v>
      </c>
      <c r="U50" s="102">
        <v>45912.645833333336</v>
      </c>
      <c r="V50">
        <v>2186.9</v>
      </c>
      <c r="W50" s="104">
        <f t="shared" si="2"/>
        <v>1.5038291947087501E-2</v>
      </c>
      <c r="Y50" s="102">
        <v>45912.645833333336</v>
      </c>
      <c r="Z50">
        <v>502.75</v>
      </c>
      <c r="AA50" s="104">
        <f t="shared" si="3"/>
        <v>-1.6914352757137263E-2</v>
      </c>
      <c r="AC50" s="132">
        <v>45912.645833333336</v>
      </c>
      <c r="AD50">
        <v>197.91</v>
      </c>
      <c r="AE50" s="104">
        <f t="shared" si="4"/>
        <v>-2.281143534291219E-2</v>
      </c>
    </row>
    <row r="51" spans="2:31" x14ac:dyDescent="0.3">
      <c r="B51" s="102">
        <v>45905.645833333336</v>
      </c>
      <c r="C51">
        <v>3665.3</v>
      </c>
      <c r="D51" s="104">
        <f t="shared" si="0"/>
        <v>2.6148548391612403E-2</v>
      </c>
      <c r="F51" s="102">
        <v>45905.645833333336</v>
      </c>
      <c r="G51" s="108">
        <v>24741</v>
      </c>
      <c r="H51" s="104">
        <f t="shared" si="1"/>
        <v>-1.4852273632236956E-2</v>
      </c>
      <c r="U51" s="102">
        <v>45905.645833333336</v>
      </c>
      <c r="V51">
        <v>2195.9</v>
      </c>
      <c r="W51" s="104">
        <f t="shared" si="2"/>
        <v>4.1154145136952369E-3</v>
      </c>
      <c r="Y51" s="102">
        <v>45905.645833333336</v>
      </c>
      <c r="Z51">
        <v>501.95</v>
      </c>
      <c r="AA51" s="104">
        <f t="shared" si="3"/>
        <v>-1.5912481352561292E-3</v>
      </c>
      <c r="AC51" s="132">
        <v>45905.645833333336</v>
      </c>
      <c r="AD51">
        <v>180.8</v>
      </c>
      <c r="AE51" s="104">
        <f t="shared" si="4"/>
        <v>-8.6453438431610241E-2</v>
      </c>
    </row>
    <row r="52" spans="2:31" x14ac:dyDescent="0.3">
      <c r="B52" s="102">
        <v>45898.645833333336</v>
      </c>
      <c r="C52">
        <v>3628.8</v>
      </c>
      <c r="D52" s="104">
        <f t="shared" si="0"/>
        <v>-9.9582571685810084E-3</v>
      </c>
      <c r="F52" s="102">
        <v>45898.645833333336</v>
      </c>
      <c r="G52" s="108">
        <v>24426.85</v>
      </c>
      <c r="H52" s="104">
        <f t="shared" si="1"/>
        <v>-1.2697546582595698E-2</v>
      </c>
      <c r="U52" s="102">
        <v>45898.645833333336</v>
      </c>
      <c r="V52">
        <v>2255.4</v>
      </c>
      <c r="W52" s="104">
        <f t="shared" si="2"/>
        <v>2.7095951546063146E-2</v>
      </c>
      <c r="Y52" s="102">
        <v>45898.645833333336</v>
      </c>
      <c r="Z52">
        <v>504.15</v>
      </c>
      <c r="AA52" s="104">
        <f t="shared" si="3"/>
        <v>4.3829066640104219E-3</v>
      </c>
      <c r="AC52" s="132">
        <v>45898.645833333336</v>
      </c>
      <c r="AD52">
        <v>175.11</v>
      </c>
      <c r="AE52" s="104">
        <f t="shared" si="4"/>
        <v>-3.1471238938053037E-2</v>
      </c>
    </row>
    <row r="53" spans="2:31" x14ac:dyDescent="0.3">
      <c r="B53" s="102">
        <v>45891.645833333336</v>
      </c>
      <c r="C53">
        <v>3621</v>
      </c>
      <c r="D53" s="104">
        <f t="shared" si="0"/>
        <v>-2.1494708994709288E-3</v>
      </c>
      <c r="F53" s="102">
        <v>45891.645833333336</v>
      </c>
      <c r="G53" s="108">
        <v>24870.1</v>
      </c>
      <c r="H53" s="104">
        <f t="shared" si="1"/>
        <v>1.8146015552557904E-2</v>
      </c>
      <c r="U53" s="102">
        <v>45891.645833333336</v>
      </c>
      <c r="V53">
        <v>2115.6</v>
      </c>
      <c r="W53" s="104">
        <f t="shared" si="2"/>
        <v>-6.1984570364458702E-2</v>
      </c>
      <c r="Y53" s="102">
        <v>45891.645833333336</v>
      </c>
      <c r="Z53">
        <v>511.15</v>
      </c>
      <c r="AA53" s="104">
        <f t="shared" si="3"/>
        <v>1.3884756520876618E-2</v>
      </c>
      <c r="AC53" s="132">
        <v>45891.645833333336</v>
      </c>
      <c r="AD53">
        <v>185.94</v>
      </c>
      <c r="AE53" s="104">
        <f t="shared" si="4"/>
        <v>6.1846839129689801E-2</v>
      </c>
    </row>
    <row r="54" spans="2:31" x14ac:dyDescent="0.3">
      <c r="B54" s="102">
        <v>45883.645833333336</v>
      </c>
      <c r="C54">
        <v>3489.4</v>
      </c>
      <c r="D54" s="104">
        <f t="shared" si="0"/>
        <v>-3.634355150510904E-2</v>
      </c>
      <c r="F54" s="102">
        <v>45883.645833333336</v>
      </c>
      <c r="G54" s="108">
        <v>24631.3</v>
      </c>
      <c r="H54" s="104">
        <f t="shared" si="1"/>
        <v>-9.6018914278591661E-3</v>
      </c>
      <c r="U54" s="102">
        <v>45883.645833333336</v>
      </c>
      <c r="V54">
        <v>2003.8</v>
      </c>
      <c r="W54" s="104">
        <f t="shared" si="2"/>
        <v>-5.2845528455284563E-2</v>
      </c>
      <c r="Y54" s="102">
        <v>45883.645833333336</v>
      </c>
      <c r="Z54">
        <v>533.5</v>
      </c>
      <c r="AA54" s="104">
        <f t="shared" si="3"/>
        <v>4.3724933972415281E-2</v>
      </c>
      <c r="AC54" s="132">
        <v>45883.645833333336</v>
      </c>
      <c r="AD54">
        <v>176.15</v>
      </c>
      <c r="AE54" s="104">
        <f t="shared" si="4"/>
        <v>-5.2651392922448026E-2</v>
      </c>
    </row>
    <row r="55" spans="2:31" x14ac:dyDescent="0.3">
      <c r="B55" s="102">
        <v>45877.645833333336</v>
      </c>
      <c r="C55">
        <v>3460.2</v>
      </c>
      <c r="D55" s="104">
        <f t="shared" si="0"/>
        <v>-8.3682008368202165E-3</v>
      </c>
      <c r="F55" s="102">
        <v>45877.645833333336</v>
      </c>
      <c r="G55" s="108">
        <v>24363.3</v>
      </c>
      <c r="H55" s="104">
        <f t="shared" si="1"/>
        <v>-1.0880465099284198E-2</v>
      </c>
      <c r="U55" s="102">
        <v>45877.645833333336</v>
      </c>
      <c r="V55">
        <v>1974.4</v>
      </c>
      <c r="W55" s="104">
        <f t="shared" si="2"/>
        <v>-1.4672122966363887E-2</v>
      </c>
      <c r="Y55" s="102">
        <v>45877.645833333336</v>
      </c>
      <c r="Z55">
        <v>528.1</v>
      </c>
      <c r="AA55" s="104">
        <f t="shared" si="3"/>
        <v>-1.0121836925960581E-2</v>
      </c>
      <c r="AC55" s="132">
        <v>45877.645833333336</v>
      </c>
      <c r="AD55">
        <v>176.96</v>
      </c>
      <c r="AE55" s="104">
        <f t="shared" si="4"/>
        <v>4.598353675844491E-3</v>
      </c>
    </row>
    <row r="56" spans="2:31" x14ac:dyDescent="0.3">
      <c r="B56" s="102">
        <v>45870.645833333336</v>
      </c>
      <c r="C56">
        <v>3316</v>
      </c>
      <c r="D56" s="104">
        <f t="shared" si="0"/>
        <v>-4.1673891682561637E-2</v>
      </c>
      <c r="F56" s="102">
        <v>45870.645833333336</v>
      </c>
      <c r="G56" s="108">
        <v>24565.35</v>
      </c>
      <c r="H56" s="104">
        <f t="shared" si="1"/>
        <v>8.2932115107559046E-3</v>
      </c>
      <c r="U56" s="102">
        <v>45870.645833333336</v>
      </c>
      <c r="V56">
        <v>1913.5</v>
      </c>
      <c r="W56" s="104">
        <f t="shared" si="2"/>
        <v>-3.0844813614262612E-2</v>
      </c>
      <c r="Y56" s="102">
        <v>45870.645833333336</v>
      </c>
      <c r="Z56">
        <v>582.85</v>
      </c>
      <c r="AA56" s="104">
        <f t="shared" si="3"/>
        <v>0.10367354667676576</v>
      </c>
      <c r="AC56" s="132">
        <v>45870.645833333336</v>
      </c>
      <c r="AD56">
        <v>180.58</v>
      </c>
      <c r="AE56" s="104">
        <f t="shared" si="4"/>
        <v>2.0456600361663746E-2</v>
      </c>
    </row>
    <row r="57" spans="2:31" x14ac:dyDescent="0.3">
      <c r="B57" s="102">
        <v>45863.645833333336</v>
      </c>
      <c r="C57">
        <v>3462.8</v>
      </c>
      <c r="D57" s="104">
        <f t="shared" si="0"/>
        <v>4.4270205066345047E-2</v>
      </c>
      <c r="F57" s="102">
        <v>45863.645833333336</v>
      </c>
      <c r="G57" s="108">
        <v>24837</v>
      </c>
      <c r="H57" s="104">
        <f t="shared" si="1"/>
        <v>1.1058258889045103E-2</v>
      </c>
      <c r="U57" s="102">
        <v>45863.645833333336</v>
      </c>
      <c r="V57">
        <v>1833.6</v>
      </c>
      <c r="W57" s="104">
        <f t="shared" si="2"/>
        <v>-4.175594460412857E-2</v>
      </c>
      <c r="Y57" s="102">
        <v>45863.645833333336</v>
      </c>
      <c r="Z57">
        <v>594</v>
      </c>
      <c r="AA57" s="104">
        <f t="shared" si="3"/>
        <v>1.9130136398730402E-2</v>
      </c>
      <c r="AC57" s="132">
        <v>45863.645833333336</v>
      </c>
      <c r="AD57">
        <v>195.39</v>
      </c>
      <c r="AE57" s="104">
        <f t="shared" si="4"/>
        <v>8.20135120168346E-2</v>
      </c>
    </row>
    <row r="58" spans="2:31" x14ac:dyDescent="0.3">
      <c r="B58" s="102">
        <v>45856.645833333336</v>
      </c>
      <c r="C58">
        <v>3402.9</v>
      </c>
      <c r="D58" s="104">
        <f t="shared" si="0"/>
        <v>-1.72981402333372E-2</v>
      </c>
      <c r="F58" s="102">
        <v>45856.645833333336</v>
      </c>
      <c r="G58" s="108">
        <v>24968.400000000001</v>
      </c>
      <c r="H58" s="104">
        <f t="shared" si="1"/>
        <v>5.2904940210170004E-3</v>
      </c>
      <c r="U58" s="102">
        <v>45856.645833333336</v>
      </c>
      <c r="V58">
        <v>1890.7</v>
      </c>
      <c r="W58" s="104">
        <f t="shared" si="2"/>
        <v>3.1140924956370108E-2</v>
      </c>
      <c r="Y58" s="102">
        <v>45856.645833333336</v>
      </c>
      <c r="Z58">
        <v>590.15</v>
      </c>
      <c r="AA58" s="104">
        <f t="shared" si="3"/>
        <v>-6.4814814814815325E-3</v>
      </c>
      <c r="AC58" s="132">
        <v>45856.645833333336</v>
      </c>
      <c r="AD58">
        <v>203.68</v>
      </c>
      <c r="AE58" s="104">
        <f t="shared" si="4"/>
        <v>4.2427964583653388E-2</v>
      </c>
    </row>
    <row r="59" spans="2:31" x14ac:dyDescent="0.3">
      <c r="B59" s="102">
        <v>45849.645833333336</v>
      </c>
      <c r="C59">
        <v>3361.6</v>
      </c>
      <c r="D59" s="104">
        <f t="shared" si="0"/>
        <v>-1.2136706926445195E-2</v>
      </c>
      <c r="F59" s="102">
        <v>45849.645833333336</v>
      </c>
      <c r="G59" s="108">
        <v>25149.85</v>
      </c>
      <c r="H59" s="104">
        <f t="shared" si="1"/>
        <v>7.267185722753533E-3</v>
      </c>
      <c r="U59" s="102">
        <v>45849.645833333336</v>
      </c>
      <c r="V59">
        <v>1923.6</v>
      </c>
      <c r="W59" s="104">
        <f t="shared" si="2"/>
        <v>1.7400962606441972E-2</v>
      </c>
      <c r="Y59" s="102">
        <v>45849.645833333336</v>
      </c>
      <c r="Z59">
        <v>582.15</v>
      </c>
      <c r="AA59" s="104">
        <f t="shared" si="3"/>
        <v>-1.3555875624841174E-2</v>
      </c>
      <c r="AC59" s="132">
        <v>45849.645833333336</v>
      </c>
      <c r="AD59">
        <v>202.33</v>
      </c>
      <c r="AE59" s="104">
        <f t="shared" si="4"/>
        <v>-6.6280439905733735E-3</v>
      </c>
    </row>
    <row r="60" spans="2:31" x14ac:dyDescent="0.3">
      <c r="B60" s="102">
        <v>45842.645833333336</v>
      </c>
      <c r="C60">
        <v>3686.9</v>
      </c>
      <c r="D60" s="104">
        <f t="shared" si="0"/>
        <v>9.6769395525940105E-2</v>
      </c>
      <c r="F60" s="102">
        <v>45842.645833333336</v>
      </c>
      <c r="G60" s="108">
        <v>25461</v>
      </c>
      <c r="H60" s="104">
        <f t="shared" si="1"/>
        <v>1.2371843172026997E-2</v>
      </c>
      <c r="U60" s="102">
        <v>45842.645833333336</v>
      </c>
      <c r="V60">
        <v>1899.3</v>
      </c>
      <c r="W60" s="104">
        <f t="shared" si="2"/>
        <v>-1.2632563942607589E-2</v>
      </c>
      <c r="Y60" s="102">
        <v>45842.645833333336</v>
      </c>
      <c r="Z60">
        <v>585.65</v>
      </c>
      <c r="AA60" s="104">
        <f t="shared" si="3"/>
        <v>6.0121961693722081E-3</v>
      </c>
      <c r="AC60" s="132">
        <v>45842.645833333336</v>
      </c>
      <c r="AD60">
        <v>202.59</v>
      </c>
      <c r="AE60" s="104">
        <f t="shared" si="4"/>
        <v>1.2850294074036039E-3</v>
      </c>
    </row>
    <row r="61" spans="2:31" x14ac:dyDescent="0.3">
      <c r="B61" s="102">
        <v>45835.645833333336</v>
      </c>
      <c r="C61">
        <v>3666.2</v>
      </c>
      <c r="D61" s="104">
        <f t="shared" si="0"/>
        <v>-5.6144728633812369E-3</v>
      </c>
      <c r="F61" s="102">
        <v>45835.645833333336</v>
      </c>
      <c r="G61" s="108">
        <v>25637.8</v>
      </c>
      <c r="H61" s="104">
        <f t="shared" si="1"/>
        <v>6.9439534975059836E-3</v>
      </c>
      <c r="U61" s="102">
        <v>45835.645833333336</v>
      </c>
      <c r="V61">
        <v>1861.6</v>
      </c>
      <c r="W61" s="104">
        <f t="shared" si="2"/>
        <v>-1.9849418206707714E-2</v>
      </c>
      <c r="Y61" s="102">
        <v>45835.645833333336</v>
      </c>
      <c r="Z61">
        <v>544.75</v>
      </c>
      <c r="AA61" s="104">
        <f t="shared" si="3"/>
        <v>-6.9836933321949957E-2</v>
      </c>
      <c r="AC61" s="132">
        <v>45835.645833333336</v>
      </c>
      <c r="AD61">
        <v>198.22</v>
      </c>
      <c r="AE61" s="104">
        <f t="shared" si="4"/>
        <v>-2.1570659953600857E-2</v>
      </c>
    </row>
    <row r="62" spans="2:31" x14ac:dyDescent="0.3">
      <c r="B62" s="102">
        <v>45828.645833333336</v>
      </c>
      <c r="C62">
        <v>3519</v>
      </c>
      <c r="D62" s="104">
        <f t="shared" si="0"/>
        <v>-4.0150564617314921E-2</v>
      </c>
      <c r="F62" s="102">
        <v>45828.645833333336</v>
      </c>
      <c r="G62" s="108">
        <v>25112.400000000001</v>
      </c>
      <c r="H62" s="104">
        <f t="shared" si="1"/>
        <v>-2.0493178041797622E-2</v>
      </c>
      <c r="U62" s="102">
        <v>45828.645833333336</v>
      </c>
      <c r="V62">
        <v>1881.2</v>
      </c>
      <c r="W62" s="104">
        <f t="shared" si="2"/>
        <v>1.0528577567683772E-2</v>
      </c>
      <c r="Y62" s="102">
        <v>45828.645833333336</v>
      </c>
      <c r="Z62">
        <v>518.35</v>
      </c>
      <c r="AA62" s="104">
        <f t="shared" si="3"/>
        <v>-4.8462597521798934E-2</v>
      </c>
      <c r="AC62" s="132">
        <v>45828.645833333336</v>
      </c>
      <c r="AD62">
        <v>183.12</v>
      </c>
      <c r="AE62" s="104">
        <f t="shared" si="4"/>
        <v>-7.6177984058117265E-2</v>
      </c>
    </row>
    <row r="63" spans="2:31" x14ac:dyDescent="0.3">
      <c r="B63" s="102">
        <v>45821.645833333336</v>
      </c>
      <c r="C63">
        <v>3421.9</v>
      </c>
      <c r="D63" s="104">
        <f t="shared" si="0"/>
        <v>-2.7593066211991979E-2</v>
      </c>
      <c r="F63" s="102">
        <v>45821.645833333336</v>
      </c>
      <c r="G63" s="108">
        <v>24718.6</v>
      </c>
      <c r="H63" s="104">
        <f t="shared" si="1"/>
        <v>-1.568149599401103E-2</v>
      </c>
      <c r="U63" s="102">
        <v>45821.645833333336</v>
      </c>
      <c r="V63">
        <v>1852.2</v>
      </c>
      <c r="W63" s="104">
        <f t="shared" si="2"/>
        <v>-1.5415692111418244E-2</v>
      </c>
      <c r="Y63" s="102">
        <v>45821.645833333336</v>
      </c>
      <c r="Z63">
        <v>518.95000000000005</v>
      </c>
      <c r="AA63" s="104">
        <f t="shared" si="3"/>
        <v>1.157519050834388E-3</v>
      </c>
      <c r="AC63" s="132">
        <v>45821.645833333336</v>
      </c>
      <c r="AD63">
        <v>193.07</v>
      </c>
      <c r="AE63" s="104">
        <f t="shared" si="4"/>
        <v>5.4335954565312372E-2</v>
      </c>
    </row>
    <row r="64" spans="2:31" x14ac:dyDescent="0.3">
      <c r="B64" s="102">
        <v>45814.645833333336</v>
      </c>
      <c r="C64">
        <v>3559.9</v>
      </c>
      <c r="D64" s="104">
        <f t="shared" si="0"/>
        <v>4.0328472486045763E-2</v>
      </c>
      <c r="F64" s="102">
        <v>45814.645833333336</v>
      </c>
      <c r="G64" s="108">
        <v>25003.05</v>
      </c>
      <c r="H64" s="104">
        <f t="shared" si="1"/>
        <v>1.1507528743537332E-2</v>
      </c>
      <c r="U64" s="102">
        <v>45814.645833333336</v>
      </c>
      <c r="V64">
        <v>1914</v>
      </c>
      <c r="W64" s="104">
        <f t="shared" si="2"/>
        <v>3.3365727243278132E-2</v>
      </c>
      <c r="Y64" s="102">
        <v>45814.645833333336</v>
      </c>
      <c r="Z64">
        <v>563.1</v>
      </c>
      <c r="AA64" s="104">
        <f t="shared" si="3"/>
        <v>8.5075633490702351E-2</v>
      </c>
      <c r="AC64" s="132">
        <v>45814.645833333336</v>
      </c>
      <c r="AD64">
        <v>199.39</v>
      </c>
      <c r="AE64" s="104">
        <f t="shared" si="4"/>
        <v>3.2734241466825464E-2</v>
      </c>
    </row>
    <row r="65" spans="2:31" x14ac:dyDescent="0.3">
      <c r="B65" s="102">
        <v>45807.645833333336</v>
      </c>
      <c r="C65">
        <v>3555</v>
      </c>
      <c r="D65" s="104">
        <f t="shared" si="0"/>
        <v>-1.3764431585157055E-3</v>
      </c>
      <c r="F65" s="102">
        <v>45807.645833333336</v>
      </c>
      <c r="G65" s="108">
        <v>24750.7</v>
      </c>
      <c r="H65" s="104">
        <f t="shared" si="1"/>
        <v>-1.0092768682220754E-2</v>
      </c>
      <c r="U65" s="102">
        <v>45807.645833333336</v>
      </c>
      <c r="V65">
        <v>1927.9</v>
      </c>
      <c r="W65" s="104">
        <f t="shared" si="2"/>
        <v>7.2622779519331271E-3</v>
      </c>
      <c r="Y65" s="102">
        <v>45807.645833333336</v>
      </c>
      <c r="Z65">
        <v>560.4</v>
      </c>
      <c r="AA65" s="104">
        <f t="shared" si="3"/>
        <v>-4.7948854555142084E-3</v>
      </c>
      <c r="AC65" s="132">
        <v>45807.645833333336</v>
      </c>
      <c r="AD65">
        <v>200.99</v>
      </c>
      <c r="AE65" s="104">
        <f t="shared" si="4"/>
        <v>8.024474647675417E-3</v>
      </c>
    </row>
    <row r="66" spans="2:31" x14ac:dyDescent="0.3">
      <c r="B66" s="102">
        <v>45800.645833333336</v>
      </c>
      <c r="C66">
        <v>3579.7</v>
      </c>
      <c r="D66" s="104">
        <f t="shared" si="0"/>
        <v>6.9479606188467269E-3</v>
      </c>
      <c r="F66" s="102">
        <v>45800.645833333336</v>
      </c>
      <c r="G66" s="108">
        <v>24853.15</v>
      </c>
      <c r="H66" s="104">
        <f t="shared" si="1"/>
        <v>4.139276868937003E-3</v>
      </c>
      <c r="U66" s="102">
        <v>45800.645833333336</v>
      </c>
      <c r="V66">
        <v>1896.2</v>
      </c>
      <c r="W66" s="104">
        <f t="shared" si="2"/>
        <v>-1.6442761554022578E-2</v>
      </c>
      <c r="Y66" s="102">
        <v>45800.645833333336</v>
      </c>
      <c r="Z66">
        <v>553.6</v>
      </c>
      <c r="AA66" s="104">
        <f t="shared" si="3"/>
        <v>-1.2134189864382527E-2</v>
      </c>
      <c r="AC66" s="132">
        <v>45800.645833333336</v>
      </c>
      <c r="AD66">
        <v>200.58</v>
      </c>
      <c r="AE66" s="104">
        <f t="shared" si="4"/>
        <v>-2.0399024827105761E-3</v>
      </c>
    </row>
    <row r="67" spans="2:31" x14ac:dyDescent="0.3">
      <c r="B67" s="102">
        <v>45793.645833333336</v>
      </c>
      <c r="C67">
        <v>3633.7</v>
      </c>
      <c r="D67" s="104">
        <f t="shared" si="0"/>
        <v>1.5085062994105725E-2</v>
      </c>
      <c r="F67" s="102">
        <v>45793.645833333336</v>
      </c>
      <c r="G67" s="108">
        <v>25019.8</v>
      </c>
      <c r="H67" s="104">
        <f t="shared" si="1"/>
        <v>6.705387445856914E-3</v>
      </c>
      <c r="U67" s="102">
        <v>45793.645833333336</v>
      </c>
      <c r="V67">
        <v>1930.7</v>
      </c>
      <c r="W67" s="104">
        <f t="shared" si="2"/>
        <v>1.8194283303448966E-2</v>
      </c>
      <c r="Y67" s="102">
        <v>45793.645833333336</v>
      </c>
      <c r="Z67">
        <v>560.4</v>
      </c>
      <c r="AA67" s="104">
        <f t="shared" si="3"/>
        <v>1.2283236994219626E-2</v>
      </c>
      <c r="AC67" s="132">
        <v>45793.645833333336</v>
      </c>
      <c r="AD67">
        <v>203.07</v>
      </c>
      <c r="AE67" s="104">
        <f t="shared" si="4"/>
        <v>1.2413999401734932E-2</v>
      </c>
    </row>
    <row r="68" spans="2:31" x14ac:dyDescent="0.3">
      <c r="B68" s="102">
        <v>45786.645833333336</v>
      </c>
      <c r="C68">
        <v>3510.3</v>
      </c>
      <c r="D68" s="104">
        <f t="shared" si="0"/>
        <v>-3.3959875608883361E-2</v>
      </c>
      <c r="F68" s="102">
        <v>45786.645833333336</v>
      </c>
      <c r="G68" s="108">
        <v>24008</v>
      </c>
      <c r="H68" s="104">
        <f t="shared" si="1"/>
        <v>-4.0439971542538311E-2</v>
      </c>
      <c r="U68" s="102">
        <v>45786.645833333336</v>
      </c>
      <c r="V68">
        <v>1912</v>
      </c>
      <c r="W68" s="104">
        <f t="shared" si="2"/>
        <v>-9.6856062567980405E-3</v>
      </c>
      <c r="Y68" s="102">
        <v>45786.645833333336</v>
      </c>
      <c r="Z68">
        <v>519.15</v>
      </c>
      <c r="AA68" s="104">
        <f t="shared" si="3"/>
        <v>-7.3608137044967936E-2</v>
      </c>
      <c r="AC68" s="132">
        <v>45786.645833333336</v>
      </c>
      <c r="AD68">
        <v>181.33</v>
      </c>
      <c r="AE68" s="104">
        <f t="shared" si="4"/>
        <v>-0.1070566799625744</v>
      </c>
    </row>
    <row r="69" spans="2:31" x14ac:dyDescent="0.3">
      <c r="B69" s="102">
        <v>45779.645833333336</v>
      </c>
      <c r="C69">
        <v>3341</v>
      </c>
      <c r="D69" s="104">
        <f t="shared" si="0"/>
        <v>-4.8229496054468357E-2</v>
      </c>
      <c r="F69" s="102">
        <v>45779.645833333336</v>
      </c>
      <c r="G69" s="108">
        <v>24312.7</v>
      </c>
      <c r="H69" s="104">
        <f t="shared" si="1"/>
        <v>1.2691602799067114E-2</v>
      </c>
      <c r="U69" s="102">
        <v>45779.645833333336</v>
      </c>
      <c r="V69">
        <v>2002.4</v>
      </c>
      <c r="W69" s="104">
        <f t="shared" si="2"/>
        <v>4.7280334728033502E-2</v>
      </c>
      <c r="Y69" s="102">
        <v>45779.645833333336</v>
      </c>
      <c r="Z69">
        <v>508.45</v>
      </c>
      <c r="AA69" s="104">
        <f t="shared" si="3"/>
        <v>-2.0610613502841213E-2</v>
      </c>
      <c r="AC69" s="132">
        <v>45779.645833333336</v>
      </c>
      <c r="AD69">
        <v>181.97</v>
      </c>
      <c r="AE69" s="104">
        <f t="shared" si="4"/>
        <v>3.5294766447910852E-3</v>
      </c>
    </row>
    <row r="70" spans="2:31" x14ac:dyDescent="0.3">
      <c r="B70" s="102">
        <v>45772.645833333336</v>
      </c>
      <c r="C70">
        <v>3365.2</v>
      </c>
      <c r="D70" s="104">
        <f t="shared" si="0"/>
        <v>7.2433403172702526E-3</v>
      </c>
      <c r="F70" s="102">
        <v>45772.645833333336</v>
      </c>
      <c r="G70" s="108">
        <v>24039.35</v>
      </c>
      <c r="H70" s="104">
        <f t="shared" si="1"/>
        <v>-1.1243095172482009E-2</v>
      </c>
      <c r="U70" s="102">
        <v>45772.645833333336</v>
      </c>
      <c r="V70">
        <v>2139.1999999999998</v>
      </c>
      <c r="W70" s="104">
        <f t="shared" si="2"/>
        <v>6.8318018377946377E-2</v>
      </c>
      <c r="Y70" s="102">
        <v>45772.645833333336</v>
      </c>
      <c r="Z70">
        <v>501.25</v>
      </c>
      <c r="AA70" s="104">
        <f t="shared" si="3"/>
        <v>-1.4160684433080939E-2</v>
      </c>
      <c r="AC70" s="132">
        <v>45772.645833333336</v>
      </c>
      <c r="AD70">
        <v>187.37</v>
      </c>
      <c r="AE70" s="104">
        <f t="shared" si="4"/>
        <v>2.9675221190306189E-2</v>
      </c>
    </row>
    <row r="71" spans="2:31" x14ac:dyDescent="0.3">
      <c r="B71" s="102">
        <v>45764.645833333336</v>
      </c>
      <c r="C71">
        <v>3327.5</v>
      </c>
      <c r="D71" s="104">
        <f t="shared" si="0"/>
        <v>-1.1202900273386329E-2</v>
      </c>
      <c r="F71" s="102">
        <v>45764.645833333336</v>
      </c>
      <c r="G71" s="108">
        <v>23851.65</v>
      </c>
      <c r="H71" s="104">
        <f t="shared" si="1"/>
        <v>-7.8080314151587338E-3</v>
      </c>
      <c r="U71" s="102">
        <v>45764.645833333336</v>
      </c>
      <c r="V71">
        <v>2044.9</v>
      </c>
      <c r="W71" s="104">
        <f t="shared" si="2"/>
        <v>-4.408189977561694E-2</v>
      </c>
      <c r="Y71" s="102">
        <v>45764.645833333336</v>
      </c>
      <c r="Z71">
        <v>524.65</v>
      </c>
      <c r="AA71" s="104">
        <f t="shared" si="3"/>
        <v>4.668329177057351E-2</v>
      </c>
      <c r="AC71" s="132">
        <v>45764.645833333336</v>
      </c>
      <c r="AD71">
        <v>193.7</v>
      </c>
      <c r="AE71" s="104">
        <f t="shared" si="4"/>
        <v>3.3783423173400218E-2</v>
      </c>
    </row>
    <row r="72" spans="2:31" x14ac:dyDescent="0.3">
      <c r="B72" s="102">
        <v>45758.645833333336</v>
      </c>
      <c r="C72">
        <v>3234.9</v>
      </c>
      <c r="D72" s="104">
        <f t="shared" si="0"/>
        <v>-2.7828700225394409E-2</v>
      </c>
      <c r="F72" s="102">
        <v>45758.645833333336</v>
      </c>
      <c r="G72" s="108">
        <v>22828.55</v>
      </c>
      <c r="H72" s="104">
        <f t="shared" si="1"/>
        <v>-4.2894307102443685E-2</v>
      </c>
      <c r="U72" s="102">
        <v>45758.645833333336</v>
      </c>
      <c r="V72">
        <v>2048.9499999999998</v>
      </c>
      <c r="W72" s="104">
        <f t="shared" si="2"/>
        <v>1.9805369455718758E-3</v>
      </c>
      <c r="Y72" s="102">
        <v>45758.645833333336</v>
      </c>
      <c r="Z72">
        <v>510.75</v>
      </c>
      <c r="AA72" s="104">
        <f t="shared" si="3"/>
        <v>-2.649385304488705E-2</v>
      </c>
      <c r="AC72" s="132">
        <v>45758.645833333336</v>
      </c>
      <c r="AD72">
        <v>187.63</v>
      </c>
      <c r="AE72" s="104">
        <f t="shared" si="4"/>
        <v>-3.1337119256582335E-2</v>
      </c>
    </row>
    <row r="73" spans="2:31" x14ac:dyDescent="0.3">
      <c r="B73" s="102">
        <v>45751.645833333336</v>
      </c>
      <c r="C73">
        <v>3076.2</v>
      </c>
      <c r="D73" s="104">
        <f t="shared" ref="D73:D136" si="5">C73/C72-1</f>
        <v>-4.9058703514791913E-2</v>
      </c>
      <c r="F73" s="102">
        <v>45751.645833333336</v>
      </c>
      <c r="G73" s="108">
        <v>22904.45</v>
      </c>
      <c r="H73" s="104">
        <f t="shared" ref="H73:H136" si="6">G73/G72-1</f>
        <v>3.3247840971064591E-3</v>
      </c>
      <c r="U73" s="102">
        <v>45751.645833333336</v>
      </c>
      <c r="V73">
        <v>1995.75</v>
      </c>
      <c r="W73" s="104">
        <f t="shared" ref="W73:W136" si="7">V73/V72-1</f>
        <v>-2.5964518411869419E-2</v>
      </c>
      <c r="Y73" s="102">
        <v>45751.645833333336</v>
      </c>
      <c r="Z73">
        <v>487.15</v>
      </c>
      <c r="AA73" s="104">
        <f t="shared" ref="AA73:AA136" si="8">Z73/Z72-1</f>
        <v>-4.6206558981889412E-2</v>
      </c>
      <c r="AC73" s="132">
        <v>45751.645833333336</v>
      </c>
      <c r="AD73">
        <v>192.34</v>
      </c>
      <c r="AE73" s="104">
        <f t="shared" ref="AE73:AE136" si="9">AD73/AD72-1</f>
        <v>2.5102595533763372E-2</v>
      </c>
    </row>
    <row r="74" spans="2:31" x14ac:dyDescent="0.3">
      <c r="B74" s="102">
        <v>45744.645833333336</v>
      </c>
      <c r="C74">
        <v>3063.35</v>
      </c>
      <c r="D74" s="104">
        <f t="shared" si="5"/>
        <v>-4.1772316494376183E-3</v>
      </c>
      <c r="F74" s="102">
        <v>45744.645833333336</v>
      </c>
      <c r="G74" s="108">
        <v>23519.35</v>
      </c>
      <c r="H74" s="104">
        <f t="shared" si="6"/>
        <v>2.6846311524616251E-2</v>
      </c>
      <c r="U74" s="102">
        <v>45744.645833333336</v>
      </c>
      <c r="V74">
        <v>2008.6</v>
      </c>
      <c r="W74" s="104">
        <f t="shared" si="7"/>
        <v>6.4386821996742505E-3</v>
      </c>
      <c r="Y74" s="102">
        <v>45744.645833333336</v>
      </c>
      <c r="Z74">
        <v>467.25</v>
      </c>
      <c r="AA74" s="104">
        <f t="shared" si="8"/>
        <v>-4.0849840911423518E-2</v>
      </c>
      <c r="AC74" s="132">
        <v>45744.645833333336</v>
      </c>
      <c r="AD74">
        <v>185.56</v>
      </c>
      <c r="AE74" s="104">
        <f t="shared" si="9"/>
        <v>-3.5250077986898165E-2</v>
      </c>
    </row>
    <row r="75" spans="2:31" x14ac:dyDescent="0.3">
      <c r="B75" s="102">
        <v>45737.645833333336</v>
      </c>
      <c r="C75">
        <v>3162.7</v>
      </c>
      <c r="D75" s="104">
        <f t="shared" si="5"/>
        <v>3.2431814843227214E-2</v>
      </c>
      <c r="F75" s="102">
        <v>45737.645833333336</v>
      </c>
      <c r="G75" s="108">
        <v>23350.400000000001</v>
      </c>
      <c r="H75" s="104">
        <f t="shared" si="6"/>
        <v>-7.1834468214468927E-3</v>
      </c>
      <c r="U75" s="102">
        <v>45737.645833333336</v>
      </c>
      <c r="V75">
        <v>1884.9</v>
      </c>
      <c r="W75" s="104">
        <f t="shared" si="7"/>
        <v>-6.1585183710046731E-2</v>
      </c>
      <c r="Y75" s="102">
        <v>45737.645833333336</v>
      </c>
      <c r="Z75">
        <v>471.2</v>
      </c>
      <c r="AA75" s="104">
        <f t="shared" si="8"/>
        <v>8.4537185660780167E-3</v>
      </c>
      <c r="AC75" s="132">
        <v>45737.645833333336</v>
      </c>
      <c r="AD75">
        <v>187.22</v>
      </c>
      <c r="AE75" s="104">
        <f t="shared" si="9"/>
        <v>8.9458935115327431E-3</v>
      </c>
    </row>
    <row r="76" spans="2:31" x14ac:dyDescent="0.3">
      <c r="B76" s="102">
        <v>45729.645833333336</v>
      </c>
      <c r="C76">
        <v>3010.15</v>
      </c>
      <c r="D76" s="104">
        <f t="shared" si="5"/>
        <v>-4.8234103772093362E-2</v>
      </c>
      <c r="F76" s="102">
        <v>45729.645833333336</v>
      </c>
      <c r="G76" s="108">
        <v>22397.200000000001</v>
      </c>
      <c r="H76" s="104">
        <f t="shared" si="6"/>
        <v>-4.0821570508428162E-2</v>
      </c>
      <c r="U76" s="102">
        <v>45729.645833333336</v>
      </c>
      <c r="V76">
        <v>1768.45</v>
      </c>
      <c r="W76" s="104">
        <f t="shared" si="7"/>
        <v>-6.1780465807204643E-2</v>
      </c>
      <c r="Y76" s="102">
        <v>45729.645833333336</v>
      </c>
      <c r="Z76">
        <v>430.9</v>
      </c>
      <c r="AA76" s="104">
        <f t="shared" si="8"/>
        <v>-8.5526315789473673E-2</v>
      </c>
      <c r="AC76" s="132">
        <v>45729.645833333336</v>
      </c>
      <c r="AD76">
        <v>156.12</v>
      </c>
      <c r="AE76" s="104">
        <f t="shared" si="9"/>
        <v>-0.16611473133212262</v>
      </c>
    </row>
    <row r="77" spans="2:31" x14ac:dyDescent="0.3">
      <c r="B77" s="102">
        <v>45723.645833333336</v>
      </c>
      <c r="C77">
        <v>3079.35</v>
      </c>
      <c r="D77" s="104">
        <f t="shared" si="5"/>
        <v>2.2988887596963492E-2</v>
      </c>
      <c r="F77" s="102">
        <v>45723.645833333336</v>
      </c>
      <c r="G77" s="108">
        <v>22552.5</v>
      </c>
      <c r="H77" s="104">
        <f t="shared" si="6"/>
        <v>6.9339024520922443E-3</v>
      </c>
      <c r="U77" s="102">
        <v>45723.645833333336</v>
      </c>
      <c r="V77">
        <v>1729.65</v>
      </c>
      <c r="W77" s="104">
        <f t="shared" si="7"/>
        <v>-2.1940117051655328E-2</v>
      </c>
      <c r="Y77" s="102">
        <v>45723.645833333336</v>
      </c>
      <c r="Z77">
        <v>431.7</v>
      </c>
      <c r="AA77" s="104">
        <f t="shared" si="8"/>
        <v>1.8565792527269753E-3</v>
      </c>
      <c r="AC77" s="132">
        <v>45723.645833333336</v>
      </c>
      <c r="AD77">
        <v>160.96</v>
      </c>
      <c r="AE77" s="104">
        <f t="shared" si="9"/>
        <v>3.100179349218557E-2</v>
      </c>
    </row>
    <row r="78" spans="2:31" x14ac:dyDescent="0.3">
      <c r="B78" s="102">
        <v>45716.645833333336</v>
      </c>
      <c r="C78">
        <v>3077.25</v>
      </c>
      <c r="D78" s="104">
        <f t="shared" si="5"/>
        <v>-6.8196210239168664E-4</v>
      </c>
      <c r="F78" s="102">
        <v>45716.645833333336</v>
      </c>
      <c r="G78" s="108">
        <v>22124.7</v>
      </c>
      <c r="H78" s="104">
        <f t="shared" si="6"/>
        <v>-1.8969072164948475E-2</v>
      </c>
      <c r="U78" s="102">
        <v>45716.645833333336</v>
      </c>
      <c r="V78">
        <v>1888.4</v>
      </c>
      <c r="W78" s="104">
        <f t="shared" si="7"/>
        <v>9.1781574306940783E-2</v>
      </c>
      <c r="Y78" s="102">
        <v>45716.645833333336</v>
      </c>
      <c r="Z78">
        <v>462.25</v>
      </c>
      <c r="AA78" s="104">
        <f t="shared" si="8"/>
        <v>7.0766736159370014E-2</v>
      </c>
      <c r="AC78" s="132">
        <v>45716.645833333336</v>
      </c>
      <c r="AD78">
        <v>159.22</v>
      </c>
      <c r="AE78" s="104">
        <f t="shared" si="9"/>
        <v>-1.0810139165009947E-2</v>
      </c>
    </row>
    <row r="79" spans="2:31" x14ac:dyDescent="0.3">
      <c r="B79" s="102">
        <v>45709.645833333336</v>
      </c>
      <c r="C79">
        <v>3179.9</v>
      </c>
      <c r="D79" s="104">
        <f t="shared" si="5"/>
        <v>3.3357705743764843E-2</v>
      </c>
      <c r="F79" s="102">
        <v>45709.645833333336</v>
      </c>
      <c r="G79" s="108">
        <v>22795.9</v>
      </c>
      <c r="H79" s="104">
        <f t="shared" si="6"/>
        <v>3.0337134514818231E-2</v>
      </c>
      <c r="U79" s="102">
        <v>45709.645833333336</v>
      </c>
      <c r="V79">
        <v>1657.05</v>
      </c>
      <c r="W79" s="104">
        <f t="shared" si="7"/>
        <v>-0.12251112052531254</v>
      </c>
      <c r="Y79" s="102">
        <v>45709.645833333336</v>
      </c>
      <c r="Z79">
        <v>485.25</v>
      </c>
      <c r="AA79" s="104">
        <f t="shared" si="8"/>
        <v>4.9756625202812321E-2</v>
      </c>
      <c r="AC79" s="132">
        <v>45709.645833333336</v>
      </c>
      <c r="AD79">
        <v>185.22</v>
      </c>
      <c r="AE79" s="104">
        <f t="shared" si="9"/>
        <v>0.16329606833312393</v>
      </c>
    </row>
    <row r="80" spans="2:31" x14ac:dyDescent="0.3">
      <c r="B80" s="102">
        <v>45702.645833333336</v>
      </c>
      <c r="C80">
        <v>3213.25</v>
      </c>
      <c r="D80" s="104">
        <f t="shared" si="5"/>
        <v>1.0487751187144179E-2</v>
      </c>
      <c r="F80" s="102">
        <v>45702.645833333336</v>
      </c>
      <c r="G80" s="108">
        <v>22929.25</v>
      </c>
      <c r="H80" s="104">
        <f t="shared" si="6"/>
        <v>5.8497361367613188E-3</v>
      </c>
      <c r="U80" s="102">
        <v>45702.645833333336</v>
      </c>
      <c r="V80">
        <v>1788.7</v>
      </c>
      <c r="W80" s="104">
        <f t="shared" si="7"/>
        <v>7.9448417368214619E-2</v>
      </c>
      <c r="Y80" s="102">
        <v>45702.645833333336</v>
      </c>
      <c r="Z80">
        <v>488.4</v>
      </c>
      <c r="AA80" s="104">
        <f t="shared" si="8"/>
        <v>6.4914992272024907E-3</v>
      </c>
      <c r="AC80" s="132">
        <v>45702.645833333336</v>
      </c>
      <c r="AD80">
        <v>158.65</v>
      </c>
      <c r="AE80" s="104">
        <f t="shared" si="9"/>
        <v>-0.14345103120613323</v>
      </c>
    </row>
    <row r="81" spans="2:31" x14ac:dyDescent="0.3">
      <c r="B81" s="102">
        <v>45695.645833333336</v>
      </c>
      <c r="C81">
        <v>3424.8</v>
      </c>
      <c r="D81" s="104">
        <f t="shared" si="5"/>
        <v>6.5836769625768454E-2</v>
      </c>
      <c r="F81" s="102">
        <v>45695.645833333336</v>
      </c>
      <c r="G81" s="108">
        <v>23559.95</v>
      </c>
      <c r="H81" s="104">
        <f t="shared" si="6"/>
        <v>2.7506351058146361E-2</v>
      </c>
      <c r="U81" s="102">
        <v>45695.645833333336</v>
      </c>
      <c r="V81">
        <v>1870.23</v>
      </c>
      <c r="W81" s="104">
        <f t="shared" si="7"/>
        <v>4.5580589254766046E-2</v>
      </c>
      <c r="Y81" s="102">
        <v>45695.645833333336</v>
      </c>
      <c r="Z81">
        <v>539.4</v>
      </c>
      <c r="AA81" s="104">
        <f t="shared" si="8"/>
        <v>0.10442260442260443</v>
      </c>
      <c r="AC81" s="132">
        <v>45695.645833333336</v>
      </c>
      <c r="AD81">
        <v>181.37</v>
      </c>
      <c r="AE81" s="104">
        <f t="shared" si="9"/>
        <v>0.14320832020170182</v>
      </c>
    </row>
    <row r="82" spans="2:31" x14ac:dyDescent="0.3">
      <c r="B82" s="102">
        <v>45681.645833333336</v>
      </c>
      <c r="C82">
        <v>3402.15</v>
      </c>
      <c r="D82" s="104">
        <f t="shared" si="5"/>
        <v>-6.6135248773651067E-3</v>
      </c>
      <c r="F82" s="102">
        <v>45681.645833333336</v>
      </c>
      <c r="G82" s="108">
        <v>23092.2</v>
      </c>
      <c r="H82" s="104">
        <f t="shared" si="6"/>
        <v>-1.9853607499166981E-2</v>
      </c>
      <c r="U82" s="102">
        <v>45681.645833333336</v>
      </c>
      <c r="V82">
        <v>1695.47</v>
      </c>
      <c r="W82" s="104">
        <f t="shared" si="7"/>
        <v>-9.3443052458788478E-2</v>
      </c>
      <c r="Y82" s="102">
        <v>45681.645833333336</v>
      </c>
      <c r="Z82">
        <v>458.75</v>
      </c>
      <c r="AA82" s="104">
        <f t="shared" si="8"/>
        <v>-0.14951798294401186</v>
      </c>
      <c r="AC82" s="132">
        <v>45681.645833333336</v>
      </c>
      <c r="AD82">
        <v>197.15</v>
      </c>
      <c r="AE82" s="104">
        <f t="shared" si="9"/>
        <v>8.7004466008711479E-2</v>
      </c>
    </row>
    <row r="83" spans="2:31" x14ac:dyDescent="0.3">
      <c r="B83" s="102">
        <v>45674.645833333336</v>
      </c>
      <c r="C83">
        <v>3357.4</v>
      </c>
      <c r="D83" s="104">
        <f t="shared" si="5"/>
        <v>-1.3153447084931602E-2</v>
      </c>
      <c r="F83" s="102">
        <v>45674.645833333336</v>
      </c>
      <c r="G83" s="108">
        <v>23203.200000000001</v>
      </c>
      <c r="H83" s="104">
        <f t="shared" si="6"/>
        <v>4.8068178865590117E-3</v>
      </c>
      <c r="U83" s="102">
        <v>45674.645833333336</v>
      </c>
      <c r="V83">
        <v>1771.56</v>
      </c>
      <c r="W83" s="104">
        <f t="shared" si="7"/>
        <v>4.4878411295982801E-2</v>
      </c>
      <c r="Y83" s="102">
        <v>45674.645833333336</v>
      </c>
      <c r="Z83">
        <v>501.5</v>
      </c>
      <c r="AA83" s="104">
        <f t="shared" si="8"/>
        <v>9.3188010899182494E-2</v>
      </c>
      <c r="AC83" s="132">
        <v>45674.645833333336</v>
      </c>
      <c r="AD83">
        <v>209.26</v>
      </c>
      <c r="AE83" s="104">
        <f t="shared" si="9"/>
        <v>6.1425310677149403E-2</v>
      </c>
    </row>
    <row r="84" spans="2:31" x14ac:dyDescent="0.3">
      <c r="B84" s="102">
        <v>45667.645833333336</v>
      </c>
      <c r="C84">
        <v>3440.25</v>
      </c>
      <c r="D84" s="104">
        <f t="shared" si="5"/>
        <v>2.4676833263835185E-2</v>
      </c>
      <c r="F84" s="102">
        <v>45667.645833333336</v>
      </c>
      <c r="G84" s="108">
        <v>23431.5</v>
      </c>
      <c r="H84" s="104">
        <f t="shared" si="6"/>
        <v>9.8391601158460684E-3</v>
      </c>
      <c r="U84" s="102">
        <v>45667.645833333336</v>
      </c>
      <c r="V84">
        <v>1836.87</v>
      </c>
      <c r="W84" s="104">
        <f t="shared" si="7"/>
        <v>3.6865813181602647E-2</v>
      </c>
      <c r="Y84" s="102">
        <v>45667.645833333336</v>
      </c>
      <c r="Z84">
        <v>626.75</v>
      </c>
      <c r="AA84" s="104">
        <f t="shared" si="8"/>
        <v>0.24975074775672979</v>
      </c>
      <c r="AC84" s="132">
        <v>45667.645833333336</v>
      </c>
      <c r="AD84">
        <v>217.46</v>
      </c>
      <c r="AE84" s="104">
        <f t="shared" si="9"/>
        <v>3.9185701997515032E-2</v>
      </c>
    </row>
    <row r="85" spans="2:31" x14ac:dyDescent="0.3">
      <c r="B85" s="102">
        <v>45660.645833333336</v>
      </c>
      <c r="C85">
        <v>3451.65</v>
      </c>
      <c r="D85" s="104">
        <f t="shared" si="5"/>
        <v>3.3137126662305949E-3</v>
      </c>
      <c r="F85" s="102">
        <v>45660.645833333336</v>
      </c>
      <c r="G85" s="108">
        <v>24004.75</v>
      </c>
      <c r="H85" s="104">
        <f t="shared" si="6"/>
        <v>2.4464929688666981E-2</v>
      </c>
      <c r="U85" s="102">
        <v>45660.645833333336</v>
      </c>
      <c r="V85">
        <v>1950.83</v>
      </c>
      <c r="W85" s="104">
        <f t="shared" si="7"/>
        <v>6.2040318585419696E-2</v>
      </c>
      <c r="Y85" s="102">
        <v>45660.645833333336</v>
      </c>
      <c r="Z85">
        <v>777.8</v>
      </c>
      <c r="AA85" s="104">
        <f t="shared" si="8"/>
        <v>0.24100518548065408</v>
      </c>
      <c r="AC85" s="132">
        <v>45660.645833333336</v>
      </c>
      <c r="AD85">
        <v>232.68</v>
      </c>
      <c r="AE85" s="104">
        <f t="shared" si="9"/>
        <v>6.9989883196909686E-2</v>
      </c>
    </row>
    <row r="86" spans="2:31" x14ac:dyDescent="0.3">
      <c r="B86" s="102">
        <v>45653.645833333336</v>
      </c>
      <c r="C86">
        <v>3309.2</v>
      </c>
      <c r="D86" s="104">
        <f t="shared" si="5"/>
        <v>-4.1270117190329358E-2</v>
      </c>
      <c r="F86" s="102">
        <v>45653.645833333336</v>
      </c>
      <c r="G86" s="108">
        <v>23813.4</v>
      </c>
      <c r="H86" s="104">
        <f t="shared" si="6"/>
        <v>-7.9713390058216982E-3</v>
      </c>
      <c r="U86" s="102">
        <v>45653.645833333336</v>
      </c>
      <c r="V86">
        <v>1885.42</v>
      </c>
      <c r="W86" s="104">
        <f t="shared" si="7"/>
        <v>-3.352931829016359E-2</v>
      </c>
      <c r="Y86" s="102">
        <v>45653.645833333336</v>
      </c>
      <c r="Z86">
        <v>721.65</v>
      </c>
      <c r="AA86" s="104">
        <f t="shared" si="8"/>
        <v>-7.2190794548727122E-2</v>
      </c>
      <c r="AC86" s="132">
        <v>45653.645833333336</v>
      </c>
      <c r="AD86">
        <v>234.55</v>
      </c>
      <c r="AE86" s="104">
        <f t="shared" si="9"/>
        <v>8.0367887227092982E-3</v>
      </c>
    </row>
    <row r="87" spans="2:31" x14ac:dyDescent="0.3">
      <c r="B87" s="102">
        <v>45646.645833333336</v>
      </c>
      <c r="C87">
        <v>3356.25</v>
      </c>
      <c r="D87" s="104">
        <f t="shared" si="5"/>
        <v>1.4217937870180108E-2</v>
      </c>
      <c r="F87" s="102">
        <v>45646.645833333336</v>
      </c>
      <c r="G87" s="108">
        <v>23587.5</v>
      </c>
      <c r="H87" s="104">
        <f t="shared" si="6"/>
        <v>-9.4862556375822082E-3</v>
      </c>
      <c r="U87" s="102">
        <v>45646.645833333336</v>
      </c>
      <c r="V87">
        <v>1942.57</v>
      </c>
      <c r="W87" s="104">
        <f t="shared" si="7"/>
        <v>3.0311548620466366E-2</v>
      </c>
      <c r="Y87" s="102">
        <v>45646.645833333336</v>
      </c>
      <c r="Z87">
        <v>719.2</v>
      </c>
      <c r="AA87" s="104">
        <f t="shared" si="8"/>
        <v>-3.3949975750016126E-3</v>
      </c>
      <c r="AC87" s="132">
        <v>45646.645833333336</v>
      </c>
      <c r="AD87">
        <v>235.98</v>
      </c>
      <c r="AE87" s="104">
        <f t="shared" si="9"/>
        <v>6.0967810701342273E-3</v>
      </c>
    </row>
    <row r="88" spans="2:31" x14ac:dyDescent="0.3">
      <c r="B88" s="102">
        <v>45639.645833333336</v>
      </c>
      <c r="C88">
        <v>3508.85</v>
      </c>
      <c r="D88" s="104">
        <f t="shared" si="5"/>
        <v>4.5467411545623726E-2</v>
      </c>
      <c r="F88" s="102">
        <v>45639.645833333336</v>
      </c>
      <c r="G88" s="108">
        <v>24768.3</v>
      </c>
      <c r="H88" s="104">
        <f t="shared" si="6"/>
        <v>5.0060413354531041E-2</v>
      </c>
      <c r="U88" s="102">
        <v>45639.645833333336</v>
      </c>
      <c r="V88">
        <v>2018.32</v>
      </c>
      <c r="W88" s="104">
        <f t="shared" si="7"/>
        <v>3.8994733780507218E-2</v>
      </c>
      <c r="Y88" s="102">
        <v>45639.645833333336</v>
      </c>
      <c r="Z88">
        <v>747.1</v>
      </c>
      <c r="AA88" s="104">
        <f t="shared" si="8"/>
        <v>3.8793103448275801E-2</v>
      </c>
      <c r="AC88" s="132">
        <v>45639.645833333336</v>
      </c>
      <c r="AD88">
        <v>237.62</v>
      </c>
      <c r="AE88" s="104">
        <f t="shared" si="9"/>
        <v>6.9497415035173482E-3</v>
      </c>
    </row>
    <row r="89" spans="2:31" x14ac:dyDescent="0.3">
      <c r="B89" s="102">
        <v>45632.645833333336</v>
      </c>
      <c r="C89">
        <v>3470.1</v>
      </c>
      <c r="D89" s="104">
        <f t="shared" si="5"/>
        <v>-1.1043504282029715E-2</v>
      </c>
      <c r="F89" s="102">
        <v>45632.645833333336</v>
      </c>
      <c r="G89" s="108">
        <v>24677.8</v>
      </c>
      <c r="H89" s="104">
        <f t="shared" si="6"/>
        <v>-3.653864011660013E-3</v>
      </c>
      <c r="U89" s="102">
        <v>45632.645833333336</v>
      </c>
      <c r="V89">
        <v>2057.83</v>
      </c>
      <c r="W89" s="104">
        <f t="shared" si="7"/>
        <v>1.9575686709738749E-2</v>
      </c>
      <c r="Y89" s="102">
        <v>45632.645833333336</v>
      </c>
      <c r="Z89">
        <v>730.5</v>
      </c>
      <c r="AA89" s="104">
        <f t="shared" si="8"/>
        <v>-2.2219247757997662E-2</v>
      </c>
      <c r="AC89" s="132">
        <v>45632.645833333336</v>
      </c>
      <c r="AD89">
        <v>235.99</v>
      </c>
      <c r="AE89" s="104">
        <f t="shared" si="9"/>
        <v>-6.8596919451224814E-3</v>
      </c>
    </row>
    <row r="90" spans="2:31" x14ac:dyDescent="0.3">
      <c r="B90" s="102">
        <v>45625.645833333336</v>
      </c>
      <c r="C90">
        <v>3249</v>
      </c>
      <c r="D90" s="104">
        <f t="shared" si="5"/>
        <v>-6.3715743062159547E-2</v>
      </c>
      <c r="F90" s="102">
        <v>45625.645833333336</v>
      </c>
      <c r="G90" s="108">
        <v>24131.1</v>
      </c>
      <c r="H90" s="104">
        <f t="shared" si="6"/>
        <v>-2.2153514494809179E-2</v>
      </c>
      <c r="U90" s="102">
        <v>45625.645833333336</v>
      </c>
      <c r="V90">
        <v>1914.41</v>
      </c>
      <c r="W90" s="104">
        <f t="shared" si="7"/>
        <v>-6.9694775564550948E-2</v>
      </c>
      <c r="Y90" s="102">
        <v>45625.645833333336</v>
      </c>
      <c r="Z90">
        <v>724.45</v>
      </c>
      <c r="AA90" s="104">
        <f t="shared" si="8"/>
        <v>-8.2819986310745941E-3</v>
      </c>
      <c r="AC90" s="132">
        <v>45625.645833333336</v>
      </c>
      <c r="AD90">
        <v>237.75</v>
      </c>
      <c r="AE90" s="104">
        <f t="shared" si="9"/>
        <v>7.4579431331835977E-3</v>
      </c>
    </row>
    <row r="91" spans="2:31" x14ac:dyDescent="0.3">
      <c r="B91" s="102">
        <v>45618.645833333336</v>
      </c>
      <c r="C91">
        <v>3308.7</v>
      </c>
      <c r="D91" s="104">
        <f t="shared" si="5"/>
        <v>1.8374884579870576E-2</v>
      </c>
      <c r="F91" s="102">
        <v>45618.645833333336</v>
      </c>
      <c r="G91" s="108">
        <v>23907.25</v>
      </c>
      <c r="H91" s="104">
        <f t="shared" si="6"/>
        <v>-9.2764109385812255E-3</v>
      </c>
      <c r="U91" s="102">
        <v>45618.645833333336</v>
      </c>
      <c r="V91">
        <v>1925.76</v>
      </c>
      <c r="W91" s="104">
        <f t="shared" si="7"/>
        <v>5.9287195532826686E-3</v>
      </c>
      <c r="Y91" s="102">
        <v>45618.645833333336</v>
      </c>
      <c r="Z91">
        <v>706.45</v>
      </c>
      <c r="AA91" s="104">
        <f t="shared" si="8"/>
        <v>-2.4846435226723695E-2</v>
      </c>
      <c r="AC91" s="132">
        <v>45618.645833333336</v>
      </c>
      <c r="AD91">
        <v>234.15</v>
      </c>
      <c r="AE91" s="104">
        <f t="shared" si="9"/>
        <v>-1.5141955835962118E-2</v>
      </c>
    </row>
    <row r="92" spans="2:31" x14ac:dyDescent="0.3">
      <c r="B92" s="102">
        <v>45610.645833333336</v>
      </c>
      <c r="C92">
        <v>3183.7</v>
      </c>
      <c r="D92" s="104">
        <f t="shared" si="5"/>
        <v>-3.7779188200803948E-2</v>
      </c>
      <c r="F92" s="102">
        <v>45610.645833333336</v>
      </c>
      <c r="G92" s="108">
        <v>23532.7</v>
      </c>
      <c r="H92" s="104">
        <f t="shared" si="6"/>
        <v>-1.5666795637306663E-2</v>
      </c>
      <c r="U92" s="102">
        <v>45610.645833333336</v>
      </c>
      <c r="V92">
        <v>1819.77</v>
      </c>
      <c r="W92" s="104">
        <f t="shared" si="7"/>
        <v>-5.5038010967098705E-2</v>
      </c>
      <c r="Y92" s="102">
        <v>45610.645833333336</v>
      </c>
      <c r="Z92">
        <v>653.9</v>
      </c>
      <c r="AA92" s="104">
        <f t="shared" si="8"/>
        <v>-7.4386014579942095E-2</v>
      </c>
      <c r="AC92" s="132">
        <v>45610.645833333336</v>
      </c>
      <c r="AD92">
        <v>235.5</v>
      </c>
      <c r="AE92" s="104">
        <f t="shared" si="9"/>
        <v>5.7655349135170564E-3</v>
      </c>
    </row>
    <row r="93" spans="2:31" x14ac:dyDescent="0.3">
      <c r="B93" s="102">
        <v>45604.645833333336</v>
      </c>
      <c r="C93">
        <v>3186.25</v>
      </c>
      <c r="D93" s="104">
        <f t="shared" si="5"/>
        <v>8.0095486383768844E-4</v>
      </c>
      <c r="F93" s="102">
        <v>45604.645833333336</v>
      </c>
      <c r="G93" s="108">
        <v>24148.2</v>
      </c>
      <c r="H93" s="104">
        <f t="shared" si="6"/>
        <v>2.6155094825498049E-2</v>
      </c>
      <c r="U93" s="102">
        <v>45604.645833333336</v>
      </c>
      <c r="V93">
        <v>1931.89</v>
      </c>
      <c r="W93" s="104">
        <f t="shared" si="7"/>
        <v>6.1612181759233442E-2</v>
      </c>
      <c r="Y93" s="102">
        <v>45604.645833333336</v>
      </c>
      <c r="Z93">
        <v>694.1</v>
      </c>
      <c r="AA93" s="104">
        <f t="shared" si="8"/>
        <v>6.1477290105520721E-2</v>
      </c>
      <c r="AC93" s="132">
        <v>45604.645833333336</v>
      </c>
      <c r="AD93">
        <v>259.39999999999998</v>
      </c>
      <c r="AE93" s="104">
        <f t="shared" si="9"/>
        <v>0.10148619957537153</v>
      </c>
    </row>
    <row r="94" spans="2:31" x14ac:dyDescent="0.3">
      <c r="B94" s="102">
        <v>45590.645833333336</v>
      </c>
      <c r="C94">
        <v>3266.55</v>
      </c>
      <c r="D94" s="104">
        <f t="shared" si="5"/>
        <v>2.5202040015692484E-2</v>
      </c>
      <c r="F94" s="102">
        <v>45590.645833333336</v>
      </c>
      <c r="G94" s="108">
        <v>24180.799999999999</v>
      </c>
      <c r="H94" s="104">
        <f t="shared" si="6"/>
        <v>1.3499971012331802E-3</v>
      </c>
      <c r="U94" s="102">
        <v>45590.645833333336</v>
      </c>
      <c r="V94">
        <v>2068.36</v>
      </c>
      <c r="W94" s="104">
        <f t="shared" si="7"/>
        <v>7.0640667946932911E-2</v>
      </c>
      <c r="Y94" s="102">
        <v>45590.645833333336</v>
      </c>
      <c r="Z94">
        <v>671.7</v>
      </c>
      <c r="AA94" s="104">
        <f t="shared" si="8"/>
        <v>-3.2272006915429974E-2</v>
      </c>
      <c r="AC94" s="132">
        <v>45590.645833333336</v>
      </c>
      <c r="AD94">
        <v>238.35</v>
      </c>
      <c r="AE94" s="104">
        <f t="shared" si="9"/>
        <v>-8.114880493446408E-2</v>
      </c>
    </row>
    <row r="95" spans="2:31" x14ac:dyDescent="0.3">
      <c r="B95" s="102">
        <v>45583.645833333336</v>
      </c>
      <c r="C95">
        <v>3381.45</v>
      </c>
      <c r="D95" s="104">
        <f t="shared" si="5"/>
        <v>3.5174725627955983E-2</v>
      </c>
      <c r="F95" s="102">
        <v>45583.645833333336</v>
      </c>
      <c r="G95" s="108">
        <v>24854.05</v>
      </c>
      <c r="H95" s="104">
        <f t="shared" si="6"/>
        <v>2.7842337722490562E-2</v>
      </c>
      <c r="U95" s="102">
        <v>45583.645833333336</v>
      </c>
      <c r="V95">
        <v>2333.71</v>
      </c>
      <c r="W95" s="104">
        <f t="shared" si="7"/>
        <v>0.12829004622019369</v>
      </c>
      <c r="Y95" s="102">
        <v>45583.645833333336</v>
      </c>
      <c r="Z95">
        <v>718.95</v>
      </c>
      <c r="AA95" s="104">
        <f t="shared" si="8"/>
        <v>7.034390352836084E-2</v>
      </c>
      <c r="AC95" s="132">
        <v>45583.645833333336</v>
      </c>
      <c r="AD95">
        <v>279.8</v>
      </c>
      <c r="AE95" s="104">
        <f t="shared" si="9"/>
        <v>0.17390392280260136</v>
      </c>
    </row>
    <row r="96" spans="2:31" x14ac:dyDescent="0.3">
      <c r="B96" s="102">
        <v>45576.645833333336</v>
      </c>
      <c r="C96">
        <v>3474.4</v>
      </c>
      <c r="D96" s="104">
        <f t="shared" si="5"/>
        <v>2.7488207721539704E-2</v>
      </c>
      <c r="F96" s="102">
        <v>45576.645833333336</v>
      </c>
      <c r="G96" s="108">
        <v>24964.25</v>
      </c>
      <c r="H96" s="104">
        <f t="shared" si="6"/>
        <v>4.4338850207512603E-3</v>
      </c>
      <c r="U96" s="102">
        <v>45576.645833333336</v>
      </c>
      <c r="V96">
        <v>2447.67</v>
      </c>
      <c r="W96" s="104">
        <f t="shared" si="7"/>
        <v>4.8832117101096584E-2</v>
      </c>
      <c r="Y96" s="102">
        <v>45576.645833333336</v>
      </c>
      <c r="Z96">
        <v>720.3</v>
      </c>
      <c r="AA96" s="104">
        <f t="shared" si="8"/>
        <v>1.8777383684538407E-3</v>
      </c>
      <c r="AC96" s="132">
        <v>45576.645833333336</v>
      </c>
      <c r="AD96">
        <v>291.45</v>
      </c>
      <c r="AE96" s="104">
        <f t="shared" si="9"/>
        <v>4.1636883488205712E-2</v>
      </c>
    </row>
    <row r="97" spans="2:31" x14ac:dyDescent="0.3">
      <c r="B97" s="102">
        <v>45569.645833333336</v>
      </c>
      <c r="C97">
        <v>3670.1</v>
      </c>
      <c r="D97" s="104">
        <f t="shared" si="5"/>
        <v>5.6326272162099844E-2</v>
      </c>
      <c r="F97" s="102">
        <v>45569.645833333336</v>
      </c>
      <c r="G97" s="108">
        <v>25014.6</v>
      </c>
      <c r="H97" s="104">
        <f t="shared" si="6"/>
        <v>2.0168841443264363E-3</v>
      </c>
      <c r="U97" s="102">
        <v>45569.645833333336</v>
      </c>
      <c r="V97">
        <v>2293.96</v>
      </c>
      <c r="W97" s="104">
        <f t="shared" si="7"/>
        <v>-6.2798498163559646E-2</v>
      </c>
      <c r="Y97" s="102">
        <v>45569.645833333336</v>
      </c>
      <c r="Z97">
        <v>712.95</v>
      </c>
      <c r="AA97" s="104">
        <f t="shared" si="8"/>
        <v>-1.0204081632652962E-2</v>
      </c>
      <c r="AC97" s="132">
        <v>45569.645833333336</v>
      </c>
      <c r="AD97">
        <v>281.45</v>
      </c>
      <c r="AE97" s="104">
        <f t="shared" si="9"/>
        <v>-3.4311202607651414E-2</v>
      </c>
    </row>
    <row r="98" spans="2:31" x14ac:dyDescent="0.3">
      <c r="B98" s="102">
        <v>45562.645833333336</v>
      </c>
      <c r="C98">
        <v>3816.7</v>
      </c>
      <c r="D98" s="104">
        <f t="shared" si="5"/>
        <v>3.994441568349627E-2</v>
      </c>
      <c r="F98" s="102">
        <v>45562.645833333336</v>
      </c>
      <c r="G98" s="108">
        <v>26178.95</v>
      </c>
      <c r="H98" s="104">
        <f t="shared" si="6"/>
        <v>4.6546816659071233E-2</v>
      </c>
      <c r="U98" s="102">
        <v>45562.645833333336</v>
      </c>
      <c r="V98">
        <v>2337.67</v>
      </c>
      <c r="W98" s="104">
        <f t="shared" si="7"/>
        <v>1.9054386301417647E-2</v>
      </c>
      <c r="Y98" s="102">
        <v>45562.645833333336</v>
      </c>
      <c r="Z98">
        <v>706.7</v>
      </c>
      <c r="AA98" s="104">
        <f t="shared" si="8"/>
        <v>-8.766393155200225E-3</v>
      </c>
      <c r="AC98" s="132">
        <v>45562.645833333336</v>
      </c>
      <c r="AD98">
        <v>288.05</v>
      </c>
      <c r="AE98" s="104">
        <f t="shared" si="9"/>
        <v>2.3449991117427738E-2</v>
      </c>
    </row>
    <row r="99" spans="2:31" x14ac:dyDescent="0.3">
      <c r="B99" s="102">
        <v>45555.645833333336</v>
      </c>
      <c r="C99">
        <v>3797.2</v>
      </c>
      <c r="D99" s="104">
        <f t="shared" si="5"/>
        <v>-5.1091256844918442E-3</v>
      </c>
      <c r="F99" s="102">
        <v>45555.645833333336</v>
      </c>
      <c r="G99" s="108">
        <v>25790.95</v>
      </c>
      <c r="H99" s="104">
        <f t="shared" si="6"/>
        <v>-1.4821068071866894E-2</v>
      </c>
      <c r="U99" s="102">
        <v>45555.645833333336</v>
      </c>
      <c r="V99">
        <v>2156.38</v>
      </c>
      <c r="W99" s="104">
        <f t="shared" si="7"/>
        <v>-7.7551579136490578E-2</v>
      </c>
      <c r="Y99" s="102">
        <v>45555.645833333336</v>
      </c>
      <c r="Z99">
        <v>730.5</v>
      </c>
      <c r="AA99" s="104">
        <f t="shared" si="8"/>
        <v>3.3677656714305781E-2</v>
      </c>
      <c r="AC99" s="132">
        <v>45555.645833333336</v>
      </c>
      <c r="AD99">
        <v>283.60000000000002</v>
      </c>
      <c r="AE99" s="104">
        <f t="shared" si="9"/>
        <v>-1.5448706821732272E-2</v>
      </c>
    </row>
    <row r="100" spans="2:31" x14ac:dyDescent="0.3">
      <c r="B100" s="102">
        <v>45548.645833333336</v>
      </c>
      <c r="C100">
        <v>3767</v>
      </c>
      <c r="D100" s="104">
        <f t="shared" si="5"/>
        <v>-7.9532286948277298E-3</v>
      </c>
      <c r="F100" s="102">
        <v>45548.645833333336</v>
      </c>
      <c r="G100" s="108">
        <v>25356.5</v>
      </c>
      <c r="H100" s="104">
        <f t="shared" si="6"/>
        <v>-1.684505611464493E-2</v>
      </c>
      <c r="U100" s="102">
        <v>45548.645833333336</v>
      </c>
      <c r="V100">
        <v>2178.4499999999998</v>
      </c>
      <c r="W100" s="104">
        <f t="shared" si="7"/>
        <v>1.0234745267531542E-2</v>
      </c>
      <c r="Y100" s="102">
        <v>45548.645833333336</v>
      </c>
      <c r="Z100">
        <v>716.05</v>
      </c>
      <c r="AA100" s="104">
        <f t="shared" si="8"/>
        <v>-1.9780971937029546E-2</v>
      </c>
      <c r="AC100" s="132">
        <v>45548.645833333336</v>
      </c>
      <c r="AD100">
        <v>295.89999999999998</v>
      </c>
      <c r="AE100" s="104">
        <f t="shared" si="9"/>
        <v>4.337094499294758E-2</v>
      </c>
    </row>
    <row r="101" spans="2:31" x14ac:dyDescent="0.3">
      <c r="B101" s="102">
        <v>45541.645833333336</v>
      </c>
      <c r="C101">
        <v>3695.5</v>
      </c>
      <c r="D101" s="104">
        <f t="shared" si="5"/>
        <v>-1.898062118396604E-2</v>
      </c>
      <c r="F101" s="102">
        <v>45541.645833333336</v>
      </c>
      <c r="G101" s="108">
        <v>24852.15</v>
      </c>
      <c r="H101" s="104">
        <f t="shared" si="6"/>
        <v>-1.9890363417664036E-2</v>
      </c>
      <c r="U101" s="102">
        <v>45541.645833333336</v>
      </c>
      <c r="V101">
        <v>2040.39</v>
      </c>
      <c r="W101" s="104">
        <f t="shared" si="7"/>
        <v>-6.3375335674447308E-2</v>
      </c>
      <c r="Y101" s="102">
        <v>45541.645833333336</v>
      </c>
      <c r="Z101">
        <v>648.20000000000005</v>
      </c>
      <c r="AA101" s="104">
        <f t="shared" si="8"/>
        <v>-9.4755952796592324E-2</v>
      </c>
      <c r="AC101" s="132">
        <v>45541.645833333336</v>
      </c>
      <c r="AD101">
        <v>292.55</v>
      </c>
      <c r="AE101" s="104">
        <f t="shared" si="9"/>
        <v>-1.1321392362284466E-2</v>
      </c>
    </row>
    <row r="102" spans="2:31" x14ac:dyDescent="0.3">
      <c r="B102" s="102">
        <v>45534.645833333336</v>
      </c>
      <c r="C102">
        <v>3565.15</v>
      </c>
      <c r="D102" s="104">
        <f t="shared" si="5"/>
        <v>-3.5272628872953571E-2</v>
      </c>
      <c r="F102" s="102">
        <v>45534.645833333336</v>
      </c>
      <c r="G102" s="108">
        <v>25235.9</v>
      </c>
      <c r="H102" s="104">
        <f t="shared" si="6"/>
        <v>1.544131996628062E-2</v>
      </c>
      <c r="U102" s="102">
        <v>45534.645833333336</v>
      </c>
      <c r="V102">
        <v>1966.96</v>
      </c>
      <c r="W102" s="104">
        <f t="shared" si="7"/>
        <v>-3.5988217938727418E-2</v>
      </c>
      <c r="Y102" s="102">
        <v>45534.645833333336</v>
      </c>
      <c r="Z102">
        <v>615.20000000000005</v>
      </c>
      <c r="AA102" s="104">
        <f t="shared" si="8"/>
        <v>-5.0910212897253948E-2</v>
      </c>
      <c r="AC102" s="132">
        <v>45534.645833333336</v>
      </c>
      <c r="AD102">
        <v>292.95</v>
      </c>
      <c r="AE102" s="104">
        <f t="shared" si="9"/>
        <v>1.3672876431378711E-3</v>
      </c>
    </row>
    <row r="103" spans="2:31" x14ac:dyDescent="0.3">
      <c r="B103" s="102">
        <v>45527.645833333336</v>
      </c>
      <c r="C103">
        <v>3570</v>
      </c>
      <c r="D103" s="104">
        <f t="shared" si="5"/>
        <v>1.360391568377084E-3</v>
      </c>
      <c r="F103" s="102">
        <v>45527.645833333336</v>
      </c>
      <c r="G103" s="108">
        <v>24823.15</v>
      </c>
      <c r="H103" s="104">
        <f t="shared" si="6"/>
        <v>-1.6355667917530181E-2</v>
      </c>
      <c r="U103" s="102">
        <v>45527.645833333336</v>
      </c>
      <c r="V103">
        <v>1860.88</v>
      </c>
      <c r="W103" s="104">
        <f t="shared" si="7"/>
        <v>-5.3930939114166021E-2</v>
      </c>
      <c r="Y103" s="102">
        <v>45527.645833333336</v>
      </c>
      <c r="Z103">
        <v>588.9</v>
      </c>
      <c r="AA103" s="104">
        <f t="shared" si="8"/>
        <v>-4.2750325097529407E-2</v>
      </c>
      <c r="AC103" s="132">
        <v>45527.645833333336</v>
      </c>
      <c r="AD103">
        <v>300</v>
      </c>
      <c r="AE103" s="104">
        <f t="shared" si="9"/>
        <v>2.406554019457241E-2</v>
      </c>
    </row>
    <row r="104" spans="2:31" x14ac:dyDescent="0.3">
      <c r="B104" s="102">
        <v>45520.645833333336</v>
      </c>
      <c r="C104">
        <v>3444.75</v>
      </c>
      <c r="D104" s="104">
        <f t="shared" si="5"/>
        <v>-3.5084033613445365E-2</v>
      </c>
      <c r="F104" s="102">
        <v>45520.645833333336</v>
      </c>
      <c r="G104" s="108">
        <v>24541.15</v>
      </c>
      <c r="H104" s="104">
        <f t="shared" si="6"/>
        <v>-1.1360363209342861E-2</v>
      </c>
      <c r="U104" s="102">
        <v>45520.645833333336</v>
      </c>
      <c r="V104">
        <v>1736.69</v>
      </c>
      <c r="W104" s="104">
        <f t="shared" si="7"/>
        <v>-6.6737242594901325E-2</v>
      </c>
      <c r="Y104" s="102">
        <v>45520.645833333336</v>
      </c>
      <c r="Z104">
        <v>572.95000000000005</v>
      </c>
      <c r="AA104" s="104">
        <f t="shared" si="8"/>
        <v>-2.7084394634063425E-2</v>
      </c>
      <c r="AC104" s="132">
        <v>45520.645833333336</v>
      </c>
      <c r="AD104">
        <v>289.5</v>
      </c>
      <c r="AE104" s="104">
        <f t="shared" si="9"/>
        <v>-3.5000000000000031E-2</v>
      </c>
    </row>
    <row r="105" spans="2:31" x14ac:dyDescent="0.3">
      <c r="B105" s="102">
        <v>45513.645833333336</v>
      </c>
      <c r="C105">
        <v>3331.7</v>
      </c>
      <c r="D105" s="104">
        <f t="shared" si="5"/>
        <v>-3.2818056462733169E-2</v>
      </c>
      <c r="F105" s="102">
        <v>45513.645833333336</v>
      </c>
      <c r="G105" s="108">
        <v>24367.5</v>
      </c>
      <c r="H105" s="104">
        <f t="shared" si="6"/>
        <v>-7.0758705276647849E-3</v>
      </c>
      <c r="U105" s="102">
        <v>45513.645833333336</v>
      </c>
      <c r="V105">
        <v>1692.63</v>
      </c>
      <c r="W105" s="104">
        <f t="shared" si="7"/>
        <v>-2.5370100593658074E-2</v>
      </c>
      <c r="Y105" s="102">
        <v>45513.645833333336</v>
      </c>
      <c r="Z105">
        <v>538.79999999999995</v>
      </c>
      <c r="AA105" s="104">
        <f t="shared" si="8"/>
        <v>-5.9603804869534982E-2</v>
      </c>
      <c r="AC105" s="132">
        <v>45513.645833333336</v>
      </c>
      <c r="AD105">
        <v>294.64999999999998</v>
      </c>
      <c r="AE105" s="104">
        <f t="shared" si="9"/>
        <v>1.7789291882555958E-2</v>
      </c>
    </row>
    <row r="106" spans="2:31" x14ac:dyDescent="0.3">
      <c r="B106" s="102">
        <v>45506.645833333336</v>
      </c>
      <c r="C106">
        <v>3462.35</v>
      </c>
      <c r="D106" s="104">
        <f t="shared" si="5"/>
        <v>3.921421496533295E-2</v>
      </c>
      <c r="F106" s="102">
        <v>45506.645833333336</v>
      </c>
      <c r="G106" s="108">
        <v>24717.7</v>
      </c>
      <c r="H106" s="104">
        <f t="shared" si="6"/>
        <v>1.4371601518415877E-2</v>
      </c>
      <c r="U106" s="102">
        <v>45506.645833333336</v>
      </c>
      <c r="V106">
        <v>1677.61</v>
      </c>
      <c r="W106" s="104">
        <f t="shared" si="7"/>
        <v>-8.8737644966709883E-3</v>
      </c>
      <c r="Y106" s="102">
        <v>45506.645833333336</v>
      </c>
      <c r="Z106">
        <v>559.75</v>
      </c>
      <c r="AA106" s="104">
        <f t="shared" si="8"/>
        <v>3.8882702301410665E-2</v>
      </c>
      <c r="AC106" s="132">
        <v>45506.645833333336</v>
      </c>
      <c r="AD106">
        <v>304.7</v>
      </c>
      <c r="AE106" s="104">
        <f t="shared" si="9"/>
        <v>3.410826404208378E-2</v>
      </c>
    </row>
    <row r="107" spans="2:31" x14ac:dyDescent="0.3">
      <c r="B107" s="102">
        <v>45499.645833333336</v>
      </c>
      <c r="C107">
        <v>3494.15</v>
      </c>
      <c r="D107" s="104">
        <f t="shared" si="5"/>
        <v>9.1845134085231095E-3</v>
      </c>
      <c r="F107" s="102">
        <v>45499.645833333336</v>
      </c>
      <c r="G107" s="108">
        <v>24834.85</v>
      </c>
      <c r="H107" s="104">
        <f t="shared" si="6"/>
        <v>4.7395186445340354E-3</v>
      </c>
      <c r="U107" s="102">
        <v>45499.645833333336</v>
      </c>
      <c r="V107">
        <v>1706.45</v>
      </c>
      <c r="W107" s="104">
        <f t="shared" si="7"/>
        <v>1.7191123085818605E-2</v>
      </c>
      <c r="Y107" s="102">
        <v>45499.645833333336</v>
      </c>
      <c r="Z107">
        <v>567.79999999999995</v>
      </c>
      <c r="AA107" s="104">
        <f t="shared" si="8"/>
        <v>1.4381420276909251E-2</v>
      </c>
      <c r="AC107" s="132">
        <v>45499.645833333336</v>
      </c>
      <c r="AD107">
        <v>313.55</v>
      </c>
      <c r="AE107" s="104">
        <f t="shared" si="9"/>
        <v>2.9044962257958717E-2</v>
      </c>
    </row>
    <row r="108" spans="2:31" x14ac:dyDescent="0.3">
      <c r="B108" s="102">
        <v>45492.645833333336</v>
      </c>
      <c r="C108">
        <v>3259</v>
      </c>
      <c r="D108" s="104">
        <f t="shared" si="5"/>
        <v>-6.7298198417354738E-2</v>
      </c>
      <c r="F108" s="102">
        <v>45492.645833333336</v>
      </c>
      <c r="G108" s="108">
        <v>24530.9</v>
      </c>
      <c r="H108" s="104">
        <f t="shared" si="6"/>
        <v>-1.2238849842056476E-2</v>
      </c>
      <c r="U108" s="102">
        <v>45492.645833333336</v>
      </c>
      <c r="V108">
        <v>1671.13</v>
      </c>
      <c r="W108" s="104">
        <f t="shared" si="7"/>
        <v>-2.069794016818538E-2</v>
      </c>
      <c r="Y108" s="102">
        <v>45492.645833333336</v>
      </c>
      <c r="Z108">
        <v>528.95000000000005</v>
      </c>
      <c r="AA108" s="104">
        <f t="shared" si="8"/>
        <v>-6.8421979570271074E-2</v>
      </c>
      <c r="AC108" s="132">
        <v>45492.645833333336</v>
      </c>
      <c r="AD108">
        <v>300.89999999999998</v>
      </c>
      <c r="AE108" s="104">
        <f t="shared" si="9"/>
        <v>-4.0344442672620051E-2</v>
      </c>
    </row>
    <row r="109" spans="2:31" x14ac:dyDescent="0.3">
      <c r="B109" s="102">
        <v>45485.645833333336</v>
      </c>
      <c r="C109">
        <v>3229.85</v>
      </c>
      <c r="D109" s="104">
        <f t="shared" si="5"/>
        <v>-8.9444614912550513E-3</v>
      </c>
      <c r="F109" s="102">
        <v>45485.645833333336</v>
      </c>
      <c r="G109" s="108">
        <v>24502.15</v>
      </c>
      <c r="H109" s="104">
        <f t="shared" si="6"/>
        <v>-1.1719912436967128E-3</v>
      </c>
      <c r="U109" s="102">
        <v>45485.645833333336</v>
      </c>
      <c r="V109">
        <v>1707.65</v>
      </c>
      <c r="W109" s="104">
        <f t="shared" si="7"/>
        <v>2.1853476390226945E-2</v>
      </c>
      <c r="Y109" s="102">
        <v>45485.645833333336</v>
      </c>
      <c r="Z109">
        <v>505.25</v>
      </c>
      <c r="AA109" s="104">
        <f t="shared" si="8"/>
        <v>-4.4805747235088456E-2</v>
      </c>
      <c r="AC109" s="132">
        <v>45485.645833333336</v>
      </c>
      <c r="AD109">
        <v>311.14999999999998</v>
      </c>
      <c r="AE109" s="104">
        <f t="shared" si="9"/>
        <v>3.4064473246925964E-2</v>
      </c>
    </row>
    <row r="110" spans="2:31" x14ac:dyDescent="0.3">
      <c r="B110" s="102">
        <v>45478.645833333336</v>
      </c>
      <c r="C110">
        <v>3269.35</v>
      </c>
      <c r="D110" s="104">
        <f t="shared" si="5"/>
        <v>1.2229670108518942E-2</v>
      </c>
      <c r="F110" s="102">
        <v>45478.645833333336</v>
      </c>
      <c r="G110" s="108">
        <v>24323.85</v>
      </c>
      <c r="H110" s="104">
        <f t="shared" si="6"/>
        <v>-7.2769124342150215E-3</v>
      </c>
      <c r="U110" s="102">
        <v>45478.645833333336</v>
      </c>
      <c r="V110">
        <v>1707.51</v>
      </c>
      <c r="W110" s="104">
        <f t="shared" si="7"/>
        <v>-8.1984013117541998E-5</v>
      </c>
      <c r="Y110" s="102">
        <v>45478.645833333336</v>
      </c>
      <c r="Z110">
        <v>495.3</v>
      </c>
      <c r="AA110" s="104">
        <f t="shared" si="8"/>
        <v>-1.9693221177634834E-2</v>
      </c>
      <c r="AC110" s="132">
        <v>45478.645833333336</v>
      </c>
      <c r="AD110">
        <v>287.10000000000002</v>
      </c>
      <c r="AE110" s="104">
        <f t="shared" si="9"/>
        <v>-7.7293909689860052E-2</v>
      </c>
    </row>
    <row r="111" spans="2:31" x14ac:dyDescent="0.3">
      <c r="B111" s="102">
        <v>45471.645833333336</v>
      </c>
      <c r="C111">
        <v>3404.2</v>
      </c>
      <c r="D111" s="104">
        <f t="shared" si="5"/>
        <v>4.1246731001575165E-2</v>
      </c>
      <c r="F111" s="102">
        <v>45471.645833333336</v>
      </c>
      <c r="G111" s="108">
        <v>24010.6</v>
      </c>
      <c r="H111" s="104">
        <f t="shared" si="6"/>
        <v>-1.2878306682535867E-2</v>
      </c>
      <c r="U111" s="102">
        <v>45471.645833333336</v>
      </c>
      <c r="V111">
        <v>1662.49</v>
      </c>
      <c r="W111" s="104">
        <f t="shared" si="7"/>
        <v>-2.6365877798665838E-2</v>
      </c>
      <c r="Y111" s="102">
        <v>45471.645833333336</v>
      </c>
      <c r="Z111">
        <v>501.15</v>
      </c>
      <c r="AA111" s="104">
        <f t="shared" si="8"/>
        <v>1.1811023622047223E-2</v>
      </c>
      <c r="AC111" s="132">
        <v>45471.645833333336</v>
      </c>
      <c r="AD111">
        <v>282.10000000000002</v>
      </c>
      <c r="AE111" s="104">
        <f t="shared" si="9"/>
        <v>-1.7415534656913922E-2</v>
      </c>
    </row>
    <row r="112" spans="2:31" x14ac:dyDescent="0.3">
      <c r="B112" s="102">
        <v>45464.645833333336</v>
      </c>
      <c r="C112">
        <v>3399.75</v>
      </c>
      <c r="D112" s="104">
        <f t="shared" si="5"/>
        <v>-1.3072087421419631E-3</v>
      </c>
      <c r="F112" s="102">
        <v>45464.645833333336</v>
      </c>
      <c r="G112" s="108">
        <v>23501.1</v>
      </c>
      <c r="H112" s="104">
        <f t="shared" si="6"/>
        <v>-2.1219794590722429E-2</v>
      </c>
      <c r="U112" s="102">
        <v>45464.645833333336</v>
      </c>
      <c r="V112">
        <v>1590.36</v>
      </c>
      <c r="W112" s="104">
        <f t="shared" si="7"/>
        <v>-4.3386727138208458E-2</v>
      </c>
      <c r="Y112" s="102">
        <v>45464.645833333336</v>
      </c>
      <c r="Z112">
        <v>453</v>
      </c>
      <c r="AA112" s="104">
        <f t="shared" si="8"/>
        <v>-9.6079018258006577E-2</v>
      </c>
      <c r="AC112" s="132">
        <v>45464.645833333336</v>
      </c>
      <c r="AD112">
        <v>288.7</v>
      </c>
      <c r="AE112" s="104">
        <f t="shared" si="9"/>
        <v>2.3395958879829815E-2</v>
      </c>
    </row>
    <row r="113" spans="2:31" x14ac:dyDescent="0.3">
      <c r="B113" s="102">
        <v>45457.645833333336</v>
      </c>
      <c r="C113">
        <v>3530.05</v>
      </c>
      <c r="D113" s="104">
        <f t="shared" si="5"/>
        <v>3.8326347525553306E-2</v>
      </c>
      <c r="F113" s="102">
        <v>45457.645833333336</v>
      </c>
      <c r="G113" s="108">
        <v>23465.599999999999</v>
      </c>
      <c r="H113" s="104">
        <f t="shared" si="6"/>
        <v>-1.5105675904532045E-3</v>
      </c>
      <c r="U113" s="102">
        <v>45457.645833333336</v>
      </c>
      <c r="V113">
        <v>1377.28</v>
      </c>
      <c r="W113" s="104">
        <f t="shared" si="7"/>
        <v>-0.13398224301416028</v>
      </c>
      <c r="Y113" s="102">
        <v>45457.645833333336</v>
      </c>
      <c r="Z113">
        <v>400.5</v>
      </c>
      <c r="AA113" s="104">
        <f t="shared" si="8"/>
        <v>-0.11589403973509937</v>
      </c>
      <c r="AC113" s="132">
        <v>45457.645833333336</v>
      </c>
      <c r="AD113">
        <v>290.89999999999998</v>
      </c>
      <c r="AE113" s="104">
        <f t="shared" si="9"/>
        <v>7.6203671631451808E-3</v>
      </c>
    </row>
    <row r="114" spans="2:31" x14ac:dyDescent="0.3">
      <c r="B114" s="102">
        <v>45450.645833333336</v>
      </c>
      <c r="C114">
        <v>3444.05</v>
      </c>
      <c r="D114" s="104">
        <f t="shared" si="5"/>
        <v>-2.4362261157773957E-2</v>
      </c>
      <c r="F114" s="102">
        <v>45450.645833333336</v>
      </c>
      <c r="G114" s="108">
        <v>23290.15</v>
      </c>
      <c r="H114" s="104">
        <f t="shared" si="6"/>
        <v>-7.4769023591980677E-3</v>
      </c>
      <c r="U114" s="102">
        <v>45450.645833333336</v>
      </c>
      <c r="V114">
        <v>1284.44</v>
      </c>
      <c r="W114" s="104">
        <f t="shared" si="7"/>
        <v>-6.7408224907063108E-2</v>
      </c>
      <c r="Y114" s="102">
        <v>45450.645833333336</v>
      </c>
      <c r="Z114">
        <v>407.85</v>
      </c>
      <c r="AA114" s="104">
        <f t="shared" si="8"/>
        <v>1.83520599250937E-2</v>
      </c>
      <c r="AC114" s="132">
        <v>45450.645833333336</v>
      </c>
      <c r="AD114">
        <v>279.55</v>
      </c>
      <c r="AE114" s="104">
        <f t="shared" si="9"/>
        <v>-3.9016844276383522E-2</v>
      </c>
    </row>
    <row r="115" spans="2:31" x14ac:dyDescent="0.3">
      <c r="B115" s="102">
        <v>45443.645833333336</v>
      </c>
      <c r="C115">
        <v>3241.9</v>
      </c>
      <c r="D115" s="104">
        <f t="shared" si="5"/>
        <v>-5.8695431250998076E-2</v>
      </c>
      <c r="F115" s="102">
        <v>45443.645833333336</v>
      </c>
      <c r="G115" s="108">
        <v>22530.7</v>
      </c>
      <c r="H115" s="104">
        <f t="shared" si="6"/>
        <v>-3.2608205614820029E-2</v>
      </c>
      <c r="U115" s="102">
        <v>45443.645833333336</v>
      </c>
      <c r="V115">
        <v>1197.43</v>
      </c>
      <c r="W115" s="104">
        <f t="shared" si="7"/>
        <v>-6.7741583880913114E-2</v>
      </c>
      <c r="Y115" s="102">
        <v>45443.645833333336</v>
      </c>
      <c r="Z115">
        <v>388.45</v>
      </c>
      <c r="AA115" s="104">
        <f t="shared" si="8"/>
        <v>-4.7566507294348526E-2</v>
      </c>
      <c r="AC115" s="132">
        <v>45443.645833333336</v>
      </c>
      <c r="AD115">
        <v>296.5</v>
      </c>
      <c r="AE115" s="104">
        <f t="shared" si="9"/>
        <v>6.0633160436415645E-2</v>
      </c>
    </row>
    <row r="116" spans="2:31" x14ac:dyDescent="0.3">
      <c r="B116" s="102">
        <v>45436.645833333336</v>
      </c>
      <c r="C116">
        <v>3412.4</v>
      </c>
      <c r="D116" s="104">
        <f t="shared" si="5"/>
        <v>5.2592615441562129E-2</v>
      </c>
      <c r="F116" s="102">
        <v>45436.645833333336</v>
      </c>
      <c r="G116" s="108">
        <v>22957.1</v>
      </c>
      <c r="H116" s="104">
        <f t="shared" si="6"/>
        <v>1.8925288606212787E-2</v>
      </c>
      <c r="U116" s="102">
        <v>45436.645833333336</v>
      </c>
      <c r="V116">
        <v>1217.58</v>
      </c>
      <c r="W116" s="104">
        <f t="shared" si="7"/>
        <v>1.6827706003691212E-2</v>
      </c>
      <c r="Y116" s="102">
        <v>45436.645833333336</v>
      </c>
      <c r="Z116">
        <v>401.95</v>
      </c>
      <c r="AA116" s="104">
        <f t="shared" si="8"/>
        <v>3.4753507529926564E-2</v>
      </c>
      <c r="AC116" s="132">
        <v>45436.645833333336</v>
      </c>
      <c r="AD116">
        <v>302.75</v>
      </c>
      <c r="AE116" s="104">
        <f t="shared" si="9"/>
        <v>2.1079258010118007E-2</v>
      </c>
    </row>
    <row r="117" spans="2:31" x14ac:dyDescent="0.3">
      <c r="B117" s="102">
        <v>45422.645833333336</v>
      </c>
      <c r="C117">
        <v>3289.85</v>
      </c>
      <c r="D117" s="104">
        <f t="shared" si="5"/>
        <v>-3.5913140311804037E-2</v>
      </c>
      <c r="F117" s="102">
        <v>45422.645833333336</v>
      </c>
      <c r="G117" s="108">
        <v>22055.200000000001</v>
      </c>
      <c r="H117" s="104">
        <f t="shared" si="6"/>
        <v>-3.9286321007444225E-2</v>
      </c>
      <c r="U117" s="102">
        <v>45422.645833333336</v>
      </c>
      <c r="V117">
        <v>1185.55</v>
      </c>
      <c r="W117" s="104">
        <f t="shared" si="7"/>
        <v>-2.6306279669508381E-2</v>
      </c>
      <c r="Y117" s="102">
        <v>45422.645833333336</v>
      </c>
      <c r="Z117">
        <v>410.55</v>
      </c>
      <c r="AA117" s="104">
        <f t="shared" si="8"/>
        <v>2.1395695982087348E-2</v>
      </c>
      <c r="AC117" s="132">
        <v>45422.645833333336</v>
      </c>
      <c r="AD117">
        <v>304.35000000000002</v>
      </c>
      <c r="AE117" s="104">
        <f t="shared" si="9"/>
        <v>5.2848885218828023E-3</v>
      </c>
    </row>
    <row r="118" spans="2:31" x14ac:dyDescent="0.3">
      <c r="B118" s="102">
        <v>45415.645833333336</v>
      </c>
      <c r="C118">
        <v>3533.9</v>
      </c>
      <c r="D118" s="104">
        <f t="shared" si="5"/>
        <v>7.4182713497575881E-2</v>
      </c>
      <c r="F118" s="102">
        <v>45415.645833333336</v>
      </c>
      <c r="G118" s="108">
        <v>22475.85</v>
      </c>
      <c r="H118" s="104">
        <f t="shared" si="6"/>
        <v>1.9072599659037293E-2</v>
      </c>
      <c r="U118" s="102">
        <v>45415.645833333336</v>
      </c>
      <c r="V118">
        <v>1242.31</v>
      </c>
      <c r="W118" s="104">
        <f t="shared" si="7"/>
        <v>4.787651301083895E-2</v>
      </c>
      <c r="Y118" s="102">
        <v>45415.645833333336</v>
      </c>
      <c r="Z118">
        <v>406.1</v>
      </c>
      <c r="AA118" s="104">
        <f t="shared" si="8"/>
        <v>-1.0839118255998037E-2</v>
      </c>
      <c r="AC118" s="132">
        <v>45415.645833333336</v>
      </c>
      <c r="AD118">
        <v>309.60000000000002</v>
      </c>
      <c r="AE118" s="104">
        <f t="shared" si="9"/>
        <v>1.7249876786594287E-2</v>
      </c>
    </row>
    <row r="119" spans="2:31" x14ac:dyDescent="0.3">
      <c r="B119" s="102">
        <v>45408.645833333336</v>
      </c>
      <c r="C119">
        <v>3584.8</v>
      </c>
      <c r="D119" s="104">
        <f t="shared" si="5"/>
        <v>1.4403350406066995E-2</v>
      </c>
      <c r="F119" s="102">
        <v>45408.645833333336</v>
      </c>
      <c r="G119" s="108">
        <v>22419.95</v>
      </c>
      <c r="H119" s="104">
        <f t="shared" si="6"/>
        <v>-2.4871139467471659E-3</v>
      </c>
      <c r="U119" s="102">
        <v>45408.645833333336</v>
      </c>
      <c r="V119">
        <v>1273.08</v>
      </c>
      <c r="W119" s="104">
        <f t="shared" si="7"/>
        <v>2.4768375043266122E-2</v>
      </c>
      <c r="Y119" s="102">
        <v>45408.645833333336</v>
      </c>
      <c r="Z119">
        <v>419.4</v>
      </c>
      <c r="AA119" s="104">
        <f t="shared" si="8"/>
        <v>3.2750554050726244E-2</v>
      </c>
      <c r="AC119" s="132">
        <v>45408.645833333336</v>
      </c>
      <c r="AD119">
        <v>318.85000000000002</v>
      </c>
      <c r="AE119" s="104">
        <f t="shared" si="9"/>
        <v>2.9877260981912235E-2</v>
      </c>
    </row>
    <row r="120" spans="2:31" x14ac:dyDescent="0.3">
      <c r="B120" s="102">
        <v>45401.645833333336</v>
      </c>
      <c r="C120">
        <v>3563.05</v>
      </c>
      <c r="D120" s="104">
        <f t="shared" si="5"/>
        <v>-6.0672840883730927E-3</v>
      </c>
      <c r="F120" s="102">
        <v>45401.645833333336</v>
      </c>
      <c r="G120" s="108">
        <v>22147</v>
      </c>
      <c r="H120" s="104">
        <f t="shared" si="6"/>
        <v>-1.2174425009868428E-2</v>
      </c>
      <c r="U120" s="102">
        <v>45401.645833333336</v>
      </c>
      <c r="V120">
        <v>1255.6400000000001</v>
      </c>
      <c r="W120" s="104">
        <f t="shared" si="7"/>
        <v>-1.3699060546077058E-2</v>
      </c>
      <c r="Y120" s="102">
        <v>45401.645833333336</v>
      </c>
      <c r="Z120">
        <v>408.55</v>
      </c>
      <c r="AA120" s="104">
        <f t="shared" si="8"/>
        <v>-2.5870290891750081E-2</v>
      </c>
      <c r="AC120" s="132">
        <v>45401.645833333336</v>
      </c>
      <c r="AD120">
        <v>286.35000000000002</v>
      </c>
      <c r="AE120" s="104">
        <f t="shared" si="9"/>
        <v>-0.10192880664889448</v>
      </c>
    </row>
    <row r="121" spans="2:31" x14ac:dyDescent="0.3">
      <c r="B121" s="102">
        <v>45394.645833333336</v>
      </c>
      <c r="C121">
        <v>3619.3</v>
      </c>
      <c r="D121" s="104">
        <f t="shared" si="5"/>
        <v>1.5787036387364672E-2</v>
      </c>
      <c r="F121" s="102">
        <v>45394.645833333336</v>
      </c>
      <c r="G121" s="108">
        <v>22519.4</v>
      </c>
      <c r="H121" s="104">
        <f t="shared" si="6"/>
        <v>1.6814918499119536E-2</v>
      </c>
      <c r="U121" s="102">
        <v>45394.645833333336</v>
      </c>
      <c r="V121">
        <v>1247.67</v>
      </c>
      <c r="W121" s="104">
        <f t="shared" si="7"/>
        <v>-6.3473607084832961E-3</v>
      </c>
      <c r="Y121" s="102">
        <v>45394.645833333336</v>
      </c>
      <c r="Z121">
        <v>427.75</v>
      </c>
      <c r="AA121" s="104">
        <f t="shared" si="8"/>
        <v>4.6995471790478582E-2</v>
      </c>
      <c r="AC121" s="132">
        <v>45394.645833333336</v>
      </c>
      <c r="AD121">
        <v>298.39999999999998</v>
      </c>
      <c r="AE121" s="104">
        <f t="shared" si="9"/>
        <v>4.2081368954077103E-2</v>
      </c>
    </row>
    <row r="122" spans="2:31" x14ac:dyDescent="0.3">
      <c r="B122" s="102">
        <v>45387.645833333336</v>
      </c>
      <c r="C122">
        <v>3754.45</v>
      </c>
      <c r="D122" s="104">
        <f t="shared" si="5"/>
        <v>3.7341474870831171E-2</v>
      </c>
      <c r="F122" s="102">
        <v>45387.645833333336</v>
      </c>
      <c r="G122" s="108">
        <v>22513.7</v>
      </c>
      <c r="H122" s="104">
        <f t="shared" si="6"/>
        <v>-2.5311509187642134E-4</v>
      </c>
      <c r="U122" s="102">
        <v>45387.645833333336</v>
      </c>
      <c r="V122">
        <v>1267.04</v>
      </c>
      <c r="W122" s="104">
        <f t="shared" si="7"/>
        <v>1.5524938485336648E-2</v>
      </c>
      <c r="Y122" s="102">
        <v>45387.645833333336</v>
      </c>
      <c r="Z122">
        <v>430.5</v>
      </c>
      <c r="AA122" s="104">
        <f t="shared" si="8"/>
        <v>6.4289888953827923E-3</v>
      </c>
      <c r="AC122" s="132">
        <v>45387.645833333336</v>
      </c>
      <c r="AD122">
        <v>307.45</v>
      </c>
      <c r="AE122" s="104">
        <f t="shared" si="9"/>
        <v>3.0328418230562981E-2</v>
      </c>
    </row>
    <row r="123" spans="2:31" x14ac:dyDescent="0.3">
      <c r="B123" s="102">
        <v>45379.645833333336</v>
      </c>
      <c r="C123">
        <v>3801.8</v>
      </c>
      <c r="D123" s="104">
        <f t="shared" si="5"/>
        <v>1.261170078173901E-2</v>
      </c>
      <c r="F123" s="102">
        <v>45379.645833333336</v>
      </c>
      <c r="G123" s="108">
        <v>22326.9</v>
      </c>
      <c r="H123" s="104">
        <f t="shared" si="6"/>
        <v>-8.2971701674979803E-3</v>
      </c>
      <c r="U123" s="102">
        <v>45379.645833333336</v>
      </c>
      <c r="V123">
        <v>1244.2</v>
      </c>
      <c r="W123" s="104">
        <f t="shared" si="7"/>
        <v>-1.8026265942669428E-2</v>
      </c>
      <c r="Y123" s="102">
        <v>45379.645833333336</v>
      </c>
      <c r="Z123">
        <v>427.8</v>
      </c>
      <c r="AA123" s="104">
        <f t="shared" si="8"/>
        <v>-6.2717770034842468E-3</v>
      </c>
      <c r="AC123" s="132">
        <v>45379.645833333336</v>
      </c>
      <c r="AD123">
        <v>263.55</v>
      </c>
      <c r="AE123" s="104">
        <f t="shared" si="9"/>
        <v>-0.14278744511302643</v>
      </c>
    </row>
    <row r="124" spans="2:31" x14ac:dyDescent="0.3">
      <c r="B124" s="102">
        <v>45373.645833333336</v>
      </c>
      <c r="C124">
        <v>3706.7</v>
      </c>
      <c r="D124" s="104">
        <f t="shared" si="5"/>
        <v>-2.5014466831500992E-2</v>
      </c>
      <c r="F124" s="102">
        <v>45373.645833333336</v>
      </c>
      <c r="G124" s="108">
        <v>22096.75</v>
      </c>
      <c r="H124" s="104">
        <f t="shared" si="6"/>
        <v>-1.0308193255669229E-2</v>
      </c>
      <c r="U124" s="102">
        <v>45373.645833333336</v>
      </c>
      <c r="V124">
        <v>1167.73</v>
      </c>
      <c r="W124" s="104">
        <f t="shared" si="7"/>
        <v>-6.1461179874618299E-2</v>
      </c>
      <c r="Y124" s="102">
        <v>45373.645833333336</v>
      </c>
      <c r="Z124">
        <v>385.2</v>
      </c>
      <c r="AA124" s="104">
        <f t="shared" si="8"/>
        <v>-9.9579242636746224E-2</v>
      </c>
      <c r="AC124" s="132">
        <v>45373.645833333336</v>
      </c>
      <c r="AD124">
        <v>284.75</v>
      </c>
      <c r="AE124" s="104">
        <f t="shared" si="9"/>
        <v>8.0440144185164097E-2</v>
      </c>
    </row>
    <row r="125" spans="2:31" x14ac:dyDescent="0.3">
      <c r="B125" s="102">
        <v>45366.645833333336</v>
      </c>
      <c r="C125">
        <v>3633.2</v>
      </c>
      <c r="D125" s="104">
        <f t="shared" si="5"/>
        <v>-1.9828958372676508E-2</v>
      </c>
      <c r="F125" s="102">
        <v>45366.645833333336</v>
      </c>
      <c r="G125" s="108">
        <v>22023.35</v>
      </c>
      <c r="H125" s="104">
        <f t="shared" si="6"/>
        <v>-3.3217554617761547E-3</v>
      </c>
      <c r="U125" s="102">
        <v>45366.645833333336</v>
      </c>
      <c r="V125">
        <v>1130.19</v>
      </c>
      <c r="W125" s="104">
        <f t="shared" si="7"/>
        <v>-3.2147842395074178E-2</v>
      </c>
      <c r="Y125" s="102">
        <v>45366.645833333336</v>
      </c>
      <c r="Z125">
        <v>370.05</v>
      </c>
      <c r="AA125" s="104">
        <f t="shared" si="8"/>
        <v>-3.9330218068535761E-2</v>
      </c>
      <c r="AC125" s="132">
        <v>45366.645833333336</v>
      </c>
      <c r="AD125">
        <v>289.3</v>
      </c>
      <c r="AE125" s="104">
        <f t="shared" si="9"/>
        <v>1.5978928884986976E-2</v>
      </c>
    </row>
    <row r="126" spans="2:31" x14ac:dyDescent="0.3">
      <c r="B126" s="102">
        <v>45358.645833333336</v>
      </c>
      <c r="C126">
        <v>3786.9</v>
      </c>
      <c r="D126" s="104">
        <f t="shared" si="5"/>
        <v>4.2304304745128363E-2</v>
      </c>
      <c r="F126" s="102">
        <v>45358.645833333336</v>
      </c>
      <c r="G126" s="108">
        <v>22493.55</v>
      </c>
      <c r="H126" s="104">
        <f t="shared" si="6"/>
        <v>2.1350067087886337E-2</v>
      </c>
      <c r="U126" s="102">
        <v>45358.645833333336</v>
      </c>
      <c r="V126">
        <v>1257.96</v>
      </c>
      <c r="W126" s="104">
        <f t="shared" si="7"/>
        <v>0.11305178775250169</v>
      </c>
      <c r="Y126" s="102">
        <v>45358.645833333336</v>
      </c>
      <c r="Z126">
        <v>409.45</v>
      </c>
      <c r="AA126" s="104">
        <f t="shared" si="8"/>
        <v>0.10647209836508575</v>
      </c>
      <c r="AC126" s="132">
        <v>45358.645833333336</v>
      </c>
      <c r="AD126">
        <v>317.7</v>
      </c>
      <c r="AE126" s="104">
        <f t="shared" si="9"/>
        <v>9.8167991704113389E-2</v>
      </c>
    </row>
    <row r="127" spans="2:31" x14ac:dyDescent="0.3">
      <c r="B127" s="102">
        <v>45345.645833333336</v>
      </c>
      <c r="C127">
        <v>3691.95</v>
      </c>
      <c r="D127" s="104">
        <f t="shared" si="5"/>
        <v>-2.5073278935276999E-2</v>
      </c>
      <c r="F127" s="102">
        <v>45345.645833333336</v>
      </c>
      <c r="G127" s="108">
        <v>22212.7</v>
      </c>
      <c r="H127" s="104">
        <f t="shared" si="6"/>
        <v>-1.248580148531464E-2</v>
      </c>
      <c r="U127" s="102">
        <v>45345.645833333336</v>
      </c>
      <c r="V127">
        <v>1285.98</v>
      </c>
      <c r="W127" s="104">
        <f t="shared" si="7"/>
        <v>2.2274158160831892E-2</v>
      </c>
      <c r="Y127" s="102">
        <v>45345.645833333336</v>
      </c>
      <c r="Z127">
        <v>384.65</v>
      </c>
      <c r="AA127" s="104">
        <f t="shared" si="8"/>
        <v>-6.0569056050799874E-2</v>
      </c>
      <c r="AC127" s="132">
        <v>45345.645833333336</v>
      </c>
      <c r="AD127">
        <v>331.6</v>
      </c>
      <c r="AE127" s="104">
        <f t="shared" si="9"/>
        <v>4.3751967264715308E-2</v>
      </c>
    </row>
    <row r="128" spans="2:31" x14ac:dyDescent="0.3">
      <c r="B128" s="102">
        <v>45338.645833333336</v>
      </c>
      <c r="C128">
        <v>3655.4</v>
      </c>
      <c r="D128" s="104">
        <f t="shared" si="5"/>
        <v>-9.8999173878302482E-3</v>
      </c>
      <c r="F128" s="102">
        <v>45338.645833333336</v>
      </c>
      <c r="G128" s="108">
        <v>22040.7</v>
      </c>
      <c r="H128" s="104">
        <f t="shared" si="6"/>
        <v>-7.7433180117680855E-3</v>
      </c>
      <c r="U128" s="102">
        <v>45338.645833333336</v>
      </c>
      <c r="V128">
        <v>1290.9100000000001</v>
      </c>
      <c r="W128" s="104">
        <f t="shared" si="7"/>
        <v>3.8336521563322457E-3</v>
      </c>
      <c r="Y128" s="102">
        <v>45338.645833333336</v>
      </c>
      <c r="Z128">
        <v>384.6</v>
      </c>
      <c r="AA128" s="104">
        <f t="shared" si="8"/>
        <v>-1.2998830105281911E-4</v>
      </c>
      <c r="AC128" s="132">
        <v>45338.645833333336</v>
      </c>
      <c r="AD128">
        <v>303.89999999999998</v>
      </c>
      <c r="AE128" s="104">
        <f t="shared" si="9"/>
        <v>-8.3534378769602013E-2</v>
      </c>
    </row>
    <row r="129" spans="2:31" x14ac:dyDescent="0.3">
      <c r="B129" s="102">
        <v>45331.645833333336</v>
      </c>
      <c r="C129">
        <v>3591.6</v>
      </c>
      <c r="D129" s="104">
        <f t="shared" si="5"/>
        <v>-1.7453630245664042E-2</v>
      </c>
      <c r="F129" s="102">
        <v>45331.645833333336</v>
      </c>
      <c r="G129" s="108">
        <v>21782.5</v>
      </c>
      <c r="H129" s="104">
        <f t="shared" si="6"/>
        <v>-1.1714691457167858E-2</v>
      </c>
      <c r="U129" s="102">
        <v>45331.645833333336</v>
      </c>
      <c r="V129">
        <v>1304.82</v>
      </c>
      <c r="W129" s="104">
        <f t="shared" si="7"/>
        <v>1.0775344524405206E-2</v>
      </c>
      <c r="Y129" s="102">
        <v>45331.645833333336</v>
      </c>
      <c r="Z129">
        <v>357.95</v>
      </c>
      <c r="AA129" s="104">
        <f t="shared" si="8"/>
        <v>-6.9292771710868561E-2</v>
      </c>
      <c r="AC129" s="132">
        <v>45331.645833333336</v>
      </c>
      <c r="AD129">
        <v>349.5</v>
      </c>
      <c r="AE129" s="104">
        <f t="shared" si="9"/>
        <v>0.15004935834155986</v>
      </c>
    </row>
    <row r="130" spans="2:31" x14ac:dyDescent="0.3">
      <c r="B130" s="102">
        <v>45324.645833333336</v>
      </c>
      <c r="C130">
        <v>3612.4</v>
      </c>
      <c r="D130" s="104">
        <f t="shared" si="5"/>
        <v>5.7912907896202626E-3</v>
      </c>
      <c r="F130" s="102">
        <v>45324.645833333336</v>
      </c>
      <c r="G130" s="108">
        <v>21853.8</v>
      </c>
      <c r="H130" s="104">
        <f t="shared" si="6"/>
        <v>3.273269826695735E-3</v>
      </c>
      <c r="U130" s="102">
        <v>45324.645833333336</v>
      </c>
      <c r="V130">
        <v>1372.26</v>
      </c>
      <c r="W130" s="104">
        <f t="shared" si="7"/>
        <v>5.1685289925047284E-2</v>
      </c>
      <c r="Y130" s="102">
        <v>45324.645833333336</v>
      </c>
      <c r="Z130">
        <v>347.9</v>
      </c>
      <c r="AA130" s="104">
        <f t="shared" si="8"/>
        <v>-2.807654700377149E-2</v>
      </c>
      <c r="AC130" s="132">
        <v>45324.645833333336</v>
      </c>
      <c r="AD130">
        <v>353</v>
      </c>
      <c r="AE130" s="104">
        <f t="shared" si="9"/>
        <v>1.0014306151645114E-2</v>
      </c>
    </row>
    <row r="131" spans="2:31" x14ac:dyDescent="0.3">
      <c r="B131" s="102">
        <v>45316.645833333336</v>
      </c>
      <c r="C131">
        <v>3770.2</v>
      </c>
      <c r="D131" s="104">
        <f t="shared" si="5"/>
        <v>4.3682870114051475E-2</v>
      </c>
      <c r="F131" s="102">
        <v>45316.645833333336</v>
      </c>
      <c r="G131" s="108">
        <v>21352.6</v>
      </c>
      <c r="H131" s="104">
        <f t="shared" si="6"/>
        <v>-2.2934226541837188E-2</v>
      </c>
      <c r="U131" s="102">
        <v>45316.645833333336</v>
      </c>
      <c r="V131">
        <v>1297.33</v>
      </c>
      <c r="W131" s="104">
        <f t="shared" si="7"/>
        <v>-5.4603355049334668E-2</v>
      </c>
      <c r="Y131" s="102">
        <v>45316.645833333336</v>
      </c>
      <c r="Z131">
        <v>354.95</v>
      </c>
      <c r="AA131" s="104">
        <f t="shared" si="8"/>
        <v>2.0264443805691368E-2</v>
      </c>
      <c r="AC131" s="132">
        <v>45316.645833333336</v>
      </c>
      <c r="AD131">
        <v>351.35</v>
      </c>
      <c r="AE131" s="104">
        <f t="shared" si="9"/>
        <v>-4.674220963172715E-3</v>
      </c>
    </row>
    <row r="132" spans="2:31" x14ac:dyDescent="0.3">
      <c r="B132" s="102">
        <v>45303.645833333336</v>
      </c>
      <c r="C132">
        <v>3726</v>
      </c>
      <c r="D132" s="104">
        <f t="shared" si="5"/>
        <v>-1.1723515993846467E-2</v>
      </c>
      <c r="F132" s="102">
        <v>45303.645833333336</v>
      </c>
      <c r="G132" s="108">
        <v>21894.55</v>
      </c>
      <c r="H132" s="104">
        <f t="shared" si="6"/>
        <v>2.5380984048781086E-2</v>
      </c>
      <c r="U132" s="102">
        <v>45303.645833333336</v>
      </c>
      <c r="V132">
        <v>1327.81</v>
      </c>
      <c r="W132" s="104">
        <f t="shared" si="7"/>
        <v>2.3494407745138002E-2</v>
      </c>
      <c r="Y132" s="102">
        <v>45303.645833333336</v>
      </c>
      <c r="Z132">
        <v>389.4</v>
      </c>
      <c r="AA132" s="104">
        <f t="shared" si="8"/>
        <v>9.7055923369488539E-2</v>
      </c>
      <c r="AC132" s="132">
        <v>45303.645833333336</v>
      </c>
      <c r="AD132">
        <v>370.55</v>
      </c>
      <c r="AE132" s="104">
        <f t="shared" si="9"/>
        <v>5.4646364024476979E-2</v>
      </c>
    </row>
    <row r="133" spans="2:31" x14ac:dyDescent="0.3">
      <c r="B133" s="102">
        <v>45296.645833333336</v>
      </c>
      <c r="C133">
        <v>3712.55</v>
      </c>
      <c r="D133" s="104">
        <f t="shared" si="5"/>
        <v>-3.609769189479306E-3</v>
      </c>
      <c r="F133" s="102">
        <v>45296.645833333336</v>
      </c>
      <c r="G133" s="108">
        <v>21710.799999999999</v>
      </c>
      <c r="H133" s="104">
        <f t="shared" si="6"/>
        <v>-8.3924995033010097E-3</v>
      </c>
      <c r="U133" s="102">
        <v>45296.645833333336</v>
      </c>
      <c r="V133">
        <v>1324.14</v>
      </c>
      <c r="W133" s="104">
        <f t="shared" si="7"/>
        <v>-2.7639496614725312E-3</v>
      </c>
      <c r="Y133" s="102">
        <v>45296.645833333336</v>
      </c>
      <c r="Z133">
        <v>357.75</v>
      </c>
      <c r="AA133" s="104">
        <f t="shared" si="8"/>
        <v>-8.1278890600924414E-2</v>
      </c>
      <c r="AC133" s="132">
        <v>45296.645833333336</v>
      </c>
      <c r="AD133">
        <v>374.45</v>
      </c>
      <c r="AE133" s="104">
        <f t="shared" si="9"/>
        <v>1.0524895425718439E-2</v>
      </c>
    </row>
    <row r="134" spans="2:31" x14ac:dyDescent="0.3">
      <c r="B134" s="102">
        <v>45289.645833333336</v>
      </c>
      <c r="C134">
        <v>3675.45</v>
      </c>
      <c r="D134" s="104">
        <f t="shared" si="5"/>
        <v>-9.9931314056377341E-3</v>
      </c>
      <c r="F134" s="102">
        <v>45289.645833333336</v>
      </c>
      <c r="G134" s="108">
        <v>21731.4</v>
      </c>
      <c r="H134" s="104">
        <f t="shared" si="6"/>
        <v>9.4883652375776784E-4</v>
      </c>
      <c r="U134" s="102">
        <v>45289.645833333336</v>
      </c>
      <c r="V134">
        <v>1440.85</v>
      </c>
      <c r="W134" s="104">
        <f t="shared" si="7"/>
        <v>8.8140226864228621E-2</v>
      </c>
      <c r="Y134" s="102">
        <v>45289.645833333336</v>
      </c>
      <c r="Z134">
        <v>354.1</v>
      </c>
      <c r="AA134" s="104">
        <f t="shared" si="8"/>
        <v>-1.0202655485674339E-2</v>
      </c>
      <c r="AC134" s="132">
        <v>45289.645833333336</v>
      </c>
      <c r="AD134">
        <v>366.55</v>
      </c>
      <c r="AE134" s="104">
        <f t="shared" si="9"/>
        <v>-2.1097609827747332E-2</v>
      </c>
    </row>
    <row r="135" spans="2:31" x14ac:dyDescent="0.3">
      <c r="B135" s="102">
        <v>45282.645833333336</v>
      </c>
      <c r="C135">
        <v>3627.35</v>
      </c>
      <c r="D135" s="104">
        <f t="shared" si="5"/>
        <v>-1.3086832904814383E-2</v>
      </c>
      <c r="F135" s="102">
        <v>45282.645833333336</v>
      </c>
      <c r="G135" s="108">
        <v>21349.4</v>
      </c>
      <c r="H135" s="104">
        <f t="shared" si="6"/>
        <v>-1.7578250825993735E-2</v>
      </c>
      <c r="U135" s="102">
        <v>45282.645833333336</v>
      </c>
      <c r="V135">
        <v>1362.55</v>
      </c>
      <c r="W135" s="104">
        <f t="shared" si="7"/>
        <v>-5.4342922580421282E-2</v>
      </c>
      <c r="Y135" s="102">
        <v>45282.645833333336</v>
      </c>
      <c r="Z135">
        <v>333.7</v>
      </c>
      <c r="AA135" s="104">
        <f t="shared" si="8"/>
        <v>-5.7610844394239025E-2</v>
      </c>
      <c r="AC135" s="132">
        <v>45282.645833333336</v>
      </c>
      <c r="AD135">
        <v>359.15</v>
      </c>
      <c r="AE135" s="104">
        <f t="shared" si="9"/>
        <v>-2.0188241713272492E-2</v>
      </c>
    </row>
    <row r="136" spans="2:31" x14ac:dyDescent="0.3">
      <c r="B136" s="102">
        <v>45275.645833333336</v>
      </c>
      <c r="C136">
        <v>3600.55</v>
      </c>
      <c r="D136" s="104">
        <f t="shared" si="5"/>
        <v>-7.3883137827890355E-3</v>
      </c>
      <c r="F136" s="102">
        <v>45275.645833333336</v>
      </c>
      <c r="G136" s="108">
        <v>21456.65</v>
      </c>
      <c r="H136" s="104">
        <f t="shared" si="6"/>
        <v>5.023560381087977E-3</v>
      </c>
      <c r="U136" s="102">
        <v>45275.645833333336</v>
      </c>
      <c r="V136">
        <v>1377.09</v>
      </c>
      <c r="W136" s="104">
        <f t="shared" si="7"/>
        <v>1.067116803053092E-2</v>
      </c>
      <c r="Y136" s="102">
        <v>45275.645833333336</v>
      </c>
      <c r="Z136">
        <v>316.2</v>
      </c>
      <c r="AA136" s="104">
        <f t="shared" si="8"/>
        <v>-5.244231345519923E-2</v>
      </c>
      <c r="AC136" s="132">
        <v>45275.645833333336</v>
      </c>
      <c r="AD136">
        <v>366.1</v>
      </c>
      <c r="AE136" s="104">
        <f t="shared" si="9"/>
        <v>1.9351245997494271E-2</v>
      </c>
    </row>
    <row r="137" spans="2:31" x14ac:dyDescent="0.3">
      <c r="B137" s="102">
        <v>45268.645833333336</v>
      </c>
      <c r="C137">
        <v>3634.65</v>
      </c>
      <c r="D137" s="104">
        <f t="shared" ref="D137:D200" si="10">C137/C136-1</f>
        <v>9.4707752982183813E-3</v>
      </c>
      <c r="F137" s="102">
        <v>45268.645833333336</v>
      </c>
      <c r="G137" s="108">
        <v>20969.400000000001</v>
      </c>
      <c r="H137" s="104">
        <f t="shared" ref="H137:H200" si="11">G137/G136-1</f>
        <v>-2.2708577527246754E-2</v>
      </c>
      <c r="U137" s="102">
        <v>45268.645833333336</v>
      </c>
      <c r="V137">
        <v>1359.46</v>
      </c>
      <c r="W137" s="104">
        <f t="shared" ref="W137:W200" si="12">V137/V136-1</f>
        <v>-1.2802358596751051E-2</v>
      </c>
      <c r="Y137" s="102">
        <v>45268.645833333336</v>
      </c>
      <c r="Z137">
        <v>323.60000000000002</v>
      </c>
      <c r="AA137" s="104">
        <f t="shared" ref="AA137:AA200" si="13">Z137/Z136-1</f>
        <v>2.3402909550917173E-2</v>
      </c>
      <c r="AC137" s="132">
        <v>45268.645833333336</v>
      </c>
      <c r="AD137">
        <v>357.7</v>
      </c>
      <c r="AE137" s="104">
        <f t="shared" ref="AE137:AE200" si="14">AD137/AD136-1</f>
        <v>-2.294455066921619E-2</v>
      </c>
    </row>
    <row r="138" spans="2:31" x14ac:dyDescent="0.3">
      <c r="B138" s="102">
        <v>45261.645833333336</v>
      </c>
      <c r="C138">
        <v>3489.5</v>
      </c>
      <c r="D138" s="104">
        <f t="shared" si="10"/>
        <v>-3.9935069401455414E-2</v>
      </c>
      <c r="F138" s="102">
        <v>45261.645833333336</v>
      </c>
      <c r="G138" s="108">
        <v>20267.900000000001</v>
      </c>
      <c r="H138" s="104">
        <f t="shared" si="11"/>
        <v>-3.3453508445639879E-2</v>
      </c>
      <c r="U138" s="102">
        <v>45261.645833333336</v>
      </c>
      <c r="V138">
        <v>1325.64</v>
      </c>
      <c r="W138" s="104">
        <f t="shared" si="12"/>
        <v>-2.4877524899592385E-2</v>
      </c>
      <c r="Y138" s="102">
        <v>45261.645833333336</v>
      </c>
      <c r="Z138">
        <v>334.85</v>
      </c>
      <c r="AA138" s="104">
        <f t="shared" si="13"/>
        <v>3.4765142150803507E-2</v>
      </c>
      <c r="AC138" s="132">
        <v>45261.645833333336</v>
      </c>
      <c r="AD138">
        <v>355.1</v>
      </c>
      <c r="AE138" s="104">
        <f t="shared" si="14"/>
        <v>-7.2686608890130122E-3</v>
      </c>
    </row>
    <row r="139" spans="2:31" x14ac:dyDescent="0.3">
      <c r="B139" s="102">
        <v>45254.645833333336</v>
      </c>
      <c r="C139">
        <v>3396.95</v>
      </c>
      <c r="D139" s="104">
        <f t="shared" si="10"/>
        <v>-2.6522424416105528E-2</v>
      </c>
      <c r="F139" s="102">
        <v>45254.645833333336</v>
      </c>
      <c r="G139" s="108">
        <v>19794.7</v>
      </c>
      <c r="H139" s="104">
        <f t="shared" si="11"/>
        <v>-2.3347263406667706E-2</v>
      </c>
      <c r="U139" s="102">
        <v>45254.645833333336</v>
      </c>
      <c r="V139">
        <v>1388.87</v>
      </c>
      <c r="W139" s="104">
        <f t="shared" si="12"/>
        <v>4.7697715820282927E-2</v>
      </c>
      <c r="Y139" s="102">
        <v>45254.645833333336</v>
      </c>
      <c r="Z139">
        <v>329.2</v>
      </c>
      <c r="AA139" s="104">
        <f t="shared" si="13"/>
        <v>-1.6873226817978315E-2</v>
      </c>
      <c r="AC139" s="132">
        <v>45254.645833333336</v>
      </c>
      <c r="AD139">
        <v>353.55</v>
      </c>
      <c r="AE139" s="104">
        <f t="shared" si="14"/>
        <v>-4.3649676147564653E-3</v>
      </c>
    </row>
    <row r="140" spans="2:31" x14ac:dyDescent="0.3">
      <c r="B140" s="102">
        <v>45247.645833333336</v>
      </c>
      <c r="C140">
        <v>3338.85</v>
      </c>
      <c r="D140" s="104">
        <f t="shared" si="10"/>
        <v>-1.7103578209864745E-2</v>
      </c>
      <c r="F140" s="102">
        <v>45247.645833333336</v>
      </c>
      <c r="G140" s="108">
        <v>19731.8</v>
      </c>
      <c r="H140" s="104">
        <f t="shared" si="11"/>
        <v>-3.1776182513502116E-3</v>
      </c>
      <c r="U140" s="102">
        <v>45247.645833333336</v>
      </c>
      <c r="V140">
        <v>1326.56</v>
      </c>
      <c r="W140" s="104">
        <f t="shared" si="12"/>
        <v>-4.4863810147817929E-2</v>
      </c>
      <c r="Y140" s="102">
        <v>45247.645833333336</v>
      </c>
      <c r="Z140">
        <v>317.10000000000002</v>
      </c>
      <c r="AA140" s="104">
        <f t="shared" si="13"/>
        <v>-3.6755771567436146E-2</v>
      </c>
      <c r="AC140" s="132">
        <v>45247.645833333336</v>
      </c>
      <c r="AD140">
        <v>377.9</v>
      </c>
      <c r="AE140" s="104">
        <f t="shared" si="14"/>
        <v>6.8872860981473494E-2</v>
      </c>
    </row>
    <row r="141" spans="2:31" x14ac:dyDescent="0.3">
      <c r="B141" s="102">
        <v>45240.645833333336</v>
      </c>
      <c r="C141">
        <v>3256.35</v>
      </c>
      <c r="D141" s="104">
        <f t="shared" si="10"/>
        <v>-2.4709106428860261E-2</v>
      </c>
      <c r="F141" s="102">
        <v>45240.645833333336</v>
      </c>
      <c r="G141" s="108">
        <v>19425.349999999999</v>
      </c>
      <c r="H141" s="104">
        <f t="shared" si="11"/>
        <v>-1.5530767593427863E-2</v>
      </c>
      <c r="U141" s="102">
        <v>45240.645833333336</v>
      </c>
      <c r="V141">
        <v>1298.25</v>
      </c>
      <c r="W141" s="104">
        <f t="shared" si="12"/>
        <v>-2.1340911832107068E-2</v>
      </c>
      <c r="Y141" s="102">
        <v>45240.645833333336</v>
      </c>
      <c r="Z141">
        <v>338.5</v>
      </c>
      <c r="AA141" s="104">
        <f t="shared" si="13"/>
        <v>6.7486597287921724E-2</v>
      </c>
      <c r="AC141" s="132">
        <v>45240.645833333336</v>
      </c>
      <c r="AD141">
        <v>434.6</v>
      </c>
      <c r="AE141" s="104">
        <f t="shared" si="14"/>
        <v>0.15003969304048703</v>
      </c>
    </row>
    <row r="142" spans="2:31" x14ac:dyDescent="0.3">
      <c r="B142" s="102">
        <v>45233.645833333336</v>
      </c>
      <c r="C142">
        <v>3274.5</v>
      </c>
      <c r="D142" s="104">
        <f t="shared" si="10"/>
        <v>5.5737251831038392E-3</v>
      </c>
      <c r="F142" s="102">
        <v>45233.645833333336</v>
      </c>
      <c r="G142" s="108">
        <v>19230.599999999999</v>
      </c>
      <c r="H142" s="104">
        <f t="shared" si="11"/>
        <v>-1.0025559385030358E-2</v>
      </c>
      <c r="U142" s="102">
        <v>45233.645833333336</v>
      </c>
      <c r="V142">
        <v>1188.69</v>
      </c>
      <c r="W142" s="104">
        <f t="shared" si="12"/>
        <v>-8.439052570768335E-2</v>
      </c>
      <c r="Y142" s="102">
        <v>45233.645833333336</v>
      </c>
      <c r="Z142">
        <v>304.64999999999998</v>
      </c>
      <c r="AA142" s="104">
        <f t="shared" si="13"/>
        <v>-0.10000000000000009</v>
      </c>
      <c r="AC142" s="132">
        <v>45233.645833333336</v>
      </c>
      <c r="AD142">
        <v>437.75</v>
      </c>
      <c r="AE142" s="104">
        <f t="shared" si="14"/>
        <v>7.2480441785549576E-3</v>
      </c>
    </row>
    <row r="143" spans="2:31" x14ac:dyDescent="0.3">
      <c r="B143" s="102">
        <v>45226.645833333336</v>
      </c>
      <c r="C143">
        <v>3120.7</v>
      </c>
      <c r="D143" s="104">
        <f t="shared" si="10"/>
        <v>-4.6969002901206314E-2</v>
      </c>
      <c r="F143" s="102">
        <v>45226.645833333336</v>
      </c>
      <c r="G143" s="108">
        <v>19047.25</v>
      </c>
      <c r="H143" s="104">
        <f t="shared" si="11"/>
        <v>-9.5342839016983039E-3</v>
      </c>
      <c r="U143" s="102">
        <v>45226.645833333336</v>
      </c>
      <c r="V143">
        <v>1358.06</v>
      </c>
      <c r="W143" s="104">
        <f t="shared" si="12"/>
        <v>0.1424845838696378</v>
      </c>
      <c r="Y143" s="102">
        <v>45226.645833333336</v>
      </c>
      <c r="Z143">
        <v>287.45</v>
      </c>
      <c r="AA143" s="104">
        <f t="shared" si="13"/>
        <v>-5.6458230756605943E-2</v>
      </c>
      <c r="AC143" s="132">
        <v>45226.645833333336</v>
      </c>
      <c r="AD143">
        <v>453</v>
      </c>
      <c r="AE143" s="104">
        <f t="shared" si="14"/>
        <v>3.4837235865219807E-2</v>
      </c>
    </row>
    <row r="144" spans="2:31" x14ac:dyDescent="0.3">
      <c r="B144" s="102">
        <v>45219.645833333336</v>
      </c>
      <c r="C144">
        <v>3266.2</v>
      </c>
      <c r="D144" s="104">
        <f t="shared" si="10"/>
        <v>4.6624154837055842E-2</v>
      </c>
      <c r="F144" s="102">
        <v>45219.645833333336</v>
      </c>
      <c r="G144" s="108">
        <v>19542.650000000001</v>
      </c>
      <c r="H144" s="104">
        <f t="shared" si="11"/>
        <v>2.6009003924451157E-2</v>
      </c>
      <c r="U144" s="102">
        <v>45219.645833333336</v>
      </c>
      <c r="V144">
        <v>1421.24</v>
      </c>
      <c r="W144" s="104">
        <f t="shared" si="12"/>
        <v>4.6522244967085458E-2</v>
      </c>
      <c r="Y144" s="102">
        <v>45219.645833333336</v>
      </c>
      <c r="Z144">
        <v>300.10000000000002</v>
      </c>
      <c r="AA144" s="104">
        <f t="shared" si="13"/>
        <v>4.4007653504957611E-2</v>
      </c>
      <c r="AC144" s="132">
        <v>45219.645833333336</v>
      </c>
      <c r="AD144">
        <v>436.95</v>
      </c>
      <c r="AE144" s="104">
        <f t="shared" si="14"/>
        <v>-3.5430463576158977E-2</v>
      </c>
    </row>
    <row r="145" spans="2:31" x14ac:dyDescent="0.3">
      <c r="B145" s="102">
        <v>45212.645833333336</v>
      </c>
      <c r="C145">
        <v>3283.75</v>
      </c>
      <c r="D145" s="104">
        <f t="shared" si="10"/>
        <v>5.3732165819606603E-3</v>
      </c>
      <c r="F145" s="102">
        <v>45212.645833333336</v>
      </c>
      <c r="G145" s="108">
        <v>19751.05</v>
      </c>
      <c r="H145" s="104">
        <f t="shared" si="11"/>
        <v>1.0663855720692839E-2</v>
      </c>
      <c r="U145" s="102">
        <v>45212.645833333336</v>
      </c>
      <c r="V145">
        <v>1416.36</v>
      </c>
      <c r="W145" s="104">
        <f t="shared" si="12"/>
        <v>-3.4336213447412334E-3</v>
      </c>
      <c r="Y145" s="102">
        <v>45212.645833333336</v>
      </c>
      <c r="Z145">
        <v>274.39999999999998</v>
      </c>
      <c r="AA145" s="104">
        <f t="shared" si="13"/>
        <v>-8.5638120626458036E-2</v>
      </c>
      <c r="AC145" s="132">
        <v>45212.645833333336</v>
      </c>
      <c r="AD145">
        <v>445.6</v>
      </c>
      <c r="AE145" s="104">
        <f t="shared" si="14"/>
        <v>1.979631536789106E-2</v>
      </c>
    </row>
    <row r="146" spans="2:31" x14ac:dyDescent="0.3">
      <c r="B146" s="102">
        <v>45205.645833333336</v>
      </c>
      <c r="C146">
        <v>3309.75</v>
      </c>
      <c r="D146" s="104">
        <f t="shared" si="10"/>
        <v>7.9177769318614644E-3</v>
      </c>
      <c r="F146" s="102">
        <v>45205.645833333336</v>
      </c>
      <c r="G146" s="108">
        <v>19653.5</v>
      </c>
      <c r="H146" s="104">
        <f t="shared" si="11"/>
        <v>-4.9389779277556611E-3</v>
      </c>
      <c r="U146" s="102">
        <v>45205.645833333336</v>
      </c>
      <c r="V146">
        <v>1284.97</v>
      </c>
      <c r="W146" s="104">
        <f t="shared" si="12"/>
        <v>-9.2765963455618494E-2</v>
      </c>
      <c r="Y146" s="102">
        <v>45205.645833333336</v>
      </c>
      <c r="Z146">
        <v>258.14999999999998</v>
      </c>
      <c r="AA146" s="104">
        <f t="shared" si="13"/>
        <v>-5.9220116618075802E-2</v>
      </c>
      <c r="AC146" s="132">
        <v>45205.645833333336</v>
      </c>
      <c r="AD146">
        <v>496.95</v>
      </c>
      <c r="AE146" s="104">
        <f t="shared" si="14"/>
        <v>0.11523788150807901</v>
      </c>
    </row>
    <row r="147" spans="2:31" x14ac:dyDescent="0.3">
      <c r="B147" s="102">
        <v>45198.645833333336</v>
      </c>
      <c r="C147">
        <v>3148.8</v>
      </c>
      <c r="D147" s="104">
        <f t="shared" si="10"/>
        <v>-4.8629050532517537E-2</v>
      </c>
      <c r="F147" s="102">
        <v>45198.645833333336</v>
      </c>
      <c r="G147" s="108">
        <v>19638.3</v>
      </c>
      <c r="H147" s="104">
        <f t="shared" si="11"/>
        <v>-7.7339914010232658E-4</v>
      </c>
      <c r="U147" s="102">
        <v>45198.645833333336</v>
      </c>
      <c r="V147">
        <v>1195.26</v>
      </c>
      <c r="W147" s="104">
        <f t="shared" si="12"/>
        <v>-6.9814859490883063E-2</v>
      </c>
      <c r="Y147" s="102">
        <v>45198.645833333336</v>
      </c>
      <c r="Z147">
        <v>227.55</v>
      </c>
      <c r="AA147" s="104">
        <f t="shared" si="13"/>
        <v>-0.1185357350377686</v>
      </c>
      <c r="AC147" s="132">
        <v>45198.645833333336</v>
      </c>
      <c r="AD147">
        <v>502.1</v>
      </c>
      <c r="AE147" s="104">
        <f t="shared" si="14"/>
        <v>1.0363215615253107E-2</v>
      </c>
    </row>
    <row r="148" spans="2:31" x14ac:dyDescent="0.3">
      <c r="B148" s="102">
        <v>45191.645833333336</v>
      </c>
      <c r="C148">
        <v>3274.5</v>
      </c>
      <c r="D148" s="104">
        <f t="shared" si="10"/>
        <v>3.9919969512195008E-2</v>
      </c>
      <c r="F148" s="102">
        <v>45191.645833333336</v>
      </c>
      <c r="G148" s="108">
        <v>19674.25</v>
      </c>
      <c r="H148" s="104">
        <f t="shared" si="11"/>
        <v>1.8306065188942178E-3</v>
      </c>
      <c r="U148" s="102">
        <v>45191.645833333336</v>
      </c>
      <c r="V148">
        <v>1149.1300000000001</v>
      </c>
      <c r="W148" s="104">
        <f t="shared" si="12"/>
        <v>-3.8594113414654463E-2</v>
      </c>
      <c r="Y148" s="102">
        <v>45191.645833333336</v>
      </c>
      <c r="Z148">
        <v>215.7</v>
      </c>
      <c r="AA148" s="104">
        <f t="shared" si="13"/>
        <v>-5.2076466710613167E-2</v>
      </c>
      <c r="AC148" s="132">
        <v>45191.645833333336</v>
      </c>
      <c r="AD148">
        <v>510.75</v>
      </c>
      <c r="AE148" s="104">
        <f t="shared" si="14"/>
        <v>1.7227643895638245E-2</v>
      </c>
    </row>
    <row r="149" spans="2:31" x14ac:dyDescent="0.3">
      <c r="B149" s="102">
        <v>45184.645833333336</v>
      </c>
      <c r="C149">
        <v>3248.6</v>
      </c>
      <c r="D149" s="104">
        <f t="shared" si="10"/>
        <v>-7.9096045197740716E-3</v>
      </c>
      <c r="F149" s="102">
        <v>45184.645833333336</v>
      </c>
      <c r="G149" s="108">
        <v>20192.349999999999</v>
      </c>
      <c r="H149" s="104">
        <f t="shared" si="11"/>
        <v>2.6333913618054039E-2</v>
      </c>
      <c r="U149" s="102">
        <v>45184.645833333336</v>
      </c>
      <c r="V149">
        <v>1195.3599999999999</v>
      </c>
      <c r="W149" s="104">
        <f t="shared" si="12"/>
        <v>4.0230435198802317E-2</v>
      </c>
      <c r="Y149" s="102">
        <v>45184.645833333336</v>
      </c>
      <c r="Z149">
        <v>228.65</v>
      </c>
      <c r="AA149" s="104">
        <f t="shared" si="13"/>
        <v>6.0037088548910544E-2</v>
      </c>
      <c r="AC149" s="132">
        <v>45184.645833333336</v>
      </c>
      <c r="AD149">
        <v>528.85</v>
      </c>
      <c r="AE149" s="104">
        <f t="shared" si="14"/>
        <v>3.543808125305925E-2</v>
      </c>
    </row>
    <row r="150" spans="2:31" x14ac:dyDescent="0.3">
      <c r="B150" s="102">
        <v>45177.645833333336</v>
      </c>
      <c r="C150">
        <v>3199.1</v>
      </c>
      <c r="D150" s="104">
        <f t="shared" si="10"/>
        <v>-1.5237333004986753E-2</v>
      </c>
      <c r="F150" s="102">
        <v>45177.645833333336</v>
      </c>
      <c r="G150" s="108">
        <v>19819.95</v>
      </c>
      <c r="H150" s="104">
        <f t="shared" si="11"/>
        <v>-1.8442628024969765E-2</v>
      </c>
      <c r="U150" s="102">
        <v>45177.645833333336</v>
      </c>
      <c r="V150">
        <v>1282.99</v>
      </c>
      <c r="W150" s="104">
        <f t="shared" si="12"/>
        <v>7.3308459376254964E-2</v>
      </c>
      <c r="Y150" s="102">
        <v>45177.645833333336</v>
      </c>
      <c r="Z150">
        <v>246.5</v>
      </c>
      <c r="AA150" s="104">
        <f t="shared" si="13"/>
        <v>7.8066914498141182E-2</v>
      </c>
      <c r="AC150" s="132">
        <v>45177.645833333336</v>
      </c>
      <c r="AD150">
        <v>518.15</v>
      </c>
      <c r="AE150" s="104">
        <f t="shared" si="14"/>
        <v>-2.0232580126690047E-2</v>
      </c>
    </row>
    <row r="151" spans="2:31" x14ac:dyDescent="0.3">
      <c r="B151" s="102">
        <v>45170.645833333336</v>
      </c>
      <c r="C151">
        <v>3116.8</v>
      </c>
      <c r="D151" s="104">
        <f t="shared" si="10"/>
        <v>-2.5725985433403098E-2</v>
      </c>
      <c r="F151" s="102">
        <v>45170.645833333336</v>
      </c>
      <c r="G151" s="108">
        <v>19435.3</v>
      </c>
      <c r="H151" s="104">
        <f t="shared" si="11"/>
        <v>-1.940721343898455E-2</v>
      </c>
      <c r="U151" s="102">
        <v>45170.645833333336</v>
      </c>
      <c r="V151">
        <v>1212.6500000000001</v>
      </c>
      <c r="W151" s="104">
        <f t="shared" si="12"/>
        <v>-5.4825057093196294E-2</v>
      </c>
      <c r="Y151" s="102">
        <v>45170.645833333336</v>
      </c>
      <c r="Z151">
        <v>245.5</v>
      </c>
      <c r="AA151" s="104">
        <f t="shared" si="13"/>
        <v>-4.0567951318458695E-3</v>
      </c>
      <c r="AC151" s="132">
        <v>45170.645833333336</v>
      </c>
      <c r="AD151">
        <v>500.05</v>
      </c>
      <c r="AE151" s="104">
        <f t="shared" si="14"/>
        <v>-3.4931969506899474E-2</v>
      </c>
    </row>
    <row r="152" spans="2:31" x14ac:dyDescent="0.3">
      <c r="B152" s="102">
        <v>45163.645833333336</v>
      </c>
      <c r="C152">
        <v>3067.2</v>
      </c>
      <c r="D152" s="104">
        <f t="shared" si="10"/>
        <v>-1.5913757700205422E-2</v>
      </c>
      <c r="F152" s="102">
        <v>45163.645833333336</v>
      </c>
      <c r="G152" s="108">
        <v>19265.8</v>
      </c>
      <c r="H152" s="104">
        <f t="shared" si="11"/>
        <v>-8.7212443337638668E-3</v>
      </c>
      <c r="U152" s="102">
        <v>45163.645833333336</v>
      </c>
      <c r="V152">
        <v>1215.3599999999999</v>
      </c>
      <c r="W152" s="104">
        <f t="shared" si="12"/>
        <v>2.2347750793714205E-3</v>
      </c>
      <c r="Y152" s="102">
        <v>45163.645833333336</v>
      </c>
      <c r="Z152">
        <v>211</v>
      </c>
      <c r="AA152" s="104">
        <f t="shared" si="13"/>
        <v>-0.14052953156822812</v>
      </c>
      <c r="AC152" s="132">
        <v>45163.645833333336</v>
      </c>
      <c r="AD152">
        <v>514.15</v>
      </c>
      <c r="AE152" s="104">
        <f t="shared" si="14"/>
        <v>2.8197180281971823E-2</v>
      </c>
    </row>
    <row r="153" spans="2:31" x14ac:dyDescent="0.3">
      <c r="B153" s="102">
        <v>45156.645833333336</v>
      </c>
      <c r="C153">
        <v>3050.45</v>
      </c>
      <c r="D153" s="104">
        <f t="shared" si="10"/>
        <v>-5.4610067814293561E-3</v>
      </c>
      <c r="F153" s="102">
        <v>45156.645833333336</v>
      </c>
      <c r="G153" s="108">
        <v>19310.150000000001</v>
      </c>
      <c r="H153" s="104">
        <f t="shared" si="11"/>
        <v>2.3020066646597392E-3</v>
      </c>
      <c r="U153" s="102">
        <v>45156.645833333336</v>
      </c>
      <c r="V153">
        <v>1137.1500000000001</v>
      </c>
      <c r="W153" s="104">
        <f t="shared" si="12"/>
        <v>-6.4351303317535358E-2</v>
      </c>
      <c r="Y153" s="102">
        <v>45156.645833333336</v>
      </c>
      <c r="Z153">
        <v>214.6</v>
      </c>
      <c r="AA153" s="104">
        <f t="shared" si="13"/>
        <v>1.7061611374407537E-2</v>
      </c>
      <c r="AC153" s="132">
        <v>45156.645833333336</v>
      </c>
      <c r="AD153">
        <v>547.79999999999995</v>
      </c>
      <c r="AE153" s="104">
        <f t="shared" si="14"/>
        <v>6.5447826509773321E-2</v>
      </c>
    </row>
    <row r="154" spans="2:31" x14ac:dyDescent="0.3">
      <c r="B154" s="102">
        <v>45149.645833333336</v>
      </c>
      <c r="C154">
        <v>3017.25</v>
      </c>
      <c r="D154" s="104">
        <f t="shared" si="10"/>
        <v>-1.0883640118670934E-2</v>
      </c>
      <c r="F154" s="102">
        <v>45149.645833333336</v>
      </c>
      <c r="G154" s="108">
        <v>19428.3</v>
      </c>
      <c r="H154" s="104">
        <f t="shared" si="11"/>
        <v>6.1185438745943177E-3</v>
      </c>
      <c r="U154" s="102">
        <v>45149.645833333336</v>
      </c>
      <c r="V154">
        <v>1068.4100000000001</v>
      </c>
      <c r="W154" s="104">
        <f t="shared" si="12"/>
        <v>-6.0449369036626677E-2</v>
      </c>
      <c r="Y154" s="102">
        <v>45149.645833333336</v>
      </c>
      <c r="Z154">
        <v>202.4</v>
      </c>
      <c r="AA154" s="104">
        <f t="shared" si="13"/>
        <v>-5.6849953401677533E-2</v>
      </c>
      <c r="AC154" s="132">
        <v>45149.645833333336</v>
      </c>
      <c r="AD154">
        <v>526.85</v>
      </c>
      <c r="AE154" s="104">
        <f t="shared" si="14"/>
        <v>-3.8243884629426628E-2</v>
      </c>
    </row>
    <row r="155" spans="2:31" x14ac:dyDescent="0.3">
      <c r="B155" s="102">
        <v>45142.645833333336</v>
      </c>
      <c r="C155">
        <v>2904.4</v>
      </c>
      <c r="D155" s="104">
        <f t="shared" si="10"/>
        <v>-3.74016074239788E-2</v>
      </c>
      <c r="F155" s="102">
        <v>45142.645833333336</v>
      </c>
      <c r="G155" s="108">
        <v>19517</v>
      </c>
      <c r="H155" s="104">
        <f t="shared" si="11"/>
        <v>4.5655049592605579E-3</v>
      </c>
      <c r="U155" s="102">
        <v>45142.645833333336</v>
      </c>
      <c r="V155">
        <v>1114.01</v>
      </c>
      <c r="W155" s="104">
        <f t="shared" si="12"/>
        <v>4.2680244475435281E-2</v>
      </c>
      <c r="Y155" s="102">
        <v>45142.645833333336</v>
      </c>
      <c r="Z155">
        <v>170.6</v>
      </c>
      <c r="AA155" s="104">
        <f t="shared" si="13"/>
        <v>-0.15711462450592895</v>
      </c>
      <c r="AC155" s="132">
        <v>45142.645833333336</v>
      </c>
      <c r="AD155">
        <v>509</v>
      </c>
      <c r="AE155" s="104">
        <f t="shared" si="14"/>
        <v>-3.3880611179652687E-2</v>
      </c>
    </row>
    <row r="156" spans="2:31" x14ac:dyDescent="0.3">
      <c r="B156" s="102">
        <v>45135.645833333336</v>
      </c>
      <c r="C156">
        <v>2987</v>
      </c>
      <c r="D156" s="104">
        <f t="shared" si="10"/>
        <v>2.8439608869301747E-2</v>
      </c>
      <c r="F156" s="102">
        <v>45135.645833333336</v>
      </c>
      <c r="G156" s="108">
        <v>19646.05</v>
      </c>
      <c r="H156" s="104">
        <f t="shared" si="11"/>
        <v>6.6121842496285055E-3</v>
      </c>
      <c r="U156" s="102">
        <v>45135.645833333336</v>
      </c>
      <c r="V156">
        <v>1270.57</v>
      </c>
      <c r="W156" s="104">
        <f t="shared" si="12"/>
        <v>0.1405373380849364</v>
      </c>
      <c r="Y156" s="102">
        <v>45135.645833333336</v>
      </c>
      <c r="Z156">
        <v>175.25</v>
      </c>
      <c r="AA156" s="104">
        <f t="shared" si="13"/>
        <v>2.7256740914419764E-2</v>
      </c>
      <c r="AC156" s="132">
        <v>45135.645833333336</v>
      </c>
      <c r="AD156">
        <v>511.75</v>
      </c>
      <c r="AE156" s="104">
        <f t="shared" si="14"/>
        <v>5.4027504911591251E-3</v>
      </c>
    </row>
    <row r="157" spans="2:31" x14ac:dyDescent="0.3">
      <c r="B157" s="102">
        <v>45128.645833333336</v>
      </c>
      <c r="C157">
        <v>2976.3</v>
      </c>
      <c r="D157" s="104">
        <f t="shared" si="10"/>
        <v>-3.5821894877803295E-3</v>
      </c>
      <c r="F157" s="102">
        <v>45128.645833333336</v>
      </c>
      <c r="G157" s="108">
        <v>19745</v>
      </c>
      <c r="H157" s="104">
        <f t="shared" si="11"/>
        <v>5.0366358631888097E-3</v>
      </c>
      <c r="U157" s="102">
        <v>45128.645833333336</v>
      </c>
      <c r="V157">
        <v>832.91</v>
      </c>
      <c r="W157" s="104">
        <f t="shared" si="12"/>
        <v>-0.34445957326239407</v>
      </c>
      <c r="Y157" s="102">
        <v>45128.645833333336</v>
      </c>
      <c r="Z157">
        <v>174.05</v>
      </c>
      <c r="AA157" s="104">
        <f t="shared" si="13"/>
        <v>-6.8473609129814372E-3</v>
      </c>
      <c r="AC157" s="132">
        <v>45128.645833333336</v>
      </c>
      <c r="AD157">
        <v>514.54999999999995</v>
      </c>
      <c r="AE157" s="104">
        <f t="shared" si="14"/>
        <v>5.4714215925744103E-3</v>
      </c>
    </row>
    <row r="158" spans="2:31" x14ac:dyDescent="0.3">
      <c r="B158" s="102">
        <v>45121.645833333336</v>
      </c>
      <c r="C158">
        <v>3055.55</v>
      </c>
      <c r="D158" s="104">
        <f t="shared" si="10"/>
        <v>2.6627020125659318E-2</v>
      </c>
      <c r="F158" s="102">
        <v>45121.645833333336</v>
      </c>
      <c r="G158" s="108">
        <v>19564.5</v>
      </c>
      <c r="H158" s="104">
        <f t="shared" si="11"/>
        <v>-9.1415548240060263E-3</v>
      </c>
      <c r="U158" s="102">
        <v>45121.645833333336</v>
      </c>
      <c r="V158">
        <v>778.08</v>
      </c>
      <c r="W158" s="104">
        <f t="shared" si="12"/>
        <v>-6.5829441356208829E-2</v>
      </c>
      <c r="Y158" s="102">
        <v>45121.645833333336</v>
      </c>
      <c r="Z158">
        <v>182.65</v>
      </c>
      <c r="AA158" s="104">
        <f t="shared" si="13"/>
        <v>4.941108876759559E-2</v>
      </c>
      <c r="AC158" s="132">
        <v>45121.645833333336</v>
      </c>
      <c r="AD158">
        <v>525.35</v>
      </c>
      <c r="AE158" s="104">
        <f t="shared" si="14"/>
        <v>2.0989213876202673E-2</v>
      </c>
    </row>
    <row r="159" spans="2:31" x14ac:dyDescent="0.3">
      <c r="B159" s="102">
        <v>45114.645833333336</v>
      </c>
      <c r="C159">
        <v>3144</v>
      </c>
      <c r="D159" s="104">
        <f t="shared" si="10"/>
        <v>2.8947325358773313E-2</v>
      </c>
      <c r="F159" s="102">
        <v>45114.645833333336</v>
      </c>
      <c r="G159" s="108">
        <v>19331.8</v>
      </c>
      <c r="H159" s="104">
        <f t="shared" si="11"/>
        <v>-1.1893991668583404E-2</v>
      </c>
      <c r="U159" s="102">
        <v>45114.645833333336</v>
      </c>
      <c r="V159">
        <v>790.16</v>
      </c>
      <c r="W159" s="104">
        <f t="shared" si="12"/>
        <v>1.5525395846185397E-2</v>
      </c>
      <c r="Y159" s="102">
        <v>45114.645833333336</v>
      </c>
      <c r="Z159">
        <v>162.55000000000001</v>
      </c>
      <c r="AA159" s="104">
        <f t="shared" si="13"/>
        <v>-0.11004653709280043</v>
      </c>
      <c r="AC159" s="132">
        <v>45114.645833333336</v>
      </c>
      <c r="AD159">
        <v>526.70000000000005</v>
      </c>
      <c r="AE159" s="104">
        <f t="shared" si="14"/>
        <v>2.5697154278101486E-3</v>
      </c>
    </row>
    <row r="160" spans="2:31" x14ac:dyDescent="0.3">
      <c r="B160" s="102">
        <v>45107.645833333336</v>
      </c>
      <c r="C160">
        <v>3047.65</v>
      </c>
      <c r="D160" s="104">
        <f t="shared" si="10"/>
        <v>-3.0645674300254444E-2</v>
      </c>
      <c r="F160" s="102">
        <v>45107.645833333336</v>
      </c>
      <c r="G160" s="108">
        <v>19189.05</v>
      </c>
      <c r="H160" s="104">
        <f t="shared" si="11"/>
        <v>-7.3842063336058139E-3</v>
      </c>
      <c r="U160" s="102">
        <v>45107.645833333336</v>
      </c>
      <c r="V160">
        <v>733.81</v>
      </c>
      <c r="W160" s="104">
        <f t="shared" si="12"/>
        <v>-7.1314670446491868E-2</v>
      </c>
      <c r="Y160" s="102">
        <v>45107.645833333336</v>
      </c>
      <c r="Z160">
        <v>147.05000000000001</v>
      </c>
      <c r="AA160" s="104">
        <f t="shared" si="13"/>
        <v>-9.5355275299907727E-2</v>
      </c>
      <c r="AC160" s="132">
        <v>45107.645833333336</v>
      </c>
      <c r="AD160">
        <v>547.4</v>
      </c>
      <c r="AE160" s="104">
        <f t="shared" si="14"/>
        <v>3.9301310043667881E-2</v>
      </c>
    </row>
    <row r="161" spans="2:31" x14ac:dyDescent="0.3">
      <c r="B161" s="102">
        <v>45100.645833333336</v>
      </c>
      <c r="C161">
        <v>2939.15</v>
      </c>
      <c r="D161" s="104">
        <f t="shared" si="10"/>
        <v>-3.5601200925303056E-2</v>
      </c>
      <c r="F161" s="102">
        <v>45100.645833333336</v>
      </c>
      <c r="G161" s="108">
        <v>18665.5</v>
      </c>
      <c r="H161" s="104">
        <f t="shared" si="11"/>
        <v>-2.7283789452838936E-2</v>
      </c>
      <c r="U161" s="102">
        <v>45100.645833333336</v>
      </c>
      <c r="V161">
        <v>726.88</v>
      </c>
      <c r="W161" s="104">
        <f t="shared" si="12"/>
        <v>-9.4438614900314022E-3</v>
      </c>
      <c r="Y161" s="102">
        <v>45100.645833333336</v>
      </c>
      <c r="Z161">
        <v>126.6</v>
      </c>
      <c r="AA161" s="104">
        <f t="shared" si="13"/>
        <v>-0.13906834410064617</v>
      </c>
      <c r="AC161" s="132">
        <v>45100.645833333336</v>
      </c>
      <c r="AD161">
        <v>544.65</v>
      </c>
      <c r="AE161" s="104">
        <f t="shared" si="14"/>
        <v>-5.0237486298867484E-3</v>
      </c>
    </row>
    <row r="162" spans="2:31" x14ac:dyDescent="0.3">
      <c r="B162" s="102">
        <v>45093.645833333336</v>
      </c>
      <c r="C162">
        <v>2954.3</v>
      </c>
      <c r="D162" s="104">
        <f t="shared" si="10"/>
        <v>5.1545514859738795E-3</v>
      </c>
      <c r="F162" s="102">
        <v>45093.645833333336</v>
      </c>
      <c r="G162" s="108">
        <v>18826</v>
      </c>
      <c r="H162" s="104">
        <f t="shared" si="11"/>
        <v>8.598751707695973E-3</v>
      </c>
      <c r="U162" s="102">
        <v>45093.645833333336</v>
      </c>
      <c r="V162">
        <v>713.35</v>
      </c>
      <c r="W162" s="104">
        <f t="shared" si="12"/>
        <v>-1.8613801452784462E-2</v>
      </c>
      <c r="Y162" s="102">
        <v>45093.645833333336</v>
      </c>
      <c r="Z162">
        <v>131.1</v>
      </c>
      <c r="AA162" s="104">
        <f t="shared" si="13"/>
        <v>3.5545023696682554E-2</v>
      </c>
      <c r="AC162" s="132">
        <v>45093.645833333336</v>
      </c>
      <c r="AD162">
        <v>620.54999999999995</v>
      </c>
      <c r="AE162" s="104">
        <f t="shared" si="14"/>
        <v>0.13935554943541728</v>
      </c>
    </row>
    <row r="163" spans="2:31" x14ac:dyDescent="0.3">
      <c r="B163" s="102">
        <v>45086.645833333336</v>
      </c>
      <c r="C163">
        <v>2876.25</v>
      </c>
      <c r="D163" s="104">
        <f t="shared" si="10"/>
        <v>-2.6419117895948308E-2</v>
      </c>
      <c r="F163" s="102">
        <v>45086.645833333336</v>
      </c>
      <c r="G163" s="108">
        <v>18563.400000000001</v>
      </c>
      <c r="H163" s="104">
        <f t="shared" si="11"/>
        <v>-1.3948794220758454E-2</v>
      </c>
      <c r="U163" s="102">
        <v>45086.645833333336</v>
      </c>
      <c r="V163">
        <v>692</v>
      </c>
      <c r="W163" s="104">
        <f t="shared" si="12"/>
        <v>-2.9929207261512603E-2</v>
      </c>
      <c r="Y163" s="102">
        <v>45086.645833333336</v>
      </c>
      <c r="Z163">
        <v>111</v>
      </c>
      <c r="AA163" s="104">
        <f t="shared" si="13"/>
        <v>-0.15331807780320361</v>
      </c>
      <c r="AC163" s="132">
        <v>45086.645833333336</v>
      </c>
      <c r="AD163">
        <v>570.6</v>
      </c>
      <c r="AE163" s="104">
        <f t="shared" si="14"/>
        <v>-8.0493110949963587E-2</v>
      </c>
    </row>
    <row r="164" spans="2:31" x14ac:dyDescent="0.3">
      <c r="B164" s="102">
        <v>45079.645833333336</v>
      </c>
      <c r="C164">
        <v>2861.65</v>
      </c>
      <c r="D164" s="104">
        <f t="shared" si="10"/>
        <v>-5.0760538896131857E-3</v>
      </c>
      <c r="F164" s="102">
        <v>45079.645833333336</v>
      </c>
      <c r="G164" s="108">
        <v>18534.099999999999</v>
      </c>
      <c r="H164" s="104">
        <f t="shared" si="11"/>
        <v>-1.5783746511954799E-3</v>
      </c>
      <c r="U164" s="102">
        <v>45079.645833333336</v>
      </c>
      <c r="V164">
        <v>718.54</v>
      </c>
      <c r="W164" s="104">
        <f t="shared" si="12"/>
        <v>3.835260115606931E-2</v>
      </c>
      <c r="Y164" s="102">
        <v>45079.645833333336</v>
      </c>
      <c r="Z164">
        <v>112.65</v>
      </c>
      <c r="AA164" s="104">
        <f t="shared" si="13"/>
        <v>1.4864864864864824E-2</v>
      </c>
      <c r="AC164" s="132">
        <v>45079.645833333336</v>
      </c>
      <c r="AD164">
        <v>578.9</v>
      </c>
      <c r="AE164" s="104">
        <f t="shared" si="14"/>
        <v>1.4546091833157915E-2</v>
      </c>
    </row>
    <row r="165" spans="2:31" x14ac:dyDescent="0.3">
      <c r="B165" s="102">
        <v>45072.645833333336</v>
      </c>
      <c r="C165">
        <v>2742.15</v>
      </c>
      <c r="D165" s="104">
        <f t="shared" si="10"/>
        <v>-4.1759124980343509E-2</v>
      </c>
      <c r="F165" s="102">
        <v>45072.645833333336</v>
      </c>
      <c r="G165" s="108">
        <v>18499.349999999999</v>
      </c>
      <c r="H165" s="104">
        <f t="shared" si="11"/>
        <v>-1.874922440258775E-3</v>
      </c>
      <c r="U165" s="102">
        <v>45072.645833333336</v>
      </c>
      <c r="V165">
        <v>639.34</v>
      </c>
      <c r="W165" s="104">
        <f t="shared" si="12"/>
        <v>-0.11022350878169618</v>
      </c>
      <c r="Y165" s="102">
        <v>45072.645833333336</v>
      </c>
      <c r="Z165">
        <v>105.65</v>
      </c>
      <c r="AA165" s="104">
        <f t="shared" si="13"/>
        <v>-6.2139369729249938E-2</v>
      </c>
      <c r="AC165" s="132">
        <v>45072.645833333336</v>
      </c>
      <c r="AD165">
        <v>572.04999999999995</v>
      </c>
      <c r="AE165" s="104">
        <f t="shared" si="14"/>
        <v>-1.1832786318880628E-2</v>
      </c>
    </row>
    <row r="166" spans="2:31" x14ac:dyDescent="0.3">
      <c r="B166" s="102">
        <v>45065.645833333336</v>
      </c>
      <c r="C166">
        <v>2701.65</v>
      </c>
      <c r="D166" s="104">
        <f t="shared" si="10"/>
        <v>-1.4769432744379363E-2</v>
      </c>
      <c r="F166" s="102">
        <v>45065.645833333336</v>
      </c>
      <c r="G166" s="108">
        <v>18203.400000000001</v>
      </c>
      <c r="H166" s="104">
        <f t="shared" si="11"/>
        <v>-1.599785938424847E-2</v>
      </c>
      <c r="U166" s="102">
        <v>45065.645833333336</v>
      </c>
      <c r="V166">
        <v>548.09</v>
      </c>
      <c r="W166" s="104">
        <f t="shared" si="12"/>
        <v>-0.14272531047642878</v>
      </c>
      <c r="Y166" s="102">
        <v>45065.645833333336</v>
      </c>
      <c r="Z166">
        <v>104.8</v>
      </c>
      <c r="AA166" s="104">
        <f t="shared" si="13"/>
        <v>-8.0454330336016122E-3</v>
      </c>
      <c r="AC166" s="132">
        <v>45065.645833333336</v>
      </c>
      <c r="AD166">
        <v>579.9</v>
      </c>
      <c r="AE166" s="104">
        <f t="shared" si="14"/>
        <v>1.3722576697841049E-2</v>
      </c>
    </row>
    <row r="167" spans="2:31" x14ac:dyDescent="0.3">
      <c r="B167" s="102">
        <v>45058.645833333336</v>
      </c>
      <c r="C167">
        <v>2773.2</v>
      </c>
      <c r="D167" s="104">
        <f t="shared" si="10"/>
        <v>2.6483815446116221E-2</v>
      </c>
      <c r="F167" s="102">
        <v>45058.645833333336</v>
      </c>
      <c r="G167" s="108">
        <v>18314.8</v>
      </c>
      <c r="H167" s="104">
        <f t="shared" si="11"/>
        <v>6.1197358735181062E-3</v>
      </c>
      <c r="U167" s="102">
        <v>45058.645833333336</v>
      </c>
      <c r="V167">
        <v>538.41</v>
      </c>
      <c r="W167" s="104">
        <f t="shared" si="12"/>
        <v>-1.766133299275674E-2</v>
      </c>
      <c r="Y167" s="102">
        <v>45058.645833333336</v>
      </c>
      <c r="Z167">
        <v>108.55</v>
      </c>
      <c r="AA167" s="104">
        <f t="shared" si="13"/>
        <v>3.5782442748091503E-2</v>
      </c>
      <c r="AC167" s="132">
        <v>45058.645833333336</v>
      </c>
      <c r="AD167">
        <v>606.79999999999995</v>
      </c>
      <c r="AE167" s="104">
        <f t="shared" si="14"/>
        <v>4.6387308156578655E-2</v>
      </c>
    </row>
    <row r="168" spans="2:31" x14ac:dyDescent="0.3">
      <c r="B168" s="102">
        <v>45051.645833333336</v>
      </c>
      <c r="C168">
        <v>2732.9</v>
      </c>
      <c r="D168" s="104">
        <f t="shared" si="10"/>
        <v>-1.4531948651377413E-2</v>
      </c>
      <c r="F168" s="102">
        <v>45051.645833333336</v>
      </c>
      <c r="G168" s="108">
        <v>18069</v>
      </c>
      <c r="H168" s="104">
        <f t="shared" si="11"/>
        <v>-1.3420839976412524E-2</v>
      </c>
      <c r="U168" s="102">
        <v>45051.645833333336</v>
      </c>
      <c r="V168">
        <v>497.78</v>
      </c>
      <c r="W168" s="104">
        <f t="shared" si="12"/>
        <v>-7.5462937166843158E-2</v>
      </c>
      <c r="Y168" s="102">
        <v>45051.645833333336</v>
      </c>
      <c r="Z168">
        <v>104.8</v>
      </c>
      <c r="AA168" s="104">
        <f t="shared" si="13"/>
        <v>-3.4546292031321979E-2</v>
      </c>
      <c r="AC168" s="132">
        <v>45051.645833333336</v>
      </c>
      <c r="AD168">
        <v>594.70000000000005</v>
      </c>
      <c r="AE168" s="104">
        <f t="shared" si="14"/>
        <v>-1.9940672379696656E-2</v>
      </c>
    </row>
    <row r="169" spans="2:31" x14ac:dyDescent="0.3">
      <c r="B169" s="102">
        <v>45044.645833333336</v>
      </c>
      <c r="C169">
        <v>2641.85</v>
      </c>
      <c r="D169" s="104">
        <f t="shared" si="10"/>
        <v>-3.3316257455450304E-2</v>
      </c>
      <c r="F169" s="102">
        <v>45044.645833333336</v>
      </c>
      <c r="G169" s="108">
        <v>18065</v>
      </c>
      <c r="H169" s="104">
        <f t="shared" si="11"/>
        <v>-2.2137362333274346E-4</v>
      </c>
      <c r="U169" s="102">
        <v>45044.645833333336</v>
      </c>
      <c r="V169">
        <v>500.97</v>
      </c>
      <c r="W169" s="104">
        <f t="shared" si="12"/>
        <v>6.4084535336896842E-3</v>
      </c>
      <c r="Y169" s="102">
        <v>45044.645833333336</v>
      </c>
      <c r="Z169">
        <v>102.7</v>
      </c>
      <c r="AA169" s="104">
        <f t="shared" si="13"/>
        <v>-2.0038167938931206E-2</v>
      </c>
      <c r="AC169" s="132">
        <v>45044.645833333336</v>
      </c>
      <c r="AD169">
        <v>557.95000000000005</v>
      </c>
      <c r="AE169" s="104">
        <f t="shared" si="14"/>
        <v>-6.1795863460568312E-2</v>
      </c>
    </row>
    <row r="170" spans="2:31" x14ac:dyDescent="0.3">
      <c r="B170" s="102">
        <v>45037.645833333336</v>
      </c>
      <c r="C170">
        <v>2568.3000000000002</v>
      </c>
      <c r="D170" s="104">
        <f t="shared" si="10"/>
        <v>-2.7840339156272931E-2</v>
      </c>
      <c r="F170" s="102">
        <v>45037.645833333336</v>
      </c>
      <c r="G170" s="108">
        <v>17624.05</v>
      </c>
      <c r="H170" s="104">
        <f t="shared" si="11"/>
        <v>-2.4409078328259115E-2</v>
      </c>
      <c r="U170" s="102">
        <v>45037.645833333336</v>
      </c>
      <c r="V170">
        <v>495.12</v>
      </c>
      <c r="W170" s="104">
        <f t="shared" si="12"/>
        <v>-1.1677345948859275E-2</v>
      </c>
      <c r="Y170" s="102">
        <v>45037.645833333336</v>
      </c>
      <c r="Z170">
        <v>103.1</v>
      </c>
      <c r="AA170" s="104">
        <f t="shared" si="13"/>
        <v>3.894839337877265E-3</v>
      </c>
      <c r="AC170" s="132">
        <v>45037.645833333336</v>
      </c>
      <c r="AD170">
        <v>557.75</v>
      </c>
      <c r="AE170" s="104">
        <f t="shared" si="14"/>
        <v>-3.5845505869713801E-4</v>
      </c>
    </row>
    <row r="171" spans="2:31" x14ac:dyDescent="0.3">
      <c r="B171" s="102">
        <v>45029.645833333336</v>
      </c>
      <c r="C171">
        <v>2585.65</v>
      </c>
      <c r="D171" s="104">
        <f t="shared" si="10"/>
        <v>6.7554413425221504E-3</v>
      </c>
      <c r="F171" s="102">
        <v>45029.645833333336</v>
      </c>
      <c r="G171" s="108">
        <v>17828</v>
      </c>
      <c r="H171" s="104">
        <f t="shared" si="11"/>
        <v>1.15722549584234E-2</v>
      </c>
      <c r="U171" s="102">
        <v>45029.645833333336</v>
      </c>
      <c r="V171">
        <v>502.9</v>
      </c>
      <c r="W171" s="104">
        <f t="shared" si="12"/>
        <v>1.5713362417191679E-2</v>
      </c>
      <c r="Y171" s="102">
        <v>45029.645833333336</v>
      </c>
      <c r="Z171">
        <v>104.25</v>
      </c>
      <c r="AA171" s="104">
        <f t="shared" si="13"/>
        <v>1.1154219204655647E-2</v>
      </c>
      <c r="AC171" s="132">
        <v>45029.645833333336</v>
      </c>
      <c r="AD171">
        <v>585.4</v>
      </c>
      <c r="AE171" s="104">
        <f t="shared" si="14"/>
        <v>4.9574181981174359E-2</v>
      </c>
    </row>
    <row r="172" spans="2:31" x14ac:dyDescent="0.3">
      <c r="B172" s="102">
        <v>45022.645833333336</v>
      </c>
      <c r="C172">
        <v>2548.4499999999998</v>
      </c>
      <c r="D172" s="104">
        <f t="shared" si="10"/>
        <v>-1.4387098021774181E-2</v>
      </c>
      <c r="F172" s="102">
        <v>45022.645833333336</v>
      </c>
      <c r="G172" s="108">
        <v>17599.150000000001</v>
      </c>
      <c r="H172" s="104">
        <f t="shared" si="11"/>
        <v>-1.2836549248373297E-2</v>
      </c>
      <c r="U172" s="102">
        <v>45022.645833333336</v>
      </c>
      <c r="V172">
        <v>493.79</v>
      </c>
      <c r="W172" s="104">
        <f t="shared" si="12"/>
        <v>-1.8114933386359056E-2</v>
      </c>
      <c r="Y172" s="102">
        <v>45022.645833333336</v>
      </c>
      <c r="Z172">
        <v>104.3</v>
      </c>
      <c r="AA172" s="104">
        <f t="shared" si="13"/>
        <v>4.7961630695447788E-4</v>
      </c>
      <c r="AC172" s="132">
        <v>45022.645833333336</v>
      </c>
      <c r="AD172">
        <v>626.95000000000005</v>
      </c>
      <c r="AE172" s="104">
        <f t="shared" si="14"/>
        <v>7.0977109668602711E-2</v>
      </c>
    </row>
    <row r="173" spans="2:31" x14ac:dyDescent="0.3">
      <c r="B173" s="102">
        <v>45016.645833333336</v>
      </c>
      <c r="C173">
        <v>2514.9</v>
      </c>
      <c r="D173" s="104">
        <f t="shared" si="10"/>
        <v>-1.316486491789115E-2</v>
      </c>
      <c r="F173" s="102">
        <v>45016.645833333336</v>
      </c>
      <c r="G173" s="108">
        <v>17359.75</v>
      </c>
      <c r="H173" s="104">
        <f t="shared" si="11"/>
        <v>-1.3602929686945209E-2</v>
      </c>
      <c r="U173" s="102">
        <v>45016.645833333336</v>
      </c>
      <c r="V173">
        <v>485.53</v>
      </c>
      <c r="W173" s="104">
        <f t="shared" si="12"/>
        <v>-1.6727758763847023E-2</v>
      </c>
      <c r="Y173" s="102">
        <v>45016.645833333336</v>
      </c>
      <c r="Z173">
        <v>105.35</v>
      </c>
      <c r="AA173" s="104">
        <f t="shared" si="13"/>
        <v>1.0067114093959662E-2</v>
      </c>
      <c r="AC173" s="132">
        <v>45016.645833333336</v>
      </c>
      <c r="AD173">
        <v>610.1</v>
      </c>
      <c r="AE173" s="104">
        <f t="shared" si="14"/>
        <v>-2.687614642315983E-2</v>
      </c>
    </row>
    <row r="174" spans="2:31" x14ac:dyDescent="0.3">
      <c r="B174" s="102">
        <v>45009.645833333336</v>
      </c>
      <c r="C174">
        <v>2493.35</v>
      </c>
      <c r="D174" s="104">
        <f t="shared" si="10"/>
        <v>-8.5689291820748581E-3</v>
      </c>
      <c r="F174" s="102">
        <v>45009.645833333336</v>
      </c>
      <c r="G174" s="108">
        <v>16945.05</v>
      </c>
      <c r="H174" s="104">
        <f t="shared" si="11"/>
        <v>-2.388859286568068E-2</v>
      </c>
      <c r="U174" s="102">
        <v>45009.645833333336</v>
      </c>
      <c r="V174">
        <v>503.36</v>
      </c>
      <c r="W174" s="104">
        <f t="shared" si="12"/>
        <v>3.6722756575289006E-2</v>
      </c>
      <c r="Y174" s="102">
        <v>45009.645833333336</v>
      </c>
      <c r="Z174">
        <v>116.6</v>
      </c>
      <c r="AA174" s="104">
        <f t="shared" si="13"/>
        <v>0.10678690080683428</v>
      </c>
      <c r="AC174" s="132">
        <v>45009.645833333336</v>
      </c>
      <c r="AD174">
        <v>623.9</v>
      </c>
      <c r="AE174" s="104">
        <f t="shared" si="14"/>
        <v>2.2619242747090595E-2</v>
      </c>
    </row>
    <row r="175" spans="2:31" x14ac:dyDescent="0.3">
      <c r="B175" s="102">
        <v>45002.645833333336</v>
      </c>
      <c r="C175">
        <v>2455.65</v>
      </c>
      <c r="D175" s="104">
        <f t="shared" si="10"/>
        <v>-1.5120219784627076E-2</v>
      </c>
      <c r="F175" s="102">
        <v>45002.645833333336</v>
      </c>
      <c r="G175" s="108">
        <v>17100.05</v>
      </c>
      <c r="H175" s="104">
        <f t="shared" si="11"/>
        <v>9.1472140831687643E-3</v>
      </c>
      <c r="U175" s="102">
        <v>45002.645833333336</v>
      </c>
      <c r="V175">
        <v>513.38</v>
      </c>
      <c r="W175" s="104">
        <f t="shared" si="12"/>
        <v>1.99062301335029E-2</v>
      </c>
      <c r="Y175" s="102">
        <v>45002.645833333336</v>
      </c>
      <c r="Z175">
        <v>119.5</v>
      </c>
      <c r="AA175" s="104">
        <f t="shared" si="13"/>
        <v>2.487135506003435E-2</v>
      </c>
      <c r="AC175" s="132">
        <v>45002.645833333336</v>
      </c>
      <c r="AD175">
        <v>625.04999999999995</v>
      </c>
      <c r="AE175" s="104">
        <f t="shared" si="14"/>
        <v>1.843244109632991E-3</v>
      </c>
    </row>
    <row r="176" spans="2:31" x14ac:dyDescent="0.3">
      <c r="B176" s="102">
        <v>44995.645833333336</v>
      </c>
      <c r="C176">
        <v>2375.5</v>
      </c>
      <c r="D176" s="104">
        <f t="shared" si="10"/>
        <v>-3.2639016146437827E-2</v>
      </c>
      <c r="F176" s="102">
        <v>44995.645833333336</v>
      </c>
      <c r="G176" s="108">
        <v>17412.900000000001</v>
      </c>
      <c r="H176" s="104">
        <f t="shared" si="11"/>
        <v>1.829526814249105E-2</v>
      </c>
      <c r="U176" s="102">
        <v>44995.645833333336</v>
      </c>
      <c r="V176">
        <v>504.98</v>
      </c>
      <c r="W176" s="104">
        <f t="shared" si="12"/>
        <v>-1.6362148895554873E-2</v>
      </c>
      <c r="Y176" s="102">
        <v>44995.645833333336</v>
      </c>
      <c r="Z176">
        <v>116.4</v>
      </c>
      <c r="AA176" s="104">
        <f t="shared" si="13"/>
        <v>-2.5941422594142227E-2</v>
      </c>
      <c r="AC176" s="132">
        <v>44995.645833333336</v>
      </c>
      <c r="AD176">
        <v>625.54999999999995</v>
      </c>
      <c r="AE176" s="104">
        <f t="shared" si="14"/>
        <v>7.9993600511962804E-4</v>
      </c>
    </row>
    <row r="177" spans="2:31" x14ac:dyDescent="0.3">
      <c r="B177" s="102">
        <v>44988.645833333336</v>
      </c>
      <c r="C177">
        <v>2396.1</v>
      </c>
      <c r="D177" s="104">
        <f t="shared" si="10"/>
        <v>8.6718585560934258E-3</v>
      </c>
      <c r="F177" s="102">
        <v>44988.645833333336</v>
      </c>
      <c r="G177" s="108">
        <v>17594.349999999999</v>
      </c>
      <c r="H177" s="104">
        <f t="shared" si="11"/>
        <v>1.0420435424311592E-2</v>
      </c>
      <c r="U177" s="102">
        <v>44988.645833333336</v>
      </c>
      <c r="V177">
        <v>487.42</v>
      </c>
      <c r="W177" s="104">
        <f t="shared" si="12"/>
        <v>-3.4773654402154519E-2</v>
      </c>
      <c r="Y177" s="102">
        <v>44988.645833333336</v>
      </c>
      <c r="Z177">
        <v>117.05</v>
      </c>
      <c r="AA177" s="104">
        <f t="shared" si="13"/>
        <v>5.5841924398625231E-3</v>
      </c>
      <c r="AC177" s="132">
        <v>44988.645833333336</v>
      </c>
      <c r="AD177">
        <v>628.9</v>
      </c>
      <c r="AE177" s="104">
        <f t="shared" si="14"/>
        <v>5.3552873471345297E-3</v>
      </c>
    </row>
    <row r="178" spans="2:31" x14ac:dyDescent="0.3">
      <c r="B178" s="102">
        <v>44981.645833333336</v>
      </c>
      <c r="C178">
        <v>2399.1</v>
      </c>
      <c r="D178" s="104">
        <f t="shared" si="10"/>
        <v>1.2520345561537471E-3</v>
      </c>
      <c r="F178" s="102">
        <v>44981.645833333336</v>
      </c>
      <c r="G178" s="108">
        <v>17465.8</v>
      </c>
      <c r="H178" s="104">
        <f t="shared" si="11"/>
        <v>-7.3063227683887177E-3</v>
      </c>
      <c r="U178" s="102">
        <v>44981.645833333336</v>
      </c>
      <c r="V178">
        <v>485.61</v>
      </c>
      <c r="W178" s="104">
        <f t="shared" si="12"/>
        <v>-3.7134298961880585E-3</v>
      </c>
      <c r="Y178" s="102">
        <v>44981.645833333336</v>
      </c>
      <c r="Z178">
        <v>118.55</v>
      </c>
      <c r="AA178" s="104">
        <f t="shared" si="13"/>
        <v>1.2815036309269612E-2</v>
      </c>
      <c r="AC178" s="132">
        <v>44981.645833333336</v>
      </c>
      <c r="AD178">
        <v>693.65</v>
      </c>
      <c r="AE178" s="104">
        <f t="shared" si="14"/>
        <v>0.10295754491970111</v>
      </c>
    </row>
    <row r="179" spans="2:31" x14ac:dyDescent="0.3">
      <c r="B179" s="102">
        <v>44974.645833333336</v>
      </c>
      <c r="C179">
        <v>2500.3000000000002</v>
      </c>
      <c r="D179" s="104">
        <f t="shared" si="10"/>
        <v>4.2182485098578804E-2</v>
      </c>
      <c r="F179" s="102">
        <v>44974.645833333336</v>
      </c>
      <c r="G179" s="108">
        <v>17944.2</v>
      </c>
      <c r="H179" s="104">
        <f t="shared" si="11"/>
        <v>2.7390672056247123E-2</v>
      </c>
      <c r="U179" s="102">
        <v>44974.645833333336</v>
      </c>
      <c r="V179">
        <v>487.71</v>
      </c>
      <c r="W179" s="104">
        <f t="shared" si="12"/>
        <v>4.3244578983134829E-3</v>
      </c>
      <c r="Y179" s="102">
        <v>44974.645833333336</v>
      </c>
      <c r="Z179">
        <v>111.15</v>
      </c>
      <c r="AA179" s="104">
        <f t="shared" si="13"/>
        <v>-6.2420919443272771E-2</v>
      </c>
      <c r="AC179" s="132">
        <v>44974.645833333336</v>
      </c>
      <c r="AD179">
        <v>763.75</v>
      </c>
      <c r="AE179" s="104">
        <f t="shared" si="14"/>
        <v>0.10105961219635273</v>
      </c>
    </row>
    <row r="180" spans="2:31" x14ac:dyDescent="0.3">
      <c r="B180" s="102">
        <v>44967.645833333336</v>
      </c>
      <c r="C180">
        <v>2468.5</v>
      </c>
      <c r="D180" s="104">
        <f t="shared" si="10"/>
        <v>-1.2718473783146056E-2</v>
      </c>
      <c r="F180" s="102">
        <v>44967.645833333336</v>
      </c>
      <c r="G180" s="108">
        <v>17856.5</v>
      </c>
      <c r="H180" s="104">
        <f t="shared" si="11"/>
        <v>-4.8873730787664105E-3</v>
      </c>
      <c r="U180" s="102">
        <v>44967.645833333336</v>
      </c>
      <c r="V180">
        <v>500.32</v>
      </c>
      <c r="W180" s="104">
        <f t="shared" si="12"/>
        <v>2.5855528900371239E-2</v>
      </c>
      <c r="Y180" s="102">
        <v>44967.645833333336</v>
      </c>
      <c r="Z180">
        <v>113.65</v>
      </c>
      <c r="AA180" s="104">
        <f t="shared" si="13"/>
        <v>2.249212775528564E-2</v>
      </c>
      <c r="AC180" s="132">
        <v>44967.645833333336</v>
      </c>
      <c r="AD180">
        <v>855.2</v>
      </c>
      <c r="AE180" s="104">
        <f t="shared" si="14"/>
        <v>0.11973813420621937</v>
      </c>
    </row>
    <row r="181" spans="2:31" x14ac:dyDescent="0.3">
      <c r="B181" s="102">
        <v>44960.645833333336</v>
      </c>
      <c r="C181">
        <v>2463.1</v>
      </c>
      <c r="D181" s="104">
        <f t="shared" si="10"/>
        <v>-2.187563297549211E-3</v>
      </c>
      <c r="F181" s="102">
        <v>44960.645833333336</v>
      </c>
      <c r="G181" s="108">
        <v>17854.05</v>
      </c>
      <c r="H181" s="104">
        <f t="shared" si="11"/>
        <v>-1.3720493937785516E-4</v>
      </c>
      <c r="U181" s="102">
        <v>44960.645833333336</v>
      </c>
      <c r="V181">
        <v>499.69</v>
      </c>
      <c r="W181" s="104">
        <f t="shared" si="12"/>
        <v>-1.2591941157659159E-3</v>
      </c>
      <c r="Y181" s="102">
        <v>44960.645833333336</v>
      </c>
      <c r="Z181">
        <v>113.95</v>
      </c>
      <c r="AA181" s="104">
        <f t="shared" si="13"/>
        <v>2.6396832380113366E-3</v>
      </c>
      <c r="AC181" s="132">
        <v>44960.645833333336</v>
      </c>
      <c r="AD181">
        <v>946.85</v>
      </c>
      <c r="AE181" s="104">
        <f t="shared" si="14"/>
        <v>0.10716791393825997</v>
      </c>
    </row>
    <row r="182" spans="2:31" x14ac:dyDescent="0.3">
      <c r="B182" s="102">
        <v>44953.645833333336</v>
      </c>
      <c r="C182">
        <v>2331.25</v>
      </c>
      <c r="D182" s="104">
        <f t="shared" si="10"/>
        <v>-5.3530104340059226E-2</v>
      </c>
      <c r="F182" s="102">
        <v>44953.645833333336</v>
      </c>
      <c r="G182" s="108">
        <v>17604.349999999999</v>
      </c>
      <c r="H182" s="104">
        <f t="shared" si="11"/>
        <v>-1.3985622309784063E-2</v>
      </c>
      <c r="U182" s="102">
        <v>44953.645833333336</v>
      </c>
      <c r="V182">
        <v>500</v>
      </c>
      <c r="W182" s="104">
        <f t="shared" si="12"/>
        <v>6.2038463847580161E-4</v>
      </c>
      <c r="Y182" s="102">
        <v>44953.645833333336</v>
      </c>
      <c r="Z182">
        <v>111</v>
      </c>
      <c r="AA182" s="104">
        <f t="shared" si="13"/>
        <v>-2.5888547608600265E-2</v>
      </c>
      <c r="AC182" s="132">
        <v>44953.645833333336</v>
      </c>
      <c r="AD182">
        <v>841.8</v>
      </c>
      <c r="AE182" s="104">
        <f t="shared" si="14"/>
        <v>-0.11094682367851305</v>
      </c>
    </row>
    <row r="183" spans="2:31" x14ac:dyDescent="0.3">
      <c r="B183" s="102">
        <v>44946.645833333336</v>
      </c>
      <c r="C183">
        <v>2371.3000000000002</v>
      </c>
      <c r="D183" s="104">
        <f t="shared" si="10"/>
        <v>1.7179624664879434E-2</v>
      </c>
      <c r="F183" s="102">
        <v>44946.645833333336</v>
      </c>
      <c r="G183" s="108">
        <v>18027.650000000001</v>
      </c>
      <c r="H183" s="104">
        <f t="shared" si="11"/>
        <v>2.4045193375501039E-2</v>
      </c>
      <c r="U183" s="102">
        <v>44946.645833333336</v>
      </c>
      <c r="V183">
        <v>529.05999999999995</v>
      </c>
      <c r="W183" s="104">
        <f t="shared" si="12"/>
        <v>5.8119999999999949E-2</v>
      </c>
      <c r="Y183" s="102">
        <v>44946.645833333336</v>
      </c>
      <c r="Z183">
        <v>119.3</v>
      </c>
      <c r="AA183" s="104">
        <f t="shared" si="13"/>
        <v>7.4774774774774677E-2</v>
      </c>
      <c r="AC183" s="132">
        <v>44946.645833333336</v>
      </c>
      <c r="AD183">
        <v>875.45</v>
      </c>
      <c r="AE183" s="104">
        <f t="shared" si="14"/>
        <v>3.9973865526253372E-2</v>
      </c>
    </row>
    <row r="184" spans="2:31" x14ac:dyDescent="0.3">
      <c r="B184" s="102">
        <v>44939.645833333336</v>
      </c>
      <c r="C184">
        <v>2417.1999999999998</v>
      </c>
      <c r="D184" s="104">
        <f t="shared" si="10"/>
        <v>1.9356471133977093E-2</v>
      </c>
      <c r="F184" s="102">
        <v>44939.645833333336</v>
      </c>
      <c r="G184" s="108">
        <v>17956.599999999999</v>
      </c>
      <c r="H184" s="104">
        <f t="shared" si="11"/>
        <v>-3.9411681500363116E-3</v>
      </c>
      <c r="U184" s="102">
        <v>44939.645833333336</v>
      </c>
      <c r="V184">
        <v>529.47</v>
      </c>
      <c r="W184" s="104">
        <f t="shared" si="12"/>
        <v>7.749593618873174E-4</v>
      </c>
      <c r="Y184" s="102">
        <v>44939.645833333336</v>
      </c>
      <c r="Z184">
        <v>123.05</v>
      </c>
      <c r="AA184" s="104">
        <f t="shared" si="13"/>
        <v>3.1433361274098903E-2</v>
      </c>
      <c r="AC184" s="132">
        <v>44939.645833333336</v>
      </c>
      <c r="AD184">
        <v>802.15</v>
      </c>
      <c r="AE184" s="104">
        <f t="shared" si="14"/>
        <v>-8.3728368267748099E-2</v>
      </c>
    </row>
    <row r="185" spans="2:31" x14ac:dyDescent="0.3">
      <c r="B185" s="102">
        <v>44932.645833333336</v>
      </c>
      <c r="C185">
        <v>2538.1</v>
      </c>
      <c r="D185" s="104">
        <f t="shared" si="10"/>
        <v>5.0016548072149725E-2</v>
      </c>
      <c r="F185" s="102">
        <v>44932.645833333336</v>
      </c>
      <c r="G185" s="108">
        <v>17859.45</v>
      </c>
      <c r="H185" s="104">
        <f t="shared" si="11"/>
        <v>-5.4102669770444978E-3</v>
      </c>
      <c r="U185" s="102">
        <v>44932.645833333336</v>
      </c>
      <c r="V185">
        <v>518.91</v>
      </c>
      <c r="W185" s="104">
        <f t="shared" si="12"/>
        <v>-1.9944472774661604E-2</v>
      </c>
      <c r="Y185" s="102">
        <v>44932.645833333336</v>
      </c>
      <c r="Z185">
        <v>120.4</v>
      </c>
      <c r="AA185" s="104">
        <f t="shared" si="13"/>
        <v>-2.1535960991466818E-2</v>
      </c>
      <c r="AC185" s="132">
        <v>44932.645833333336</v>
      </c>
      <c r="AD185">
        <v>796.55</v>
      </c>
      <c r="AE185" s="104">
        <f t="shared" si="14"/>
        <v>-6.9812379230816957E-3</v>
      </c>
    </row>
    <row r="186" spans="2:31" x14ac:dyDescent="0.3">
      <c r="B186" s="102">
        <v>44925.645833333336</v>
      </c>
      <c r="C186">
        <v>2597.5</v>
      </c>
      <c r="D186" s="104">
        <f t="shared" si="10"/>
        <v>2.3403333202001608E-2</v>
      </c>
      <c r="F186" s="102">
        <v>44925.645833333336</v>
      </c>
      <c r="G186" s="108">
        <v>18105.3</v>
      </c>
      <c r="H186" s="104">
        <f t="shared" si="11"/>
        <v>1.3765821455867799E-2</v>
      </c>
      <c r="U186" s="102">
        <v>44925.645833333336</v>
      </c>
      <c r="V186">
        <v>528.70000000000005</v>
      </c>
      <c r="W186" s="104">
        <f t="shared" si="12"/>
        <v>1.8866470100788346E-2</v>
      </c>
      <c r="Y186" s="102">
        <v>44925.645833333336</v>
      </c>
      <c r="Z186">
        <v>126.55</v>
      </c>
      <c r="AA186" s="104">
        <f t="shared" si="13"/>
        <v>5.1079734219269035E-2</v>
      </c>
      <c r="AC186" s="132">
        <v>44925.645833333336</v>
      </c>
      <c r="AD186">
        <v>731.7</v>
      </c>
      <c r="AE186" s="104">
        <f t="shared" si="14"/>
        <v>-8.1413596133324884E-2</v>
      </c>
    </row>
    <row r="187" spans="2:31" x14ac:dyDescent="0.3">
      <c r="B187" s="102">
        <v>44918.645833333336</v>
      </c>
      <c r="C187">
        <v>2483.0500000000002</v>
      </c>
      <c r="D187" s="104">
        <f t="shared" si="10"/>
        <v>-4.4061597690086551E-2</v>
      </c>
      <c r="F187" s="102">
        <v>44918.645833333336</v>
      </c>
      <c r="G187" s="108">
        <v>17806.8</v>
      </c>
      <c r="H187" s="104">
        <f t="shared" si="11"/>
        <v>-1.6486885055757128E-2</v>
      </c>
      <c r="U187" s="102">
        <v>44918.645833333336</v>
      </c>
      <c r="V187">
        <v>487.37</v>
      </c>
      <c r="W187" s="104">
        <f t="shared" si="12"/>
        <v>-7.8172876867788954E-2</v>
      </c>
      <c r="Y187" s="102">
        <v>44918.645833333336</v>
      </c>
      <c r="Z187">
        <v>107.7</v>
      </c>
      <c r="AA187" s="104">
        <f t="shared" si="13"/>
        <v>-0.14895298301066773</v>
      </c>
      <c r="AC187" s="132">
        <v>44918.645833333336</v>
      </c>
      <c r="AD187">
        <v>636.1</v>
      </c>
      <c r="AE187" s="104">
        <f t="shared" si="14"/>
        <v>-0.13065463987973214</v>
      </c>
    </row>
    <row r="188" spans="2:31" x14ac:dyDescent="0.3">
      <c r="B188" s="102">
        <v>44911.645833333336</v>
      </c>
      <c r="C188">
        <v>2482.85</v>
      </c>
      <c r="D188" s="104">
        <f t="shared" si="10"/>
        <v>-8.0546102575573819E-5</v>
      </c>
      <c r="F188" s="102">
        <v>44911.645833333336</v>
      </c>
      <c r="G188" s="108">
        <v>18269</v>
      </c>
      <c r="H188" s="104">
        <f t="shared" si="11"/>
        <v>2.5956376215827692E-2</v>
      </c>
      <c r="U188" s="102">
        <v>44911.645833333336</v>
      </c>
      <c r="V188">
        <v>483.77</v>
      </c>
      <c r="W188" s="104">
        <f t="shared" si="12"/>
        <v>-7.3865851406529348E-3</v>
      </c>
      <c r="Y188" s="102">
        <v>44911.645833333336</v>
      </c>
      <c r="Z188">
        <v>125.45</v>
      </c>
      <c r="AA188" s="104">
        <f t="shared" si="13"/>
        <v>0.16480965645311052</v>
      </c>
      <c r="AC188" s="132">
        <v>44911.645833333336</v>
      </c>
      <c r="AD188">
        <v>802.85</v>
      </c>
      <c r="AE188" s="104">
        <f t="shared" si="14"/>
        <v>0.26214431693130003</v>
      </c>
    </row>
    <row r="189" spans="2:31" x14ac:dyDescent="0.3">
      <c r="B189" s="102">
        <v>44904.645833333336</v>
      </c>
      <c r="C189">
        <v>2615.4499999999998</v>
      </c>
      <c r="D189" s="104">
        <f t="shared" si="10"/>
        <v>5.3406367682300449E-2</v>
      </c>
      <c r="F189" s="102">
        <v>44904.645833333336</v>
      </c>
      <c r="G189" s="108">
        <v>18496.599999999999</v>
      </c>
      <c r="H189" s="104">
        <f t="shared" si="11"/>
        <v>1.2458262630685724E-2</v>
      </c>
      <c r="U189" s="102">
        <v>44904.645833333336</v>
      </c>
      <c r="V189">
        <v>484.93</v>
      </c>
      <c r="W189" s="104">
        <f t="shared" si="12"/>
        <v>2.3978336812948697E-3</v>
      </c>
      <c r="Y189" s="102">
        <v>44904.645833333336</v>
      </c>
      <c r="Z189">
        <v>110.65</v>
      </c>
      <c r="AA189" s="104">
        <f t="shared" si="13"/>
        <v>-0.11797528895974485</v>
      </c>
      <c r="AC189" s="132">
        <v>44904.645833333336</v>
      </c>
      <c r="AD189">
        <v>716.9</v>
      </c>
      <c r="AE189" s="104">
        <f t="shared" si="14"/>
        <v>-0.1070561125988666</v>
      </c>
    </row>
    <row r="190" spans="2:31" x14ac:dyDescent="0.3">
      <c r="B190" s="102">
        <v>44897.645833333336</v>
      </c>
      <c r="C190">
        <v>2617.9</v>
      </c>
      <c r="D190" s="104">
        <f t="shared" si="10"/>
        <v>9.3674128735021789E-4</v>
      </c>
      <c r="F190" s="102">
        <v>44897.645833333336</v>
      </c>
      <c r="G190" s="108">
        <v>18696.099999999999</v>
      </c>
      <c r="H190" s="104">
        <f t="shared" si="11"/>
        <v>1.0785766032676225E-2</v>
      </c>
      <c r="U190" s="102">
        <v>44897.645833333336</v>
      </c>
      <c r="V190">
        <v>499.04</v>
      </c>
      <c r="W190" s="104">
        <f t="shared" si="12"/>
        <v>2.9096983069721416E-2</v>
      </c>
      <c r="Y190" s="102">
        <v>44897.645833333336</v>
      </c>
      <c r="Z190">
        <v>109.75</v>
      </c>
      <c r="AA190" s="104">
        <f t="shared" si="13"/>
        <v>-8.1337550835969274E-3</v>
      </c>
      <c r="AC190" s="132">
        <v>44897.645833333336</v>
      </c>
      <c r="AD190">
        <v>727.3</v>
      </c>
      <c r="AE190" s="104">
        <f t="shared" si="14"/>
        <v>1.4506904728692982E-2</v>
      </c>
    </row>
    <row r="191" spans="2:31" x14ac:dyDescent="0.3">
      <c r="B191" s="102">
        <v>44890.645833333336</v>
      </c>
      <c r="C191">
        <v>2595.4</v>
      </c>
      <c r="D191" s="104">
        <f t="shared" si="10"/>
        <v>-8.5946751212804262E-3</v>
      </c>
      <c r="F191" s="102">
        <v>44890.645833333336</v>
      </c>
      <c r="G191" s="108">
        <v>18512.75</v>
      </c>
      <c r="H191" s="104">
        <f t="shared" si="11"/>
        <v>-9.8068581147938705E-3</v>
      </c>
      <c r="U191" s="102">
        <v>44890.645833333336</v>
      </c>
      <c r="V191">
        <v>485.1</v>
      </c>
      <c r="W191" s="104">
        <f t="shared" si="12"/>
        <v>-2.7933632574543066E-2</v>
      </c>
      <c r="Y191" s="102">
        <v>44890.645833333336</v>
      </c>
      <c r="Z191">
        <v>100.15</v>
      </c>
      <c r="AA191" s="104">
        <f t="shared" si="13"/>
        <v>-8.7471526195899707E-2</v>
      </c>
      <c r="AC191" s="132">
        <v>44890.645833333336</v>
      </c>
      <c r="AD191">
        <v>722.05</v>
      </c>
      <c r="AE191" s="104">
        <f t="shared" si="14"/>
        <v>-7.2184793070260156E-3</v>
      </c>
    </row>
    <row r="192" spans="2:31" x14ac:dyDescent="0.3">
      <c r="B192" s="102">
        <v>44883.645833333336</v>
      </c>
      <c r="C192">
        <v>2565.8000000000002</v>
      </c>
      <c r="D192" s="104">
        <f t="shared" si="10"/>
        <v>-1.1404793095476595E-2</v>
      </c>
      <c r="F192" s="102">
        <v>44883.645833333336</v>
      </c>
      <c r="G192" s="108">
        <v>18307.650000000001</v>
      </c>
      <c r="H192" s="104">
        <f t="shared" si="11"/>
        <v>-1.1078851062105821E-2</v>
      </c>
      <c r="U192" s="102">
        <v>44883.645833333336</v>
      </c>
      <c r="V192">
        <v>486.74</v>
      </c>
      <c r="W192" s="104">
        <f t="shared" si="12"/>
        <v>3.3807462378889763E-3</v>
      </c>
      <c r="Y192" s="102">
        <v>44883.645833333336</v>
      </c>
      <c r="Z192">
        <v>98.5</v>
      </c>
      <c r="AA192" s="104">
        <f t="shared" si="13"/>
        <v>-1.6475287069395939E-2</v>
      </c>
      <c r="AC192" s="132">
        <v>44883.645833333336</v>
      </c>
      <c r="AD192">
        <v>757.25</v>
      </c>
      <c r="AE192" s="104">
        <f t="shared" si="14"/>
        <v>4.8750086559102623E-2</v>
      </c>
    </row>
    <row r="193" spans="2:31" x14ac:dyDescent="0.3">
      <c r="B193" s="102">
        <v>44876.645833333336</v>
      </c>
      <c r="C193">
        <v>2651.8</v>
      </c>
      <c r="D193" s="104">
        <f t="shared" si="10"/>
        <v>3.3517811208979564E-2</v>
      </c>
      <c r="F193" s="102">
        <v>44876.645833333336</v>
      </c>
      <c r="G193" s="108">
        <v>18349.7</v>
      </c>
      <c r="H193" s="104">
        <f t="shared" si="11"/>
        <v>2.296854047351804E-3</v>
      </c>
      <c r="U193" s="102">
        <v>44876.645833333336</v>
      </c>
      <c r="V193">
        <v>487.44</v>
      </c>
      <c r="W193" s="104">
        <f t="shared" si="12"/>
        <v>1.4381394584377372E-3</v>
      </c>
      <c r="Y193" s="102">
        <v>44876.645833333336</v>
      </c>
      <c r="Z193">
        <v>103.45</v>
      </c>
      <c r="AA193" s="104">
        <f t="shared" si="13"/>
        <v>5.0253807106598991E-2</v>
      </c>
      <c r="AC193" s="132">
        <v>44876.645833333336</v>
      </c>
      <c r="AD193">
        <v>777.55</v>
      </c>
      <c r="AE193" s="104">
        <f t="shared" si="14"/>
        <v>2.6807527236711648E-2</v>
      </c>
    </row>
    <row r="194" spans="2:31" x14ac:dyDescent="0.3">
      <c r="B194" s="102">
        <v>44869.645833333336</v>
      </c>
      <c r="C194">
        <v>2769.7</v>
      </c>
      <c r="D194" s="104">
        <f t="shared" si="10"/>
        <v>4.4460366543479735E-2</v>
      </c>
      <c r="F194" s="102">
        <v>44869.645833333336</v>
      </c>
      <c r="G194" s="108">
        <v>18117.150000000001</v>
      </c>
      <c r="H194" s="104">
        <f t="shared" si="11"/>
        <v>-1.2673231714959932E-2</v>
      </c>
      <c r="U194" s="102">
        <v>44869.645833333336</v>
      </c>
      <c r="V194">
        <v>488.05</v>
      </c>
      <c r="W194" s="104">
        <f t="shared" si="12"/>
        <v>1.2514360741835429E-3</v>
      </c>
      <c r="Y194" s="102">
        <v>44869.645833333336</v>
      </c>
      <c r="Z194">
        <v>104.45</v>
      </c>
      <c r="AA194" s="104">
        <f t="shared" si="13"/>
        <v>9.6665055582407788E-3</v>
      </c>
      <c r="AC194" s="132">
        <v>44869.645833333336</v>
      </c>
      <c r="AD194">
        <v>747.65</v>
      </c>
      <c r="AE194" s="104">
        <f t="shared" si="14"/>
        <v>-3.845411870619253E-2</v>
      </c>
    </row>
    <row r="195" spans="2:31" x14ac:dyDescent="0.3">
      <c r="B195" s="102">
        <v>44862.645833333336</v>
      </c>
      <c r="C195">
        <v>2736.4</v>
      </c>
      <c r="D195" s="104">
        <f t="shared" si="10"/>
        <v>-1.2022962775751767E-2</v>
      </c>
      <c r="F195" s="102">
        <v>44862.645833333336</v>
      </c>
      <c r="G195" s="108">
        <v>17786.8</v>
      </c>
      <c r="H195" s="104">
        <f t="shared" si="11"/>
        <v>-1.8234104149935426E-2</v>
      </c>
      <c r="U195" s="102">
        <v>44862.645833333336</v>
      </c>
      <c r="V195">
        <v>507.03</v>
      </c>
      <c r="W195" s="104">
        <f t="shared" si="12"/>
        <v>3.8889458047331127E-2</v>
      </c>
      <c r="Y195" s="102">
        <v>44862.645833333336</v>
      </c>
      <c r="Z195">
        <v>104.65</v>
      </c>
      <c r="AA195" s="104">
        <f t="shared" si="13"/>
        <v>1.9147917663955294E-3</v>
      </c>
      <c r="AC195" s="132">
        <v>44862.645833333336</v>
      </c>
      <c r="AD195">
        <v>660.6</v>
      </c>
      <c r="AE195" s="104">
        <f t="shared" si="14"/>
        <v>-0.11643148532067138</v>
      </c>
    </row>
    <row r="196" spans="2:31" x14ac:dyDescent="0.3">
      <c r="B196" s="102">
        <v>44855.645833333336</v>
      </c>
      <c r="C196">
        <v>2665.65</v>
      </c>
      <c r="D196" s="104">
        <f t="shared" si="10"/>
        <v>-2.585513813769913E-2</v>
      </c>
      <c r="F196" s="102">
        <v>44855.645833333336</v>
      </c>
      <c r="G196" s="108">
        <v>17576.3</v>
      </c>
      <c r="H196" s="104">
        <f t="shared" si="11"/>
        <v>-1.1834618930892549E-2</v>
      </c>
      <c r="U196" s="102">
        <v>44855.645833333336</v>
      </c>
      <c r="V196">
        <v>527.79999999999995</v>
      </c>
      <c r="W196" s="104">
        <f t="shared" si="12"/>
        <v>4.096404551998889E-2</v>
      </c>
      <c r="Y196" s="102">
        <v>44855.645833333336</v>
      </c>
      <c r="Z196">
        <v>100.05</v>
      </c>
      <c r="AA196" s="104">
        <f t="shared" si="13"/>
        <v>-4.3956043956044022E-2</v>
      </c>
      <c r="AC196" s="132">
        <v>44855.645833333336</v>
      </c>
      <c r="AD196">
        <v>679.45</v>
      </c>
      <c r="AE196" s="104">
        <f t="shared" si="14"/>
        <v>2.8534665455646424E-2</v>
      </c>
    </row>
    <row r="197" spans="2:31" x14ac:dyDescent="0.3">
      <c r="B197" s="102">
        <v>44848.645833333336</v>
      </c>
      <c r="C197">
        <v>2617.8000000000002</v>
      </c>
      <c r="D197" s="104">
        <f t="shared" si="10"/>
        <v>-1.7950593663834336E-2</v>
      </c>
      <c r="F197" s="102">
        <v>44848.645833333336</v>
      </c>
      <c r="G197" s="108">
        <v>17185.7</v>
      </c>
      <c r="H197" s="104">
        <f t="shared" si="11"/>
        <v>-2.2223107252379526E-2</v>
      </c>
      <c r="U197" s="102">
        <v>44848.645833333336</v>
      </c>
      <c r="V197">
        <v>611.25</v>
      </c>
      <c r="W197" s="104">
        <f t="shared" si="12"/>
        <v>0.15810913224706336</v>
      </c>
      <c r="Y197" s="102">
        <v>44848.645833333336</v>
      </c>
      <c r="Z197">
        <v>103.15</v>
      </c>
      <c r="AA197" s="104">
        <f t="shared" si="13"/>
        <v>3.0984507746127044E-2</v>
      </c>
      <c r="AC197" s="132">
        <v>44848.645833333336</v>
      </c>
      <c r="AD197">
        <v>694.2</v>
      </c>
      <c r="AE197" s="104">
        <f t="shared" si="14"/>
        <v>2.1708735006255031E-2</v>
      </c>
    </row>
    <row r="198" spans="2:31" x14ac:dyDescent="0.3">
      <c r="B198" s="102">
        <v>44841.645833333336</v>
      </c>
      <c r="C198">
        <v>2730.5</v>
      </c>
      <c r="D198" s="104">
        <f t="shared" si="10"/>
        <v>4.3051417220566712E-2</v>
      </c>
      <c r="F198" s="102">
        <v>44841.645833333336</v>
      </c>
      <c r="G198" s="108">
        <v>17314.650000000001</v>
      </c>
      <c r="H198" s="104">
        <f t="shared" si="11"/>
        <v>7.5033312579644296E-3</v>
      </c>
      <c r="U198" s="102">
        <v>44841.645833333336</v>
      </c>
      <c r="V198">
        <v>637.29</v>
      </c>
      <c r="W198" s="104">
        <f t="shared" si="12"/>
        <v>4.2601226993864927E-2</v>
      </c>
      <c r="Y198" s="102">
        <v>44841.645833333336</v>
      </c>
      <c r="Z198">
        <v>101.75</v>
      </c>
      <c r="AA198" s="104">
        <f t="shared" si="13"/>
        <v>-1.3572467280659306E-2</v>
      </c>
      <c r="AC198" s="132">
        <v>44841.645833333336</v>
      </c>
      <c r="AD198">
        <v>606.6</v>
      </c>
      <c r="AE198" s="104">
        <f t="shared" si="14"/>
        <v>-0.12618841832324978</v>
      </c>
    </row>
    <row r="199" spans="2:31" x14ac:dyDescent="0.3">
      <c r="B199" s="102">
        <v>44834.645833333336</v>
      </c>
      <c r="C199">
        <v>2606.9499999999998</v>
      </c>
      <c r="D199" s="104">
        <f t="shared" si="10"/>
        <v>-4.5248123054385747E-2</v>
      </c>
      <c r="F199" s="102">
        <v>44834.645833333336</v>
      </c>
      <c r="G199" s="108">
        <v>17094.349999999999</v>
      </c>
      <c r="H199" s="104">
        <f t="shared" si="11"/>
        <v>-1.2723329665918937E-2</v>
      </c>
      <c r="U199" s="102">
        <v>44834.645833333336</v>
      </c>
      <c r="V199">
        <v>600.04999999999995</v>
      </c>
      <c r="W199" s="104">
        <f t="shared" si="12"/>
        <v>-5.8434935429710233E-2</v>
      </c>
      <c r="Y199" s="102">
        <v>44834.645833333336</v>
      </c>
      <c r="Z199">
        <v>96.3</v>
      </c>
      <c r="AA199" s="104">
        <f t="shared" si="13"/>
        <v>-5.356265356265355E-2</v>
      </c>
      <c r="AC199" s="132">
        <v>44834.645833333336</v>
      </c>
      <c r="AD199">
        <v>578.79999999999995</v>
      </c>
      <c r="AE199" s="104">
        <f t="shared" si="14"/>
        <v>-4.5829212001318953E-2</v>
      </c>
    </row>
    <row r="200" spans="2:31" x14ac:dyDescent="0.3">
      <c r="B200" s="102">
        <v>44827.645833333336</v>
      </c>
      <c r="C200">
        <v>2672.45</v>
      </c>
      <c r="D200" s="104">
        <f t="shared" si="10"/>
        <v>2.5125146243694774E-2</v>
      </c>
      <c r="F200" s="102">
        <v>44827.645833333336</v>
      </c>
      <c r="G200" s="108">
        <v>17327.349999999999</v>
      </c>
      <c r="H200" s="104">
        <f t="shared" si="11"/>
        <v>1.3630234551182063E-2</v>
      </c>
      <c r="U200" s="102">
        <v>44827.645833333336</v>
      </c>
      <c r="V200">
        <v>588.5</v>
      </c>
      <c r="W200" s="104">
        <f t="shared" si="12"/>
        <v>-1.9248395967002674E-2</v>
      </c>
      <c r="Y200" s="102">
        <v>44827.645833333336</v>
      </c>
      <c r="Z200">
        <v>93.15</v>
      </c>
      <c r="AA200" s="104">
        <f t="shared" si="13"/>
        <v>-3.2710280373831724E-2</v>
      </c>
      <c r="AC200" s="132">
        <v>44827.645833333336</v>
      </c>
      <c r="AD200">
        <v>584.65</v>
      </c>
      <c r="AE200" s="104">
        <f t="shared" si="14"/>
        <v>1.0107118175535668E-2</v>
      </c>
    </row>
    <row r="201" spans="2:31" x14ac:dyDescent="0.3">
      <c r="B201" s="102">
        <v>44820.645833333336</v>
      </c>
      <c r="C201">
        <v>2611.8000000000002</v>
      </c>
      <c r="D201" s="104">
        <f t="shared" ref="D201:D261" si="15">C201/C200-1</f>
        <v>-2.269453123538312E-2</v>
      </c>
      <c r="F201" s="102">
        <v>44820.645833333336</v>
      </c>
      <c r="G201" s="108">
        <v>17530.849999999999</v>
      </c>
      <c r="H201" s="104">
        <f t="shared" ref="H201:H261" si="16">G201/G200-1</f>
        <v>1.1744438705283855E-2</v>
      </c>
      <c r="U201" s="102">
        <v>44820.645833333336</v>
      </c>
      <c r="V201">
        <v>589.01</v>
      </c>
      <c r="W201" s="104">
        <f t="shared" ref="W201:W261" si="17">V201/V200-1</f>
        <v>8.6661002548860111E-4</v>
      </c>
      <c r="Y201" s="102">
        <v>44820.645833333336</v>
      </c>
      <c r="Z201">
        <v>94.3</v>
      </c>
      <c r="AA201" s="104">
        <f t="shared" ref="AA201:AA261" si="18">Z201/Z200-1</f>
        <v>1.2345679012345512E-2</v>
      </c>
      <c r="AC201" s="132">
        <v>44820.645833333336</v>
      </c>
      <c r="AD201">
        <v>578.9</v>
      </c>
      <c r="AE201" s="104">
        <f t="shared" ref="AE201:AE261" si="19">AD201/AD200-1</f>
        <v>-9.8349439835798691E-3</v>
      </c>
    </row>
    <row r="202" spans="2:31" x14ac:dyDescent="0.3">
      <c r="B202" s="102">
        <v>44813.645833333336</v>
      </c>
      <c r="C202">
        <v>2603.4499999999998</v>
      </c>
      <c r="D202" s="104">
        <f t="shared" si="15"/>
        <v>-3.1970288689794346E-3</v>
      </c>
      <c r="F202" s="102">
        <v>44813.645833333336</v>
      </c>
      <c r="G202" s="108">
        <v>17833.349999999999</v>
      </c>
      <c r="H202" s="104">
        <f t="shared" si="16"/>
        <v>1.7255295664500014E-2</v>
      </c>
      <c r="U202" s="102">
        <v>44813.645833333336</v>
      </c>
      <c r="V202">
        <v>554.29999999999995</v>
      </c>
      <c r="W202" s="104">
        <f t="shared" si="17"/>
        <v>-5.8929389993378822E-2</v>
      </c>
      <c r="Y202" s="102">
        <v>44813.645833333336</v>
      </c>
      <c r="Z202">
        <v>82.45</v>
      </c>
      <c r="AA202" s="104">
        <f t="shared" si="18"/>
        <v>-0.12566277836691409</v>
      </c>
      <c r="AC202" s="132">
        <v>44813.645833333336</v>
      </c>
      <c r="AD202">
        <v>579.35</v>
      </c>
      <c r="AE202" s="104">
        <f t="shared" si="19"/>
        <v>7.7733632751786352E-4</v>
      </c>
    </row>
    <row r="203" spans="2:31" x14ac:dyDescent="0.3">
      <c r="B203" s="102">
        <v>44806.645833333336</v>
      </c>
      <c r="C203">
        <v>2612.6</v>
      </c>
      <c r="D203" s="104">
        <f t="shared" si="15"/>
        <v>3.514567208895869E-3</v>
      </c>
      <c r="F203" s="102">
        <v>44806.645833333336</v>
      </c>
      <c r="G203" s="108">
        <v>17539.45</v>
      </c>
      <c r="H203" s="104">
        <f t="shared" si="16"/>
        <v>-1.6480358429571407E-2</v>
      </c>
      <c r="U203" s="102">
        <v>44806.645833333336</v>
      </c>
      <c r="V203">
        <v>543.14</v>
      </c>
      <c r="W203" s="104">
        <f t="shared" si="17"/>
        <v>-2.0133501713873292E-2</v>
      </c>
      <c r="Y203" s="102">
        <v>44806.645833333336</v>
      </c>
      <c r="Z203">
        <v>84.8</v>
      </c>
      <c r="AA203" s="104">
        <f t="shared" si="18"/>
        <v>2.8502122498483828E-2</v>
      </c>
      <c r="AC203" s="132">
        <v>44806.645833333336</v>
      </c>
      <c r="AD203">
        <v>585.20000000000005</v>
      </c>
      <c r="AE203" s="104">
        <f t="shared" si="19"/>
        <v>1.0097523086217253E-2</v>
      </c>
    </row>
    <row r="204" spans="2:31" x14ac:dyDescent="0.3">
      <c r="B204" s="102">
        <v>44799.645833333336</v>
      </c>
      <c r="C204">
        <v>2532.9</v>
      </c>
      <c r="D204" s="104">
        <f t="shared" si="15"/>
        <v>-3.0506009339355322E-2</v>
      </c>
      <c r="F204" s="102">
        <v>44799.645833333336</v>
      </c>
      <c r="G204" s="108">
        <v>17558.900000000001</v>
      </c>
      <c r="H204" s="104">
        <f t="shared" si="16"/>
        <v>1.1089287292360694E-3</v>
      </c>
      <c r="U204" s="102">
        <v>44799.645833333336</v>
      </c>
      <c r="V204">
        <v>548.72</v>
      </c>
      <c r="W204" s="104">
        <f t="shared" si="17"/>
        <v>1.0273594285083121E-2</v>
      </c>
      <c r="Y204" s="102">
        <v>44799.645833333336</v>
      </c>
      <c r="Z204">
        <v>79.5</v>
      </c>
      <c r="AA204" s="104">
        <f t="shared" si="18"/>
        <v>-6.25E-2</v>
      </c>
      <c r="AC204" s="132">
        <v>44799.645833333336</v>
      </c>
      <c r="AD204">
        <v>597.15</v>
      </c>
      <c r="AE204" s="104">
        <f t="shared" si="19"/>
        <v>2.042036910457945E-2</v>
      </c>
    </row>
    <row r="205" spans="2:31" x14ac:dyDescent="0.3">
      <c r="B205" s="102">
        <v>44792.645833333336</v>
      </c>
      <c r="C205">
        <v>2440.6</v>
      </c>
      <c r="D205" s="104">
        <f t="shared" si="15"/>
        <v>-3.6440443760116903E-2</v>
      </c>
      <c r="F205" s="102">
        <v>44792.645833333336</v>
      </c>
      <c r="G205" s="108">
        <v>17758.45</v>
      </c>
      <c r="H205" s="104">
        <f t="shared" si="16"/>
        <v>1.1364607122313908E-2</v>
      </c>
      <c r="U205" s="102">
        <v>44792.645833333336</v>
      </c>
      <c r="V205">
        <v>554.98</v>
      </c>
      <c r="W205" s="104">
        <f t="shared" si="17"/>
        <v>1.1408368566846461E-2</v>
      </c>
      <c r="Y205" s="102">
        <v>44792.645833333336</v>
      </c>
      <c r="Z205">
        <v>70</v>
      </c>
      <c r="AA205" s="104">
        <f t="shared" si="18"/>
        <v>-0.11949685534591192</v>
      </c>
      <c r="AC205" s="132">
        <v>44792.645833333336</v>
      </c>
      <c r="AD205">
        <v>596.45000000000005</v>
      </c>
      <c r="AE205" s="104">
        <f t="shared" si="19"/>
        <v>-1.1722347818804435E-3</v>
      </c>
    </row>
    <row r="206" spans="2:31" x14ac:dyDescent="0.3">
      <c r="B206" s="102">
        <v>44785.645833333336</v>
      </c>
      <c r="C206">
        <v>2471.9499999999998</v>
      </c>
      <c r="D206" s="104">
        <f t="shared" si="15"/>
        <v>1.2845201999508227E-2</v>
      </c>
      <c r="F206" s="102">
        <v>44785.645833333336</v>
      </c>
      <c r="G206" s="108">
        <v>17698.150000000001</v>
      </c>
      <c r="H206" s="104">
        <f t="shared" si="16"/>
        <v>-3.3955666175820021E-3</v>
      </c>
      <c r="U206" s="102">
        <v>44785.645833333336</v>
      </c>
      <c r="V206">
        <v>526.54999999999995</v>
      </c>
      <c r="W206" s="104">
        <f t="shared" si="17"/>
        <v>-5.1227071245810718E-2</v>
      </c>
      <c r="Y206" s="102">
        <v>44785.645833333336</v>
      </c>
      <c r="Z206">
        <v>69.95</v>
      </c>
      <c r="AA206" s="104">
        <f t="shared" si="18"/>
        <v>-7.1428571428566734E-4</v>
      </c>
      <c r="AC206" s="132">
        <v>44785.645833333336</v>
      </c>
      <c r="AD206">
        <v>605.70000000000005</v>
      </c>
      <c r="AE206" s="104">
        <f t="shared" si="19"/>
        <v>1.5508424847011426E-2</v>
      </c>
    </row>
    <row r="207" spans="2:31" x14ac:dyDescent="0.3">
      <c r="B207" s="102">
        <v>44778.645833333336</v>
      </c>
      <c r="C207">
        <v>2432.8000000000002</v>
      </c>
      <c r="D207" s="104">
        <f t="shared" si="15"/>
        <v>-1.5837698982584469E-2</v>
      </c>
      <c r="F207" s="102">
        <v>44778.645833333336</v>
      </c>
      <c r="G207" s="108">
        <v>17397.5</v>
      </c>
      <c r="H207" s="104">
        <f t="shared" si="16"/>
        <v>-1.6987651251684555E-2</v>
      </c>
      <c r="U207" s="102">
        <v>44778.645833333336</v>
      </c>
      <c r="V207">
        <v>545.04999999999995</v>
      </c>
      <c r="W207" s="104">
        <f t="shared" si="17"/>
        <v>3.5134365207482698E-2</v>
      </c>
      <c r="Y207" s="102">
        <v>44778.645833333336</v>
      </c>
      <c r="Z207">
        <v>71.2</v>
      </c>
      <c r="AA207" s="104">
        <f t="shared" si="18"/>
        <v>1.7869907076483171E-2</v>
      </c>
      <c r="AC207" s="132">
        <v>44778.645833333336</v>
      </c>
      <c r="AD207">
        <v>619</v>
      </c>
      <c r="AE207" s="104">
        <f t="shared" si="19"/>
        <v>2.1958065048703901E-2</v>
      </c>
    </row>
    <row r="208" spans="2:31" x14ac:dyDescent="0.3">
      <c r="B208" s="102">
        <v>44771.645833333336</v>
      </c>
      <c r="C208">
        <v>2352.0500000000002</v>
      </c>
      <c r="D208" s="104">
        <f t="shared" si="15"/>
        <v>-3.3192206511016065E-2</v>
      </c>
      <c r="F208" s="102">
        <v>44771.645833333336</v>
      </c>
      <c r="G208" s="108">
        <v>17158.25</v>
      </c>
      <c r="H208" s="104">
        <f t="shared" si="16"/>
        <v>-1.3751975858600329E-2</v>
      </c>
      <c r="U208" s="102">
        <v>44771.645833333336</v>
      </c>
      <c r="V208">
        <v>508.31</v>
      </c>
      <c r="W208" s="104">
        <f t="shared" si="17"/>
        <v>-6.7406659939455049E-2</v>
      </c>
      <c r="Y208" s="102">
        <v>44771.645833333336</v>
      </c>
      <c r="Z208">
        <v>65.05</v>
      </c>
      <c r="AA208" s="104">
        <f t="shared" si="18"/>
        <v>-8.6376404494382109E-2</v>
      </c>
      <c r="AC208" s="132">
        <v>44771.645833333336</v>
      </c>
      <c r="AD208">
        <v>593.29999999999995</v>
      </c>
      <c r="AE208" s="104">
        <f t="shared" si="19"/>
        <v>-4.1518578352180979E-2</v>
      </c>
    </row>
    <row r="209" spans="2:31" x14ac:dyDescent="0.3">
      <c r="B209" s="102">
        <v>44764.645833333336</v>
      </c>
      <c r="C209">
        <v>2325</v>
      </c>
      <c r="D209" s="104">
        <f t="shared" si="15"/>
        <v>-1.1500605854467438E-2</v>
      </c>
      <c r="F209" s="102">
        <v>44764.645833333336</v>
      </c>
      <c r="G209" s="108">
        <v>16719.45</v>
      </c>
      <c r="H209" s="104">
        <f t="shared" si="16"/>
        <v>-2.5573703611965093E-2</v>
      </c>
      <c r="U209" s="102">
        <v>44764.645833333336</v>
      </c>
      <c r="V209">
        <v>528.29</v>
      </c>
      <c r="W209" s="104">
        <f t="shared" si="17"/>
        <v>3.9306722275776584E-2</v>
      </c>
      <c r="Y209" s="102">
        <v>44764.645833333336</v>
      </c>
      <c r="Z209">
        <v>64.849999999999994</v>
      </c>
      <c r="AA209" s="104">
        <f t="shared" si="18"/>
        <v>-3.0745580322828481E-3</v>
      </c>
      <c r="AC209" s="132">
        <v>44764.645833333336</v>
      </c>
      <c r="AD209">
        <v>582.75</v>
      </c>
      <c r="AE209" s="104">
        <f t="shared" si="19"/>
        <v>-1.7781897859430185E-2</v>
      </c>
    </row>
    <row r="210" spans="2:31" x14ac:dyDescent="0.3">
      <c r="B210" s="102">
        <v>44757.645833333336</v>
      </c>
      <c r="C210">
        <v>2189.6999999999998</v>
      </c>
      <c r="D210" s="104">
        <f t="shared" si="15"/>
        <v>-5.8193548387096894E-2</v>
      </c>
      <c r="F210" s="102">
        <v>44757.645833333336</v>
      </c>
      <c r="G210" s="108">
        <v>16049.2</v>
      </c>
      <c r="H210" s="104">
        <f t="shared" si="16"/>
        <v>-4.0088041173603206E-2</v>
      </c>
      <c r="U210" s="102">
        <v>44757.645833333336</v>
      </c>
      <c r="V210">
        <v>527.46</v>
      </c>
      <c r="W210" s="104">
        <f t="shared" si="17"/>
        <v>-1.5711067784738297E-3</v>
      </c>
      <c r="Y210" s="102">
        <v>44757.645833333336</v>
      </c>
      <c r="Z210">
        <v>66.25</v>
      </c>
      <c r="AA210" s="104">
        <f t="shared" si="18"/>
        <v>2.1588280647648617E-2</v>
      </c>
      <c r="AC210" s="132">
        <v>44757.645833333336</v>
      </c>
      <c r="AD210">
        <v>589.85</v>
      </c>
      <c r="AE210" s="104">
        <f t="shared" si="19"/>
        <v>1.2183612183612302E-2</v>
      </c>
    </row>
    <row r="211" spans="2:31" x14ac:dyDescent="0.3">
      <c r="B211" s="102">
        <v>44750.645833333336</v>
      </c>
      <c r="C211">
        <v>2144.35</v>
      </c>
      <c r="D211" s="104">
        <f t="shared" si="15"/>
        <v>-2.0710599625519466E-2</v>
      </c>
      <c r="F211" s="102">
        <v>44750.645833333336</v>
      </c>
      <c r="G211" s="108">
        <v>16220.6</v>
      </c>
      <c r="H211" s="104">
        <f t="shared" si="16"/>
        <v>1.0679660045360473E-2</v>
      </c>
      <c r="U211" s="102">
        <v>44750.645833333336</v>
      </c>
      <c r="V211">
        <v>500.29</v>
      </c>
      <c r="W211" s="104">
        <f t="shared" si="17"/>
        <v>-5.1511015053274156E-2</v>
      </c>
      <c r="Y211" s="102">
        <v>44750.645833333336</v>
      </c>
      <c r="Z211">
        <v>62.95</v>
      </c>
      <c r="AA211" s="104">
        <f t="shared" si="18"/>
        <v>-4.9811320754716948E-2</v>
      </c>
      <c r="AC211" s="132">
        <v>44750.645833333336</v>
      </c>
      <c r="AD211">
        <v>592.95000000000005</v>
      </c>
      <c r="AE211" s="104">
        <f t="shared" si="19"/>
        <v>5.2555734508774599E-3</v>
      </c>
    </row>
    <row r="212" spans="2:31" x14ac:dyDescent="0.3">
      <c r="B212" s="102">
        <v>44743.645833333336</v>
      </c>
      <c r="C212">
        <v>1946.2</v>
      </c>
      <c r="D212" s="104">
        <f t="shared" si="15"/>
        <v>-9.240562408188957E-2</v>
      </c>
      <c r="F212" s="102">
        <v>44743.645833333336</v>
      </c>
      <c r="G212" s="108">
        <v>15752.05</v>
      </c>
      <c r="H212" s="104">
        <f t="shared" si="16"/>
        <v>-2.8886107788861137E-2</v>
      </c>
      <c r="U212" s="102">
        <v>44743.645833333336</v>
      </c>
      <c r="V212">
        <v>468.41</v>
      </c>
      <c r="W212" s="104">
        <f t="shared" si="17"/>
        <v>-6.3723040636430861E-2</v>
      </c>
      <c r="Y212" s="102">
        <v>44743.645833333336</v>
      </c>
      <c r="Z212">
        <v>61.4</v>
      </c>
      <c r="AA212" s="104">
        <f t="shared" si="18"/>
        <v>-2.4622716441620396E-2</v>
      </c>
      <c r="AC212" s="132">
        <v>44743.645833333336</v>
      </c>
      <c r="AD212">
        <v>621.25</v>
      </c>
      <c r="AE212" s="104">
        <f t="shared" si="19"/>
        <v>4.7727464373049866E-2</v>
      </c>
    </row>
    <row r="213" spans="2:31" x14ac:dyDescent="0.3">
      <c r="B213" s="102">
        <v>44736.645833333336</v>
      </c>
      <c r="C213">
        <v>2045.6</v>
      </c>
      <c r="D213" s="104">
        <f t="shared" si="15"/>
        <v>5.1073887575788568E-2</v>
      </c>
      <c r="F213" s="102">
        <v>44736.645833333336</v>
      </c>
      <c r="G213" s="108">
        <v>15699.25</v>
      </c>
      <c r="H213" s="104">
        <f t="shared" si="16"/>
        <v>-3.3519446675194242E-3</v>
      </c>
      <c r="U213" s="102">
        <v>44736.645833333336</v>
      </c>
      <c r="V213">
        <v>450.51</v>
      </c>
      <c r="W213" s="104">
        <f t="shared" si="17"/>
        <v>-3.8214384833799575E-2</v>
      </c>
      <c r="Y213" s="102">
        <v>44736.645833333336</v>
      </c>
      <c r="Z213">
        <v>58.35</v>
      </c>
      <c r="AA213" s="104">
        <f t="shared" si="18"/>
        <v>-4.967426710097711E-2</v>
      </c>
      <c r="AC213" s="132">
        <v>44736.645833333336</v>
      </c>
      <c r="AD213">
        <v>573.75</v>
      </c>
      <c r="AE213" s="104">
        <f t="shared" si="19"/>
        <v>-7.6458752515090489E-2</v>
      </c>
    </row>
    <row r="214" spans="2:31" x14ac:dyDescent="0.3">
      <c r="B214" s="102">
        <v>44729.645833333336</v>
      </c>
      <c r="C214">
        <v>1936.45</v>
      </c>
      <c r="D214" s="104">
        <f t="shared" si="15"/>
        <v>-5.3358427845130896E-2</v>
      </c>
      <c r="F214" s="102">
        <v>44729.645833333336</v>
      </c>
      <c r="G214" s="108">
        <v>15293.5</v>
      </c>
      <c r="H214" s="104">
        <f t="shared" si="16"/>
        <v>-2.5845183687118856E-2</v>
      </c>
      <c r="U214" s="102">
        <v>44729.645833333336</v>
      </c>
      <c r="V214">
        <v>478.7</v>
      </c>
      <c r="W214" s="104">
        <f t="shared" si="17"/>
        <v>6.2573527779627547E-2</v>
      </c>
      <c r="Y214" s="102">
        <v>44729.645833333336</v>
      </c>
      <c r="Z214">
        <v>57.4</v>
      </c>
      <c r="AA214" s="104">
        <f t="shared" si="18"/>
        <v>-1.6281062553556214E-2</v>
      </c>
      <c r="AC214" s="132">
        <v>44729.645833333336</v>
      </c>
      <c r="AD214">
        <v>564.04999999999995</v>
      </c>
      <c r="AE214" s="104">
        <f t="shared" si="19"/>
        <v>-1.6906318082788752E-2</v>
      </c>
    </row>
    <row r="215" spans="2:31" x14ac:dyDescent="0.3">
      <c r="B215" s="102">
        <v>44722.645833333336</v>
      </c>
      <c r="C215">
        <v>2142.25</v>
      </c>
      <c r="D215" s="104">
        <f t="shared" si="15"/>
        <v>0.10627695008908056</v>
      </c>
      <c r="F215" s="102">
        <v>44722.645833333336</v>
      </c>
      <c r="G215" s="108">
        <v>16201.8</v>
      </c>
      <c r="H215" s="104">
        <f t="shared" si="16"/>
        <v>5.9391244646418428E-2</v>
      </c>
      <c r="U215" s="102">
        <v>44722.645833333336</v>
      </c>
      <c r="V215">
        <v>483.67</v>
      </c>
      <c r="W215" s="104">
        <f t="shared" si="17"/>
        <v>1.0382285356173027E-2</v>
      </c>
      <c r="Y215" s="102">
        <v>44722.645833333336</v>
      </c>
      <c r="Z215">
        <v>59.95</v>
      </c>
      <c r="AA215" s="104">
        <f t="shared" si="18"/>
        <v>4.4425087108014072E-2</v>
      </c>
      <c r="AC215" s="132">
        <v>44722.645833333336</v>
      </c>
      <c r="AD215">
        <v>522.70000000000005</v>
      </c>
      <c r="AE215" s="104">
        <f t="shared" si="19"/>
        <v>-7.3309103802854159E-2</v>
      </c>
    </row>
    <row r="216" spans="2:31" x14ac:dyDescent="0.3">
      <c r="B216" s="102">
        <v>44715.645833333336</v>
      </c>
      <c r="C216">
        <v>2204.4</v>
      </c>
      <c r="D216" s="104">
        <f t="shared" si="15"/>
        <v>2.9011553273427415E-2</v>
      </c>
      <c r="F216" s="102">
        <v>44715.645833333336</v>
      </c>
      <c r="G216" s="108">
        <v>16584.3</v>
      </c>
      <c r="H216" s="104">
        <f t="shared" si="16"/>
        <v>2.3608487945783851E-2</v>
      </c>
      <c r="U216" s="102">
        <v>44715.645833333336</v>
      </c>
      <c r="V216">
        <v>487.54</v>
      </c>
      <c r="W216" s="104">
        <f t="shared" si="17"/>
        <v>8.001323216242584E-3</v>
      </c>
      <c r="Y216" s="102">
        <v>44715.645833333336</v>
      </c>
      <c r="Z216">
        <v>60.5</v>
      </c>
      <c r="AA216" s="104">
        <f t="shared" si="18"/>
        <v>9.1743119266054496E-3</v>
      </c>
      <c r="AC216" s="132">
        <v>44715.645833333336</v>
      </c>
      <c r="AD216">
        <v>542.5</v>
      </c>
      <c r="AE216" s="104">
        <f t="shared" si="19"/>
        <v>3.788023722976841E-2</v>
      </c>
    </row>
    <row r="217" spans="2:31" x14ac:dyDescent="0.3">
      <c r="B217" s="102">
        <v>44708.645833333336</v>
      </c>
      <c r="C217">
        <v>2149.1999999999998</v>
      </c>
      <c r="D217" s="104">
        <f t="shared" si="15"/>
        <v>-2.5040827436037194E-2</v>
      </c>
      <c r="F217" s="102">
        <v>44708.645833333336</v>
      </c>
      <c r="G217" s="108">
        <v>16352.45</v>
      </c>
      <c r="H217" s="104">
        <f t="shared" si="16"/>
        <v>-1.3980089602817047E-2</v>
      </c>
      <c r="U217" s="102">
        <v>44708.645833333336</v>
      </c>
      <c r="V217">
        <v>490.87</v>
      </c>
      <c r="W217" s="104">
        <f t="shared" si="17"/>
        <v>6.8302088033802555E-3</v>
      </c>
      <c r="Y217" s="102">
        <v>44708.645833333336</v>
      </c>
      <c r="Z217">
        <v>58.35</v>
      </c>
      <c r="AA217" s="104">
        <f t="shared" si="18"/>
        <v>-3.5537190082644554E-2</v>
      </c>
      <c r="AC217" s="132">
        <v>44708.645833333336</v>
      </c>
      <c r="AD217">
        <v>553.04999999999995</v>
      </c>
      <c r="AE217" s="104">
        <f t="shared" si="19"/>
        <v>1.9447004608294849E-2</v>
      </c>
    </row>
    <row r="218" spans="2:31" x14ac:dyDescent="0.3">
      <c r="B218" s="102">
        <v>44701.645833333336</v>
      </c>
      <c r="C218">
        <v>2137.0500000000002</v>
      </c>
      <c r="D218" s="104">
        <f t="shared" si="15"/>
        <v>-5.65326633165808E-3</v>
      </c>
      <c r="F218" s="102">
        <v>44701.645833333336</v>
      </c>
      <c r="G218" s="108">
        <v>16266.15</v>
      </c>
      <c r="H218" s="104">
        <f t="shared" si="16"/>
        <v>-5.2774966442338256E-3</v>
      </c>
      <c r="U218" s="102">
        <v>44701.645833333336</v>
      </c>
      <c r="V218">
        <v>515</v>
      </c>
      <c r="W218" s="104">
        <f t="shared" si="17"/>
        <v>4.915761810662711E-2</v>
      </c>
      <c r="Y218" s="102">
        <v>44701.645833333336</v>
      </c>
      <c r="Z218">
        <v>62</v>
      </c>
      <c r="AA218" s="104">
        <f t="shared" si="18"/>
        <v>6.2553556126820897E-2</v>
      </c>
      <c r="AC218" s="132">
        <v>44701.645833333336</v>
      </c>
      <c r="AD218">
        <v>572.75</v>
      </c>
      <c r="AE218" s="104">
        <f t="shared" si="19"/>
        <v>3.5620649127565462E-2</v>
      </c>
    </row>
    <row r="219" spans="2:31" x14ac:dyDescent="0.3">
      <c r="B219" s="102">
        <v>44694.645833333336</v>
      </c>
      <c r="C219">
        <v>2091.6999999999998</v>
      </c>
      <c r="D219" s="104">
        <f t="shared" si="15"/>
        <v>-2.1220841814651226E-2</v>
      </c>
      <c r="F219" s="102">
        <v>44694.645833333336</v>
      </c>
      <c r="G219" s="108">
        <v>15782.15</v>
      </c>
      <c r="H219" s="104">
        <f t="shared" si="16"/>
        <v>-2.975504344912594E-2</v>
      </c>
      <c r="U219" s="102">
        <v>44694.645833333336</v>
      </c>
      <c r="V219">
        <v>510.07</v>
      </c>
      <c r="W219" s="104">
        <f t="shared" si="17"/>
        <v>-9.5728155339805943E-3</v>
      </c>
      <c r="Y219" s="102">
        <v>44694.645833333336</v>
      </c>
      <c r="Z219">
        <v>61.7</v>
      </c>
      <c r="AA219" s="104">
        <f t="shared" si="18"/>
        <v>-4.8387096774192839E-3</v>
      </c>
      <c r="AC219" s="132">
        <v>44694.645833333336</v>
      </c>
      <c r="AD219">
        <v>588.54999999999995</v>
      </c>
      <c r="AE219" s="104">
        <f t="shared" si="19"/>
        <v>2.7586206896551557E-2</v>
      </c>
    </row>
    <row r="220" spans="2:31" x14ac:dyDescent="0.3">
      <c r="B220" s="102">
        <v>44687.645833333336</v>
      </c>
      <c r="C220">
        <v>2208.75</v>
      </c>
      <c r="D220" s="104">
        <f t="shared" si="15"/>
        <v>5.5959267581393135E-2</v>
      </c>
      <c r="F220" s="102">
        <v>44687.645833333336</v>
      </c>
      <c r="G220" s="108">
        <v>16411.25</v>
      </c>
      <c r="H220" s="104">
        <f t="shared" si="16"/>
        <v>3.9861489087354984E-2</v>
      </c>
      <c r="U220" s="102">
        <v>44687.645833333336</v>
      </c>
      <c r="V220">
        <v>559.61</v>
      </c>
      <c r="W220" s="104">
        <f t="shared" si="17"/>
        <v>9.7123924167271225E-2</v>
      </c>
      <c r="Y220" s="102">
        <v>44687.645833333336</v>
      </c>
      <c r="Z220">
        <v>60.2</v>
      </c>
      <c r="AA220" s="104">
        <f t="shared" si="18"/>
        <v>-2.4311183144246407E-2</v>
      </c>
      <c r="AC220" s="132">
        <v>44687.645833333336</v>
      </c>
      <c r="AD220">
        <v>588.45000000000005</v>
      </c>
      <c r="AE220" s="104">
        <f t="shared" si="19"/>
        <v>-1.6990909863212611E-4</v>
      </c>
    </row>
    <row r="221" spans="2:31" x14ac:dyDescent="0.3">
      <c r="B221" s="102">
        <v>44680.645833333336</v>
      </c>
      <c r="C221">
        <v>2458.1999999999998</v>
      </c>
      <c r="D221" s="104">
        <f t="shared" si="15"/>
        <v>0.11293718166383693</v>
      </c>
      <c r="F221" s="102">
        <v>44680.645833333336</v>
      </c>
      <c r="G221" s="108">
        <v>17102.55</v>
      </c>
      <c r="H221" s="104">
        <f t="shared" si="16"/>
        <v>4.2123543301089139E-2</v>
      </c>
      <c r="U221" s="102">
        <v>44680.645833333336</v>
      </c>
      <c r="V221">
        <v>547.34</v>
      </c>
      <c r="W221" s="104">
        <f t="shared" si="17"/>
        <v>-2.1925984167545209E-2</v>
      </c>
      <c r="Y221" s="102">
        <v>44680.645833333336</v>
      </c>
      <c r="Z221">
        <v>60.9</v>
      </c>
      <c r="AA221" s="104">
        <f t="shared" si="18"/>
        <v>1.1627906976744207E-2</v>
      </c>
      <c r="AC221" s="132">
        <v>44680.645833333336</v>
      </c>
      <c r="AD221">
        <v>629.04999999999995</v>
      </c>
      <c r="AE221" s="104">
        <f t="shared" si="19"/>
        <v>6.8994816891834398E-2</v>
      </c>
    </row>
    <row r="222" spans="2:31" x14ac:dyDescent="0.3">
      <c r="B222" s="102">
        <v>44673.645833333336</v>
      </c>
      <c r="C222">
        <v>2512.6999999999998</v>
      </c>
      <c r="D222" s="104">
        <f t="shared" si="15"/>
        <v>2.2170694003742497E-2</v>
      </c>
      <c r="F222" s="102">
        <v>44673.645833333336</v>
      </c>
      <c r="G222" s="108">
        <v>17171.95</v>
      </c>
      <c r="H222" s="104">
        <f t="shared" si="16"/>
        <v>4.0578744105412845E-3</v>
      </c>
      <c r="U222" s="102">
        <v>44673.645833333336</v>
      </c>
      <c r="V222">
        <v>565.51</v>
      </c>
      <c r="W222" s="104">
        <f t="shared" si="17"/>
        <v>3.3196915993714882E-2</v>
      </c>
      <c r="Y222" s="102">
        <v>44673.645833333336</v>
      </c>
      <c r="Z222">
        <v>63.15</v>
      </c>
      <c r="AA222" s="104">
        <f t="shared" si="18"/>
        <v>3.6945812807881673E-2</v>
      </c>
      <c r="AC222" s="132">
        <v>44673.645833333336</v>
      </c>
      <c r="AD222">
        <v>646.5</v>
      </c>
      <c r="AE222" s="104">
        <f t="shared" si="19"/>
        <v>2.7740243223909111E-2</v>
      </c>
    </row>
    <row r="223" spans="2:31" x14ac:dyDescent="0.3">
      <c r="B223" s="102">
        <v>44664.645833333336</v>
      </c>
      <c r="C223">
        <v>2461.35</v>
      </c>
      <c r="D223" s="104">
        <f t="shared" si="15"/>
        <v>-2.0436184184343453E-2</v>
      </c>
      <c r="F223" s="102">
        <v>44664.645833333336</v>
      </c>
      <c r="G223" s="108">
        <v>17475.650000000001</v>
      </c>
      <c r="H223" s="104">
        <f t="shared" si="16"/>
        <v>1.7685819024630289E-2</v>
      </c>
      <c r="U223" s="102">
        <v>44664.645833333336</v>
      </c>
      <c r="V223">
        <v>552.44000000000005</v>
      </c>
      <c r="W223" s="104">
        <f t="shared" si="17"/>
        <v>-2.3111881310675209E-2</v>
      </c>
      <c r="Y223" s="102">
        <v>44664.645833333336</v>
      </c>
      <c r="Z223">
        <v>65.599999999999994</v>
      </c>
      <c r="AA223" s="104">
        <f t="shared" si="18"/>
        <v>3.8796516231195399E-2</v>
      </c>
      <c r="AC223" s="132">
        <v>44664.645833333336</v>
      </c>
      <c r="AD223">
        <v>641.4</v>
      </c>
      <c r="AE223" s="104">
        <f t="shared" si="19"/>
        <v>-7.8886310904873191E-3</v>
      </c>
    </row>
    <row r="224" spans="2:31" x14ac:dyDescent="0.3">
      <c r="B224" s="102">
        <v>44659.645833333336</v>
      </c>
      <c r="C224">
        <v>2509.9499999999998</v>
      </c>
      <c r="D224" s="104">
        <f t="shared" si="15"/>
        <v>1.9745261746602516E-2</v>
      </c>
      <c r="F224" s="102">
        <v>44659.645833333336</v>
      </c>
      <c r="G224" s="108">
        <v>17784.349999999999</v>
      </c>
      <c r="H224" s="104">
        <f t="shared" si="16"/>
        <v>1.7664578999922576E-2</v>
      </c>
      <c r="U224" s="102">
        <v>44659.645833333336</v>
      </c>
      <c r="V224">
        <v>540.97</v>
      </c>
      <c r="W224" s="104">
        <f t="shared" si="17"/>
        <v>-2.0762435739627882E-2</v>
      </c>
      <c r="Y224" s="102">
        <v>44659.645833333336</v>
      </c>
      <c r="Z224">
        <v>66.2</v>
      </c>
      <c r="AA224" s="104">
        <f t="shared" si="18"/>
        <v>9.1463414634147533E-3</v>
      </c>
      <c r="AC224" s="132">
        <v>44659.645833333336</v>
      </c>
      <c r="AD224">
        <v>648.20000000000005</v>
      </c>
      <c r="AE224" s="104">
        <f t="shared" si="19"/>
        <v>1.0601808543810431E-2</v>
      </c>
    </row>
    <row r="225" spans="2:31" x14ac:dyDescent="0.3">
      <c r="B225" s="102">
        <v>44652.645833333336</v>
      </c>
      <c r="C225">
        <v>2520.85</v>
      </c>
      <c r="D225" s="104">
        <f t="shared" si="15"/>
        <v>4.3427159903584034E-3</v>
      </c>
      <c r="F225" s="102">
        <v>44652.645833333336</v>
      </c>
      <c r="G225" s="108">
        <v>17670.45</v>
      </c>
      <c r="H225" s="104">
        <f t="shared" si="16"/>
        <v>-6.4045073336949088E-3</v>
      </c>
      <c r="U225" s="102">
        <v>44652.645833333336</v>
      </c>
      <c r="V225">
        <v>532.16999999999996</v>
      </c>
      <c r="W225" s="104">
        <f t="shared" si="17"/>
        <v>-1.626707580827047E-2</v>
      </c>
      <c r="Y225" s="102">
        <v>44652.645833333336</v>
      </c>
      <c r="Z225">
        <v>61.9</v>
      </c>
      <c r="AA225" s="104">
        <f t="shared" si="18"/>
        <v>-6.4954682779456263E-2</v>
      </c>
      <c r="AC225" s="132">
        <v>44652.645833333336</v>
      </c>
      <c r="AD225">
        <v>688.55</v>
      </c>
      <c r="AE225" s="104">
        <f t="shared" si="19"/>
        <v>6.2249305769823904E-2</v>
      </c>
    </row>
    <row r="226" spans="2:31" x14ac:dyDescent="0.3">
      <c r="B226" s="102">
        <v>44645.645833333336</v>
      </c>
      <c r="C226">
        <v>2523.9</v>
      </c>
      <c r="D226" s="104">
        <f t="shared" si="15"/>
        <v>1.209909355971206E-3</v>
      </c>
      <c r="F226" s="102">
        <v>44645.645833333336</v>
      </c>
      <c r="G226" s="108">
        <v>17153</v>
      </c>
      <c r="H226" s="104">
        <f t="shared" si="16"/>
        <v>-2.928335158414197E-2</v>
      </c>
      <c r="U226" s="102">
        <v>44645.645833333336</v>
      </c>
      <c r="V226">
        <v>552.87</v>
      </c>
      <c r="W226" s="104">
        <f t="shared" si="17"/>
        <v>3.8897344833418002E-2</v>
      </c>
      <c r="Y226" s="102">
        <v>44645.645833333336</v>
      </c>
      <c r="Z226">
        <v>59.6</v>
      </c>
      <c r="AA226" s="104">
        <f t="shared" si="18"/>
        <v>-3.7156704361873905E-2</v>
      </c>
      <c r="AC226" s="132">
        <v>44645.645833333336</v>
      </c>
      <c r="AD226">
        <v>684.8</v>
      </c>
      <c r="AE226" s="104">
        <f t="shared" si="19"/>
        <v>-5.4462275796964832E-3</v>
      </c>
    </row>
    <row r="227" spans="2:31" x14ac:dyDescent="0.3">
      <c r="B227" s="102">
        <v>44637.645833333336</v>
      </c>
      <c r="C227">
        <v>2703</v>
      </c>
      <c r="D227" s="104">
        <f t="shared" si="15"/>
        <v>7.0961607036728935E-2</v>
      </c>
      <c r="F227" s="102">
        <v>44637.645833333336</v>
      </c>
      <c r="G227" s="108">
        <v>17287.05</v>
      </c>
      <c r="H227" s="104">
        <f t="shared" si="16"/>
        <v>7.8149594823062607E-3</v>
      </c>
      <c r="U227" s="102">
        <v>44637.645833333336</v>
      </c>
      <c r="V227">
        <v>562.51</v>
      </c>
      <c r="W227" s="104">
        <f t="shared" si="17"/>
        <v>1.7436287011413087E-2</v>
      </c>
      <c r="Y227" s="102">
        <v>44637.645833333336</v>
      </c>
      <c r="Z227">
        <v>61.15</v>
      </c>
      <c r="AA227" s="104">
        <f t="shared" si="18"/>
        <v>2.6006711409396033E-2</v>
      </c>
      <c r="AC227" s="132">
        <v>44637.645833333336</v>
      </c>
      <c r="AD227">
        <v>728.65</v>
      </c>
      <c r="AE227" s="104">
        <f t="shared" si="19"/>
        <v>6.4033294392523477E-2</v>
      </c>
    </row>
    <row r="228" spans="2:31" x14ac:dyDescent="0.3">
      <c r="B228" s="102">
        <v>44631.645833333336</v>
      </c>
      <c r="C228">
        <v>2493.6</v>
      </c>
      <c r="D228" s="104">
        <f t="shared" si="15"/>
        <v>-7.7469478357380717E-2</v>
      </c>
      <c r="F228" s="102">
        <v>44631.645833333336</v>
      </c>
      <c r="G228" s="108">
        <v>16630.45</v>
      </c>
      <c r="H228" s="104">
        <f t="shared" si="16"/>
        <v>-3.7982188979611808E-2</v>
      </c>
      <c r="U228" s="102">
        <v>44631.645833333336</v>
      </c>
      <c r="V228">
        <v>564.9</v>
      </c>
      <c r="W228" s="104">
        <f t="shared" si="17"/>
        <v>4.2488133544291706E-3</v>
      </c>
      <c r="Y228" s="102">
        <v>44631.645833333336</v>
      </c>
      <c r="Z228">
        <v>61.4</v>
      </c>
      <c r="AA228" s="104">
        <f t="shared" si="18"/>
        <v>4.0883074407196407E-3</v>
      </c>
      <c r="AC228" s="132">
        <v>44631.645833333336</v>
      </c>
      <c r="AD228">
        <v>709.8</v>
      </c>
      <c r="AE228" s="104">
        <f t="shared" si="19"/>
        <v>-2.5869759143621773E-2</v>
      </c>
    </row>
    <row r="229" spans="2:31" x14ac:dyDescent="0.3">
      <c r="B229" s="102">
        <v>44624.645833333336</v>
      </c>
      <c r="C229">
        <v>2441</v>
      </c>
      <c r="D229" s="104">
        <f t="shared" si="15"/>
        <v>-2.1094000641642574E-2</v>
      </c>
      <c r="F229" s="102">
        <v>44624.645833333336</v>
      </c>
      <c r="G229" s="108">
        <v>16245.35</v>
      </c>
      <c r="H229" s="104">
        <f t="shared" si="16"/>
        <v>-2.3156318680492727E-2</v>
      </c>
      <c r="U229" s="102">
        <v>44624.645833333336</v>
      </c>
      <c r="V229">
        <v>594.32000000000005</v>
      </c>
      <c r="W229" s="104">
        <f t="shared" si="17"/>
        <v>5.2080014161798749E-2</v>
      </c>
      <c r="Y229" s="102">
        <v>44624.645833333336</v>
      </c>
      <c r="Z229">
        <v>61.95</v>
      </c>
      <c r="AA229" s="104">
        <f t="shared" si="18"/>
        <v>8.9576547231271508E-3</v>
      </c>
      <c r="AC229" s="132">
        <v>44624.645833333336</v>
      </c>
      <c r="AD229">
        <v>723.75</v>
      </c>
      <c r="AE229" s="104">
        <f t="shared" si="19"/>
        <v>1.9653423499577327E-2</v>
      </c>
    </row>
    <row r="230" spans="2:31" x14ac:dyDescent="0.3">
      <c r="B230" s="102">
        <v>44617.645833333336</v>
      </c>
      <c r="C230">
        <v>2468.4499999999998</v>
      </c>
      <c r="D230" s="104">
        <f t="shared" si="15"/>
        <v>1.1245391233101198E-2</v>
      </c>
      <c r="F230" s="102">
        <v>44617.645833333336</v>
      </c>
      <c r="G230" s="108">
        <v>16658.400000000001</v>
      </c>
      <c r="H230" s="104">
        <f t="shared" si="16"/>
        <v>2.5425737210955868E-2</v>
      </c>
      <c r="U230" s="102">
        <v>44617.645833333336</v>
      </c>
      <c r="V230">
        <v>533.91</v>
      </c>
      <c r="W230" s="104">
        <f t="shared" si="17"/>
        <v>-0.10164557813972286</v>
      </c>
      <c r="Y230" s="102">
        <v>44617.645833333336</v>
      </c>
      <c r="Z230">
        <v>59.45</v>
      </c>
      <c r="AA230" s="104">
        <f t="shared" si="18"/>
        <v>-4.035512510088779E-2</v>
      </c>
      <c r="AC230" s="132">
        <v>44617.645833333336</v>
      </c>
      <c r="AD230">
        <v>702</v>
      </c>
      <c r="AE230" s="104">
        <f t="shared" si="19"/>
        <v>-3.0051813471502542E-2</v>
      </c>
    </row>
    <row r="231" spans="2:31" x14ac:dyDescent="0.3">
      <c r="B231" s="102">
        <v>44610.645833333336</v>
      </c>
      <c r="C231">
        <v>2488.9499999999998</v>
      </c>
      <c r="D231" s="104">
        <f t="shared" si="15"/>
        <v>8.304806660049735E-3</v>
      </c>
      <c r="F231" s="102">
        <v>44610.645833333336</v>
      </c>
      <c r="G231" s="108">
        <v>17276.3</v>
      </c>
      <c r="H231" s="104">
        <f t="shared" si="16"/>
        <v>3.7092397829323165E-2</v>
      </c>
      <c r="U231" s="102">
        <v>44610.645833333336</v>
      </c>
      <c r="V231">
        <v>547.9</v>
      </c>
      <c r="W231" s="104">
        <f t="shared" si="17"/>
        <v>2.6202918094810013E-2</v>
      </c>
      <c r="Y231" s="102">
        <v>44610.645833333336</v>
      </c>
      <c r="Z231">
        <v>62.3</v>
      </c>
      <c r="AA231" s="104">
        <f t="shared" si="18"/>
        <v>4.7939444911690332E-2</v>
      </c>
      <c r="AC231" s="132">
        <v>44610.645833333336</v>
      </c>
      <c r="AD231">
        <v>811.5</v>
      </c>
      <c r="AE231" s="104">
        <f t="shared" si="19"/>
        <v>0.15598290598290587</v>
      </c>
    </row>
    <row r="232" spans="2:31" x14ac:dyDescent="0.3">
      <c r="B232" s="102">
        <v>44603.645833333336</v>
      </c>
      <c r="C232">
        <v>2442.25</v>
      </c>
      <c r="D232" s="104">
        <f t="shared" si="15"/>
        <v>-1.8762932160147794E-2</v>
      </c>
      <c r="F232" s="102">
        <v>44603.645833333336</v>
      </c>
      <c r="G232" s="108">
        <v>17374.75</v>
      </c>
      <c r="H232" s="104">
        <f t="shared" si="16"/>
        <v>5.6985581403425911E-3</v>
      </c>
      <c r="U232" s="102">
        <v>44603.645833333336</v>
      </c>
      <c r="V232">
        <v>520.67999999999995</v>
      </c>
      <c r="W232" s="104">
        <f t="shared" si="17"/>
        <v>-4.9680598649388674E-2</v>
      </c>
      <c r="Y232" s="102">
        <v>44603.645833333336</v>
      </c>
      <c r="Z232">
        <v>64.3</v>
      </c>
      <c r="AA232" s="104">
        <f t="shared" si="18"/>
        <v>3.2102728731942198E-2</v>
      </c>
      <c r="AC232" s="132">
        <v>44603.645833333336</v>
      </c>
      <c r="AD232">
        <v>884.3</v>
      </c>
      <c r="AE232" s="104">
        <f t="shared" si="19"/>
        <v>8.9710412815773299E-2</v>
      </c>
    </row>
    <row r="233" spans="2:31" x14ac:dyDescent="0.3">
      <c r="B233" s="102">
        <v>44596.645833333336</v>
      </c>
      <c r="C233">
        <v>2471.15</v>
      </c>
      <c r="D233" s="104">
        <f t="shared" si="15"/>
        <v>1.1833350394103936E-2</v>
      </c>
      <c r="F233" s="102">
        <v>44596.645833333336</v>
      </c>
      <c r="G233" s="108">
        <v>17516.3</v>
      </c>
      <c r="H233" s="104">
        <f t="shared" si="16"/>
        <v>8.1468798112203089E-3</v>
      </c>
      <c r="U233" s="102">
        <v>44596.645833333336</v>
      </c>
      <c r="V233">
        <v>536.33000000000004</v>
      </c>
      <c r="W233" s="104">
        <f t="shared" si="17"/>
        <v>3.0056848736268238E-2</v>
      </c>
      <c r="Y233" s="102">
        <v>44596.645833333336</v>
      </c>
      <c r="Z233">
        <v>66.849999999999994</v>
      </c>
      <c r="AA233" s="104">
        <f t="shared" si="18"/>
        <v>3.9657853810264321E-2</v>
      </c>
      <c r="AC233" s="132">
        <v>44596.645833333336</v>
      </c>
      <c r="AD233">
        <v>810.05</v>
      </c>
      <c r="AE233" s="104">
        <f t="shared" si="19"/>
        <v>-8.3964717855931292E-2</v>
      </c>
    </row>
    <row r="234" spans="2:31" x14ac:dyDescent="0.3">
      <c r="B234" s="102">
        <v>44589.645833333336</v>
      </c>
      <c r="C234">
        <v>2315.6</v>
      </c>
      <c r="D234" s="104">
        <f t="shared" si="15"/>
        <v>-6.2946401472998459E-2</v>
      </c>
      <c r="F234" s="102">
        <v>44589.645833333336</v>
      </c>
      <c r="G234" s="108">
        <v>17101.95</v>
      </c>
      <c r="H234" s="104">
        <f t="shared" si="16"/>
        <v>-2.3655109812003583E-2</v>
      </c>
      <c r="U234" s="102">
        <v>44589.645833333336</v>
      </c>
      <c r="V234">
        <v>557.49</v>
      </c>
      <c r="W234" s="104">
        <f t="shared" si="17"/>
        <v>3.945332164898474E-2</v>
      </c>
      <c r="Y234" s="102">
        <v>44589.645833333336</v>
      </c>
      <c r="Z234">
        <v>66.3</v>
      </c>
      <c r="AA234" s="104">
        <f t="shared" si="18"/>
        <v>-8.2273747195212854E-3</v>
      </c>
      <c r="AC234" s="132">
        <v>44589.645833333336</v>
      </c>
      <c r="AD234">
        <v>799.55</v>
      </c>
      <c r="AE234" s="104">
        <f t="shared" si="19"/>
        <v>-1.2962162829454948E-2</v>
      </c>
    </row>
    <row r="235" spans="2:31" x14ac:dyDescent="0.3">
      <c r="B235" s="102">
        <v>44582.645833333336</v>
      </c>
      <c r="C235">
        <v>2528.15</v>
      </c>
      <c r="D235" s="104">
        <f t="shared" si="15"/>
        <v>9.1790464674382566E-2</v>
      </c>
      <c r="F235" s="102">
        <v>44582.645833333336</v>
      </c>
      <c r="G235" s="108">
        <v>17617.150000000001</v>
      </c>
      <c r="H235" s="104">
        <f t="shared" si="16"/>
        <v>3.0125219638696299E-2</v>
      </c>
      <c r="U235" s="102">
        <v>44582.645833333336</v>
      </c>
      <c r="V235">
        <v>648.14</v>
      </c>
      <c r="W235" s="104">
        <f t="shared" si="17"/>
        <v>0.16260381352131881</v>
      </c>
      <c r="Y235" s="102">
        <v>44582.645833333336</v>
      </c>
      <c r="Z235">
        <v>67.8</v>
      </c>
      <c r="AA235" s="104">
        <f t="shared" si="18"/>
        <v>2.2624434389140191E-2</v>
      </c>
      <c r="AC235" s="132">
        <v>44582.645833333336</v>
      </c>
      <c r="AD235">
        <v>844.35</v>
      </c>
      <c r="AE235" s="104">
        <f t="shared" si="19"/>
        <v>5.6031517728722502E-2</v>
      </c>
    </row>
    <row r="236" spans="2:31" x14ac:dyDescent="0.3">
      <c r="B236" s="102">
        <v>44575.645833333336</v>
      </c>
      <c r="C236">
        <v>2592.75</v>
      </c>
      <c r="D236" s="104">
        <f t="shared" si="15"/>
        <v>2.5552281312422043E-2</v>
      </c>
      <c r="F236" s="102">
        <v>44575.645833333336</v>
      </c>
      <c r="G236" s="108">
        <v>18255.75</v>
      </c>
      <c r="H236" s="104">
        <f t="shared" si="16"/>
        <v>3.6248768955250865E-2</v>
      </c>
      <c r="U236" s="102">
        <v>44575.645833333336</v>
      </c>
      <c r="V236">
        <v>663.45</v>
      </c>
      <c r="W236" s="104">
        <f t="shared" si="17"/>
        <v>2.3621439812386402E-2</v>
      </c>
      <c r="Y236" s="102">
        <v>44575.645833333336</v>
      </c>
      <c r="Z236">
        <v>69.900000000000006</v>
      </c>
      <c r="AA236" s="104">
        <f t="shared" si="18"/>
        <v>3.0973451327433787E-2</v>
      </c>
      <c r="AC236" s="132">
        <v>44575.645833333336</v>
      </c>
      <c r="AD236">
        <v>850.35</v>
      </c>
      <c r="AE236" s="104">
        <f t="shared" si="19"/>
        <v>7.1060579143720215E-3</v>
      </c>
    </row>
    <row r="237" spans="2:31" x14ac:dyDescent="0.3">
      <c r="B237" s="102">
        <v>44568.645833333336</v>
      </c>
      <c r="C237">
        <v>2572.6999999999998</v>
      </c>
      <c r="D237" s="104">
        <f t="shared" si="15"/>
        <v>-7.7331019188121575E-3</v>
      </c>
      <c r="F237" s="102">
        <v>44568.645833333336</v>
      </c>
      <c r="G237" s="108">
        <v>17812.7</v>
      </c>
      <c r="H237" s="104">
        <f t="shared" si="16"/>
        <v>-2.4269065910740406E-2</v>
      </c>
      <c r="U237" s="102">
        <v>44568.645833333336</v>
      </c>
      <c r="V237">
        <v>657.75</v>
      </c>
      <c r="W237" s="104">
        <f t="shared" si="17"/>
        <v>-8.5914537644133926E-3</v>
      </c>
      <c r="Y237" s="102">
        <v>44568.645833333336</v>
      </c>
      <c r="Z237">
        <v>71.55</v>
      </c>
      <c r="AA237" s="104">
        <f t="shared" si="18"/>
        <v>2.3605150214592197E-2</v>
      </c>
      <c r="AC237" s="132">
        <v>44568.645833333336</v>
      </c>
      <c r="AD237">
        <v>822.05</v>
      </c>
      <c r="AE237" s="104">
        <f t="shared" si="19"/>
        <v>-3.3280413947198273E-2</v>
      </c>
    </row>
    <row r="238" spans="2:31" x14ac:dyDescent="0.3">
      <c r="B238" s="102">
        <v>44561.645833333336</v>
      </c>
      <c r="C238">
        <v>2522.4</v>
      </c>
      <c r="D238" s="104">
        <f t="shared" si="15"/>
        <v>-1.9551444008240271E-2</v>
      </c>
      <c r="F238" s="102">
        <v>44561.645833333336</v>
      </c>
      <c r="G238" s="108">
        <v>17354.05</v>
      </c>
      <c r="H238" s="104">
        <f t="shared" si="16"/>
        <v>-2.5748482824052621E-2</v>
      </c>
      <c r="U238" s="102">
        <v>44561.645833333336</v>
      </c>
      <c r="V238">
        <v>664.49</v>
      </c>
      <c r="W238" s="104">
        <f t="shared" si="17"/>
        <v>1.0247054351957496E-2</v>
      </c>
      <c r="Y238" s="102">
        <v>44561.645833333336</v>
      </c>
      <c r="Z238">
        <v>68.45</v>
      </c>
      <c r="AA238" s="104">
        <f t="shared" si="18"/>
        <v>-4.3326345213137607E-2</v>
      </c>
      <c r="AC238" s="132">
        <v>44561.645833333336</v>
      </c>
      <c r="AD238">
        <v>737.45</v>
      </c>
      <c r="AE238" s="104">
        <f t="shared" si="19"/>
        <v>-0.10291344808709924</v>
      </c>
    </row>
    <row r="239" spans="2:31" x14ac:dyDescent="0.3">
      <c r="B239" s="102">
        <v>44554.645833333336</v>
      </c>
      <c r="C239">
        <v>2319.4499999999998</v>
      </c>
      <c r="D239" s="104">
        <f t="shared" si="15"/>
        <v>-8.0459086584205641E-2</v>
      </c>
      <c r="F239" s="102">
        <v>44554.645833333336</v>
      </c>
      <c r="G239" s="108">
        <v>17003.75</v>
      </c>
      <c r="H239" s="104">
        <f t="shared" si="16"/>
        <v>-2.0185489842428628E-2</v>
      </c>
      <c r="U239" s="102">
        <v>44554.645833333336</v>
      </c>
      <c r="V239">
        <v>630.21</v>
      </c>
      <c r="W239" s="104">
        <f t="shared" si="17"/>
        <v>-5.1588436244337732E-2</v>
      </c>
      <c r="Y239" s="102">
        <v>44554.645833333336</v>
      </c>
      <c r="Z239">
        <v>67.75</v>
      </c>
      <c r="AA239" s="104">
        <f t="shared" si="18"/>
        <v>-1.0226442658875179E-2</v>
      </c>
      <c r="AC239" s="132">
        <v>44554.645833333336</v>
      </c>
      <c r="AD239">
        <v>745.45</v>
      </c>
      <c r="AE239" s="104">
        <f t="shared" si="19"/>
        <v>1.0848193097837244E-2</v>
      </c>
    </row>
    <row r="240" spans="2:31" x14ac:dyDescent="0.3">
      <c r="B240" s="102">
        <v>44547.645833333336</v>
      </c>
      <c r="C240">
        <v>2280.4</v>
      </c>
      <c r="D240" s="104">
        <f t="shared" si="15"/>
        <v>-1.6835887818232642E-2</v>
      </c>
      <c r="F240" s="102">
        <v>44547.645833333336</v>
      </c>
      <c r="G240" s="108">
        <v>16985.2</v>
      </c>
      <c r="H240" s="104">
        <f t="shared" si="16"/>
        <v>-1.0909358229801436E-3</v>
      </c>
      <c r="U240" s="102">
        <v>44547.645833333336</v>
      </c>
      <c r="V240">
        <v>644.22</v>
      </c>
      <c r="W240" s="104">
        <f t="shared" si="17"/>
        <v>2.2230685009758666E-2</v>
      </c>
      <c r="Y240" s="102">
        <v>44547.645833333336</v>
      </c>
      <c r="Z240">
        <v>68.25</v>
      </c>
      <c r="AA240" s="104">
        <f t="shared" si="18"/>
        <v>7.3800738007379074E-3</v>
      </c>
      <c r="AC240" s="132">
        <v>44547.645833333336</v>
      </c>
      <c r="AD240">
        <v>744.2</v>
      </c>
      <c r="AE240" s="104">
        <f t="shared" si="19"/>
        <v>-1.6768394929237429E-3</v>
      </c>
    </row>
    <row r="241" spans="2:31" x14ac:dyDescent="0.3">
      <c r="B241" s="102">
        <v>44540.645833333336</v>
      </c>
      <c r="C241">
        <v>2339.35</v>
      </c>
      <c r="D241" s="104">
        <f t="shared" si="15"/>
        <v>2.5850727942466234E-2</v>
      </c>
      <c r="F241" s="102">
        <v>44540.645833333336</v>
      </c>
      <c r="G241" s="108">
        <v>17511.3</v>
      </c>
      <c r="H241" s="104">
        <f t="shared" si="16"/>
        <v>3.0974024444810677E-2</v>
      </c>
      <c r="U241" s="102">
        <v>44540.645833333336</v>
      </c>
      <c r="V241">
        <v>649.39</v>
      </c>
      <c r="W241" s="104">
        <f t="shared" si="17"/>
        <v>8.0252087796093274E-3</v>
      </c>
      <c r="Y241" s="102">
        <v>44540.645833333336</v>
      </c>
      <c r="Z241">
        <v>71.75</v>
      </c>
      <c r="AA241" s="104">
        <f t="shared" si="18"/>
        <v>5.1282051282051322E-2</v>
      </c>
      <c r="AC241" s="132">
        <v>44540.645833333336</v>
      </c>
      <c r="AD241">
        <v>756.5</v>
      </c>
      <c r="AE241" s="104">
        <f t="shared" si="19"/>
        <v>1.6527815103466681E-2</v>
      </c>
    </row>
    <row r="242" spans="2:31" x14ac:dyDescent="0.3">
      <c r="B242" s="102">
        <v>44533.645833333336</v>
      </c>
      <c r="C242">
        <v>2369.25</v>
      </c>
      <c r="D242" s="104">
        <f t="shared" si="15"/>
        <v>1.2781328146707516E-2</v>
      </c>
      <c r="F242" s="102">
        <v>44533.645833333336</v>
      </c>
      <c r="G242" s="108">
        <v>17196.7</v>
      </c>
      <c r="H242" s="104">
        <f t="shared" si="16"/>
        <v>-1.7965542249861466E-2</v>
      </c>
      <c r="U242" s="102">
        <v>44533.645833333336</v>
      </c>
      <c r="V242">
        <v>657.58</v>
      </c>
      <c r="W242" s="104">
        <f t="shared" si="17"/>
        <v>1.2611835722755371E-2</v>
      </c>
      <c r="Y242" s="102">
        <v>44533.645833333336</v>
      </c>
      <c r="Z242">
        <v>69.2</v>
      </c>
      <c r="AA242" s="104">
        <f t="shared" si="18"/>
        <v>-3.5540069686411102E-2</v>
      </c>
      <c r="AC242" s="132">
        <v>44533.645833333336</v>
      </c>
      <c r="AD242">
        <v>747.05</v>
      </c>
      <c r="AE242" s="104">
        <f t="shared" si="19"/>
        <v>-1.2491738268341157E-2</v>
      </c>
    </row>
    <row r="243" spans="2:31" x14ac:dyDescent="0.3">
      <c r="B243" s="102">
        <v>44526.645833333336</v>
      </c>
      <c r="C243">
        <v>2292.3000000000002</v>
      </c>
      <c r="D243" s="104">
        <f t="shared" si="15"/>
        <v>-3.2478632478632363E-2</v>
      </c>
      <c r="F243" s="102">
        <v>44526.645833333336</v>
      </c>
      <c r="G243" s="108">
        <v>17026.45</v>
      </c>
      <c r="H243" s="104">
        <f t="shared" si="16"/>
        <v>-9.900155262346888E-3</v>
      </c>
      <c r="U243" s="102">
        <v>44526.645833333336</v>
      </c>
      <c r="V243">
        <v>688.42</v>
      </c>
      <c r="W243" s="104">
        <f t="shared" si="17"/>
        <v>4.6899236594786897E-2</v>
      </c>
      <c r="Y243" s="102">
        <v>44526.645833333336</v>
      </c>
      <c r="Z243">
        <v>67.400000000000006</v>
      </c>
      <c r="AA243" s="104">
        <f t="shared" si="18"/>
        <v>-2.6011560693641522E-2</v>
      </c>
      <c r="AC243" s="132">
        <v>44526.645833333336</v>
      </c>
      <c r="AD243">
        <v>705.4</v>
      </c>
      <c r="AE243" s="104">
        <f t="shared" si="19"/>
        <v>-5.5752626999531429E-2</v>
      </c>
    </row>
    <row r="244" spans="2:31" x14ac:dyDescent="0.3">
      <c r="B244" s="102">
        <v>44518.645833333336</v>
      </c>
      <c r="C244">
        <v>2478.1999999999998</v>
      </c>
      <c r="D244" s="104">
        <f t="shared" si="15"/>
        <v>8.1097587575797103E-2</v>
      </c>
      <c r="F244" s="102">
        <v>44518.645833333336</v>
      </c>
      <c r="G244" s="108">
        <v>17764.8</v>
      </c>
      <c r="H244" s="104">
        <f t="shared" si="16"/>
        <v>4.3364882286090145E-2</v>
      </c>
      <c r="U244" s="102">
        <v>44518.645833333336</v>
      </c>
      <c r="V244">
        <v>645.12</v>
      </c>
      <c r="W244" s="104">
        <f t="shared" si="17"/>
        <v>-6.2897649690595747E-2</v>
      </c>
      <c r="Y244" s="102">
        <v>44518.645833333336</v>
      </c>
      <c r="Z244">
        <v>72.849999999999994</v>
      </c>
      <c r="AA244" s="104">
        <f t="shared" si="18"/>
        <v>8.0860534124628902E-2</v>
      </c>
      <c r="AC244" s="132">
        <v>44518.645833333336</v>
      </c>
      <c r="AD244">
        <v>719.3</v>
      </c>
      <c r="AE244" s="104">
        <f t="shared" si="19"/>
        <v>1.9705131840090706E-2</v>
      </c>
    </row>
    <row r="245" spans="2:31" x14ac:dyDescent="0.3">
      <c r="B245" s="102">
        <v>44512.645833333336</v>
      </c>
      <c r="C245">
        <v>2539.5</v>
      </c>
      <c r="D245" s="104">
        <f t="shared" si="15"/>
        <v>2.4735695262690705E-2</v>
      </c>
      <c r="F245" s="102">
        <v>44512.645833333336</v>
      </c>
      <c r="G245" s="108">
        <v>18102.75</v>
      </c>
      <c r="H245" s="104">
        <f t="shared" si="16"/>
        <v>1.9023574709537971E-2</v>
      </c>
      <c r="U245" s="102">
        <v>44512.645833333336</v>
      </c>
      <c r="V245">
        <v>620.38</v>
      </c>
      <c r="W245" s="104">
        <f t="shared" si="17"/>
        <v>-3.8349454365079416E-2</v>
      </c>
      <c r="Y245" s="102">
        <v>44512.645833333336</v>
      </c>
      <c r="Z245">
        <v>78.05</v>
      </c>
      <c r="AA245" s="104">
        <f t="shared" si="18"/>
        <v>7.1379547014413181E-2</v>
      </c>
      <c r="AC245" s="132">
        <v>44512.645833333336</v>
      </c>
      <c r="AD245">
        <v>646.95000000000005</v>
      </c>
      <c r="AE245" s="104">
        <f t="shared" si="19"/>
        <v>-0.10058390101487547</v>
      </c>
    </row>
    <row r="246" spans="2:31" x14ac:dyDescent="0.3">
      <c r="B246" s="102">
        <v>44504.802083333336</v>
      </c>
      <c r="C246">
        <v>2431.75</v>
      </c>
      <c r="D246" s="104">
        <f t="shared" si="15"/>
        <v>-4.2429612128371708E-2</v>
      </c>
      <c r="F246" s="102">
        <v>44504.802083333336</v>
      </c>
      <c r="G246" s="108">
        <v>17916.8</v>
      </c>
      <c r="H246" s="104">
        <f t="shared" si="16"/>
        <v>-1.0271920012152935E-2</v>
      </c>
      <c r="U246" s="102">
        <v>44504.802083333336</v>
      </c>
      <c r="V246">
        <v>612.48</v>
      </c>
      <c r="W246" s="104">
        <f t="shared" si="17"/>
        <v>-1.2734130694090684E-2</v>
      </c>
      <c r="Y246" s="102">
        <v>44504.802083333336</v>
      </c>
      <c r="Z246">
        <v>78</v>
      </c>
      <c r="AA246" s="104">
        <f t="shared" si="18"/>
        <v>-6.4061499039069769E-4</v>
      </c>
      <c r="AC246" s="132">
        <v>44504.802083333336</v>
      </c>
      <c r="AD246">
        <v>638.29999999999995</v>
      </c>
      <c r="AE246" s="104">
        <f t="shared" si="19"/>
        <v>-1.3370430481490225E-2</v>
      </c>
    </row>
    <row r="247" spans="2:31" x14ac:dyDescent="0.3">
      <c r="B247" s="102">
        <v>44498.645833333336</v>
      </c>
      <c r="C247">
        <v>2383.5500000000002</v>
      </c>
      <c r="D247" s="104">
        <f t="shared" si="15"/>
        <v>-1.9821116479901257E-2</v>
      </c>
      <c r="F247" s="102">
        <v>44498.645833333336</v>
      </c>
      <c r="G247" s="108">
        <v>17671.650000000001</v>
      </c>
      <c r="H247" s="104">
        <f t="shared" si="16"/>
        <v>-1.3682688873012938E-2</v>
      </c>
      <c r="U247" s="102">
        <v>44498.645833333336</v>
      </c>
      <c r="V247">
        <v>626.23</v>
      </c>
      <c r="W247" s="104">
        <f t="shared" si="17"/>
        <v>2.2449712643678232E-2</v>
      </c>
      <c r="Y247" s="102">
        <v>44498.645833333336</v>
      </c>
      <c r="Z247">
        <v>76.25</v>
      </c>
      <c r="AA247" s="104">
        <f t="shared" si="18"/>
        <v>-2.2435897435897467E-2</v>
      </c>
      <c r="AC247" s="132">
        <v>44498.645833333336</v>
      </c>
      <c r="AD247">
        <v>638.25</v>
      </c>
      <c r="AE247" s="104">
        <f t="shared" si="19"/>
        <v>-7.8333072223046862E-5</v>
      </c>
    </row>
    <row r="248" spans="2:31" x14ac:dyDescent="0.3">
      <c r="B248" s="102">
        <v>44491.645833333336</v>
      </c>
      <c r="C248">
        <v>2412</v>
      </c>
      <c r="D248" s="104">
        <f t="shared" si="15"/>
        <v>1.1935977848167578E-2</v>
      </c>
      <c r="F248" s="102">
        <v>44491.645833333336</v>
      </c>
      <c r="G248" s="108">
        <v>18114.900000000001</v>
      </c>
      <c r="H248" s="104">
        <f t="shared" si="16"/>
        <v>2.5082547470100414E-2</v>
      </c>
      <c r="U248" s="102">
        <v>44491.645833333336</v>
      </c>
      <c r="V248">
        <v>653.11</v>
      </c>
      <c r="W248" s="104">
        <f t="shared" si="17"/>
        <v>4.2923526499848208E-2</v>
      </c>
      <c r="Y248" s="102">
        <v>44491.645833333336</v>
      </c>
      <c r="Z248">
        <v>75.400000000000006</v>
      </c>
      <c r="AA248" s="104">
        <f t="shared" si="18"/>
        <v>-1.1147540983606485E-2</v>
      </c>
      <c r="AC248" s="132">
        <v>44491.645833333336</v>
      </c>
      <c r="AD248">
        <v>635.5</v>
      </c>
      <c r="AE248" s="104">
        <f t="shared" si="19"/>
        <v>-4.3086564825695062E-3</v>
      </c>
    </row>
    <row r="249" spans="2:31" x14ac:dyDescent="0.3">
      <c r="B249" s="102">
        <v>44483.645833333336</v>
      </c>
      <c r="C249">
        <v>2564.0500000000002</v>
      </c>
      <c r="D249" s="104">
        <f t="shared" si="15"/>
        <v>6.3038971807628519E-2</v>
      </c>
      <c r="F249" s="102">
        <v>44483.645833333336</v>
      </c>
      <c r="G249" s="108">
        <v>18338.55</v>
      </c>
      <c r="H249" s="104">
        <f t="shared" si="16"/>
        <v>1.2346190152857428E-2</v>
      </c>
      <c r="U249" s="102">
        <v>44483.645833333336</v>
      </c>
      <c r="V249">
        <v>655.19000000000005</v>
      </c>
      <c r="W249" s="104">
        <f t="shared" si="17"/>
        <v>3.1847621380778346E-3</v>
      </c>
      <c r="Y249" s="102">
        <v>44483.645833333336</v>
      </c>
      <c r="Z249">
        <v>78.8</v>
      </c>
      <c r="AA249" s="104">
        <f t="shared" si="18"/>
        <v>4.5092838196286289E-2</v>
      </c>
      <c r="AC249" s="132">
        <v>44483.645833333336</v>
      </c>
      <c r="AD249">
        <v>646.6</v>
      </c>
      <c r="AE249" s="104">
        <f t="shared" si="19"/>
        <v>1.7466561762391919E-2</v>
      </c>
    </row>
    <row r="250" spans="2:31" x14ac:dyDescent="0.3">
      <c r="B250" s="102">
        <v>44477.645833333336</v>
      </c>
      <c r="C250">
        <v>2358.1999999999998</v>
      </c>
      <c r="D250" s="104">
        <f t="shared" si="15"/>
        <v>-8.0283145804489142E-2</v>
      </c>
      <c r="F250" s="102">
        <v>44477.645833333336</v>
      </c>
      <c r="G250" s="108">
        <v>17895.2</v>
      </c>
      <c r="H250" s="104">
        <f t="shared" si="16"/>
        <v>-2.4175848145027712E-2</v>
      </c>
      <c r="U250" s="102">
        <v>44477.645833333336</v>
      </c>
      <c r="V250">
        <v>600.5</v>
      </c>
      <c r="W250" s="104">
        <f t="shared" si="17"/>
        <v>-8.3471969962911619E-2</v>
      </c>
      <c r="Y250" s="102">
        <v>44477.645833333336</v>
      </c>
      <c r="Z250">
        <v>78</v>
      </c>
      <c r="AA250" s="104">
        <f t="shared" si="18"/>
        <v>-1.015228426395931E-2</v>
      </c>
      <c r="AC250" s="132">
        <v>44477.645833333336</v>
      </c>
      <c r="AD250">
        <v>617</v>
      </c>
      <c r="AE250" s="104">
        <f t="shared" si="19"/>
        <v>-4.5777915248994772E-2</v>
      </c>
    </row>
    <row r="251" spans="2:31" x14ac:dyDescent="0.3">
      <c r="B251" s="102">
        <v>44470.645833333336</v>
      </c>
      <c r="C251">
        <v>2163.75</v>
      </c>
      <c r="D251" s="104">
        <f t="shared" si="15"/>
        <v>-8.24569586973114E-2</v>
      </c>
      <c r="F251" s="102">
        <v>44470.645833333336</v>
      </c>
      <c r="G251" s="108">
        <v>17532.05</v>
      </c>
      <c r="H251" s="104">
        <f t="shared" si="16"/>
        <v>-2.0293151236085771E-2</v>
      </c>
      <c r="U251" s="102">
        <v>44470.645833333336</v>
      </c>
      <c r="V251">
        <v>552.32000000000005</v>
      </c>
      <c r="W251" s="104">
        <f t="shared" si="17"/>
        <v>-8.023313905079088E-2</v>
      </c>
      <c r="Y251" s="102">
        <v>44470.645833333336</v>
      </c>
      <c r="Z251">
        <v>73.5</v>
      </c>
      <c r="AA251" s="104">
        <f t="shared" si="18"/>
        <v>-5.7692307692307709E-2</v>
      </c>
      <c r="AC251" s="132">
        <v>44470.645833333336</v>
      </c>
      <c r="AD251">
        <v>586.04999999999995</v>
      </c>
      <c r="AE251" s="104">
        <f t="shared" si="19"/>
        <v>-5.0162074554295E-2</v>
      </c>
    </row>
    <row r="252" spans="2:31" x14ac:dyDescent="0.3">
      <c r="B252" s="102">
        <v>44463.645833333336</v>
      </c>
      <c r="C252">
        <v>2092.9</v>
      </c>
      <c r="D252" s="104">
        <f t="shared" si="15"/>
        <v>-3.2744078567302104E-2</v>
      </c>
      <c r="F252" s="102">
        <v>44463.645833333336</v>
      </c>
      <c r="G252" s="108">
        <v>17853.2</v>
      </c>
      <c r="H252" s="104">
        <f t="shared" si="16"/>
        <v>1.8317880681380849E-2</v>
      </c>
      <c r="U252" s="102">
        <v>44463.645833333336</v>
      </c>
      <c r="V252">
        <v>518.91</v>
      </c>
      <c r="W252" s="104">
        <f t="shared" si="17"/>
        <v>-6.0490295480880807E-2</v>
      </c>
      <c r="Y252" s="102">
        <v>44463.645833333336</v>
      </c>
      <c r="Z252">
        <v>69.5</v>
      </c>
      <c r="AA252" s="104">
        <f t="shared" si="18"/>
        <v>-5.4421768707482943E-2</v>
      </c>
      <c r="AC252" s="132">
        <v>44463.645833333336</v>
      </c>
      <c r="AD252">
        <v>590.04999999999995</v>
      </c>
      <c r="AE252" s="104">
        <f t="shared" si="19"/>
        <v>6.825356198276511E-3</v>
      </c>
    </row>
    <row r="253" spans="2:31" x14ac:dyDescent="0.3">
      <c r="B253" s="102">
        <v>44456.645833333336</v>
      </c>
      <c r="C253">
        <v>2095.6</v>
      </c>
      <c r="D253" s="104">
        <f t="shared" si="15"/>
        <v>1.290075971140503E-3</v>
      </c>
      <c r="F253" s="102">
        <v>44456.645833333336</v>
      </c>
      <c r="G253" s="108">
        <v>17585.150000000001</v>
      </c>
      <c r="H253" s="104">
        <f t="shared" si="16"/>
        <v>-1.5014115116617655E-2</v>
      </c>
      <c r="U253" s="102">
        <v>44456.645833333336</v>
      </c>
      <c r="V253">
        <v>522.37</v>
      </c>
      <c r="W253" s="104">
        <f t="shared" si="17"/>
        <v>6.6678229365402242E-3</v>
      </c>
      <c r="Y253" s="102">
        <v>44456.645833333336</v>
      </c>
      <c r="Z253">
        <v>71.900000000000006</v>
      </c>
      <c r="AA253" s="104">
        <f t="shared" si="18"/>
        <v>3.4532374100719521E-2</v>
      </c>
      <c r="AC253" s="132">
        <v>44456.645833333336</v>
      </c>
      <c r="AD253">
        <v>581.65</v>
      </c>
      <c r="AE253" s="104">
        <f t="shared" si="19"/>
        <v>-1.4236081687992508E-2</v>
      </c>
    </row>
    <row r="254" spans="2:31" x14ac:dyDescent="0.3">
      <c r="B254" s="102">
        <v>44448.645833333336</v>
      </c>
      <c r="C254">
        <v>2034.3</v>
      </c>
      <c r="D254" s="104">
        <f t="shared" si="15"/>
        <v>-2.9251765604122903E-2</v>
      </c>
      <c r="F254" s="102">
        <v>44448.645833333336</v>
      </c>
      <c r="G254" s="108">
        <v>17369.25</v>
      </c>
      <c r="H254" s="104">
        <f t="shared" si="16"/>
        <v>-1.2277404514604684E-2</v>
      </c>
      <c r="U254" s="102">
        <v>44448.645833333336</v>
      </c>
      <c r="V254">
        <v>509.59</v>
      </c>
      <c r="W254" s="104">
        <f t="shared" si="17"/>
        <v>-2.4465417232995779E-2</v>
      </c>
      <c r="Y254" s="102">
        <v>44448.645833333336</v>
      </c>
      <c r="Z254">
        <v>65.95</v>
      </c>
      <c r="AA254" s="104">
        <f t="shared" si="18"/>
        <v>-8.275382475660642E-2</v>
      </c>
      <c r="AC254" s="132">
        <v>44448.645833333336</v>
      </c>
      <c r="AD254">
        <v>611.9</v>
      </c>
      <c r="AE254" s="104">
        <f t="shared" si="19"/>
        <v>5.2007220837273271E-2</v>
      </c>
    </row>
    <row r="255" spans="2:31" x14ac:dyDescent="0.3">
      <c r="B255" s="102">
        <v>44442.645833333336</v>
      </c>
      <c r="C255">
        <v>2019.3</v>
      </c>
      <c r="D255" s="104">
        <f t="shared" si="15"/>
        <v>-7.3735437251143399E-3</v>
      </c>
      <c r="F255" s="102">
        <v>44442.645833333336</v>
      </c>
      <c r="G255" s="108">
        <v>17323.599999999999</v>
      </c>
      <c r="H255" s="104">
        <f t="shared" si="16"/>
        <v>-2.6282078961383792E-3</v>
      </c>
      <c r="U255" s="102">
        <v>44442.645833333336</v>
      </c>
      <c r="V255">
        <v>531.01</v>
      </c>
      <c r="W255" s="104">
        <f t="shared" si="17"/>
        <v>4.2033791871897153E-2</v>
      </c>
      <c r="Y255" s="102">
        <v>44442.645833333336</v>
      </c>
      <c r="Z255">
        <v>66.2</v>
      </c>
      <c r="AA255" s="104">
        <f t="shared" si="18"/>
        <v>3.7907505686125553E-3</v>
      </c>
      <c r="AC255" s="132">
        <v>44442.645833333336</v>
      </c>
      <c r="AD255">
        <v>582.54999999999995</v>
      </c>
      <c r="AE255" s="104">
        <f t="shared" si="19"/>
        <v>-4.7965353815982992E-2</v>
      </c>
    </row>
    <row r="256" spans="2:31" x14ac:dyDescent="0.3">
      <c r="B256" s="102">
        <v>44435.645833333336</v>
      </c>
      <c r="C256">
        <v>1822.55</v>
      </c>
      <c r="D256" s="104">
        <f t="shared" si="15"/>
        <v>-9.7434754617936936E-2</v>
      </c>
      <c r="F256" s="102">
        <v>44435.645833333336</v>
      </c>
      <c r="G256" s="108">
        <v>16705.2</v>
      </c>
      <c r="H256" s="104">
        <f t="shared" si="16"/>
        <v>-3.5696968297582399E-2</v>
      </c>
      <c r="U256" s="102">
        <v>44435.645833333336</v>
      </c>
      <c r="V256">
        <v>433.94</v>
      </c>
      <c r="W256" s="104">
        <f t="shared" si="17"/>
        <v>-0.18280258375548486</v>
      </c>
      <c r="Y256" s="102">
        <v>44435.645833333336</v>
      </c>
      <c r="Z256">
        <v>62.9</v>
      </c>
      <c r="AA256" s="104">
        <f t="shared" si="18"/>
        <v>-4.9848942598187396E-2</v>
      </c>
      <c r="AC256" s="132">
        <v>44435.645833333336</v>
      </c>
      <c r="AD256">
        <v>589.45000000000005</v>
      </c>
      <c r="AE256" s="104">
        <f t="shared" si="19"/>
        <v>1.1844476868938525E-2</v>
      </c>
    </row>
    <row r="257" spans="2:31" x14ac:dyDescent="0.3">
      <c r="B257" s="102">
        <v>44428.645833333336</v>
      </c>
      <c r="C257">
        <v>1876.8</v>
      </c>
      <c r="D257" s="104">
        <f t="shared" si="15"/>
        <v>2.9765987215714329E-2</v>
      </c>
      <c r="F257" s="102">
        <v>44428.645833333336</v>
      </c>
      <c r="G257" s="108">
        <v>16450.5</v>
      </c>
      <c r="H257" s="104">
        <f t="shared" si="16"/>
        <v>-1.5246749515121061E-2</v>
      </c>
      <c r="U257" s="102">
        <v>44428.645833333336</v>
      </c>
      <c r="V257">
        <v>392.86</v>
      </c>
      <c r="W257" s="104">
        <f t="shared" si="17"/>
        <v>-9.4667465548232466E-2</v>
      </c>
      <c r="Y257" s="102">
        <v>44428.645833333336</v>
      </c>
      <c r="Z257">
        <v>61.8</v>
      </c>
      <c r="AA257" s="104">
        <f t="shared" si="18"/>
        <v>-1.748807631160576E-2</v>
      </c>
      <c r="AC257" s="132">
        <v>44428.645833333336</v>
      </c>
      <c r="AD257">
        <v>613.29999999999995</v>
      </c>
      <c r="AE257" s="104">
        <f t="shared" si="19"/>
        <v>4.0461447111714177E-2</v>
      </c>
    </row>
    <row r="258" spans="2:31" x14ac:dyDescent="0.3">
      <c r="B258" s="102">
        <v>44421.645833333336</v>
      </c>
      <c r="C258">
        <v>1837.9</v>
      </c>
      <c r="D258" s="104">
        <f t="shared" si="15"/>
        <v>-2.0726768968456821E-2</v>
      </c>
      <c r="F258" s="102">
        <v>44421.645833333336</v>
      </c>
      <c r="G258" s="108">
        <v>16529.099999999999</v>
      </c>
      <c r="H258" s="104">
        <f t="shared" si="16"/>
        <v>4.7779702744596975E-3</v>
      </c>
      <c r="U258" s="102">
        <v>44421.645833333336</v>
      </c>
      <c r="V258">
        <v>403.61</v>
      </c>
      <c r="W258" s="104">
        <f t="shared" si="17"/>
        <v>2.7363437356819231E-2</v>
      </c>
      <c r="Y258" s="102">
        <v>44421.645833333336</v>
      </c>
      <c r="Z258">
        <v>66.099999999999994</v>
      </c>
      <c r="AA258" s="104">
        <f t="shared" si="18"/>
        <v>6.9579288025889863E-2</v>
      </c>
      <c r="AC258" s="132">
        <v>44421.645833333336</v>
      </c>
      <c r="AD258">
        <v>609.35</v>
      </c>
      <c r="AE258" s="104">
        <f t="shared" si="19"/>
        <v>-6.4405674221423848E-3</v>
      </c>
    </row>
    <row r="259" spans="2:31" x14ac:dyDescent="0.3">
      <c r="B259" s="102">
        <v>44414.645833333336</v>
      </c>
      <c r="C259">
        <v>1787.75</v>
      </c>
      <c r="D259" s="104">
        <f t="shared" si="15"/>
        <v>-2.7286577071657936E-2</v>
      </c>
      <c r="F259" s="102">
        <v>44414.645833333336</v>
      </c>
      <c r="G259" s="108">
        <v>16238.2</v>
      </c>
      <c r="H259" s="104">
        <f t="shared" si="16"/>
        <v>-1.7599264327761266E-2</v>
      </c>
      <c r="U259" s="102">
        <v>44414.645833333336</v>
      </c>
      <c r="V259">
        <v>437.44</v>
      </c>
      <c r="W259" s="104">
        <f t="shared" si="17"/>
        <v>8.3818537697281981E-2</v>
      </c>
      <c r="Y259" s="102">
        <v>44414.645833333336</v>
      </c>
      <c r="Z259">
        <v>66.849999999999994</v>
      </c>
      <c r="AA259" s="104">
        <f t="shared" si="18"/>
        <v>1.1346444780635512E-2</v>
      </c>
      <c r="AC259" s="132">
        <v>44414.645833333336</v>
      </c>
      <c r="AD259">
        <v>609.45000000000005</v>
      </c>
      <c r="AE259" s="104">
        <f t="shared" si="19"/>
        <v>1.6410929679167019E-4</v>
      </c>
    </row>
    <row r="260" spans="2:31" x14ac:dyDescent="0.3">
      <c r="B260" s="102">
        <v>44407.645833333336</v>
      </c>
      <c r="C260">
        <v>1714.55</v>
      </c>
      <c r="D260" s="104">
        <f t="shared" si="15"/>
        <v>-4.094532233254089E-2</v>
      </c>
      <c r="F260" s="102">
        <v>44407.645833333336</v>
      </c>
      <c r="G260" s="108">
        <v>15763.05</v>
      </c>
      <c r="H260" s="104">
        <f t="shared" si="16"/>
        <v>-2.9261248167900433E-2</v>
      </c>
      <c r="U260" s="102">
        <v>44407.645833333336</v>
      </c>
      <c r="V260">
        <v>423.29</v>
      </c>
      <c r="W260" s="104">
        <f t="shared" si="17"/>
        <v>-3.2347293343086947E-2</v>
      </c>
      <c r="Y260" s="102">
        <v>44407.645833333336</v>
      </c>
      <c r="Z260">
        <v>70.95</v>
      </c>
      <c r="AA260" s="104">
        <f t="shared" si="18"/>
        <v>6.1331338818249925E-2</v>
      </c>
      <c r="AC260" s="132">
        <v>44407.645833333336</v>
      </c>
      <c r="AD260">
        <v>619.95000000000005</v>
      </c>
      <c r="AE260" s="104">
        <f t="shared" si="19"/>
        <v>1.7228648781688394E-2</v>
      </c>
    </row>
    <row r="261" spans="2:31" x14ac:dyDescent="0.3">
      <c r="B261" s="105">
        <v>44400.645833333336</v>
      </c>
      <c r="C261" s="106">
        <v>1700.95</v>
      </c>
      <c r="D261" s="107">
        <f t="shared" si="15"/>
        <v>-7.9321104663030439E-3</v>
      </c>
      <c r="F261" s="105">
        <v>44400.645833333336</v>
      </c>
      <c r="G261" s="109">
        <v>15856.05</v>
      </c>
      <c r="H261" s="107">
        <f t="shared" si="16"/>
        <v>5.899873438198755E-3</v>
      </c>
      <c r="U261" s="105">
        <v>44400.645833333336</v>
      </c>
      <c r="V261" s="106">
        <v>403.68</v>
      </c>
      <c r="W261" s="107">
        <f t="shared" si="17"/>
        <v>-4.6327576838574025E-2</v>
      </c>
      <c r="Y261" s="105">
        <v>44400.645833333336</v>
      </c>
      <c r="Z261" s="106">
        <v>72.3</v>
      </c>
      <c r="AA261" s="107">
        <f t="shared" si="18"/>
        <v>1.9027484143763207E-2</v>
      </c>
      <c r="AC261" s="133">
        <v>44400.645833333336</v>
      </c>
      <c r="AD261" s="106">
        <v>580.5</v>
      </c>
      <c r="AE261" s="107">
        <f t="shared" si="19"/>
        <v>-6.3634164045487607E-2</v>
      </c>
    </row>
  </sheetData>
  <sortState xmlns:xlrd2="http://schemas.microsoft.com/office/spreadsheetml/2017/richdata2" ref="AC7:AD262">
    <sortCondition descending="1" ref="AC7:AC262"/>
  </sortState>
  <mergeCells count="7">
    <mergeCell ref="AC4:AE4"/>
    <mergeCell ref="B4:D4"/>
    <mergeCell ref="B2:D2"/>
    <mergeCell ref="F4:H4"/>
    <mergeCell ref="J6:M6"/>
    <mergeCell ref="U4:W4"/>
    <mergeCell ref="Y4:AA4"/>
  </mergeCells>
  <pageMargins left="0.7" right="0.7" top="0.75" bottom="0.75" header="0.3" footer="0.3"/>
  <pageSetup paperSize="9" scale="53" orientation="portrait" r:id="rId1"/>
  <colBreaks count="1" manualBreakCount="1">
    <brk id="18"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1184B-361E-4B78-83D1-7DA0250ADB48}">
  <sheetPr>
    <tabColor rgb="FF33CCCC"/>
  </sheetPr>
  <dimension ref="B2:J32"/>
  <sheetViews>
    <sheetView showGridLines="0" zoomScale="66" zoomScaleNormal="66" workbookViewId="0">
      <selection activeCell="C3" sqref="C3"/>
    </sheetView>
  </sheetViews>
  <sheetFormatPr defaultRowHeight="14.4" x14ac:dyDescent="0.3"/>
  <cols>
    <col min="1" max="1" width="1.88671875" customWidth="1"/>
    <col min="13" max="13" width="5" customWidth="1"/>
  </cols>
  <sheetData>
    <row r="2" spans="2:7" ht="18" x14ac:dyDescent="0.35">
      <c r="B2" s="147" t="s">
        <v>287</v>
      </c>
      <c r="C2" s="148"/>
      <c r="D2" s="148"/>
      <c r="E2" s="148"/>
      <c r="F2" s="148"/>
      <c r="G2" s="148"/>
    </row>
    <row r="4" spans="2:7" x14ac:dyDescent="0.3">
      <c r="B4" s="99" t="s">
        <v>288</v>
      </c>
      <c r="C4" s="101" t="s">
        <v>289</v>
      </c>
      <c r="E4" s="121" t="s">
        <v>290</v>
      </c>
      <c r="F4" s="122"/>
      <c r="G4" s="138">
        <f>AVERAGE(C5:C30)</f>
        <v>0.1514923076923077</v>
      </c>
    </row>
    <row r="5" spans="2:7" ht="16.2" x14ac:dyDescent="0.3">
      <c r="B5" s="139">
        <v>2000</v>
      </c>
      <c r="C5" s="140">
        <v>-0.14649999999999999</v>
      </c>
      <c r="E5" s="111" t="s">
        <v>291</v>
      </c>
      <c r="G5" s="141" t="s">
        <v>292</v>
      </c>
    </row>
    <row r="6" spans="2:7" x14ac:dyDescent="0.3">
      <c r="B6" s="139">
        <v>2001</v>
      </c>
      <c r="C6" s="140">
        <v>-0.1618</v>
      </c>
      <c r="E6" s="142" t="s">
        <v>293</v>
      </c>
      <c r="F6" s="143"/>
      <c r="G6" s="144">
        <f>SUM(G4:G5)</f>
        <v>0.1514923076923077</v>
      </c>
    </row>
    <row r="7" spans="2:7" x14ac:dyDescent="0.3">
      <c r="B7" s="139">
        <v>2002</v>
      </c>
      <c r="C7" s="140">
        <v>3.2500000000000001E-2</v>
      </c>
    </row>
    <row r="8" spans="2:7" x14ac:dyDescent="0.3">
      <c r="B8" s="139">
        <v>2003</v>
      </c>
      <c r="C8" s="140">
        <v>0.71900000000000008</v>
      </c>
      <c r="E8" s="121" t="s">
        <v>294</v>
      </c>
      <c r="F8" s="122"/>
      <c r="G8" s="138">
        <f>EXP(SUMPRODUCT(LN(1+C5:C30))/COUNT(C5:C30))-1</f>
        <v>0.11650334143488061</v>
      </c>
    </row>
    <row r="9" spans="2:7" ht="16.2" x14ac:dyDescent="0.3">
      <c r="B9" s="139">
        <v>2004</v>
      </c>
      <c r="C9" s="140">
        <v>0.10679999999999999</v>
      </c>
      <c r="E9" s="111" t="s">
        <v>291</v>
      </c>
      <c r="G9" s="141" t="s">
        <v>292</v>
      </c>
    </row>
    <row r="10" spans="2:7" x14ac:dyDescent="0.3">
      <c r="B10" s="139">
        <v>2005</v>
      </c>
      <c r="C10" s="140">
        <v>0.36340000000000006</v>
      </c>
      <c r="E10" s="142" t="s">
        <v>293</v>
      </c>
      <c r="F10" s="143"/>
      <c r="G10" s="144">
        <f>SUM(G8:G9)</f>
        <v>0.11650334143488061</v>
      </c>
    </row>
    <row r="11" spans="2:7" x14ac:dyDescent="0.3">
      <c r="B11" s="139">
        <v>2006</v>
      </c>
      <c r="C11" s="140">
        <v>0.39829999999999999</v>
      </c>
    </row>
    <row r="12" spans="2:7" x14ac:dyDescent="0.3">
      <c r="B12" s="139">
        <v>2007</v>
      </c>
      <c r="C12" s="140">
        <v>0.54770000000000008</v>
      </c>
    </row>
    <row r="13" spans="2:7" x14ac:dyDescent="0.3">
      <c r="B13" s="139">
        <v>2008</v>
      </c>
      <c r="C13" s="140">
        <v>-0.51790000000000003</v>
      </c>
    </row>
    <row r="14" spans="2:7" x14ac:dyDescent="0.3">
      <c r="B14" s="139">
        <v>2009</v>
      </c>
      <c r="C14" s="140">
        <v>0.75760000000000005</v>
      </c>
    </row>
    <row r="15" spans="2:7" x14ac:dyDescent="0.3">
      <c r="B15" s="139">
        <v>2010</v>
      </c>
      <c r="C15" s="140">
        <v>0.17949999999999999</v>
      </c>
    </row>
    <row r="16" spans="2:7" x14ac:dyDescent="0.3">
      <c r="B16" s="139">
        <v>2011</v>
      </c>
      <c r="C16" s="140">
        <v>-0.2462</v>
      </c>
    </row>
    <row r="17" spans="2:10" x14ac:dyDescent="0.3">
      <c r="B17" s="139">
        <v>2012</v>
      </c>
      <c r="C17" s="140">
        <v>0.27699999999999997</v>
      </c>
    </row>
    <row r="18" spans="2:10" x14ac:dyDescent="0.3">
      <c r="B18" s="139">
        <v>2013</v>
      </c>
      <c r="C18" s="140">
        <v>6.7599999999999993E-2</v>
      </c>
    </row>
    <row r="19" spans="2:10" x14ac:dyDescent="0.3">
      <c r="B19" s="139">
        <v>2014</v>
      </c>
      <c r="C19" s="140">
        <v>0.31390000000000001</v>
      </c>
    </row>
    <row r="20" spans="2:10" x14ac:dyDescent="0.3">
      <c r="B20" s="139">
        <v>2015</v>
      </c>
      <c r="C20" s="140">
        <v>-4.0599999999999997E-2</v>
      </c>
    </row>
    <row r="21" spans="2:10" x14ac:dyDescent="0.3">
      <c r="B21" s="139">
        <v>2016</v>
      </c>
      <c r="C21" s="140">
        <v>3.0099999999999998E-2</v>
      </c>
    </row>
    <row r="22" spans="2:10" x14ac:dyDescent="0.3">
      <c r="B22" s="139">
        <v>2017</v>
      </c>
      <c r="C22" s="140">
        <v>0.28649999999999998</v>
      </c>
    </row>
    <row r="23" spans="2:10" x14ac:dyDescent="0.3">
      <c r="B23" s="139">
        <v>2018</v>
      </c>
      <c r="C23" s="140">
        <v>3.15E-2</v>
      </c>
    </row>
    <row r="24" spans="2:10" x14ac:dyDescent="0.3">
      <c r="B24" s="139">
        <v>2019</v>
      </c>
      <c r="C24" s="140">
        <v>0.1202</v>
      </c>
    </row>
    <row r="25" spans="2:10" x14ac:dyDescent="0.3">
      <c r="B25" s="139">
        <v>2020</v>
      </c>
      <c r="C25" s="140">
        <v>0.14899999999999999</v>
      </c>
    </row>
    <row r="26" spans="2:10" x14ac:dyDescent="0.3">
      <c r="B26" s="139">
        <v>2021</v>
      </c>
      <c r="C26" s="140">
        <v>0.2412</v>
      </c>
    </row>
    <row r="27" spans="2:10" x14ac:dyDescent="0.3">
      <c r="B27" s="139">
        <v>2022</v>
      </c>
      <c r="C27" s="140">
        <v>4.3200000000000002E-2</v>
      </c>
    </row>
    <row r="28" spans="2:10" x14ac:dyDescent="0.3">
      <c r="B28" s="139">
        <v>2023</v>
      </c>
      <c r="C28" s="140">
        <v>0.19420000000000001</v>
      </c>
    </row>
    <row r="29" spans="2:10" x14ac:dyDescent="0.3">
      <c r="B29" s="139">
        <v>2024</v>
      </c>
      <c r="C29" s="140">
        <v>8.7499999999999994E-2</v>
      </c>
    </row>
    <row r="30" spans="2:10" x14ac:dyDescent="0.3">
      <c r="B30" s="145">
        <v>2025</v>
      </c>
      <c r="C30" s="146">
        <v>0.1051</v>
      </c>
    </row>
    <row r="32" spans="2:10" ht="10.199999999999999" customHeight="1" x14ac:dyDescent="0.3">
      <c r="B32" s="72"/>
      <c r="C32" s="72"/>
      <c r="D32" s="72"/>
      <c r="E32" s="72"/>
      <c r="F32" s="72"/>
      <c r="G32" s="72"/>
      <c r="H32" s="72"/>
      <c r="I32" s="72"/>
      <c r="J32" s="72"/>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86230-2B95-49E4-89DE-13BA64929F5E}">
  <sheetPr>
    <tabColor rgb="FF33CCCC"/>
  </sheetPr>
  <dimension ref="B2:L42"/>
  <sheetViews>
    <sheetView showGridLines="0" zoomScale="66" zoomScaleNormal="66" workbookViewId="0">
      <selection activeCell="C3" sqref="C3"/>
    </sheetView>
  </sheetViews>
  <sheetFormatPr defaultRowHeight="14.4" x14ac:dyDescent="0.3"/>
  <cols>
    <col min="1" max="1" width="1.88671875" customWidth="1"/>
    <col min="2" max="2" width="46.109375" customWidth="1"/>
    <col min="3" max="3" width="12.109375" bestFit="1" customWidth="1"/>
    <col min="4" max="4" width="11.44140625" customWidth="1"/>
    <col min="5" max="5" width="12.109375" bestFit="1" customWidth="1"/>
    <col min="6" max="10" width="11.44140625" customWidth="1"/>
    <col min="12" max="12" width="11.44140625" bestFit="1" customWidth="1"/>
    <col min="13" max="13" width="5" customWidth="1"/>
  </cols>
  <sheetData>
    <row r="2" spans="2:12" ht="15.6" x14ac:dyDescent="0.3">
      <c r="B2" s="73" t="s">
        <v>202</v>
      </c>
      <c r="C2" s="72"/>
      <c r="D2" s="72"/>
      <c r="E2" s="72"/>
      <c r="F2" s="72"/>
      <c r="G2" s="72"/>
      <c r="H2" s="72"/>
      <c r="I2" s="72"/>
      <c r="J2" s="72"/>
    </row>
    <row r="4" spans="2:12" x14ac:dyDescent="0.3">
      <c r="B4" s="71" t="s">
        <v>240</v>
      </c>
    </row>
    <row r="6" spans="2:12" x14ac:dyDescent="0.3">
      <c r="B6" t="s">
        <v>203</v>
      </c>
    </row>
    <row r="7" spans="2:12" x14ac:dyDescent="0.3">
      <c r="B7" s="74"/>
      <c r="C7" s="75"/>
      <c r="D7" s="75"/>
      <c r="E7" s="75"/>
      <c r="F7" s="75"/>
      <c r="G7" s="75" t="s">
        <v>208</v>
      </c>
      <c r="H7" s="75" t="s">
        <v>208</v>
      </c>
      <c r="I7" s="75" t="s">
        <v>211</v>
      </c>
      <c r="J7" s="75" t="s">
        <v>212</v>
      </c>
    </row>
    <row r="8" spans="2:12" ht="16.2" x14ac:dyDescent="0.3">
      <c r="B8" s="76" t="s">
        <v>204</v>
      </c>
      <c r="C8" s="77" t="s">
        <v>205</v>
      </c>
      <c r="D8" s="77" t="s">
        <v>206</v>
      </c>
      <c r="E8" s="77" t="s">
        <v>207</v>
      </c>
      <c r="F8" s="77" t="s">
        <v>112</v>
      </c>
      <c r="G8" s="77" t="s">
        <v>209</v>
      </c>
      <c r="H8" s="77" t="s">
        <v>210</v>
      </c>
      <c r="I8" s="77" t="s">
        <v>213</v>
      </c>
      <c r="J8" s="77" t="s">
        <v>214</v>
      </c>
    </row>
    <row r="10" spans="2:12" x14ac:dyDescent="0.3">
      <c r="B10" s="78" t="s">
        <v>226</v>
      </c>
      <c r="C10" s="78" t="s">
        <v>229</v>
      </c>
      <c r="D10" s="54">
        <v>30621</v>
      </c>
      <c r="E10" s="54">
        <v>411770.51800000004</v>
      </c>
      <c r="F10" s="84">
        <v>0.254</v>
      </c>
      <c r="G10" s="83">
        <f>D10/E10</f>
        <v>7.4364236052470362E-2</v>
      </c>
      <c r="H10" s="83">
        <f>D10/(D10+E10)</f>
        <v>6.9216969028777803E-2</v>
      </c>
      <c r="I10" s="110">
        <f>'Beta-Regression'!N17</f>
        <v>1.1357275641250129</v>
      </c>
      <c r="J10" s="110">
        <f>I10/(1+(1-F10)*G10)</f>
        <v>1.0760338134757246</v>
      </c>
      <c r="L10" s="234"/>
    </row>
    <row r="11" spans="2:12" x14ac:dyDescent="0.3">
      <c r="B11" s="78" t="s">
        <v>227</v>
      </c>
      <c r="C11" s="78" t="s">
        <v>229</v>
      </c>
      <c r="D11" s="54">
        <v>6117.33</v>
      </c>
      <c r="E11" s="54">
        <v>59318.287999999993</v>
      </c>
      <c r="F11" s="84">
        <v>0.254</v>
      </c>
      <c r="G11" s="83">
        <f t="shared" ref="G11:G12" si="0">D11/E11</f>
        <v>0.10312721769717967</v>
      </c>
      <c r="H11" s="83">
        <f t="shared" ref="H11:H12" si="1">D11/(D11+E11)</f>
        <v>9.3486241697908326E-2</v>
      </c>
      <c r="I11" s="110">
        <f>'Beta-Regression'!Z3</f>
        <v>1.1254698672379466</v>
      </c>
      <c r="J11" s="110">
        <f t="shared" ref="J11:J13" si="2">I11/(1+(1-F11)*G11)</f>
        <v>1.0450696256354037</v>
      </c>
    </row>
    <row r="12" spans="2:12" x14ac:dyDescent="0.3">
      <c r="B12" s="78" t="s">
        <v>228</v>
      </c>
      <c r="C12" s="78" t="s">
        <v>229</v>
      </c>
      <c r="D12" s="54">
        <v>913.21</v>
      </c>
      <c r="E12" s="54">
        <v>20015.96</v>
      </c>
      <c r="F12" s="84">
        <v>0.254</v>
      </c>
      <c r="G12" s="83">
        <f t="shared" si="0"/>
        <v>4.5624091974604271E-2</v>
      </c>
      <c r="H12" s="83">
        <f t="shared" si="1"/>
        <v>4.3633359564665013E-2</v>
      </c>
      <c r="I12" s="110">
        <f>'Beta-Regression'!V3</f>
        <v>0.60935632044105814</v>
      </c>
      <c r="J12" s="110">
        <f t="shared" si="2"/>
        <v>0.58929918523130409</v>
      </c>
    </row>
    <row r="13" spans="2:12" x14ac:dyDescent="0.3">
      <c r="B13" s="78" t="s">
        <v>286</v>
      </c>
      <c r="C13" s="78" t="s">
        <v>229</v>
      </c>
      <c r="D13" s="54">
        <v>1015.9</v>
      </c>
      <c r="E13" s="54">
        <v>2583.875</v>
      </c>
      <c r="F13" s="84">
        <v>0.254</v>
      </c>
      <c r="G13" s="83">
        <f>D13/E13</f>
        <v>0.39316917420540853</v>
      </c>
      <c r="H13" s="83">
        <f>D13/(D13+E13)</f>
        <v>0.28221208269961318</v>
      </c>
      <c r="I13" s="110">
        <f>'Beta-Regression'!AD3</f>
        <v>1.1272013209881127</v>
      </c>
      <c r="J13" s="110">
        <f t="shared" si="2"/>
        <v>0.87156704318992961</v>
      </c>
    </row>
    <row r="15" spans="2:12" x14ac:dyDescent="0.3">
      <c r="C15" s="85" t="s">
        <v>80</v>
      </c>
      <c r="D15" s="90">
        <f t="shared" ref="D15:J15" si="3">AVERAGE(D10:D13)</f>
        <v>9666.86</v>
      </c>
      <c r="E15" s="90">
        <f t="shared" si="3"/>
        <v>123422.16025000002</v>
      </c>
      <c r="F15" s="86">
        <f t="shared" si="3"/>
        <v>0.254</v>
      </c>
      <c r="G15" s="86">
        <f t="shared" si="3"/>
        <v>0.15407117998241571</v>
      </c>
      <c r="H15" s="86">
        <f t="shared" si="3"/>
        <v>0.12213716324774108</v>
      </c>
      <c r="I15" s="135">
        <f t="shared" si="3"/>
        <v>0.99943876819803257</v>
      </c>
      <c r="J15" s="135">
        <f t="shared" si="3"/>
        <v>0.89549241688309056</v>
      </c>
    </row>
    <row r="16" spans="2:12" x14ac:dyDescent="0.3">
      <c r="C16" s="87" t="s">
        <v>81</v>
      </c>
      <c r="D16" s="91">
        <f t="shared" ref="D16:J16" si="4">MEDIAN(D10:D13)</f>
        <v>3566.6150000000002</v>
      </c>
      <c r="E16" s="91">
        <f t="shared" si="4"/>
        <v>39667.123999999996</v>
      </c>
      <c r="F16" s="88">
        <f t="shared" si="4"/>
        <v>0.254</v>
      </c>
      <c r="G16" s="88">
        <f t="shared" si="4"/>
        <v>8.8745726874825015E-2</v>
      </c>
      <c r="H16" s="88">
        <f t="shared" si="4"/>
        <v>8.1351605363343071E-2</v>
      </c>
      <c r="I16" s="136">
        <f t="shared" si="4"/>
        <v>1.1263355941130295</v>
      </c>
      <c r="J16" s="136">
        <f t="shared" si="4"/>
        <v>0.95831833441266667</v>
      </c>
    </row>
    <row r="18" spans="2:10" x14ac:dyDescent="0.3">
      <c r="B18" s="87" t="s">
        <v>230</v>
      </c>
      <c r="C18" s="87"/>
      <c r="D18" s="87"/>
      <c r="E18" s="87"/>
      <c r="G18" s="87" t="s">
        <v>233</v>
      </c>
      <c r="H18" s="89"/>
      <c r="I18" s="89"/>
      <c r="J18" s="89"/>
    </row>
    <row r="20" spans="2:10" x14ac:dyDescent="0.3">
      <c r="B20" t="s">
        <v>231</v>
      </c>
      <c r="E20" s="84">
        <v>3.85E-2</v>
      </c>
      <c r="G20" t="s">
        <v>234</v>
      </c>
      <c r="J20" s="84">
        <v>6.8000000000000005E-2</v>
      </c>
    </row>
    <row r="21" spans="2:10" x14ac:dyDescent="0.3">
      <c r="B21" t="s">
        <v>112</v>
      </c>
      <c r="E21" s="27">
        <f>F15</f>
        <v>0.254</v>
      </c>
      <c r="G21" t="s">
        <v>235</v>
      </c>
      <c r="J21" s="27">
        <f>Rm!G10-WACC!J20</f>
        <v>4.8503341434880609E-2</v>
      </c>
    </row>
    <row r="22" spans="2:10" x14ac:dyDescent="0.3">
      <c r="B22" s="93" t="s">
        <v>232</v>
      </c>
      <c r="C22" s="97"/>
      <c r="D22" s="97"/>
      <c r="E22" s="96">
        <f>E20*(1-E21)</f>
        <v>2.8721E-2</v>
      </c>
      <c r="G22" t="s">
        <v>236</v>
      </c>
      <c r="J22" s="110">
        <f>J30</f>
        <v>1.0684646649026468</v>
      </c>
    </row>
    <row r="23" spans="2:10" x14ac:dyDescent="0.3">
      <c r="G23" s="93" t="s">
        <v>233</v>
      </c>
      <c r="H23" s="97"/>
      <c r="I23" s="97"/>
      <c r="J23" s="96">
        <f>J20+(J21*J22)</f>
        <v>0.11982410645287839</v>
      </c>
    </row>
    <row r="25" spans="2:10" x14ac:dyDescent="0.3">
      <c r="B25" s="87" t="s">
        <v>237</v>
      </c>
      <c r="C25" s="89"/>
      <c r="D25" s="89"/>
      <c r="E25" s="89"/>
      <c r="G25" s="89" t="s">
        <v>236</v>
      </c>
      <c r="H25" s="89"/>
      <c r="I25" s="89"/>
      <c r="J25" s="89"/>
    </row>
    <row r="26" spans="2:10" x14ac:dyDescent="0.3">
      <c r="B26" s="79"/>
      <c r="G26" s="79"/>
    </row>
    <row r="27" spans="2:10" x14ac:dyDescent="0.3">
      <c r="D27" s="92" t="s">
        <v>238</v>
      </c>
      <c r="E27" s="92" t="s">
        <v>239</v>
      </c>
      <c r="G27" t="s">
        <v>242</v>
      </c>
      <c r="J27" s="110">
        <f>J16</f>
        <v>0.95831833441266667</v>
      </c>
    </row>
    <row r="28" spans="2:10" x14ac:dyDescent="0.3">
      <c r="B28" t="s">
        <v>206</v>
      </c>
      <c r="C28" s="10">
        <f>D10</f>
        <v>30621</v>
      </c>
      <c r="D28" s="82">
        <f>C28/C30</f>
        <v>6.9216969028777803E-2</v>
      </c>
      <c r="E28" s="27">
        <f>H15</f>
        <v>0.12213716324774108</v>
      </c>
      <c r="G28" t="s">
        <v>243</v>
      </c>
      <c r="J28" s="27">
        <f>G15</f>
        <v>0.15407117998241571</v>
      </c>
    </row>
    <row r="29" spans="2:10" x14ac:dyDescent="0.3">
      <c r="B29" t="s">
        <v>174</v>
      </c>
      <c r="C29" s="10">
        <f>E10</f>
        <v>411770.51800000004</v>
      </c>
      <c r="D29" s="27">
        <f>D30-D28</f>
        <v>0.93078303097122217</v>
      </c>
      <c r="E29" s="27">
        <f>E30-E28</f>
        <v>0.87786283675225896</v>
      </c>
      <c r="G29" t="s">
        <v>112</v>
      </c>
      <c r="J29" s="27">
        <f>F15</f>
        <v>0.254</v>
      </c>
    </row>
    <row r="30" spans="2:10" x14ac:dyDescent="0.3">
      <c r="B30" s="93" t="s">
        <v>241</v>
      </c>
      <c r="C30" s="94">
        <f>SUM(C28:C29)</f>
        <v>442391.51800000004</v>
      </c>
      <c r="D30" s="95">
        <f>C30/C30</f>
        <v>1</v>
      </c>
      <c r="E30" s="96">
        <f>D30</f>
        <v>1</v>
      </c>
      <c r="G30" s="93" t="s">
        <v>236</v>
      </c>
      <c r="H30" s="97"/>
      <c r="I30" s="97"/>
      <c r="J30" s="137">
        <f>J27*(1+(1-J29)*J28)</f>
        <v>1.0684646649026468</v>
      </c>
    </row>
    <row r="32" spans="2:10" x14ac:dyDescent="0.3">
      <c r="G32" s="87" t="s">
        <v>244</v>
      </c>
      <c r="H32" s="87"/>
      <c r="I32" s="87"/>
      <c r="J32" s="87"/>
    </row>
    <row r="33" spans="2:10" x14ac:dyDescent="0.3">
      <c r="B33" s="79" t="s">
        <v>295</v>
      </c>
      <c r="D33" s="151">
        <f>G10</f>
        <v>7.4364236052470362E-2</v>
      </c>
      <c r="E33" s="152">
        <f>J28</f>
        <v>0.15407117998241571</v>
      </c>
    </row>
    <row r="34" spans="2:10" x14ac:dyDescent="0.3">
      <c r="B34" s="79" t="s">
        <v>348</v>
      </c>
      <c r="D34" s="151">
        <f>D28</f>
        <v>6.9216969028777803E-2</v>
      </c>
      <c r="E34" s="152">
        <f>E28</f>
        <v>0.12213716324774108</v>
      </c>
      <c r="G34" s="98" t="s">
        <v>230</v>
      </c>
      <c r="J34" s="27">
        <f>E22</f>
        <v>2.8721E-2</v>
      </c>
    </row>
    <row r="35" spans="2:10" x14ac:dyDescent="0.3">
      <c r="G35" t="s">
        <v>245</v>
      </c>
      <c r="J35" s="27">
        <f>E28</f>
        <v>0.12213716324774108</v>
      </c>
    </row>
    <row r="37" spans="2:10" x14ac:dyDescent="0.3">
      <c r="B37" s="153" t="s">
        <v>296</v>
      </c>
      <c r="G37" t="s">
        <v>233</v>
      </c>
      <c r="J37" s="27">
        <f>J23</f>
        <v>0.11982410645287839</v>
      </c>
    </row>
    <row r="38" spans="2:10" x14ac:dyDescent="0.3">
      <c r="B38" s="153" t="s">
        <v>299</v>
      </c>
      <c r="G38" t="s">
        <v>246</v>
      </c>
      <c r="J38" s="27">
        <f>E29</f>
        <v>0.87786283675225896</v>
      </c>
    </row>
    <row r="39" spans="2:10" ht="15" thickBot="1" x14ac:dyDescent="0.35">
      <c r="B39" s="153" t="s">
        <v>297</v>
      </c>
    </row>
    <row r="40" spans="2:10" ht="15" thickBot="1" x14ac:dyDescent="0.35">
      <c r="B40" s="153" t="s">
        <v>298</v>
      </c>
      <c r="G40" s="149" t="s">
        <v>247</v>
      </c>
      <c r="H40" s="149"/>
      <c r="I40" s="149"/>
      <c r="J40" s="150">
        <f>(J38*J37)+(J35*J34)</f>
        <v>0.10869703146766685</v>
      </c>
    </row>
    <row r="42" spans="2:10" ht="10.199999999999999" customHeight="1" x14ac:dyDescent="0.3">
      <c r="B42" s="72"/>
      <c r="C42" s="72"/>
      <c r="D42" s="72"/>
      <c r="E42" s="72"/>
      <c r="F42" s="72"/>
      <c r="G42" s="72"/>
      <c r="H42" s="72"/>
      <c r="I42" s="72"/>
      <c r="J42" s="72"/>
    </row>
  </sheetData>
  <pageMargins left="0.7" right="0.7" top="0.75" bottom="0.75" header="0.3" footer="0.3"/>
  <pageSetup scale="8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74363-0ABD-4F40-9273-66EF53B7649A}">
  <sheetPr>
    <tabColor rgb="FF33CCCC"/>
  </sheetPr>
  <dimension ref="B2:L63"/>
  <sheetViews>
    <sheetView showGridLines="0" zoomScale="66" zoomScaleNormal="66" zoomScaleSheetLayoutView="65" workbookViewId="0">
      <pane ySplit="2" topLeftCell="A3" activePane="bottomLeft" state="frozen"/>
      <selection activeCell="C3" sqref="C3"/>
      <selection pane="bottomLeft" activeCell="C3" sqref="C3"/>
    </sheetView>
  </sheetViews>
  <sheetFormatPr defaultRowHeight="14.4" x14ac:dyDescent="0.3"/>
  <cols>
    <col min="1" max="1" width="1.88671875" customWidth="1"/>
    <col min="2" max="2" width="28.21875" customWidth="1"/>
    <col min="3" max="9" width="11.88671875" customWidth="1"/>
    <col min="12" max="12" width="9.44140625" bestFit="1" customWidth="1"/>
    <col min="13" max="13" width="5" customWidth="1"/>
  </cols>
  <sheetData>
    <row r="2" spans="2:9" ht="18" x14ac:dyDescent="0.35">
      <c r="B2" s="155" t="s">
        <v>300</v>
      </c>
      <c r="C2" s="156"/>
      <c r="D2" s="156"/>
      <c r="E2" s="157">
        <f>HistoricalFS!H5</f>
        <v>44651</v>
      </c>
      <c r="F2" s="157">
        <f>HistoricalFS!I5</f>
        <v>45016</v>
      </c>
      <c r="G2" s="157">
        <f>HistoricalFS!J5</f>
        <v>45382</v>
      </c>
      <c r="H2" s="157">
        <f>HistoricalFS!K5</f>
        <v>45747</v>
      </c>
      <c r="I2" s="157">
        <f>HistoricalFS!L5</f>
        <v>46112</v>
      </c>
    </row>
    <row r="4" spans="2:9" x14ac:dyDescent="0.3">
      <c r="B4" s="160" t="s">
        <v>301</v>
      </c>
      <c r="C4" s="161"/>
      <c r="D4" s="161"/>
      <c r="E4" s="161"/>
      <c r="F4" s="161"/>
      <c r="G4" s="161"/>
      <c r="H4" s="161"/>
      <c r="I4" s="161"/>
    </row>
    <row r="5" spans="2:9" x14ac:dyDescent="0.3">
      <c r="B5" s="161" t="str">
        <f>RawFS!B36</f>
        <v>Inventories</v>
      </c>
      <c r="C5" s="161"/>
      <c r="D5" s="161"/>
      <c r="E5" s="164">
        <f>RawFS!J36</f>
        <v>13609</v>
      </c>
      <c r="F5" s="164">
        <f>RawFS!K36</f>
        <v>16584</v>
      </c>
      <c r="G5" s="164">
        <f>RawFS!L36</f>
        <v>19051</v>
      </c>
      <c r="H5" s="164">
        <f>RawFS!M36</f>
        <v>28184</v>
      </c>
      <c r="I5" s="164">
        <f>RawFS!N36</f>
        <v>42743</v>
      </c>
    </row>
    <row r="6" spans="2:9" x14ac:dyDescent="0.3">
      <c r="B6" s="161" t="str">
        <f>RawFS!B37</f>
        <v xml:space="preserve">Trade receivables </v>
      </c>
      <c r="C6" s="161"/>
      <c r="D6" s="161"/>
      <c r="E6" s="164">
        <f>RawFS!J37</f>
        <v>565</v>
      </c>
      <c r="F6" s="164">
        <f>RawFS!K37</f>
        <v>674</v>
      </c>
      <c r="G6" s="164">
        <f>RawFS!L37</f>
        <v>1018</v>
      </c>
      <c r="H6" s="164">
        <f>RawFS!M37</f>
        <v>1068</v>
      </c>
      <c r="I6" s="164">
        <f>RawFS!N37</f>
        <v>916</v>
      </c>
    </row>
    <row r="7" spans="2:9" x14ac:dyDescent="0.3">
      <c r="B7" s="161" t="str">
        <f>RawFS!B39</f>
        <v>Loans n Advances</v>
      </c>
      <c r="C7" s="161"/>
      <c r="D7" s="161"/>
      <c r="E7" s="164">
        <f>RawFS!J39</f>
        <v>29</v>
      </c>
      <c r="F7" s="164">
        <f>RawFS!K39</f>
        <v>167</v>
      </c>
      <c r="G7" s="164">
        <f>RawFS!L39</f>
        <v>151</v>
      </c>
      <c r="H7" s="164">
        <f>RawFS!M39</f>
        <v>324</v>
      </c>
      <c r="I7" s="164">
        <f>RawFS!N39</f>
        <v>399</v>
      </c>
    </row>
    <row r="8" spans="2:9" ht="15" thickBot="1" x14ac:dyDescent="0.35">
      <c r="B8" t="str">
        <f>RawFS!B40</f>
        <v>Other asset items</v>
      </c>
      <c r="E8" s="10">
        <f>RawFS!J40</f>
        <v>2489</v>
      </c>
      <c r="F8" s="10">
        <f>RawFS!K40</f>
        <v>2595</v>
      </c>
      <c r="G8" s="10">
        <f>RawFS!L40</f>
        <v>3650</v>
      </c>
      <c r="H8" s="10">
        <f>RawFS!M40</f>
        <v>3330</v>
      </c>
      <c r="I8" s="10">
        <f>RawFS!N40</f>
        <v>4039</v>
      </c>
    </row>
    <row r="9" spans="2:9" ht="15" thickBot="1" x14ac:dyDescent="0.35">
      <c r="B9" s="163" t="s">
        <v>46</v>
      </c>
      <c r="C9" s="177"/>
      <c r="D9" s="177"/>
      <c r="E9" s="178">
        <f>SUM(E5:E8)</f>
        <v>16692</v>
      </c>
      <c r="F9" s="178">
        <f t="shared" ref="F9:I9" si="0">SUM(F5:F8)</f>
        <v>20020</v>
      </c>
      <c r="G9" s="178">
        <f t="shared" si="0"/>
        <v>23870</v>
      </c>
      <c r="H9" s="178">
        <f t="shared" si="0"/>
        <v>32906</v>
      </c>
      <c r="I9" s="178">
        <f t="shared" si="0"/>
        <v>48097</v>
      </c>
    </row>
    <row r="10" spans="2:9" ht="15" thickTop="1" x14ac:dyDescent="0.3">
      <c r="E10" s="10"/>
      <c r="F10" s="10"/>
      <c r="G10" s="10"/>
      <c r="H10" s="10"/>
      <c r="I10" s="10"/>
    </row>
    <row r="11" spans="2:9" x14ac:dyDescent="0.3">
      <c r="B11" s="160" t="s">
        <v>334</v>
      </c>
      <c r="C11" s="161"/>
      <c r="D11" s="161"/>
      <c r="E11" s="164"/>
      <c r="F11" s="164"/>
      <c r="G11" s="164"/>
      <c r="H11" s="164"/>
      <c r="I11" s="164"/>
    </row>
    <row r="12" spans="2:9" x14ac:dyDescent="0.3">
      <c r="B12" s="161" t="str">
        <f>RawFS!B13</f>
        <v>Trade Payables</v>
      </c>
      <c r="C12" s="161"/>
      <c r="D12" s="161"/>
      <c r="E12" s="164">
        <f>RawFS!J13</f>
        <v>1294</v>
      </c>
      <c r="F12" s="164">
        <f>RawFS!K13</f>
        <v>1214</v>
      </c>
      <c r="G12" s="164">
        <f>RawFS!L13</f>
        <v>1410</v>
      </c>
      <c r="H12" s="164">
        <f>RawFS!M13</f>
        <v>1963</v>
      </c>
      <c r="I12" s="164">
        <f>RawFS!N13</f>
        <v>2864</v>
      </c>
    </row>
    <row r="13" spans="2:9" x14ac:dyDescent="0.3">
      <c r="B13" s="161" t="str">
        <f>RawFS!B14</f>
        <v>Advance from Customers</v>
      </c>
      <c r="C13" s="161"/>
      <c r="D13" s="161"/>
      <c r="E13" s="164">
        <f>RawFS!J14</f>
        <v>532</v>
      </c>
      <c r="F13" s="164">
        <f>RawFS!K14</f>
        <v>718</v>
      </c>
      <c r="G13" s="164">
        <f>RawFS!L14</f>
        <v>1085</v>
      </c>
      <c r="H13" s="164">
        <f>RawFS!M14</f>
        <v>2140</v>
      </c>
      <c r="I13" s="164">
        <f>RawFS!N14</f>
        <v>4745</v>
      </c>
    </row>
    <row r="14" spans="2:9" ht="15" thickBot="1" x14ac:dyDescent="0.35">
      <c r="B14" t="str">
        <f>RawFS!B15</f>
        <v>Other liability items</v>
      </c>
      <c r="E14" s="10">
        <f>RawFS!J15</f>
        <v>2754</v>
      </c>
      <c r="F14" s="10">
        <f>RawFS!K15</f>
        <v>3817</v>
      </c>
      <c r="G14" s="10">
        <f>RawFS!L15</f>
        <v>4131</v>
      </c>
      <c r="H14" s="10">
        <f>RawFS!M15</f>
        <v>4141</v>
      </c>
      <c r="I14" s="10">
        <f>RawFS!N15</f>
        <v>6628</v>
      </c>
    </row>
    <row r="15" spans="2:9" ht="15" thickBot="1" x14ac:dyDescent="0.35">
      <c r="B15" s="163" t="s">
        <v>335</v>
      </c>
      <c r="C15" s="177"/>
      <c r="D15" s="177"/>
      <c r="E15" s="178">
        <f>SUM(E12:E14)</f>
        <v>4580</v>
      </c>
      <c r="F15" s="178">
        <f t="shared" ref="F15:I15" si="1">SUM(F12:F14)</f>
        <v>5749</v>
      </c>
      <c r="G15" s="178">
        <f t="shared" si="1"/>
        <v>6626</v>
      </c>
      <c r="H15" s="178">
        <f t="shared" si="1"/>
        <v>8244</v>
      </c>
      <c r="I15" s="178">
        <f t="shared" si="1"/>
        <v>14237</v>
      </c>
    </row>
    <row r="16" spans="2:9" ht="15.6" thickTop="1" thickBot="1" x14ac:dyDescent="0.35">
      <c r="E16" s="10"/>
      <c r="F16" s="10"/>
      <c r="G16" s="10"/>
      <c r="H16" s="10"/>
      <c r="I16" s="10"/>
    </row>
    <row r="17" spans="2:12" ht="15" thickBot="1" x14ac:dyDescent="0.35">
      <c r="B17" s="163" t="s">
        <v>336</v>
      </c>
      <c r="C17" s="177"/>
      <c r="D17" s="177"/>
      <c r="E17" s="178">
        <f>E9-E15</f>
        <v>12112</v>
      </c>
      <c r="F17" s="178">
        <f t="shared" ref="F17:I17" si="2">F9-F15</f>
        <v>14271</v>
      </c>
      <c r="G17" s="178">
        <f t="shared" si="2"/>
        <v>17244</v>
      </c>
      <c r="H17" s="178">
        <f t="shared" si="2"/>
        <v>24662</v>
      </c>
      <c r="I17" s="178">
        <f t="shared" si="2"/>
        <v>33860</v>
      </c>
    </row>
    <row r="18" spans="2:12" ht="15" thickTop="1" x14ac:dyDescent="0.3">
      <c r="E18" s="10"/>
      <c r="F18" s="10"/>
      <c r="G18" s="10"/>
      <c r="H18" s="10"/>
      <c r="I18" s="10"/>
    </row>
    <row r="19" spans="2:12" x14ac:dyDescent="0.3">
      <c r="B19" s="160" t="s">
        <v>337</v>
      </c>
      <c r="C19" s="161"/>
      <c r="D19" s="161"/>
      <c r="E19" s="164"/>
      <c r="F19" s="164"/>
      <c r="G19" s="164"/>
      <c r="H19" s="164"/>
      <c r="I19" s="164"/>
    </row>
    <row r="20" spans="2:12" x14ac:dyDescent="0.3">
      <c r="B20" s="161" t="str">
        <f>RawFS!B19</f>
        <v>Land</v>
      </c>
      <c r="C20" s="161"/>
      <c r="D20" s="161"/>
      <c r="E20" s="164">
        <f>RawFS!J19</f>
        <v>136</v>
      </c>
      <c r="F20" s="164">
        <f>RawFS!K19</f>
        <v>144</v>
      </c>
      <c r="G20" s="164">
        <f>RawFS!L19</f>
        <v>163</v>
      </c>
      <c r="H20" s="164">
        <f>RawFS!M19</f>
        <v>163</v>
      </c>
      <c r="I20" s="164">
        <f>RawFS!N19</f>
        <v>440</v>
      </c>
      <c r="L20" s="10"/>
    </row>
    <row r="21" spans="2:12" x14ac:dyDescent="0.3">
      <c r="B21" s="161" t="str">
        <f>RawFS!B20</f>
        <v>Building</v>
      </c>
      <c r="C21" s="161"/>
      <c r="D21" s="161"/>
      <c r="E21" s="164">
        <f>RawFS!J20</f>
        <v>1853</v>
      </c>
      <c r="F21" s="164">
        <f>RawFS!K20</f>
        <v>2403</v>
      </c>
      <c r="G21" s="164">
        <f>RawFS!L20</f>
        <v>3546</v>
      </c>
      <c r="H21" s="164">
        <f>RawFS!M20</f>
        <v>4177</v>
      </c>
      <c r="I21" s="164">
        <f>RawFS!N20</f>
        <v>5239</v>
      </c>
    </row>
    <row r="22" spans="2:12" x14ac:dyDescent="0.3">
      <c r="B22" s="161" t="str">
        <f>RawFS!B21</f>
        <v>Plant Machinery</v>
      </c>
      <c r="C22" s="161"/>
      <c r="D22" s="161"/>
      <c r="E22" s="164">
        <f>RawFS!J21</f>
        <v>768</v>
      </c>
      <c r="F22" s="164">
        <f>RawFS!K21</f>
        <v>838</v>
      </c>
      <c r="G22" s="164">
        <f>RawFS!L21</f>
        <v>899</v>
      </c>
      <c r="H22" s="164">
        <f>RawFS!M21</f>
        <v>1012</v>
      </c>
      <c r="I22" s="164">
        <f>RawFS!N21</f>
        <v>1197</v>
      </c>
    </row>
    <row r="23" spans="2:12" x14ac:dyDescent="0.3">
      <c r="B23" s="161" t="str">
        <f>RawFS!B22</f>
        <v>Equipments</v>
      </c>
      <c r="C23" s="161"/>
      <c r="D23" s="161"/>
      <c r="E23" s="164">
        <f>RawFS!J22</f>
        <v>96</v>
      </c>
      <c r="F23" s="164">
        <f>RawFS!K22</f>
        <v>130</v>
      </c>
      <c r="G23" s="164">
        <f>RawFS!L22</f>
        <v>110</v>
      </c>
      <c r="H23" s="164">
        <f>RawFS!M22</f>
        <v>127</v>
      </c>
      <c r="I23" s="164">
        <f>RawFS!N22</f>
        <v>176</v>
      </c>
    </row>
    <row r="24" spans="2:12" x14ac:dyDescent="0.3">
      <c r="B24" s="161" t="str">
        <f>RawFS!B23</f>
        <v>Computers</v>
      </c>
      <c r="C24" s="161"/>
      <c r="D24" s="161"/>
      <c r="E24" s="164">
        <f>RawFS!J23</f>
        <v>159</v>
      </c>
      <c r="F24" s="164">
        <f>RawFS!K23</f>
        <v>204</v>
      </c>
      <c r="G24" s="164">
        <f>RawFS!L23</f>
        <v>212</v>
      </c>
      <c r="H24" s="164">
        <f>RawFS!M23</f>
        <v>228</v>
      </c>
      <c r="I24" s="164">
        <f>RawFS!N23</f>
        <v>264</v>
      </c>
    </row>
    <row r="25" spans="2:12" x14ac:dyDescent="0.3">
      <c r="B25" s="161" t="str">
        <f>RawFS!B24</f>
        <v>Furniture n fittings</v>
      </c>
      <c r="C25" s="161"/>
      <c r="D25" s="161"/>
      <c r="E25" s="164">
        <f>RawFS!J24</f>
        <v>321</v>
      </c>
      <c r="F25" s="164">
        <f>RawFS!K24</f>
        <v>376</v>
      </c>
      <c r="G25" s="164">
        <f>RawFS!L24</f>
        <v>173</v>
      </c>
      <c r="H25" s="164">
        <f>RawFS!M24</f>
        <v>193</v>
      </c>
      <c r="I25" s="164">
        <f>RawFS!N24</f>
        <v>379</v>
      </c>
    </row>
    <row r="26" spans="2:12" x14ac:dyDescent="0.3">
      <c r="B26" s="161" t="str">
        <f>RawFS!B25</f>
        <v>Vehicles</v>
      </c>
      <c r="C26" s="161"/>
      <c r="D26" s="161"/>
      <c r="E26" s="164">
        <f>RawFS!J25</f>
        <v>38</v>
      </c>
      <c r="F26" s="164">
        <f>RawFS!K25</f>
        <v>40</v>
      </c>
      <c r="G26" s="164">
        <f>RawFS!L25</f>
        <v>50</v>
      </c>
      <c r="H26" s="164">
        <f>RawFS!M25</f>
        <v>57</v>
      </c>
      <c r="I26" s="164">
        <f>RawFS!N25</f>
        <v>68</v>
      </c>
    </row>
    <row r="27" spans="2:12" x14ac:dyDescent="0.3">
      <c r="B27" s="161" t="str">
        <f>RawFS!B26</f>
        <v>Intangible Assets</v>
      </c>
      <c r="C27" s="161"/>
      <c r="D27" s="161"/>
      <c r="E27" s="164">
        <f>RawFS!J26</f>
        <v>320</v>
      </c>
      <c r="F27" s="164">
        <f>RawFS!K26</f>
        <v>320</v>
      </c>
      <c r="G27" s="164">
        <f>RawFS!L26</f>
        <v>320</v>
      </c>
      <c r="H27" s="164">
        <f>RawFS!M26</f>
        <v>320</v>
      </c>
      <c r="I27" s="164">
        <f>RawFS!N26</f>
        <v>1782</v>
      </c>
    </row>
    <row r="28" spans="2:12" ht="15" thickBot="1" x14ac:dyDescent="0.35">
      <c r="B28" t="str">
        <f>RawFS!B27</f>
        <v>Other fixed assets</v>
      </c>
      <c r="E28" s="10">
        <f>RawFS!J27</f>
        <v>157</v>
      </c>
      <c r="F28" s="10">
        <f>RawFS!K27</f>
        <v>205</v>
      </c>
      <c r="G28" s="10">
        <f>RawFS!L27</f>
        <v>305</v>
      </c>
      <c r="H28" s="10">
        <f>RawFS!M27</f>
        <v>369</v>
      </c>
      <c r="I28" s="10">
        <f>RawFS!N27</f>
        <v>540</v>
      </c>
    </row>
    <row r="29" spans="2:12" ht="15" thickBot="1" x14ac:dyDescent="0.35">
      <c r="B29" s="163" t="str">
        <f>RawFS!B28</f>
        <v>Gross Block</v>
      </c>
      <c r="C29" s="163"/>
      <c r="D29" s="163"/>
      <c r="E29" s="178">
        <f>RawFS!J28</f>
        <v>3848</v>
      </c>
      <c r="F29" s="178">
        <f>RawFS!K28</f>
        <v>4660</v>
      </c>
      <c r="G29" s="178">
        <f>RawFS!L28</f>
        <v>5778</v>
      </c>
      <c r="H29" s="178">
        <f>RawFS!M28</f>
        <v>6646</v>
      </c>
      <c r="I29" s="178">
        <f>RawFS!N28</f>
        <v>10085</v>
      </c>
    </row>
    <row r="30" spans="2:12" ht="15.6" thickTop="1" thickBot="1" x14ac:dyDescent="0.35">
      <c r="B30" t="str">
        <f>RawFS!B29</f>
        <v>Accumulated Depreciation</v>
      </c>
      <c r="E30" s="10">
        <f>RawFS!J29</f>
        <v>1304</v>
      </c>
      <c r="F30" s="10">
        <f>RawFS!K29</f>
        <v>1662</v>
      </c>
      <c r="G30" s="10">
        <f>RawFS!L29</f>
        <v>2069</v>
      </c>
      <c r="H30" s="10">
        <f>RawFS!M29</f>
        <v>2584</v>
      </c>
      <c r="I30" s="10">
        <f>RawFS!N29</f>
        <v>3207</v>
      </c>
    </row>
    <row r="31" spans="2:12" ht="15" thickBot="1" x14ac:dyDescent="0.35">
      <c r="B31" s="163" t="s">
        <v>42</v>
      </c>
      <c r="C31" s="177"/>
      <c r="D31" s="177"/>
      <c r="E31" s="178">
        <f>E29-E30</f>
        <v>2544</v>
      </c>
      <c r="F31" s="178">
        <f t="shared" ref="F31:I31" si="3">F29-F30</f>
        <v>2998</v>
      </c>
      <c r="G31" s="178">
        <f t="shared" si="3"/>
        <v>3709</v>
      </c>
      <c r="H31" s="178">
        <f t="shared" si="3"/>
        <v>4062</v>
      </c>
      <c r="I31" s="178">
        <f t="shared" si="3"/>
        <v>6878</v>
      </c>
    </row>
    <row r="32" spans="2:12" ht="15" thickTop="1" x14ac:dyDescent="0.3">
      <c r="E32" s="10"/>
      <c r="F32" s="10"/>
      <c r="G32" s="10"/>
      <c r="H32" s="10"/>
      <c r="I32" s="10"/>
    </row>
    <row r="33" spans="2:9" x14ac:dyDescent="0.3">
      <c r="B33" s="160" t="s">
        <v>338</v>
      </c>
      <c r="C33" s="161"/>
      <c r="D33" s="161"/>
      <c r="E33" s="164">
        <f>SUM(E31,E17)</f>
        <v>14656</v>
      </c>
      <c r="F33" s="164">
        <f t="shared" ref="F33:I33" si="4">SUM(F31,F17)</f>
        <v>17269</v>
      </c>
      <c r="G33" s="164">
        <f t="shared" si="4"/>
        <v>20953</v>
      </c>
      <c r="H33" s="164">
        <f t="shared" si="4"/>
        <v>28724</v>
      </c>
      <c r="I33" s="164">
        <f t="shared" si="4"/>
        <v>40738</v>
      </c>
    </row>
    <row r="34" spans="2:9" x14ac:dyDescent="0.3">
      <c r="B34" s="160" t="s">
        <v>16</v>
      </c>
      <c r="C34" s="161"/>
      <c r="D34" s="161"/>
      <c r="E34" s="164">
        <f>HistoricalFS!H30</f>
        <v>3122</v>
      </c>
      <c r="F34" s="164">
        <f>HistoricalFS!I30</f>
        <v>4747</v>
      </c>
      <c r="G34" s="164">
        <f>HistoricalFS!J30</f>
        <v>5242</v>
      </c>
      <c r="H34" s="164">
        <f>HistoricalFS!K30</f>
        <v>5488</v>
      </c>
      <c r="I34" s="164">
        <f>HistoricalFS!L30</f>
        <v>7981</v>
      </c>
    </row>
    <row r="35" spans="2:9" x14ac:dyDescent="0.3">
      <c r="B35" s="160" t="s">
        <v>339</v>
      </c>
      <c r="C35" s="161"/>
      <c r="D35" s="161"/>
      <c r="E35" s="164">
        <f>E34*(1-'Assumptions Sheet'!D16)</f>
        <v>2363.0013774104682</v>
      </c>
      <c r="F35" s="164">
        <f>F34*(1-'Assumptions Sheet'!E16)</f>
        <v>3494.8680008994829</v>
      </c>
      <c r="G35" s="164">
        <f>G34*(1-'Assumptions Sheet'!F16)</f>
        <v>3964.0995024875624</v>
      </c>
      <c r="H35" s="164">
        <f>H34*(1-'Assumptions Sheet'!G16)</f>
        <v>4038.2482910694594</v>
      </c>
      <c r="I35" s="164">
        <f>I34*(1-'Assumptions Sheet'!H16)</f>
        <v>5953.1852668725187</v>
      </c>
    </row>
    <row r="36" spans="2:9" ht="15" thickBot="1" x14ac:dyDescent="0.35"/>
    <row r="37" spans="2:9" ht="15" thickBot="1" x14ac:dyDescent="0.35">
      <c r="B37" s="163" t="s">
        <v>340</v>
      </c>
      <c r="C37" s="177"/>
      <c r="D37" s="177"/>
      <c r="E37" s="179">
        <f>E35/E33</f>
        <v>0.16123098917920772</v>
      </c>
      <c r="F37" s="179">
        <f t="shared" ref="F37:I37" si="5">F35/F33</f>
        <v>0.20237813428105175</v>
      </c>
      <c r="G37" s="179">
        <f t="shared" si="5"/>
        <v>0.18919006836670466</v>
      </c>
      <c r="H37" s="179">
        <f t="shared" si="5"/>
        <v>0.14058795053159237</v>
      </c>
      <c r="I37" s="179">
        <f t="shared" si="5"/>
        <v>0.14613346916570569</v>
      </c>
    </row>
    <row r="38" spans="2:9" ht="15" thickTop="1" x14ac:dyDescent="0.3"/>
    <row r="39" spans="2:9" ht="18" x14ac:dyDescent="0.35">
      <c r="B39" s="155" t="s">
        <v>341</v>
      </c>
      <c r="C39" s="156"/>
      <c r="D39" s="156"/>
      <c r="E39" s="157">
        <f>E2</f>
        <v>44651</v>
      </c>
      <c r="F39" s="157">
        <f t="shared" ref="F39:I39" si="6">F2</f>
        <v>45016</v>
      </c>
      <c r="G39" s="157">
        <f t="shared" si="6"/>
        <v>45382</v>
      </c>
      <c r="H39" s="157">
        <f t="shared" si="6"/>
        <v>45747</v>
      </c>
      <c r="I39" s="157">
        <f t="shared" si="6"/>
        <v>46112</v>
      </c>
    </row>
    <row r="41" spans="2:9" x14ac:dyDescent="0.3">
      <c r="B41" s="161" t="s">
        <v>345</v>
      </c>
      <c r="C41" s="161"/>
      <c r="D41" s="161"/>
      <c r="E41" s="164">
        <f>-SUM(HistoricalFS!H92:H93)</f>
        <v>216</v>
      </c>
      <c r="F41" s="164">
        <f>-SUM(HistoricalFS!I92:I93)</f>
        <v>420</v>
      </c>
      <c r="G41" s="164">
        <f>-SUM(HistoricalFS!J92:J93)</f>
        <v>671</v>
      </c>
      <c r="H41" s="164">
        <f>-SUM(HistoricalFS!K92:K93)</f>
        <v>470</v>
      </c>
      <c r="I41" s="164">
        <f>-SUM(HistoricalFS!L92:L93)</f>
        <v>877</v>
      </c>
    </row>
    <row r="42" spans="2:9" x14ac:dyDescent="0.3">
      <c r="B42" s="161" t="s">
        <v>342</v>
      </c>
      <c r="C42" s="161"/>
      <c r="D42" s="161"/>
      <c r="E42" s="164"/>
      <c r="F42" s="164">
        <f>F17-E17</f>
        <v>2159</v>
      </c>
      <c r="G42" s="164">
        <f t="shared" ref="G42:I42" si="7">G17-F17</f>
        <v>2973</v>
      </c>
      <c r="H42" s="164">
        <f t="shared" si="7"/>
        <v>7418</v>
      </c>
      <c r="I42" s="164">
        <f t="shared" si="7"/>
        <v>9198</v>
      </c>
    </row>
    <row r="44" spans="2:9" x14ac:dyDescent="0.3">
      <c r="B44" s="161" t="str">
        <f>B34</f>
        <v>EBIT</v>
      </c>
      <c r="C44" s="161"/>
      <c r="D44" s="161"/>
      <c r="E44" s="164">
        <f>E34</f>
        <v>3122</v>
      </c>
      <c r="F44" s="164">
        <f t="shared" ref="F44:I44" si="8">F34</f>
        <v>4747</v>
      </c>
      <c r="G44" s="164">
        <f t="shared" si="8"/>
        <v>5242</v>
      </c>
      <c r="H44" s="164">
        <f t="shared" si="8"/>
        <v>5488</v>
      </c>
      <c r="I44" s="164">
        <f t="shared" si="8"/>
        <v>7981</v>
      </c>
    </row>
    <row r="45" spans="2:9" x14ac:dyDescent="0.3">
      <c r="B45" s="161" t="str">
        <f>B35</f>
        <v>EBIT(1-T)</v>
      </c>
      <c r="C45" s="161"/>
      <c r="D45" s="161"/>
      <c r="E45" s="164">
        <f>E35</f>
        <v>2363.0013774104682</v>
      </c>
      <c r="F45" s="164">
        <f t="shared" ref="F45:I45" si="9">F35</f>
        <v>3494.8680008994829</v>
      </c>
      <c r="G45" s="164">
        <f t="shared" si="9"/>
        <v>3964.0995024875624</v>
      </c>
      <c r="H45" s="164">
        <f t="shared" si="9"/>
        <v>4038.2482910694594</v>
      </c>
      <c r="I45" s="164">
        <f t="shared" si="9"/>
        <v>5953.1852668725187</v>
      </c>
    </row>
    <row r="47" spans="2:9" ht="15" thickBot="1" x14ac:dyDescent="0.35">
      <c r="B47" s="74" t="s">
        <v>343</v>
      </c>
      <c r="C47" s="74"/>
      <c r="D47" s="74"/>
      <c r="E47" s="74"/>
      <c r="F47" s="90">
        <f>SUM(F41:F42)</f>
        <v>2579</v>
      </c>
      <c r="G47" s="90">
        <f t="shared" ref="G47:I47" si="10">SUM(G41:G42)</f>
        <v>3644</v>
      </c>
      <c r="H47" s="90">
        <f t="shared" si="10"/>
        <v>7888</v>
      </c>
      <c r="I47" s="90">
        <f t="shared" si="10"/>
        <v>10075</v>
      </c>
    </row>
    <row r="48" spans="2:9" ht="15" thickBot="1" x14ac:dyDescent="0.35">
      <c r="B48" s="176" t="s">
        <v>344</v>
      </c>
      <c r="C48" s="176"/>
      <c r="D48" s="176"/>
      <c r="E48" s="176"/>
      <c r="F48" s="179">
        <f>F47/F45</f>
        <v>0.73793917233390116</v>
      </c>
      <c r="G48" s="179">
        <f t="shared" ref="G48:I48" si="11">G47/G45</f>
        <v>0.91925038655394686</v>
      </c>
      <c r="H48" s="179">
        <f t="shared" si="11"/>
        <v>1.9533221910708718</v>
      </c>
      <c r="I48" s="179">
        <f t="shared" si="11"/>
        <v>1.6923713186055203</v>
      </c>
    </row>
    <row r="49" spans="2:9" ht="15" thickTop="1" x14ac:dyDescent="0.3"/>
    <row r="50" spans="2:9" x14ac:dyDescent="0.3">
      <c r="H50" s="160" t="s">
        <v>80</v>
      </c>
      <c r="I50" s="180">
        <f>AVERAGE(F48:I48)</f>
        <v>1.32572076714106</v>
      </c>
    </row>
    <row r="51" spans="2:9" x14ac:dyDescent="0.3">
      <c r="H51" s="160" t="s">
        <v>81</v>
      </c>
      <c r="I51" s="180">
        <f>MEDIAN(F48:I48)</f>
        <v>1.3058108525797336</v>
      </c>
    </row>
    <row r="53" spans="2:9" ht="18" x14ac:dyDescent="0.35">
      <c r="B53" s="155" t="s">
        <v>346</v>
      </c>
      <c r="C53" s="156"/>
      <c r="D53" s="156"/>
      <c r="E53" s="157">
        <f>E39</f>
        <v>44651</v>
      </c>
      <c r="F53" s="157">
        <f t="shared" ref="F53:I53" si="12">F39</f>
        <v>45016</v>
      </c>
      <c r="G53" s="157">
        <f t="shared" si="12"/>
        <v>45382</v>
      </c>
      <c r="H53" s="157">
        <f t="shared" si="12"/>
        <v>45747</v>
      </c>
      <c r="I53" s="157">
        <f t="shared" si="12"/>
        <v>46112</v>
      </c>
    </row>
    <row r="55" spans="2:9" x14ac:dyDescent="0.3">
      <c r="B55" s="161" t="str">
        <f>B48</f>
        <v>Reinvestment Rate</v>
      </c>
      <c r="C55" s="161"/>
      <c r="D55" s="161"/>
      <c r="E55" s="175"/>
      <c r="F55" s="175">
        <f t="shared" ref="F55:I55" si="13">F48</f>
        <v>0.73793917233390116</v>
      </c>
      <c r="G55" s="175">
        <f t="shared" si="13"/>
        <v>0.91925038655394686</v>
      </c>
      <c r="H55" s="175">
        <f t="shared" si="13"/>
        <v>1.9533221910708718</v>
      </c>
      <c r="I55" s="175">
        <f t="shared" si="13"/>
        <v>1.6923713186055203</v>
      </c>
    </row>
    <row r="56" spans="2:9" x14ac:dyDescent="0.3">
      <c r="B56" s="161" t="str">
        <f>B37</f>
        <v xml:space="preserve">ROIC </v>
      </c>
      <c r="C56" s="161"/>
      <c r="D56" s="161"/>
      <c r="E56" s="175">
        <f>E37</f>
        <v>0.16123098917920772</v>
      </c>
      <c r="F56" s="175">
        <f t="shared" ref="F56:I56" si="14">F37</f>
        <v>0.20237813428105175</v>
      </c>
      <c r="G56" s="175">
        <f t="shared" si="14"/>
        <v>0.18919006836670466</v>
      </c>
      <c r="H56" s="175">
        <f t="shared" si="14"/>
        <v>0.14058795053159237</v>
      </c>
      <c r="I56" s="175">
        <f t="shared" si="14"/>
        <v>0.14613346916570569</v>
      </c>
    </row>
    <row r="57" spans="2:9" ht="15" thickBot="1" x14ac:dyDescent="0.35"/>
    <row r="58" spans="2:9" ht="15" thickBot="1" x14ac:dyDescent="0.35">
      <c r="B58" s="163" t="s">
        <v>347</v>
      </c>
      <c r="C58" s="177"/>
      <c r="D58" s="177"/>
      <c r="E58" s="177"/>
      <c r="F58" s="179">
        <f>F56*F55</f>
        <v>0.14934275290983845</v>
      </c>
      <c r="G58" s="179">
        <f t="shared" ref="G58:I58" si="15">G56*G55</f>
        <v>0.17391304347826089</v>
      </c>
      <c r="H58" s="179">
        <f t="shared" si="15"/>
        <v>0.27461356357053335</v>
      </c>
      <c r="I58" s="179">
        <f t="shared" si="15"/>
        <v>0.24731209190436448</v>
      </c>
    </row>
    <row r="59" spans="2:9" ht="15" thickTop="1" x14ac:dyDescent="0.3"/>
    <row r="60" spans="2:9" x14ac:dyDescent="0.3">
      <c r="H60" s="160" t="s">
        <v>80</v>
      </c>
      <c r="I60" s="180">
        <f>AVERAGE(F58:I58)</f>
        <v>0.2112953629657493</v>
      </c>
    </row>
    <row r="61" spans="2:9" x14ac:dyDescent="0.3">
      <c r="H61" s="160" t="s">
        <v>81</v>
      </c>
      <c r="I61" s="180">
        <f>MEDIAN(F58:I58)</f>
        <v>0.2106125676913127</v>
      </c>
    </row>
    <row r="63" spans="2:9" ht="10.8" customHeight="1" x14ac:dyDescent="0.3">
      <c r="B63" s="72"/>
      <c r="C63" s="72"/>
      <c r="D63" s="72"/>
      <c r="E63" s="72"/>
      <c r="F63" s="72"/>
      <c r="G63" s="72"/>
      <c r="H63" s="72"/>
      <c r="I63" s="72"/>
    </row>
  </sheetData>
  <pageMargins left="0.7" right="0.7" top="0.75" bottom="0.75" header="0.3" footer="0.3"/>
  <pageSetup scale="7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7C2B-051E-4A9A-A1E4-31F66D95C7A7}">
  <sheetPr>
    <tabColor rgb="FF33CCCC"/>
  </sheetPr>
  <dimension ref="B2:M47"/>
  <sheetViews>
    <sheetView showGridLines="0" zoomScale="66" zoomScaleNormal="66" workbookViewId="0">
      <selection activeCell="O23" sqref="O23"/>
    </sheetView>
  </sheetViews>
  <sheetFormatPr defaultRowHeight="14.4" x14ac:dyDescent="0.3"/>
  <cols>
    <col min="1" max="1" width="1.88671875" customWidth="1"/>
    <col min="2" max="2" width="27.88671875" bestFit="1" customWidth="1"/>
    <col min="4" max="4" width="11.88671875" bestFit="1" customWidth="1"/>
    <col min="7" max="7" width="10" bestFit="1" customWidth="1"/>
    <col min="8" max="12" width="11.5546875" customWidth="1"/>
    <col min="13" max="13" width="9.6640625" bestFit="1" customWidth="1"/>
  </cols>
  <sheetData>
    <row r="2" spans="2:13" ht="18" x14ac:dyDescent="0.35">
      <c r="B2" s="155" t="s">
        <v>349</v>
      </c>
      <c r="C2" s="124"/>
      <c r="D2" s="124"/>
      <c r="E2" s="124"/>
      <c r="F2" s="124"/>
      <c r="G2" s="157">
        <f>ForcastedFS!F5</f>
        <v>45747</v>
      </c>
      <c r="H2" s="157">
        <f>ForcastedFS!G5</f>
        <v>46112</v>
      </c>
      <c r="I2" s="157">
        <f>ForcastedFS!H5</f>
        <v>46477</v>
      </c>
      <c r="J2" s="157">
        <f>ForcastedFS!I5</f>
        <v>46842</v>
      </c>
      <c r="K2" s="157">
        <f>ForcastedFS!J5</f>
        <v>47207</v>
      </c>
      <c r="L2" s="157">
        <f>ForcastedFS!K5</f>
        <v>47572</v>
      </c>
      <c r="M2" s="157">
        <f>ForcastedFS!L5</f>
        <v>47937</v>
      </c>
    </row>
    <row r="4" spans="2:13" x14ac:dyDescent="0.3">
      <c r="B4" s="161" t="s">
        <v>16</v>
      </c>
      <c r="C4" s="161"/>
      <c r="D4" s="161"/>
      <c r="E4" s="161"/>
      <c r="F4" s="161"/>
      <c r="G4" s="164">
        <f>ForcastedFS!F24</f>
        <v>5488</v>
      </c>
      <c r="H4" s="164">
        <f>ForcastedFS!G24</f>
        <v>7981</v>
      </c>
      <c r="I4" s="164">
        <f>ForcastedFS!H24</f>
        <v>9983.3611200000014</v>
      </c>
      <c r="J4" s="164">
        <f>ForcastedFS!I24</f>
        <v>12399.692753600009</v>
      </c>
      <c r="K4" s="164">
        <f>ForcastedFS!J24</f>
        <v>15197.495749200009</v>
      </c>
      <c r="L4" s="164">
        <f>ForcastedFS!K24</f>
        <v>18231.639972975205</v>
      </c>
      <c r="M4" s="164">
        <f>ForcastedFS!L24</f>
        <v>21618.701464629507</v>
      </c>
    </row>
    <row r="5" spans="2:13" x14ac:dyDescent="0.3">
      <c r="B5" s="161"/>
      <c r="C5" s="161"/>
      <c r="D5" s="161"/>
      <c r="E5" s="161"/>
      <c r="F5" s="161"/>
      <c r="G5" s="161"/>
      <c r="H5" s="161"/>
      <c r="I5" s="161"/>
      <c r="J5" s="161"/>
      <c r="K5" s="161"/>
      <c r="L5" s="161"/>
      <c r="M5" s="161"/>
    </row>
    <row r="6" spans="2:13" x14ac:dyDescent="0.3">
      <c r="B6" s="161" t="s">
        <v>112</v>
      </c>
      <c r="C6" s="161"/>
      <c r="D6" s="161"/>
      <c r="E6" s="161"/>
      <c r="F6" s="161"/>
      <c r="G6" s="193">
        <f>'Assumptions Sheet'!G16</f>
        <v>0.26416758544652702</v>
      </c>
      <c r="H6" s="193">
        <f>'Assumptions Sheet'!H16</f>
        <v>0.25408028231142477</v>
      </c>
      <c r="I6" s="193">
        <f>'Assumptions Sheet'!I16</f>
        <v>0.2535</v>
      </c>
      <c r="J6" s="193">
        <f>'Assumptions Sheet'!J16</f>
        <v>0.2535</v>
      </c>
      <c r="K6" s="193">
        <f>'Assumptions Sheet'!K16</f>
        <v>0.2535</v>
      </c>
      <c r="L6" s="193">
        <f>'Assumptions Sheet'!L16</f>
        <v>0.2535</v>
      </c>
      <c r="M6" s="193">
        <f>'Assumptions Sheet'!M16</f>
        <v>0.2535</v>
      </c>
    </row>
    <row r="7" spans="2:13" x14ac:dyDescent="0.3">
      <c r="B7" s="161"/>
      <c r="C7" s="161"/>
      <c r="D7" s="161"/>
      <c r="E7" s="161"/>
      <c r="F7" s="161"/>
      <c r="G7" s="161"/>
      <c r="H7" s="161"/>
      <c r="I7" s="161"/>
      <c r="J7" s="161"/>
      <c r="K7" s="161"/>
      <c r="L7" s="161"/>
      <c r="M7" s="161"/>
    </row>
    <row r="8" spans="2:13" x14ac:dyDescent="0.3">
      <c r="B8" s="161" t="s">
        <v>339</v>
      </c>
      <c r="C8" s="161"/>
      <c r="D8" s="161"/>
      <c r="E8" s="161"/>
      <c r="F8" s="161"/>
      <c r="G8" s="164">
        <f>G4*(1-G6)</f>
        <v>4038.2482910694594</v>
      </c>
      <c r="H8" s="164">
        <f t="shared" ref="H8:M8" si="0">H4*(1-H6)</f>
        <v>5953.1852668725187</v>
      </c>
      <c r="I8" s="164">
        <f t="shared" si="0"/>
        <v>7452.57907608</v>
      </c>
      <c r="J8" s="164">
        <f t="shared" si="0"/>
        <v>9256.3706405624071</v>
      </c>
      <c r="K8" s="164">
        <f t="shared" si="0"/>
        <v>11344.930576777806</v>
      </c>
      <c r="L8" s="164">
        <f t="shared" si="0"/>
        <v>13609.919239825989</v>
      </c>
      <c r="M8" s="164">
        <f t="shared" si="0"/>
        <v>16138.360643345924</v>
      </c>
    </row>
    <row r="9" spans="2:13" x14ac:dyDescent="0.3">
      <c r="B9" s="161"/>
      <c r="C9" s="161"/>
      <c r="D9" s="161"/>
      <c r="E9" s="161"/>
      <c r="F9" s="161"/>
      <c r="G9" s="161"/>
      <c r="H9" s="161"/>
      <c r="I9" s="161"/>
      <c r="J9" s="161"/>
      <c r="K9" s="161"/>
      <c r="L9" s="161"/>
      <c r="M9" s="161"/>
    </row>
    <row r="10" spans="2:13" x14ac:dyDescent="0.3">
      <c r="B10" s="161" t="s">
        <v>350</v>
      </c>
      <c r="C10" s="161"/>
      <c r="D10" s="161"/>
      <c r="E10" s="161"/>
      <c r="F10" s="161"/>
      <c r="G10" s="194">
        <f>'Intrinsic Growth'!H48</f>
        <v>1.9533221910708718</v>
      </c>
      <c r="H10" s="194">
        <f>'Intrinsic Growth'!I48</f>
        <v>1.6923713186055203</v>
      </c>
      <c r="I10" s="197">
        <f>'Assumptions Sheet'!I55</f>
        <v>1.4650611118560981</v>
      </c>
      <c r="J10" s="197">
        <f>'Assumptions Sheet'!J55</f>
        <v>0.76580649147882585</v>
      </c>
      <c r="K10" s="197">
        <f>'Assumptions Sheet'!K55</f>
        <v>0.64668815956086134</v>
      </c>
      <c r="L10" s="197">
        <f>'Assumptions Sheet'!L55</f>
        <v>0.54633704596301669</v>
      </c>
      <c r="M10" s="197">
        <f>'Assumptions Sheet'!M55</f>
        <v>0.46518056965479176</v>
      </c>
    </row>
    <row r="11" spans="2:13" x14ac:dyDescent="0.3">
      <c r="B11" s="161"/>
      <c r="C11" s="161"/>
      <c r="D11" s="161"/>
      <c r="E11" s="161"/>
      <c r="F11" s="161"/>
      <c r="G11" s="161"/>
      <c r="H11" s="161"/>
      <c r="I11" s="161"/>
      <c r="J11" s="161"/>
      <c r="K11" s="161"/>
      <c r="L11" s="161"/>
      <c r="M11" s="161"/>
    </row>
    <row r="12" spans="2:13" x14ac:dyDescent="0.3">
      <c r="B12" s="161" t="s">
        <v>351</v>
      </c>
      <c r="C12" s="161"/>
      <c r="D12" s="161"/>
      <c r="E12" s="161"/>
      <c r="F12" s="161"/>
      <c r="G12" s="164">
        <f>G8*(1-G10)</f>
        <v>-3849.7517089305406</v>
      </c>
      <c r="H12" s="164">
        <f t="shared" ref="H12:M12" si="1">H8*(1-H10)</f>
        <v>-4121.8147331274822</v>
      </c>
      <c r="I12" s="164">
        <f t="shared" si="1"/>
        <v>-3465.9047113172574</v>
      </c>
      <c r="J12" s="164">
        <f t="shared" si="1"/>
        <v>2167.7819164856983</v>
      </c>
      <c r="K12" s="164">
        <f t="shared" si="1"/>
        <v>4008.2983017356255</v>
      </c>
      <c r="L12" s="164">
        <f t="shared" si="1"/>
        <v>6174.3161665442331</v>
      </c>
      <c r="M12" s="164">
        <f t="shared" si="1"/>
        <v>8631.1088459797957</v>
      </c>
    </row>
    <row r="13" spans="2:13" x14ac:dyDescent="0.3">
      <c r="B13" s="161"/>
      <c r="C13" s="161"/>
      <c r="D13" s="161"/>
      <c r="E13" s="161"/>
      <c r="F13" s="161"/>
      <c r="G13" s="161"/>
      <c r="H13" s="161"/>
      <c r="I13" s="161"/>
      <c r="J13" s="161"/>
      <c r="K13" s="161"/>
      <c r="L13" s="161"/>
      <c r="M13" s="161"/>
    </row>
    <row r="14" spans="2:13" x14ac:dyDescent="0.3">
      <c r="B14" s="161" t="s">
        <v>352</v>
      </c>
      <c r="C14" s="161"/>
      <c r="D14" s="161"/>
      <c r="E14" s="161"/>
      <c r="F14" s="161"/>
      <c r="G14" s="161"/>
      <c r="H14" s="195">
        <v>0.5</v>
      </c>
      <c r="I14" s="161">
        <f>H14+1</f>
        <v>1.5</v>
      </c>
      <c r="J14" s="161">
        <f t="shared" ref="J14:M14" si="2">I14+1</f>
        <v>2.5</v>
      </c>
      <c r="K14" s="161">
        <f t="shared" si="2"/>
        <v>3.5</v>
      </c>
      <c r="L14" s="161">
        <f t="shared" si="2"/>
        <v>4.5</v>
      </c>
      <c r="M14" s="161">
        <f t="shared" si="2"/>
        <v>5.5</v>
      </c>
    </row>
    <row r="15" spans="2:13" x14ac:dyDescent="0.3">
      <c r="B15" s="161" t="s">
        <v>353</v>
      </c>
      <c r="C15" s="161"/>
      <c r="D15" s="161"/>
      <c r="E15" s="161"/>
      <c r="F15" s="161"/>
      <c r="G15" s="161"/>
      <c r="H15" s="196">
        <f>1/(1+$D$21)^H14</f>
        <v>0.94971556911202748</v>
      </c>
      <c r="I15" s="196">
        <f t="shared" ref="I15:M15" si="3">1/(1+$D$21)^I14</f>
        <v>0.85660513391545423</v>
      </c>
      <c r="J15" s="196">
        <f t="shared" si="3"/>
        <v>0.77262327723697488</v>
      </c>
      <c r="K15" s="196">
        <f t="shared" si="3"/>
        <v>0.69687503015516727</v>
      </c>
      <c r="L15" s="196">
        <f t="shared" si="3"/>
        <v>0.62855316680397399</v>
      </c>
      <c r="M15" s="196">
        <f t="shared" si="3"/>
        <v>0.56692960201391551</v>
      </c>
    </row>
    <row r="16" spans="2:13" ht="15" thickBot="1" x14ac:dyDescent="0.35"/>
    <row r="17" spans="2:13" ht="15" thickBot="1" x14ac:dyDescent="0.35">
      <c r="B17" s="163" t="s">
        <v>358</v>
      </c>
      <c r="C17" s="163"/>
      <c r="D17" s="163"/>
      <c r="E17" s="163"/>
      <c r="F17" s="163"/>
      <c r="G17" s="163"/>
      <c r="H17" s="178">
        <f>H12*H15</f>
        <v>-3914.5516250465066</v>
      </c>
      <c r="I17" s="178">
        <f t="shared" ref="I17:M17" si="4">I12*I15</f>
        <v>-2968.9117693761232</v>
      </c>
      <c r="J17" s="178">
        <f t="shared" si="4"/>
        <v>1674.8787686502303</v>
      </c>
      <c r="K17" s="178">
        <f t="shared" si="4"/>
        <v>2793.2829998929196</v>
      </c>
      <c r="L17" s="178">
        <f t="shared" si="4"/>
        <v>3880.8859793303504</v>
      </c>
      <c r="M17" s="178">
        <f t="shared" si="4"/>
        <v>4893.2311029901111</v>
      </c>
    </row>
    <row r="18" spans="2:13" ht="15" thickTop="1" x14ac:dyDescent="0.3"/>
    <row r="19" spans="2:13" x14ac:dyDescent="0.3">
      <c r="B19" s="207" t="s">
        <v>356</v>
      </c>
      <c r="C19" s="208"/>
      <c r="D19" s="209">
        <v>0.1</v>
      </c>
    </row>
    <row r="20" spans="2:13" x14ac:dyDescent="0.3">
      <c r="B20" s="187" t="s">
        <v>357</v>
      </c>
      <c r="C20" s="210"/>
      <c r="D20" s="211">
        <v>0.05</v>
      </c>
    </row>
    <row r="21" spans="2:13" x14ac:dyDescent="0.3">
      <c r="B21" s="212" t="s">
        <v>247</v>
      </c>
      <c r="C21" s="213"/>
      <c r="D21" s="214">
        <f>WACC!J40</f>
        <v>0.10869703146766685</v>
      </c>
    </row>
    <row r="23" spans="2:13" ht="18" x14ac:dyDescent="0.35">
      <c r="B23" s="124" t="s">
        <v>359</v>
      </c>
      <c r="C23" s="124"/>
      <c r="D23" s="124"/>
      <c r="F23" s="378" t="s">
        <v>373</v>
      </c>
      <c r="G23" s="379"/>
      <c r="H23" s="379"/>
      <c r="I23" s="379"/>
      <c r="J23" s="379"/>
      <c r="K23" s="379"/>
      <c r="L23" s="379"/>
      <c r="M23" s="380"/>
    </row>
    <row r="24" spans="2:13" x14ac:dyDescent="0.3">
      <c r="F24" s="111"/>
      <c r="M24" s="103"/>
    </row>
    <row r="25" spans="2:13" x14ac:dyDescent="0.3">
      <c r="B25" s="161" t="s">
        <v>361</v>
      </c>
      <c r="C25" s="161"/>
      <c r="D25" s="164">
        <f>M12*(1+D20)</f>
        <v>9062.6642882787855</v>
      </c>
      <c r="F25" s="111"/>
      <c r="J25" s="181" t="s">
        <v>247</v>
      </c>
      <c r="K25" s="181"/>
      <c r="M25" s="103"/>
    </row>
    <row r="26" spans="2:13" x14ac:dyDescent="0.3">
      <c r="B26" s="161" t="s">
        <v>247</v>
      </c>
      <c r="C26" s="161"/>
      <c r="D26" s="194">
        <f>D21</f>
        <v>0.10869703146766685</v>
      </c>
      <c r="F26" s="111"/>
      <c r="G26" s="182">
        <f>D41</f>
        <v>734.26719768273472</v>
      </c>
      <c r="H26" s="183">
        <v>0.09</v>
      </c>
      <c r="I26" s="183">
        <v>0.1</v>
      </c>
      <c r="J26" s="205">
        <f>D21</f>
        <v>0.10869703146766685</v>
      </c>
      <c r="K26" s="183">
        <v>0.12</v>
      </c>
      <c r="L26" s="183">
        <v>0.13</v>
      </c>
      <c r="M26" s="184">
        <v>0.14000000000000001</v>
      </c>
    </row>
    <row r="27" spans="2:13" x14ac:dyDescent="0.3">
      <c r="B27" s="161" t="s">
        <v>362</v>
      </c>
      <c r="C27" s="161"/>
      <c r="D27" s="194">
        <f>D20</f>
        <v>0.05</v>
      </c>
      <c r="F27" s="111"/>
      <c r="G27" s="183">
        <v>0.03</v>
      </c>
      <c r="H27" s="200">
        <f t="dataTable" ref="H27:M31" dt2D="1" dtr="1" r1="D26" r2="D27"/>
        <v>712.85589000268214</v>
      </c>
      <c r="I27" s="201">
        <v>575.06282423752873</v>
      </c>
      <c r="J27" s="201">
        <v>483.69541634655718</v>
      </c>
      <c r="K27" s="201">
        <v>391.33873655065804</v>
      </c>
      <c r="L27" s="201">
        <v>327.03530586025306</v>
      </c>
      <c r="M27" s="202">
        <v>274.42340802264903</v>
      </c>
    </row>
    <row r="28" spans="2:13" ht="15" thickBot="1" x14ac:dyDescent="0.35">
      <c r="F28" s="111" t="s">
        <v>374</v>
      </c>
      <c r="G28" s="183">
        <v>0.04</v>
      </c>
      <c r="H28" s="203">
        <v>905.76618207389663</v>
      </c>
      <c r="I28" s="185">
        <v>712.85589000268192</v>
      </c>
      <c r="J28" s="185">
        <v>590.74385366456102</v>
      </c>
      <c r="K28" s="185">
        <v>471.71802491366401</v>
      </c>
      <c r="L28" s="185">
        <v>391.33873655065804</v>
      </c>
      <c r="M28" s="186">
        <v>327.03530586025306</v>
      </c>
    </row>
    <row r="29" spans="2:13" ht="15" thickBot="1" x14ac:dyDescent="0.35">
      <c r="B29" s="163" t="s">
        <v>363</v>
      </c>
      <c r="C29" s="163"/>
      <c r="D29" s="178">
        <f>D25/(D26-D27)</f>
        <v>154397.31893887918</v>
      </c>
      <c r="F29" s="187"/>
      <c r="G29" s="206">
        <f>D20</f>
        <v>0.05</v>
      </c>
      <c r="H29" s="203">
        <v>1195.1316201807183</v>
      </c>
      <c r="I29" s="185">
        <v>905.7661820738964</v>
      </c>
      <c r="J29" s="192">
        <v>734.26719768273472</v>
      </c>
      <c r="K29" s="185">
        <v>575.06282423752884</v>
      </c>
      <c r="L29" s="185">
        <v>471.71802491366401</v>
      </c>
      <c r="M29" s="186">
        <v>391.33873655065787</v>
      </c>
    </row>
    <row r="30" spans="2:13" ht="15" thickTop="1" x14ac:dyDescent="0.3">
      <c r="F30" s="111"/>
      <c r="G30" s="183">
        <v>0.06</v>
      </c>
      <c r="H30" s="203">
        <v>1677.4073503587547</v>
      </c>
      <c r="I30" s="185">
        <v>1195.1316201807178</v>
      </c>
      <c r="J30" s="185">
        <v>936.73595980651419</v>
      </c>
      <c r="K30" s="185">
        <v>712.85589000268214</v>
      </c>
      <c r="L30" s="185">
        <v>575.06282423752873</v>
      </c>
      <c r="M30" s="186">
        <v>471.71802491366384</v>
      </c>
    </row>
    <row r="31" spans="2:13" x14ac:dyDescent="0.3">
      <c r="B31" s="124" t="s">
        <v>360</v>
      </c>
      <c r="C31" s="124"/>
      <c r="D31" s="124"/>
      <c r="F31" s="114"/>
      <c r="G31" s="188">
        <v>7.0000000000000007E-2</v>
      </c>
      <c r="H31" s="204">
        <v>2641.9588107148279</v>
      </c>
      <c r="I31" s="189">
        <v>1677.4073503587547</v>
      </c>
      <c r="J31" s="189">
        <v>1243.8477678925933</v>
      </c>
      <c r="K31" s="189">
        <v>905.76618207389663</v>
      </c>
      <c r="L31" s="189">
        <v>712.85589000268214</v>
      </c>
      <c r="M31" s="190">
        <v>575.06282423752873</v>
      </c>
    </row>
    <row r="33" spans="2:13" x14ac:dyDescent="0.3">
      <c r="B33" s="161" t="s">
        <v>358</v>
      </c>
      <c r="C33" s="161"/>
      <c r="D33" s="164">
        <f>SUM(H17:M17)</f>
        <v>6358.8154564409815</v>
      </c>
    </row>
    <row r="34" spans="2:13" x14ac:dyDescent="0.3">
      <c r="B34" s="161" t="s">
        <v>364</v>
      </c>
      <c r="C34" s="161"/>
      <c r="D34" s="164">
        <f>M15*D29</f>
        <v>87532.410578034353</v>
      </c>
    </row>
    <row r="35" spans="2:13" x14ac:dyDescent="0.3">
      <c r="B35" s="160" t="s">
        <v>365</v>
      </c>
      <c r="C35" s="161"/>
      <c r="D35" s="164">
        <f>SUM(D33:D34)</f>
        <v>93891.22603447533</v>
      </c>
    </row>
    <row r="36" spans="2:13" x14ac:dyDescent="0.3">
      <c r="B36" s="161"/>
      <c r="C36" s="161"/>
      <c r="D36" s="161"/>
    </row>
    <row r="37" spans="2:13" x14ac:dyDescent="0.3">
      <c r="B37" s="161" t="s">
        <v>366</v>
      </c>
      <c r="C37" s="161"/>
      <c r="D37" s="164">
        <f>'Data Sheet'!K69</f>
        <v>1917</v>
      </c>
    </row>
    <row r="38" spans="2:13" x14ac:dyDescent="0.3">
      <c r="B38" s="161" t="s">
        <v>367</v>
      </c>
      <c r="C38" s="161"/>
      <c r="D38" s="164">
        <f>'Data Sheet'!K59</f>
        <v>30621</v>
      </c>
    </row>
    <row r="39" spans="2:13" x14ac:dyDescent="0.3">
      <c r="B39" s="160" t="s">
        <v>368</v>
      </c>
      <c r="C39" s="161"/>
      <c r="D39" s="164">
        <f>D35+D37-D38</f>
        <v>65187.22603447533</v>
      </c>
    </row>
    <row r="40" spans="2:13" ht="15" thickBot="1" x14ac:dyDescent="0.35">
      <c r="B40" t="s">
        <v>369</v>
      </c>
      <c r="D40" s="191">
        <f>'Data Sheet'!B6</f>
        <v>88.778616612861015</v>
      </c>
    </row>
    <row r="41" spans="2:13" ht="15" thickBot="1" x14ac:dyDescent="0.35">
      <c r="B41" s="163" t="s">
        <v>370</v>
      </c>
      <c r="C41" s="163"/>
      <c r="D41" s="199">
        <f>D39/D40</f>
        <v>734.26719768273472</v>
      </c>
    </row>
    <row r="42" spans="2:13" ht="15" thickTop="1" x14ac:dyDescent="0.3"/>
    <row r="43" spans="2:13" x14ac:dyDescent="0.3">
      <c r="B43" s="161" t="s">
        <v>371</v>
      </c>
      <c r="C43" s="161"/>
      <c r="D43" s="164">
        <f>'Data Sheet'!B8</f>
        <v>4584.3999999999996</v>
      </c>
    </row>
    <row r="44" spans="2:13" x14ac:dyDescent="0.3">
      <c r="B44" s="161" t="s">
        <v>372</v>
      </c>
      <c r="C44" s="161"/>
      <c r="D44" s="198">
        <f>D43/D41-1</f>
        <v>5.2435037469573125</v>
      </c>
    </row>
    <row r="47" spans="2:13" ht="10.8" customHeight="1" x14ac:dyDescent="0.3">
      <c r="B47" s="72"/>
      <c r="C47" s="72"/>
      <c r="D47" s="72"/>
      <c r="E47" s="72"/>
      <c r="F47" s="72"/>
      <c r="G47" s="72"/>
      <c r="H47" s="72"/>
      <c r="I47" s="72"/>
      <c r="J47" s="72"/>
      <c r="K47" s="72"/>
      <c r="L47" s="72"/>
      <c r="M47" s="72"/>
    </row>
  </sheetData>
  <mergeCells count="1">
    <mergeCell ref="F23:M23"/>
  </mergeCells>
  <pageMargins left="0.7" right="0.7" top="0.75" bottom="0.75" header="0.3" footer="0.3"/>
  <pageSetup scale="61"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138F8-4F2D-4A88-8F8F-5BDB7747F634}">
  <sheetPr>
    <tabColor rgb="FF33CCCC"/>
  </sheetPr>
  <dimension ref="B1:Q33"/>
  <sheetViews>
    <sheetView showGridLines="0" zoomScale="66" zoomScaleNormal="66" workbookViewId="0">
      <selection activeCell="K50" sqref="K50"/>
    </sheetView>
  </sheetViews>
  <sheetFormatPr defaultRowHeight="14.4" x14ac:dyDescent="0.3"/>
  <cols>
    <col min="1" max="1" width="1.88671875" customWidth="1"/>
    <col min="4" max="12" width="14.6640625" customWidth="1"/>
    <col min="13" max="13" width="10.77734375" bestFit="1" customWidth="1"/>
    <col min="14" max="14" width="14.6640625" customWidth="1"/>
    <col min="15" max="15" width="14.44140625" bestFit="1" customWidth="1"/>
    <col min="16" max="16" width="12.88671875" bestFit="1" customWidth="1"/>
    <col min="17" max="17" width="11.109375" bestFit="1" customWidth="1"/>
  </cols>
  <sheetData>
    <row r="1" spans="2:17" ht="15" thickBot="1" x14ac:dyDescent="0.35"/>
    <row r="2" spans="2:17" ht="18.600000000000001" thickBot="1" x14ac:dyDescent="0.4">
      <c r="B2" s="215" t="s">
        <v>375</v>
      </c>
      <c r="C2" s="59"/>
      <c r="D2" s="59"/>
      <c r="E2" s="59"/>
      <c r="F2" s="59"/>
      <c r="G2" s="59"/>
      <c r="H2" s="59"/>
      <c r="I2" s="59"/>
      <c r="J2" s="59"/>
      <c r="K2" s="59"/>
      <c r="L2" s="59"/>
      <c r="M2" s="59"/>
      <c r="N2" s="59"/>
      <c r="O2" s="59"/>
      <c r="P2" s="59"/>
      <c r="Q2" s="59"/>
    </row>
    <row r="3" spans="2:17" ht="3.6" customHeight="1" x14ac:dyDescent="0.3"/>
    <row r="4" spans="2:17" ht="15" thickBot="1" x14ac:dyDescent="0.35">
      <c r="B4" s="217"/>
      <c r="C4" s="217"/>
      <c r="D4" s="381" t="s">
        <v>376</v>
      </c>
      <c r="E4" s="381"/>
      <c r="F4" s="381"/>
      <c r="G4" s="381"/>
      <c r="H4" s="381"/>
      <c r="I4" s="381"/>
      <c r="J4" s="217"/>
      <c r="K4" s="381" t="s">
        <v>377</v>
      </c>
      <c r="L4" s="381"/>
      <c r="M4" s="381"/>
      <c r="N4" s="217"/>
      <c r="O4" s="381" t="s">
        <v>378</v>
      </c>
      <c r="P4" s="381"/>
      <c r="Q4" s="381"/>
    </row>
    <row r="5" spans="2:17" x14ac:dyDescent="0.3">
      <c r="B5" s="217"/>
      <c r="C5" s="217"/>
      <c r="D5" s="217"/>
      <c r="E5" s="217"/>
      <c r="F5" s="217"/>
      <c r="G5" s="217"/>
      <c r="H5" s="217"/>
      <c r="I5" s="217"/>
      <c r="J5" s="217"/>
      <c r="K5" s="217"/>
      <c r="L5" s="217"/>
      <c r="M5" s="217"/>
      <c r="N5" s="217"/>
      <c r="O5" s="217"/>
      <c r="P5" s="217"/>
      <c r="Q5" s="217"/>
    </row>
    <row r="6" spans="2:17" x14ac:dyDescent="0.3">
      <c r="B6" s="217"/>
      <c r="C6" s="217"/>
      <c r="D6" s="218"/>
      <c r="E6" s="218" t="s">
        <v>381</v>
      </c>
      <c r="F6" s="218" t="s">
        <v>381</v>
      </c>
      <c r="G6" s="218" t="s">
        <v>209</v>
      </c>
      <c r="H6" s="218"/>
      <c r="I6" s="218" t="s">
        <v>385</v>
      </c>
      <c r="J6" s="217"/>
      <c r="K6" s="217"/>
      <c r="L6" s="217"/>
      <c r="M6" s="217"/>
      <c r="N6" s="217"/>
      <c r="O6" s="217"/>
      <c r="P6" s="217"/>
      <c r="Q6" s="217"/>
    </row>
    <row r="7" spans="2:17" x14ac:dyDescent="0.3">
      <c r="B7" s="219" t="s">
        <v>204</v>
      </c>
      <c r="C7" s="219"/>
      <c r="D7" s="218" t="s">
        <v>379</v>
      </c>
      <c r="E7" s="218" t="s">
        <v>380</v>
      </c>
      <c r="F7" s="218" t="s">
        <v>382</v>
      </c>
      <c r="G7" s="218" t="s">
        <v>384</v>
      </c>
      <c r="H7" s="218" t="s">
        <v>383</v>
      </c>
      <c r="I7" s="218" t="s">
        <v>384</v>
      </c>
      <c r="J7" s="217"/>
      <c r="K7" s="218" t="s">
        <v>386</v>
      </c>
      <c r="L7" s="218" t="s">
        <v>387</v>
      </c>
      <c r="M7" s="218" t="s">
        <v>388</v>
      </c>
      <c r="N7" s="217"/>
      <c r="O7" s="218" t="s">
        <v>389</v>
      </c>
      <c r="P7" s="218" t="s">
        <v>390</v>
      </c>
      <c r="Q7" s="220" t="s">
        <v>391</v>
      </c>
    </row>
    <row r="8" spans="2:17" x14ac:dyDescent="0.3">
      <c r="B8" s="241" t="s">
        <v>226</v>
      </c>
      <c r="C8" s="241"/>
      <c r="D8" s="242"/>
      <c r="E8" s="242">
        <v>4584.3999999999996</v>
      </c>
      <c r="F8" s="242">
        <v>88.78</v>
      </c>
      <c r="G8" s="242">
        <f>F8*E8</f>
        <v>407003.03199999995</v>
      </c>
      <c r="H8" s="242">
        <f>comps_data!F3-comps_data!G3</f>
        <v>28704</v>
      </c>
      <c r="I8" s="242">
        <f>G8+H8</f>
        <v>435707.03199999995</v>
      </c>
      <c r="J8" s="242"/>
      <c r="K8" s="242">
        <f>comps_data!I3</f>
        <v>87584</v>
      </c>
      <c r="L8" s="242">
        <f>comps_data!L3</f>
        <v>8354</v>
      </c>
      <c r="M8" s="242">
        <f>comps_data!K3</f>
        <v>5073</v>
      </c>
      <c r="N8" s="242"/>
      <c r="O8" s="243">
        <f>I8/K8</f>
        <v>4.9747331932773102</v>
      </c>
      <c r="P8" s="243">
        <f>I8/L8</f>
        <v>52.155498204452954</v>
      </c>
      <c r="Q8" s="243">
        <f>G8/M8</f>
        <v>80.229259215454363</v>
      </c>
    </row>
    <row r="9" spans="2:17" x14ac:dyDescent="0.3">
      <c r="B9" s="161" t="s">
        <v>227</v>
      </c>
      <c r="C9" s="161"/>
      <c r="D9" s="164"/>
      <c r="E9" s="164">
        <v>573.54999999999995</v>
      </c>
      <c r="F9" s="164">
        <v>103.27</v>
      </c>
      <c r="G9" s="164">
        <f t="shared" ref="G9:G14" si="0">F9*E9</f>
        <v>59230.508499999996</v>
      </c>
      <c r="H9" s="164">
        <f>comps_data!F4-comps_data!G4</f>
        <v>5256.42</v>
      </c>
      <c r="I9" s="164">
        <f t="shared" ref="I9:I13" si="1">G9+H9</f>
        <v>64486.928499999995</v>
      </c>
      <c r="J9" s="164"/>
      <c r="K9" s="164">
        <f>comps_data!I4</f>
        <v>35742.86</v>
      </c>
      <c r="L9" s="164">
        <f>comps_data!L4</f>
        <v>2699.22</v>
      </c>
      <c r="M9" s="164">
        <f>comps_data!K4</f>
        <v>1350.4</v>
      </c>
      <c r="N9" s="164"/>
      <c r="O9" s="216">
        <f t="shared" ref="O9:O13" si="2">I9/K9</f>
        <v>1.8041905012637487</v>
      </c>
      <c r="P9" s="216">
        <f t="shared" ref="P9:P13" si="3">I9/L9</f>
        <v>23.890949422425738</v>
      </c>
      <c r="Q9" s="216">
        <f t="shared" ref="Q9:Q13" si="4">G9/M9</f>
        <v>43.861454754146912</v>
      </c>
    </row>
    <row r="10" spans="2:17" x14ac:dyDescent="0.3">
      <c r="B10" s="161" t="s">
        <v>228</v>
      </c>
      <c r="C10" s="161"/>
      <c r="D10" s="164"/>
      <c r="E10" s="164">
        <v>6906.5</v>
      </c>
      <c r="F10" s="164">
        <v>3.11</v>
      </c>
      <c r="G10" s="164">
        <f t="shared" si="0"/>
        <v>21479.215</v>
      </c>
      <c r="H10" s="164">
        <f>comps_data!F5-comps_data!G5</f>
        <v>531.98</v>
      </c>
      <c r="I10" s="164">
        <f t="shared" si="1"/>
        <v>22011.195</v>
      </c>
      <c r="J10" s="164"/>
      <c r="K10" s="164">
        <f>comps_data!I5</f>
        <v>8499.33</v>
      </c>
      <c r="L10" s="164">
        <f>comps_data!L5</f>
        <v>579.12</v>
      </c>
      <c r="M10" s="164">
        <f>comps_data!K5</f>
        <v>351.65</v>
      </c>
      <c r="N10" s="164"/>
      <c r="O10" s="216">
        <f t="shared" si="2"/>
        <v>2.589756486687774</v>
      </c>
      <c r="P10" s="216">
        <f t="shared" si="3"/>
        <v>38.008003522585994</v>
      </c>
      <c r="Q10" s="216">
        <f t="shared" si="4"/>
        <v>61.08123133797811</v>
      </c>
    </row>
    <row r="11" spans="2:17" x14ac:dyDescent="0.3">
      <c r="B11" s="161" t="s">
        <v>392</v>
      </c>
      <c r="C11" s="161"/>
      <c r="D11" s="164"/>
      <c r="E11" s="164">
        <v>772.4</v>
      </c>
      <c r="F11" s="164">
        <v>15.24</v>
      </c>
      <c r="G11" s="164">
        <f t="shared" si="0"/>
        <v>11771.376</v>
      </c>
      <c r="H11" s="164">
        <f>comps_data!F6-comps_data!G6</f>
        <v>1187.4199999999998</v>
      </c>
      <c r="I11" s="164">
        <f t="shared" si="1"/>
        <v>12958.796</v>
      </c>
      <c r="J11" s="164"/>
      <c r="K11" s="164">
        <f>comps_data!I6</f>
        <v>2680.6</v>
      </c>
      <c r="L11" s="164">
        <f>comps_data!L6</f>
        <v>433.52</v>
      </c>
      <c r="M11" s="164">
        <f>comps_data!K6</f>
        <v>53.89</v>
      </c>
      <c r="N11" s="164"/>
      <c r="O11" s="216">
        <f t="shared" si="2"/>
        <v>4.8342893382078644</v>
      </c>
      <c r="P11" s="216">
        <f t="shared" si="3"/>
        <v>29.892037276250232</v>
      </c>
      <c r="Q11" s="216">
        <f t="shared" si="4"/>
        <v>218.43340137316756</v>
      </c>
    </row>
    <row r="12" spans="2:17" x14ac:dyDescent="0.3">
      <c r="B12" s="161" t="s">
        <v>393</v>
      </c>
      <c r="C12" s="161"/>
      <c r="D12" s="164"/>
      <c r="E12" s="164">
        <v>653.70000000000005</v>
      </c>
      <c r="F12" s="164">
        <v>15.49</v>
      </c>
      <c r="G12" s="164">
        <f t="shared" si="0"/>
        <v>10125.813</v>
      </c>
      <c r="H12" s="164">
        <f>comps_data!F7-comps_data!G7</f>
        <v>633.67000000000007</v>
      </c>
      <c r="I12" s="164">
        <f t="shared" si="1"/>
        <v>10759.483</v>
      </c>
      <c r="J12" s="164"/>
      <c r="K12" s="164">
        <f>comps_data!I7</f>
        <v>6294.89</v>
      </c>
      <c r="L12" s="164">
        <f>comps_data!L7</f>
        <v>470.75</v>
      </c>
      <c r="M12" s="164">
        <f>comps_data!K7</f>
        <v>281.83</v>
      </c>
      <c r="N12" s="164"/>
      <c r="O12" s="216">
        <f t="shared" si="2"/>
        <v>1.7092408286721452</v>
      </c>
      <c r="P12" s="216">
        <f t="shared" si="3"/>
        <v>22.856044609665428</v>
      </c>
      <c r="Q12" s="216">
        <f t="shared" si="4"/>
        <v>35.92879750204024</v>
      </c>
    </row>
    <row r="13" spans="2:17" x14ac:dyDescent="0.3">
      <c r="B13" s="161" t="s">
        <v>394</v>
      </c>
      <c r="C13" s="161"/>
      <c r="D13" s="164"/>
      <c r="E13" s="164">
        <v>9.2799999999999994</v>
      </c>
      <c r="F13" s="164">
        <v>971.05</v>
      </c>
      <c r="G13" s="164">
        <f t="shared" si="0"/>
        <v>9011.3439999999991</v>
      </c>
      <c r="H13" s="164">
        <f>comps_data!F8-comps_data!G8</f>
        <v>1030.3899999999999</v>
      </c>
      <c r="I13" s="164">
        <f t="shared" si="1"/>
        <v>10041.733999999999</v>
      </c>
      <c r="J13" s="164"/>
      <c r="K13" s="164">
        <f>comps_data!I8</f>
        <v>3352.88</v>
      </c>
      <c r="L13" s="164">
        <f>comps_data!L8</f>
        <v>867.84</v>
      </c>
      <c r="M13" s="164">
        <f>comps_data!K8</f>
        <v>714.46</v>
      </c>
      <c r="N13" s="164"/>
      <c r="O13" s="216">
        <f t="shared" si="2"/>
        <v>2.9949577676504968</v>
      </c>
      <c r="P13" s="216">
        <f t="shared" si="3"/>
        <v>11.570950866519173</v>
      </c>
      <c r="Q13" s="216">
        <f t="shared" si="4"/>
        <v>12.612804075805501</v>
      </c>
    </row>
    <row r="14" spans="2:17" x14ac:dyDescent="0.3">
      <c r="B14" s="161" t="s">
        <v>395</v>
      </c>
      <c r="C14" s="161"/>
      <c r="D14" s="164"/>
      <c r="E14" s="164">
        <v>647</v>
      </c>
      <c r="F14" s="164">
        <v>13.57</v>
      </c>
      <c r="G14" s="164">
        <f t="shared" si="0"/>
        <v>8779.7900000000009</v>
      </c>
      <c r="H14" s="164">
        <f>comps_data!F9-comps_data!G9</f>
        <v>1232.6399999999999</v>
      </c>
      <c r="I14" s="164">
        <f>G14+H14</f>
        <v>10012.43</v>
      </c>
      <c r="J14" s="164"/>
      <c r="K14" s="164">
        <f>comps_data!I9</f>
        <v>10739.1</v>
      </c>
      <c r="L14" s="164">
        <f>comps_data!L9</f>
        <v>704.02</v>
      </c>
      <c r="M14" s="164">
        <f>comps_data!K9</f>
        <v>409.82</v>
      </c>
      <c r="N14" s="164"/>
      <c r="O14" s="216">
        <f>I14/K14</f>
        <v>0.93233418070415586</v>
      </c>
      <c r="P14" s="216">
        <f>I14/L14</f>
        <v>14.221797676202382</v>
      </c>
      <c r="Q14" s="216">
        <f>G14/M14</f>
        <v>21.423527402274171</v>
      </c>
    </row>
    <row r="15" spans="2:17" x14ac:dyDescent="0.3">
      <c r="B15" s="161"/>
      <c r="C15" s="161"/>
      <c r="D15" s="161"/>
      <c r="E15" s="161"/>
      <c r="F15" s="161"/>
      <c r="G15" s="161"/>
      <c r="H15" s="161"/>
      <c r="I15" s="161"/>
      <c r="J15" s="161"/>
      <c r="K15" s="161"/>
      <c r="L15" s="161"/>
      <c r="M15" s="161"/>
      <c r="N15" s="161"/>
      <c r="O15" s="161"/>
      <c r="P15" s="161"/>
      <c r="Q15" s="161"/>
    </row>
    <row r="16" spans="2:17" x14ac:dyDescent="0.3">
      <c r="B16" s="237" t="s">
        <v>396</v>
      </c>
      <c r="C16" s="237"/>
      <c r="D16" s="237"/>
      <c r="E16" s="237"/>
      <c r="F16" s="237"/>
      <c r="G16" s="237"/>
      <c r="H16" s="237"/>
      <c r="I16" s="237"/>
      <c r="J16" s="237"/>
      <c r="K16" s="237"/>
      <c r="L16" s="237"/>
      <c r="M16" s="237"/>
      <c r="N16" s="237"/>
      <c r="O16" s="238">
        <f>MAX(O8:O14)</f>
        <v>4.9747331932773102</v>
      </c>
      <c r="P16" s="238">
        <f t="shared" ref="P16:Q16" si="5">MAX(P8:P14)</f>
        <v>52.155498204452954</v>
      </c>
      <c r="Q16" s="238">
        <f t="shared" si="5"/>
        <v>218.43340137316756</v>
      </c>
    </row>
    <row r="17" spans="2:17" x14ac:dyDescent="0.3">
      <c r="B17" s="237" t="s">
        <v>397</v>
      </c>
      <c r="C17" s="237"/>
      <c r="D17" s="237"/>
      <c r="E17" s="237"/>
      <c r="F17" s="237"/>
      <c r="G17" s="237"/>
      <c r="H17" s="237"/>
      <c r="I17" s="237"/>
      <c r="J17" s="237"/>
      <c r="K17" s="237"/>
      <c r="L17" s="237"/>
      <c r="M17" s="237"/>
      <c r="N17" s="237"/>
      <c r="O17" s="238">
        <f>QUARTILE(O8:O14,3)</f>
        <v>3.9146235529291804</v>
      </c>
      <c r="P17" s="238">
        <f t="shared" ref="P17:Q17" si="6">QUARTILE(P8:P14,3)</f>
        <v>33.950020399418115</v>
      </c>
      <c r="Q17" s="238">
        <f t="shared" si="6"/>
        <v>70.655245276716244</v>
      </c>
    </row>
    <row r="18" spans="2:17" x14ac:dyDescent="0.3">
      <c r="B18" s="239" t="s">
        <v>80</v>
      </c>
      <c r="C18" s="239"/>
      <c r="D18" s="239"/>
      <c r="E18" s="239"/>
      <c r="F18" s="239"/>
      <c r="G18" s="239"/>
      <c r="H18" s="239"/>
      <c r="I18" s="239"/>
      <c r="J18" s="239"/>
      <c r="K18" s="239"/>
      <c r="L18" s="239"/>
      <c r="M18" s="239"/>
      <c r="N18" s="239"/>
      <c r="O18" s="240">
        <f>AVERAGE(O8:O14)</f>
        <v>2.8342146137804991</v>
      </c>
      <c r="P18" s="240">
        <f t="shared" ref="P18:Q18" si="7">AVERAGE(P8:P14)</f>
        <v>27.513611654014557</v>
      </c>
      <c r="Q18" s="240">
        <f t="shared" si="7"/>
        <v>67.652925094409554</v>
      </c>
    </row>
    <row r="19" spans="2:17" x14ac:dyDescent="0.3">
      <c r="B19" s="239" t="s">
        <v>81</v>
      </c>
      <c r="C19" s="239"/>
      <c r="D19" s="239"/>
      <c r="E19" s="239"/>
      <c r="F19" s="239"/>
      <c r="G19" s="239"/>
      <c r="H19" s="239"/>
      <c r="I19" s="239"/>
      <c r="J19" s="239"/>
      <c r="K19" s="239"/>
      <c r="L19" s="239"/>
      <c r="M19" s="239"/>
      <c r="N19" s="239"/>
      <c r="O19" s="240">
        <f>MEDIAN(O8:O14)</f>
        <v>2.589756486687774</v>
      </c>
      <c r="P19" s="240">
        <f t="shared" ref="P19:Q19" si="8">MEDIAN(P8:P14)</f>
        <v>23.890949422425738</v>
      </c>
      <c r="Q19" s="240">
        <f t="shared" si="8"/>
        <v>43.861454754146912</v>
      </c>
    </row>
    <row r="20" spans="2:17" x14ac:dyDescent="0.3">
      <c r="B20" s="237" t="s">
        <v>398</v>
      </c>
      <c r="C20" s="237"/>
      <c r="D20" s="237"/>
      <c r="E20" s="237"/>
      <c r="F20" s="237"/>
      <c r="G20" s="237"/>
      <c r="H20" s="237"/>
      <c r="I20" s="237"/>
      <c r="J20" s="237"/>
      <c r="K20" s="237"/>
      <c r="L20" s="237"/>
      <c r="M20" s="237"/>
      <c r="N20" s="237"/>
      <c r="O20" s="238">
        <f>QUARTILE(O8:O14,1)</f>
        <v>1.756715664967947</v>
      </c>
      <c r="P20" s="238">
        <f t="shared" ref="P20:Q20" si="9">QUARTILE(P8:P14,1)</f>
        <v>18.538921142933905</v>
      </c>
      <c r="Q20" s="238">
        <f t="shared" si="9"/>
        <v>28.676162452157207</v>
      </c>
    </row>
    <row r="21" spans="2:17" x14ac:dyDescent="0.3">
      <c r="B21" s="237" t="s">
        <v>399</v>
      </c>
      <c r="C21" s="237"/>
      <c r="D21" s="237"/>
      <c r="E21" s="237"/>
      <c r="F21" s="237"/>
      <c r="G21" s="237"/>
      <c r="H21" s="237"/>
      <c r="I21" s="237"/>
      <c r="J21" s="237"/>
      <c r="K21" s="237"/>
      <c r="L21" s="237"/>
      <c r="M21" s="237"/>
      <c r="N21" s="237"/>
      <c r="O21" s="238">
        <f>MIN(O8:O14)</f>
        <v>0.93233418070415586</v>
      </c>
      <c r="P21" s="238">
        <f t="shared" ref="P21:Q21" si="10">MIN(P8:P14)</f>
        <v>11.570950866519173</v>
      </c>
      <c r="Q21" s="238">
        <f t="shared" si="10"/>
        <v>12.612804075805501</v>
      </c>
    </row>
    <row r="23" spans="2:17" ht="18" x14ac:dyDescent="0.35">
      <c r="B23" s="221" t="s">
        <v>405</v>
      </c>
      <c r="C23" s="219"/>
      <c r="D23" s="219"/>
      <c r="E23" s="219"/>
      <c r="F23" s="219"/>
      <c r="G23" s="219"/>
      <c r="H23" s="219"/>
      <c r="I23" s="219"/>
      <c r="J23" s="219"/>
      <c r="K23" s="219"/>
      <c r="L23" s="219"/>
      <c r="M23" s="219"/>
      <c r="N23" s="219"/>
      <c r="O23" s="222" t="s">
        <v>389</v>
      </c>
      <c r="P23" s="222" t="s">
        <v>390</v>
      </c>
      <c r="Q23" s="223" t="s">
        <v>391</v>
      </c>
    </row>
    <row r="25" spans="2:17" x14ac:dyDescent="0.3">
      <c r="B25" s="161" t="s">
        <v>400</v>
      </c>
      <c r="C25" s="161"/>
      <c r="D25" s="161"/>
      <c r="E25" s="161"/>
      <c r="F25" s="161"/>
      <c r="G25" s="161"/>
      <c r="H25" s="161"/>
      <c r="I25" s="161"/>
      <c r="J25" s="161"/>
      <c r="K25" s="161"/>
      <c r="L25" s="161"/>
      <c r="M25" s="161"/>
      <c r="N25" s="161"/>
      <c r="O25" s="164">
        <f>K8*O19</f>
        <v>226821.23213006201</v>
      </c>
      <c r="P25" s="164">
        <f>L8*P19</f>
        <v>199584.9914749446</v>
      </c>
      <c r="Q25" s="164">
        <f>Q27+Q26</f>
        <v>251213.15996778727</v>
      </c>
    </row>
    <row r="26" spans="2:17" x14ac:dyDescent="0.3">
      <c r="B26" s="161" t="s">
        <v>401</v>
      </c>
      <c r="C26" s="161"/>
      <c r="D26" s="161"/>
      <c r="E26" s="161"/>
      <c r="F26" s="161"/>
      <c r="G26" s="161"/>
      <c r="H26" s="161"/>
      <c r="I26" s="161"/>
      <c r="J26" s="161"/>
      <c r="K26" s="161"/>
      <c r="L26" s="161"/>
      <c r="M26" s="161"/>
      <c r="N26" s="161"/>
      <c r="O26" s="164">
        <f>$H$8</f>
        <v>28704</v>
      </c>
      <c r="P26" s="164">
        <f t="shared" ref="P26:Q26" si="11">$H$8</f>
        <v>28704</v>
      </c>
      <c r="Q26" s="164">
        <f t="shared" si="11"/>
        <v>28704</v>
      </c>
    </row>
    <row r="27" spans="2:17" x14ac:dyDescent="0.3">
      <c r="B27" s="161" t="s">
        <v>402</v>
      </c>
      <c r="C27" s="161"/>
      <c r="D27" s="161"/>
      <c r="E27" s="161"/>
      <c r="F27" s="161"/>
      <c r="G27" s="161"/>
      <c r="H27" s="161"/>
      <c r="I27" s="161"/>
      <c r="J27" s="161"/>
      <c r="K27" s="161"/>
      <c r="L27" s="161"/>
      <c r="M27" s="161"/>
      <c r="N27" s="161"/>
      <c r="O27" s="164">
        <f>O25-O26</f>
        <v>198117.23213006201</v>
      </c>
      <c r="P27" s="164">
        <f>P25-P26</f>
        <v>170880.9914749446</v>
      </c>
      <c r="Q27" s="164">
        <f>M8*Q19</f>
        <v>222509.15996778727</v>
      </c>
    </row>
    <row r="28" spans="2:17" ht="15" thickBot="1" x14ac:dyDescent="0.35">
      <c r="B28" t="s">
        <v>403</v>
      </c>
      <c r="O28" s="10">
        <f>$F$8</f>
        <v>88.78</v>
      </c>
      <c r="P28" s="10">
        <f t="shared" ref="P28:Q28" si="12">$F$8</f>
        <v>88.78</v>
      </c>
      <c r="Q28" s="10">
        <f t="shared" si="12"/>
        <v>88.78</v>
      </c>
    </row>
    <row r="29" spans="2:17" ht="15" thickBot="1" x14ac:dyDescent="0.35">
      <c r="B29" s="244" t="s">
        <v>404</v>
      </c>
      <c r="C29" s="245"/>
      <c r="D29" s="245"/>
      <c r="E29" s="245"/>
      <c r="F29" s="245"/>
      <c r="G29" s="245"/>
      <c r="H29" s="245"/>
      <c r="I29" s="245"/>
      <c r="J29" s="245"/>
      <c r="K29" s="245"/>
      <c r="L29" s="245"/>
      <c r="M29" s="245"/>
      <c r="N29" s="245"/>
      <c r="O29" s="246">
        <f>O27/O28</f>
        <v>2231.5525132919802</v>
      </c>
      <c r="P29" s="246">
        <f t="shared" ref="P29:Q29" si="13">P27/P28</f>
        <v>1924.7689961133656</v>
      </c>
      <c r="Q29" s="246">
        <f t="shared" si="13"/>
        <v>2506.2982650122467</v>
      </c>
    </row>
    <row r="30" spans="2:17" ht="15.6" thickTop="1" thickBot="1" x14ac:dyDescent="0.35"/>
    <row r="31" spans="2:17" ht="15.6" thickTop="1" thickBot="1" x14ac:dyDescent="0.35">
      <c r="O31" s="247" t="str">
        <f>IF(O29&gt;$E$8,"Undervalued","Overvalued")</f>
        <v>Overvalued</v>
      </c>
      <c r="P31" s="247" t="str">
        <f t="shared" ref="P31:Q31" si="14">IF(P29&gt;$E$8,"Undervalued","Overvalued")</f>
        <v>Overvalued</v>
      </c>
      <c r="Q31" s="247" t="str">
        <f t="shared" si="14"/>
        <v>Overvalued</v>
      </c>
    </row>
    <row r="32" spans="2:17" ht="15" thickTop="1" x14ac:dyDescent="0.3"/>
    <row r="33" spans="2:17" ht="10.199999999999999" customHeight="1" x14ac:dyDescent="0.3">
      <c r="B33" s="72"/>
      <c r="C33" s="72"/>
      <c r="D33" s="72"/>
      <c r="E33" s="72"/>
      <c r="F33" s="72"/>
      <c r="G33" s="72"/>
      <c r="H33" s="72"/>
      <c r="I33" s="72"/>
      <c r="J33" s="72"/>
      <c r="K33" s="72"/>
      <c r="L33" s="72"/>
      <c r="M33" s="72"/>
      <c r="N33" s="72"/>
      <c r="O33" s="72"/>
      <c r="P33" s="72"/>
      <c r="Q33" s="72"/>
    </row>
  </sheetData>
  <mergeCells count="3">
    <mergeCell ref="D4:I4"/>
    <mergeCell ref="K4:M4"/>
    <mergeCell ref="O4:Q4"/>
  </mergeCells>
  <pageMargins left="0.7" right="0.7" top="0.75" bottom="0.75" header="0.3" footer="0.3"/>
  <pageSetup scale="54"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68274-6D7E-45EF-94A9-FEF1E8E43DA2}">
  <sheetPr>
    <tabColor rgb="FF33CCCC"/>
  </sheetPr>
  <dimension ref="B2:K31"/>
  <sheetViews>
    <sheetView showGridLines="0" zoomScale="66" zoomScaleNormal="66" workbookViewId="0">
      <selection activeCell="C3" sqref="C3"/>
    </sheetView>
  </sheetViews>
  <sheetFormatPr defaultRowHeight="14.4" x14ac:dyDescent="0.3"/>
  <cols>
    <col min="1" max="1" width="1.88671875" customWidth="1"/>
    <col min="5" max="5" width="9.44140625" customWidth="1"/>
    <col min="6" max="6" width="11.109375" customWidth="1"/>
    <col min="7" max="7" width="9.21875" customWidth="1"/>
    <col min="13" max="13" width="5" customWidth="1"/>
  </cols>
  <sheetData>
    <row r="2" spans="2:9" ht="18" x14ac:dyDescent="0.35">
      <c r="B2" s="362" t="str">
        <f>"Football Field Valuation Summary"&amp;" - "&amp;'Data Sheet'!B1</f>
        <v>Football Field Valuation Summary - TITAN COMPANY LTD</v>
      </c>
      <c r="C2" s="362"/>
      <c r="D2" s="362"/>
      <c r="E2" s="362"/>
      <c r="F2" s="362"/>
      <c r="G2" s="362"/>
      <c r="H2" s="362"/>
      <c r="I2" s="362"/>
    </row>
    <row r="3" spans="2:9" ht="15" thickBot="1" x14ac:dyDescent="0.35"/>
    <row r="4" spans="2:9" x14ac:dyDescent="0.3">
      <c r="B4" s="382" t="s">
        <v>413</v>
      </c>
      <c r="C4" s="383"/>
      <c r="D4" s="383"/>
      <c r="E4" s="383"/>
      <c r="F4" s="383"/>
      <c r="G4" s="384"/>
    </row>
    <row r="5" spans="2:9" x14ac:dyDescent="0.3">
      <c r="B5" s="248"/>
      <c r="D5" s="108" t="s">
        <v>411</v>
      </c>
      <c r="E5" s="108" t="s">
        <v>399</v>
      </c>
      <c r="F5" s="108" t="s">
        <v>412</v>
      </c>
      <c r="G5" s="249" t="s">
        <v>396</v>
      </c>
    </row>
    <row r="6" spans="2:9" x14ac:dyDescent="0.3">
      <c r="B6" s="248" t="s">
        <v>406</v>
      </c>
      <c r="D6" s="253">
        <f>E6</f>
        <v>2231.5525132919802</v>
      </c>
      <c r="E6" s="253">
        <f>Comps_Valuation!O29</f>
        <v>2231.5525132919802</v>
      </c>
      <c r="F6" s="253">
        <f>G6</f>
        <v>2506.2982650122467</v>
      </c>
      <c r="G6" s="250">
        <f>Comps_Valuation!Q29</f>
        <v>2506.2982650122467</v>
      </c>
    </row>
    <row r="7" spans="2:9" x14ac:dyDescent="0.3">
      <c r="B7" s="248" t="s">
        <v>407</v>
      </c>
      <c r="D7" s="253">
        <f t="shared" ref="D7:D10" si="0">E7</f>
        <v>274.42340802264903</v>
      </c>
      <c r="E7" s="253">
        <f>DCF!M27</f>
        <v>274.42340802264903</v>
      </c>
      <c r="F7" s="253">
        <f t="shared" ref="F7:F10" si="1">G7</f>
        <v>575.06282423752873</v>
      </c>
      <c r="G7" s="250">
        <f>DCF!M31</f>
        <v>575.06282423752873</v>
      </c>
    </row>
    <row r="8" spans="2:9" x14ac:dyDescent="0.3">
      <c r="B8" s="248" t="s">
        <v>408</v>
      </c>
      <c r="D8" s="253">
        <f t="shared" si="0"/>
        <v>483.69541634655718</v>
      </c>
      <c r="E8" s="253">
        <f>DCF!J27</f>
        <v>483.69541634655718</v>
      </c>
      <c r="F8" s="253">
        <f t="shared" si="1"/>
        <v>1243.8477678925933</v>
      </c>
      <c r="G8" s="250">
        <f>DCF!J31</f>
        <v>1243.8477678925933</v>
      </c>
    </row>
    <row r="9" spans="2:9" x14ac:dyDescent="0.3">
      <c r="B9" s="248" t="s">
        <v>409</v>
      </c>
      <c r="D9" s="253">
        <f t="shared" si="0"/>
        <v>712.85589000268214</v>
      </c>
      <c r="E9" s="253">
        <f>DCF!H27</f>
        <v>712.85589000268214</v>
      </c>
      <c r="F9" s="253">
        <f t="shared" si="1"/>
        <v>2641.9588107148279</v>
      </c>
      <c r="G9" s="250">
        <f>DCF!H31</f>
        <v>2641.9588107148279</v>
      </c>
    </row>
    <row r="10" spans="2:9" ht="15" thickBot="1" x14ac:dyDescent="0.35">
      <c r="B10" s="251" t="s">
        <v>410</v>
      </c>
      <c r="C10" s="115"/>
      <c r="D10" s="252">
        <f t="shared" si="0"/>
        <v>3303.1</v>
      </c>
      <c r="E10" s="252">
        <v>3303.1</v>
      </c>
      <c r="F10" s="252">
        <f t="shared" si="1"/>
        <v>4679.8</v>
      </c>
      <c r="G10" s="254">
        <v>4679.8</v>
      </c>
    </row>
    <row r="31" spans="11:11" x14ac:dyDescent="0.3">
      <c r="K31" s="79"/>
    </row>
  </sheetData>
  <mergeCells count="2">
    <mergeCell ref="B4:G4"/>
    <mergeCell ref="B2:I2"/>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A6FA1-0412-4CF4-9E90-EBA0C2651CD5}">
  <sheetPr>
    <tabColor rgb="FF33CCCC"/>
  </sheetPr>
  <dimension ref="B2:K6804"/>
  <sheetViews>
    <sheetView showGridLines="0" zoomScale="66" zoomScaleNormal="66" zoomScaleSheetLayoutView="40" workbookViewId="0">
      <selection activeCell="I41" sqref="I41"/>
    </sheetView>
  </sheetViews>
  <sheetFormatPr defaultRowHeight="14.4" x14ac:dyDescent="0.3"/>
  <cols>
    <col min="1" max="1" width="1.88671875" customWidth="1"/>
    <col min="2" max="2" width="10.33203125" style="231" bestFit="1" customWidth="1"/>
    <col min="3" max="3" width="9.5546875" customWidth="1"/>
    <col min="4" max="4" width="11.6640625" customWidth="1"/>
    <col min="5" max="5" width="14.6640625" customWidth="1"/>
    <col min="6" max="6" width="2.88671875" customWidth="1"/>
    <col min="7" max="11" width="14.33203125" customWidth="1"/>
    <col min="13" max="13" width="5" customWidth="1"/>
  </cols>
  <sheetData>
    <row r="2" spans="2:11" x14ac:dyDescent="0.3">
      <c r="B2" s="255" t="s">
        <v>249</v>
      </c>
      <c r="C2" s="100" t="s">
        <v>250</v>
      </c>
      <c r="D2" s="100" t="s">
        <v>415</v>
      </c>
      <c r="E2" s="101" t="s">
        <v>416</v>
      </c>
      <c r="G2" s="375" t="s">
        <v>417</v>
      </c>
      <c r="H2" s="376"/>
      <c r="I2" s="376"/>
      <c r="J2" s="376"/>
      <c r="K2" s="377"/>
    </row>
    <row r="3" spans="2:11" x14ac:dyDescent="0.3">
      <c r="B3" s="102">
        <v>46213.645833333336</v>
      </c>
      <c r="C3" s="108">
        <v>4584.3999999999996</v>
      </c>
      <c r="D3" s="261">
        <f t="shared" ref="D3:D66" si="0">(C3-C4)/C4</f>
        <v>6.2777119276525425E-3</v>
      </c>
      <c r="E3" s="259">
        <v>0.10602286219821656</v>
      </c>
      <c r="G3" s="111"/>
      <c r="K3" s="103"/>
    </row>
    <row r="4" spans="2:11" x14ac:dyDescent="0.3">
      <c r="B4" s="102">
        <v>46212.645833333336</v>
      </c>
      <c r="C4" s="108">
        <v>4555.8</v>
      </c>
      <c r="D4" s="261">
        <f t="shared" si="0"/>
        <v>-6.6718995290422677E-3</v>
      </c>
      <c r="E4" s="259">
        <v>6.7154802651531564E-2</v>
      </c>
      <c r="G4" s="275" t="s">
        <v>418</v>
      </c>
      <c r="H4" s="161"/>
      <c r="I4" s="161"/>
      <c r="J4" s="161"/>
      <c r="K4" s="263">
        <f>AVERAGE(E3:E1360)</f>
        <v>9.1471442340845214E-4</v>
      </c>
    </row>
    <row r="5" spans="2:11" x14ac:dyDescent="0.3">
      <c r="B5" s="102">
        <v>46211.645833333336</v>
      </c>
      <c r="C5" s="108">
        <v>4586.3999999999996</v>
      </c>
      <c r="D5" s="261">
        <f t="shared" si="0"/>
        <v>-3.8660353590200649E-3</v>
      </c>
      <c r="E5" s="259">
        <v>6.6532130920098381E-2</v>
      </c>
      <c r="G5" s="275" t="s">
        <v>428</v>
      </c>
      <c r="H5" s="161"/>
      <c r="I5" s="161"/>
      <c r="J5" s="161"/>
      <c r="K5" s="263">
        <f>STDEV(E3:E1360)</f>
        <v>1.5523116436329844E-2</v>
      </c>
    </row>
    <row r="6" spans="2:11" x14ac:dyDescent="0.3">
      <c r="B6" s="102">
        <v>46210.645833333336</v>
      </c>
      <c r="C6" s="108">
        <v>4604.2</v>
      </c>
      <c r="D6" s="261">
        <f t="shared" si="0"/>
        <v>2.6714833645526757E-2</v>
      </c>
      <c r="E6" s="259">
        <v>6.5264484014195975E-2</v>
      </c>
      <c r="G6" s="275" t="s">
        <v>420</v>
      </c>
      <c r="H6" s="161"/>
      <c r="I6" s="161"/>
      <c r="J6" s="161"/>
      <c r="K6" s="263">
        <f>MIN(E3:E1360)</f>
        <v>-7.1804521916296438E-2</v>
      </c>
    </row>
    <row r="7" spans="2:11" x14ac:dyDescent="0.3">
      <c r="B7" s="102">
        <v>46209.645833333336</v>
      </c>
      <c r="C7" s="108">
        <v>4484.3999999999996</v>
      </c>
      <c r="D7" s="261">
        <f t="shared" si="0"/>
        <v>5.2229270807646706E-3</v>
      </c>
      <c r="E7" s="259">
        <v>6.19061126081406E-2</v>
      </c>
      <c r="G7" s="275" t="s">
        <v>421</v>
      </c>
      <c r="H7" s="161"/>
      <c r="I7" s="161"/>
      <c r="J7" s="161"/>
      <c r="K7" s="263">
        <f>MAX(E3:E1360)</f>
        <v>0.10602286219821656</v>
      </c>
    </row>
    <row r="8" spans="2:11" x14ac:dyDescent="0.3">
      <c r="B8" s="102">
        <v>46206.645833333336</v>
      </c>
      <c r="C8" s="108">
        <v>4461.1000000000004</v>
      </c>
      <c r="D8" s="261">
        <f t="shared" si="0"/>
        <v>-4.4631898417799194E-3</v>
      </c>
      <c r="E8" s="259">
        <v>5.9336289952592068E-2</v>
      </c>
      <c r="G8" s="275" t="s">
        <v>422</v>
      </c>
      <c r="H8" s="161"/>
      <c r="I8" s="161"/>
      <c r="J8" s="161"/>
      <c r="K8" s="264">
        <f>'Data Sheet'!$B$8</f>
        <v>4584.3999999999996</v>
      </c>
    </row>
    <row r="9" spans="2:11" x14ac:dyDescent="0.3">
      <c r="B9" s="102">
        <v>46205.645833333336</v>
      </c>
      <c r="C9" s="108">
        <v>4481.1000000000004</v>
      </c>
      <c r="D9" s="261">
        <f t="shared" si="0"/>
        <v>1.8755967807938888E-2</v>
      </c>
      <c r="E9" s="259">
        <v>5.7206224037175249E-2</v>
      </c>
      <c r="G9" s="111"/>
      <c r="K9" s="103"/>
    </row>
    <row r="10" spans="2:11" x14ac:dyDescent="0.3">
      <c r="B10" s="102">
        <v>46204.645833333336</v>
      </c>
      <c r="C10" s="108">
        <v>4398.6000000000004</v>
      </c>
      <c r="D10" s="261">
        <f t="shared" si="0"/>
        <v>-1.2261580381470565E-3</v>
      </c>
      <c r="E10" s="259">
        <v>5.6591591964440933E-2</v>
      </c>
      <c r="G10" s="265" t="s">
        <v>423</v>
      </c>
      <c r="H10" s="256" t="s">
        <v>424</v>
      </c>
      <c r="I10" s="256" t="s">
        <v>425</v>
      </c>
      <c r="J10" s="256" t="s">
        <v>426</v>
      </c>
      <c r="K10" s="266" t="s">
        <v>427</v>
      </c>
    </row>
    <row r="11" spans="2:11" x14ac:dyDescent="0.3">
      <c r="B11" s="102">
        <v>46203.645833333336</v>
      </c>
      <c r="C11" s="108">
        <v>4404</v>
      </c>
      <c r="D11" s="261">
        <f t="shared" si="0"/>
        <v>2.964556251753488E-2</v>
      </c>
      <c r="E11" s="259">
        <v>5.5113443955299615E-2</v>
      </c>
      <c r="G11" s="111"/>
      <c r="K11" s="103"/>
    </row>
    <row r="12" spans="2:11" x14ac:dyDescent="0.3">
      <c r="B12" s="102">
        <v>46202.645833333336</v>
      </c>
      <c r="C12" s="108">
        <v>4277.2</v>
      </c>
      <c r="D12" s="261">
        <f t="shared" si="0"/>
        <v>-3.285717614708914E-3</v>
      </c>
      <c r="E12" s="259">
        <v>5.3088300518734248E-2</v>
      </c>
      <c r="G12" s="267">
        <v>0.05</v>
      </c>
      <c r="H12" s="194">
        <f>100%-G12</f>
        <v>0.95</v>
      </c>
      <c r="I12" s="257">
        <f>_xlfn.PERCENTILE.INC($E$3:$E$1360,H12)</f>
        <v>2.5997170676596675E-2</v>
      </c>
      <c r="J12" s="258">
        <f>$K$8*(1-G12)</f>
        <v>4355.1799999999994</v>
      </c>
      <c r="K12" s="268">
        <f>$K$8-J12</f>
        <v>229.22000000000025</v>
      </c>
    </row>
    <row r="13" spans="2:11" x14ac:dyDescent="0.3">
      <c r="B13" s="102">
        <v>46198.645833333336</v>
      </c>
      <c r="C13" s="108">
        <v>4291.3</v>
      </c>
      <c r="D13" s="261">
        <f t="shared" si="0"/>
        <v>-7.5165363800360789E-3</v>
      </c>
      <c r="E13" s="259">
        <v>4.9646380048390233E-2</v>
      </c>
      <c r="G13" s="267">
        <v>0.01</v>
      </c>
      <c r="H13" s="194">
        <f t="shared" ref="H13:H14" si="1">100%-G13</f>
        <v>0.99</v>
      </c>
      <c r="I13" s="257">
        <f t="shared" ref="I13" si="2">_xlfn.PERCENTILE.INC($E$3:$E$1360,H13)</f>
        <v>4.3840830913999006E-2</v>
      </c>
      <c r="J13" s="258">
        <f t="shared" ref="J13:J14" si="3">$K$8*(1-G13)</f>
        <v>4538.5559999999996</v>
      </c>
      <c r="K13" s="268">
        <f t="shared" ref="K13" si="4">$K$8-J13</f>
        <v>45.844000000000051</v>
      </c>
    </row>
    <row r="14" spans="2:11" x14ac:dyDescent="0.3">
      <c r="B14" s="102">
        <v>46197.645833333336</v>
      </c>
      <c r="C14" s="108">
        <v>4323.8</v>
      </c>
      <c r="D14" s="261">
        <f t="shared" si="0"/>
        <v>4.2970292430260376E-3</v>
      </c>
      <c r="E14" s="259">
        <v>4.8321187768167302E-2</v>
      </c>
      <c r="G14" s="269">
        <v>5.0000000000000001E-3</v>
      </c>
      <c r="H14" s="270">
        <f t="shared" si="1"/>
        <v>0.995</v>
      </c>
      <c r="I14" s="271">
        <f>_xlfn.PERCENTILE.INC($E$3:$E$1360,H14)</f>
        <v>5.6723737860078761E-2</v>
      </c>
      <c r="J14" s="272">
        <f t="shared" si="3"/>
        <v>4561.4780000000001</v>
      </c>
      <c r="K14" s="273">
        <f>$K$8-J14</f>
        <v>22.921999999999571</v>
      </c>
    </row>
    <row r="15" spans="2:11" x14ac:dyDescent="0.3">
      <c r="B15" s="102">
        <v>46196.645833333336</v>
      </c>
      <c r="C15" s="108">
        <v>4305.3</v>
      </c>
      <c r="D15" s="261">
        <f t="shared" si="0"/>
        <v>-1.536878216123495E-2</v>
      </c>
      <c r="E15" s="259">
        <v>4.6778874056877542E-2</v>
      </c>
    </row>
    <row r="16" spans="2:11" x14ac:dyDescent="0.3">
      <c r="B16" s="102">
        <v>46195.645833333336</v>
      </c>
      <c r="C16" s="108">
        <v>4372.5</v>
      </c>
      <c r="D16" s="261">
        <f t="shared" si="0"/>
        <v>-1.072422452996666E-2</v>
      </c>
      <c r="E16" s="259">
        <v>4.4718432342596454E-2</v>
      </c>
    </row>
    <row r="17" spans="2:5" x14ac:dyDescent="0.3">
      <c r="B17" s="102">
        <v>46192.645833333336</v>
      </c>
      <c r="C17" s="108">
        <v>4419.8999999999996</v>
      </c>
      <c r="D17" s="261">
        <f t="shared" si="0"/>
        <v>7.2927824243943576E-3</v>
      </c>
      <c r="E17" s="259">
        <v>4.317878071347795E-2</v>
      </c>
    </row>
    <row r="18" spans="2:5" x14ac:dyDescent="0.3">
      <c r="B18" s="102">
        <v>46191.645833333336</v>
      </c>
      <c r="C18" s="108">
        <v>4387.8999999999996</v>
      </c>
      <c r="D18" s="261">
        <f t="shared" si="0"/>
        <v>1.6893048738727625E-3</v>
      </c>
      <c r="E18" s="259">
        <v>4.312211105260081E-2</v>
      </c>
    </row>
    <row r="19" spans="2:5" x14ac:dyDescent="0.3">
      <c r="B19" s="102">
        <v>46190.645833333336</v>
      </c>
      <c r="C19" s="108">
        <v>4380.5</v>
      </c>
      <c r="D19" s="261">
        <f t="shared" si="0"/>
        <v>9.797141539880129E-3</v>
      </c>
      <c r="E19" s="259">
        <v>4.1848455168729405E-2</v>
      </c>
    </row>
    <row r="20" spans="2:5" x14ac:dyDescent="0.3">
      <c r="B20" s="102">
        <v>46189.645833333336</v>
      </c>
      <c r="C20" s="108">
        <v>4338</v>
      </c>
      <c r="D20" s="261">
        <f t="shared" si="0"/>
        <v>1.2723240340842769E-2</v>
      </c>
      <c r="E20" s="259">
        <v>4.1520045484579778E-2</v>
      </c>
    </row>
    <row r="21" spans="2:5" x14ac:dyDescent="0.3">
      <c r="B21" s="102">
        <v>46188.645833333336</v>
      </c>
      <c r="C21" s="108">
        <v>4283.5</v>
      </c>
      <c r="D21" s="261">
        <f t="shared" si="0"/>
        <v>2.3781070745697897E-2</v>
      </c>
      <c r="E21" s="259">
        <v>4.0979093583350376E-2</v>
      </c>
    </row>
    <row r="22" spans="2:5" x14ac:dyDescent="0.3">
      <c r="B22" s="102">
        <v>46185.645833333336</v>
      </c>
      <c r="C22" s="108">
        <v>4184</v>
      </c>
      <c r="D22" s="261">
        <f t="shared" si="0"/>
        <v>3.945145582828187E-2</v>
      </c>
      <c r="E22" s="259">
        <v>4.0825688073394532E-2</v>
      </c>
    </row>
    <row r="23" spans="2:5" x14ac:dyDescent="0.3">
      <c r="B23" s="102">
        <v>46184.645833333336</v>
      </c>
      <c r="C23" s="108">
        <v>4025.2</v>
      </c>
      <c r="D23" s="261">
        <f t="shared" si="0"/>
        <v>-4.1809950273372981E-3</v>
      </c>
      <c r="E23" s="259">
        <v>3.945145582828187E-2</v>
      </c>
    </row>
    <row r="24" spans="2:5" x14ac:dyDescent="0.3">
      <c r="B24" s="102">
        <v>46183.645833333336</v>
      </c>
      <c r="C24" s="108">
        <v>4042.1</v>
      </c>
      <c r="D24" s="261">
        <f t="shared" si="0"/>
        <v>-1.5298789251869652E-2</v>
      </c>
      <c r="E24" s="259">
        <v>3.925288194951107E-2</v>
      </c>
    </row>
    <row r="25" spans="2:5" x14ac:dyDescent="0.3">
      <c r="B25" s="102">
        <v>46182.645833333336</v>
      </c>
      <c r="C25" s="108">
        <v>4104.8999999999996</v>
      </c>
      <c r="D25" s="261">
        <f t="shared" si="0"/>
        <v>-2.0871100085869669E-2</v>
      </c>
      <c r="E25" s="259">
        <v>3.921719257139579E-2</v>
      </c>
    </row>
    <row r="26" spans="2:5" x14ac:dyDescent="0.3">
      <c r="B26" s="102">
        <v>46181.645833333336</v>
      </c>
      <c r="C26" s="108">
        <v>4192.3999999999996</v>
      </c>
      <c r="D26" s="261">
        <f t="shared" si="0"/>
        <v>-1.5914745786582835E-2</v>
      </c>
      <c r="E26" s="259">
        <v>3.9040944708089616E-2</v>
      </c>
    </row>
    <row r="27" spans="2:5" x14ac:dyDescent="0.3">
      <c r="B27" s="102">
        <v>46178.645833333336</v>
      </c>
      <c r="C27" s="108">
        <v>4260.2</v>
      </c>
      <c r="D27" s="261">
        <f t="shared" si="0"/>
        <v>6.9014417395414362E-3</v>
      </c>
      <c r="E27" s="259">
        <v>3.8751375913747901E-2</v>
      </c>
    </row>
    <row r="28" spans="2:5" x14ac:dyDescent="0.3">
      <c r="B28" s="102">
        <v>46177.645833333336</v>
      </c>
      <c r="C28" s="108">
        <v>4231</v>
      </c>
      <c r="D28" s="261">
        <f t="shared" si="0"/>
        <v>3.4777929954998975E-2</v>
      </c>
      <c r="E28" s="259">
        <v>3.8428623823301568E-2</v>
      </c>
    </row>
    <row r="29" spans="2:5" x14ac:dyDescent="0.3">
      <c r="B29" s="102">
        <v>46176.645833333336</v>
      </c>
      <c r="C29" s="108">
        <v>4088.8</v>
      </c>
      <c r="D29" s="261">
        <f t="shared" si="0"/>
        <v>2.6237708736912466E-3</v>
      </c>
      <c r="E29" s="259">
        <v>3.7967688456912431E-2</v>
      </c>
    </row>
    <row r="30" spans="2:5" x14ac:dyDescent="0.3">
      <c r="B30" s="102">
        <v>46175.645833333336</v>
      </c>
      <c r="C30" s="108">
        <v>4078.1</v>
      </c>
      <c r="D30" s="261">
        <f t="shared" si="0"/>
        <v>1.3293246533817025E-2</v>
      </c>
      <c r="E30" s="259">
        <v>3.7908812075679775E-2</v>
      </c>
    </row>
    <row r="31" spans="2:5" x14ac:dyDescent="0.3">
      <c r="B31" s="102">
        <v>46174.645833333336</v>
      </c>
      <c r="C31" s="108">
        <v>4024.6</v>
      </c>
      <c r="D31" s="261">
        <f t="shared" si="0"/>
        <v>-1.2343861199047873E-2</v>
      </c>
      <c r="E31" s="259">
        <v>3.7778218083349878E-2</v>
      </c>
    </row>
    <row r="32" spans="2:5" x14ac:dyDescent="0.3">
      <c r="B32" s="102">
        <v>46171.645833333336</v>
      </c>
      <c r="C32" s="108">
        <v>4074.9</v>
      </c>
      <c r="D32" s="261">
        <f t="shared" si="0"/>
        <v>-1.5225114188356304E-2</v>
      </c>
      <c r="E32" s="259">
        <v>3.7329048025577932E-2</v>
      </c>
    </row>
    <row r="33" spans="2:5" x14ac:dyDescent="0.3">
      <c r="B33" s="102">
        <v>46169.645833333336</v>
      </c>
      <c r="C33" s="108">
        <v>4137.8999999999996</v>
      </c>
      <c r="D33" s="261">
        <f t="shared" si="0"/>
        <v>7.793662777953677E-3</v>
      </c>
      <c r="E33" s="259">
        <v>3.6849156292806315E-2</v>
      </c>
    </row>
    <row r="34" spans="2:5" x14ac:dyDescent="0.3">
      <c r="B34" s="102">
        <v>46168.645833333336</v>
      </c>
      <c r="C34" s="108">
        <v>4105.8999999999996</v>
      </c>
      <c r="D34" s="261">
        <f t="shared" si="0"/>
        <v>-1.2814964416233936E-2</v>
      </c>
      <c r="E34" s="259">
        <v>3.6341892023821279E-2</v>
      </c>
    </row>
    <row r="35" spans="2:5" x14ac:dyDescent="0.3">
      <c r="B35" s="102">
        <v>46167.645833333336</v>
      </c>
      <c r="C35" s="108">
        <v>4159.2</v>
      </c>
      <c r="D35" s="261">
        <f t="shared" si="0"/>
        <v>1.9461738320505816E-2</v>
      </c>
      <c r="E35" s="259">
        <v>3.617444484028022E-2</v>
      </c>
    </row>
    <row r="36" spans="2:5" x14ac:dyDescent="0.3">
      <c r="B36" s="102">
        <v>46164.645833333336</v>
      </c>
      <c r="C36" s="108">
        <v>4079.8</v>
      </c>
      <c r="D36" s="261">
        <f t="shared" si="0"/>
        <v>-8.0820944870312441E-4</v>
      </c>
      <c r="E36" s="259">
        <v>3.5850750096166221E-2</v>
      </c>
    </row>
    <row r="37" spans="2:5" x14ac:dyDescent="0.3">
      <c r="B37" s="102">
        <v>46163.645833333336</v>
      </c>
      <c r="C37" s="108">
        <v>4083.1</v>
      </c>
      <c r="D37" s="261">
        <f t="shared" si="0"/>
        <v>-5.6740697447885567E-3</v>
      </c>
      <c r="E37" s="259">
        <v>3.5791264889393028E-2</v>
      </c>
    </row>
    <row r="38" spans="2:5" x14ac:dyDescent="0.3">
      <c r="B38" s="102">
        <v>46162.645833333336</v>
      </c>
      <c r="C38" s="108">
        <v>4106.3999999999996</v>
      </c>
      <c r="D38" s="261">
        <f t="shared" si="0"/>
        <v>1.0726474890296529E-3</v>
      </c>
      <c r="E38" s="259">
        <v>3.4915685389570385E-2</v>
      </c>
    </row>
    <row r="39" spans="2:5" x14ac:dyDescent="0.3">
      <c r="B39" s="102">
        <v>46161.645833333336</v>
      </c>
      <c r="C39" s="108">
        <v>4102</v>
      </c>
      <c r="D39" s="261">
        <f t="shared" si="0"/>
        <v>-1.6236180060915612E-2</v>
      </c>
      <c r="E39" s="259">
        <v>3.4777929954998975E-2</v>
      </c>
    </row>
    <row r="40" spans="2:5" x14ac:dyDescent="0.3">
      <c r="B40" s="102">
        <v>46160.645833333336</v>
      </c>
      <c r="C40" s="108">
        <v>4169.7</v>
      </c>
      <c r="D40" s="261">
        <f t="shared" si="0"/>
        <v>1.4391595308326839E-4</v>
      </c>
      <c r="E40" s="259">
        <v>3.3244874748476275E-2</v>
      </c>
    </row>
    <row r="41" spans="2:5" x14ac:dyDescent="0.3">
      <c r="B41" s="102">
        <v>46157.645833333336</v>
      </c>
      <c r="C41" s="108">
        <v>4169.1000000000004</v>
      </c>
      <c r="D41" s="261">
        <f t="shared" si="0"/>
        <v>8.1979106210099996E-3</v>
      </c>
      <c r="E41" s="259">
        <v>3.3121567070346226E-2</v>
      </c>
    </row>
    <row r="42" spans="2:5" x14ac:dyDescent="0.3">
      <c r="B42" s="102">
        <v>46156.645833333336</v>
      </c>
      <c r="C42" s="108">
        <v>4135.2</v>
      </c>
      <c r="D42" s="261">
        <f t="shared" si="0"/>
        <v>1.0878333781504388E-2</v>
      </c>
      <c r="E42" s="259">
        <v>3.296148015703354E-2</v>
      </c>
    </row>
    <row r="43" spans="2:5" x14ac:dyDescent="0.3">
      <c r="B43" s="102">
        <v>46155.645833333336</v>
      </c>
      <c r="C43" s="108">
        <v>4090.7</v>
      </c>
      <c r="D43" s="261">
        <f t="shared" si="0"/>
        <v>8.7293171898502296E-3</v>
      </c>
      <c r="E43" s="259">
        <v>3.216291136541332E-2</v>
      </c>
    </row>
    <row r="44" spans="2:5" x14ac:dyDescent="0.3">
      <c r="B44" s="102">
        <v>46154.645833333336</v>
      </c>
      <c r="C44" s="108">
        <v>4055.3</v>
      </c>
      <c r="D44" s="261">
        <f t="shared" si="0"/>
        <v>-3.5738063534335215E-2</v>
      </c>
      <c r="E44" s="259">
        <v>3.191784239266017E-2</v>
      </c>
    </row>
    <row r="45" spans="2:5" x14ac:dyDescent="0.3">
      <c r="B45" s="102">
        <v>46153.645833333336</v>
      </c>
      <c r="C45" s="108">
        <v>4205.6000000000004</v>
      </c>
      <c r="D45" s="261">
        <f t="shared" si="0"/>
        <v>-6.7287646928365405E-2</v>
      </c>
      <c r="E45" s="259">
        <v>3.1826401446654669E-2</v>
      </c>
    </row>
    <row r="46" spans="2:5" x14ac:dyDescent="0.3">
      <c r="B46" s="102">
        <v>46150.645833333336</v>
      </c>
      <c r="C46" s="108">
        <v>4509</v>
      </c>
      <c r="D46" s="261">
        <f t="shared" si="0"/>
        <v>4.6778874056877542E-2</v>
      </c>
      <c r="E46" s="259">
        <v>3.1776054473236198E-2</v>
      </c>
    </row>
    <row r="47" spans="2:5" x14ac:dyDescent="0.3">
      <c r="B47" s="102">
        <v>46149.645833333336</v>
      </c>
      <c r="C47" s="108">
        <v>4307.5</v>
      </c>
      <c r="D47" s="261">
        <f t="shared" si="0"/>
        <v>-1.1950637673181108E-2</v>
      </c>
      <c r="E47" s="259">
        <v>3.1641069397042094E-2</v>
      </c>
    </row>
    <row r="48" spans="2:5" x14ac:dyDescent="0.3">
      <c r="B48" s="102">
        <v>46148.645833333336</v>
      </c>
      <c r="C48" s="108">
        <v>4359.6000000000004</v>
      </c>
      <c r="D48" s="261">
        <f t="shared" si="0"/>
        <v>-3.201024327784891E-3</v>
      </c>
      <c r="E48" s="259">
        <v>3.1639287812189984E-2</v>
      </c>
    </row>
    <row r="49" spans="2:5" x14ac:dyDescent="0.3">
      <c r="B49" s="102">
        <v>46147.645833333336</v>
      </c>
      <c r="C49" s="108">
        <v>4373.6000000000004</v>
      </c>
      <c r="D49" s="261">
        <f t="shared" si="0"/>
        <v>2.4295209718084719E-3</v>
      </c>
      <c r="E49" s="259">
        <v>3.1205915260008803E-2</v>
      </c>
    </row>
    <row r="50" spans="2:5" x14ac:dyDescent="0.3">
      <c r="B50" s="102">
        <v>46146.645833333336</v>
      </c>
      <c r="C50" s="108">
        <v>4363</v>
      </c>
      <c r="D50" s="261">
        <f t="shared" si="0"/>
        <v>-5.0624828970171985E-3</v>
      </c>
      <c r="E50" s="259">
        <v>3.0779958163163753E-2</v>
      </c>
    </row>
    <row r="51" spans="2:5" x14ac:dyDescent="0.3">
      <c r="B51" s="102">
        <v>46142.645833333336</v>
      </c>
      <c r="C51" s="108">
        <v>4385.2</v>
      </c>
      <c r="D51" s="261">
        <f t="shared" si="0"/>
        <v>-1.2297851254561098E-2</v>
      </c>
      <c r="E51" s="259">
        <v>3.0671312172505606E-2</v>
      </c>
    </row>
    <row r="52" spans="2:5" x14ac:dyDescent="0.3">
      <c r="B52" s="102">
        <v>46141.645833333336</v>
      </c>
      <c r="C52" s="108">
        <v>4439.8</v>
      </c>
      <c r="D52" s="261">
        <f t="shared" si="0"/>
        <v>5.1618745755037769E-3</v>
      </c>
      <c r="E52" s="259">
        <v>3.0596552894889217E-2</v>
      </c>
    </row>
    <row r="53" spans="2:5" x14ac:dyDescent="0.3">
      <c r="B53" s="102">
        <v>46140.645833333336</v>
      </c>
      <c r="C53" s="108">
        <v>4417</v>
      </c>
      <c r="D53" s="261">
        <f t="shared" si="0"/>
        <v>-5.5833220766356387E-3</v>
      </c>
      <c r="E53" s="259">
        <v>3.0344121785851327E-2</v>
      </c>
    </row>
    <row r="54" spans="2:5" x14ac:dyDescent="0.3">
      <c r="B54" s="102">
        <v>46139.645833333336</v>
      </c>
      <c r="C54" s="108">
        <v>4441.8</v>
      </c>
      <c r="D54" s="261">
        <f t="shared" si="0"/>
        <v>7.2108843537415377E-3</v>
      </c>
      <c r="E54" s="259">
        <v>3.0292759394992159E-2</v>
      </c>
    </row>
    <row r="55" spans="2:5" x14ac:dyDescent="0.3">
      <c r="B55" s="102">
        <v>46136.645833333336</v>
      </c>
      <c r="C55" s="108">
        <v>4410</v>
      </c>
      <c r="D55" s="261">
        <f t="shared" si="0"/>
        <v>-1.0434197239986537E-2</v>
      </c>
      <c r="E55" s="259">
        <v>2.9804463756665938E-2</v>
      </c>
    </row>
    <row r="56" spans="2:5" x14ac:dyDescent="0.3">
      <c r="B56" s="102">
        <v>46135.645833333336</v>
      </c>
      <c r="C56" s="108">
        <v>4456.5</v>
      </c>
      <c r="D56" s="261">
        <f t="shared" si="0"/>
        <v>4.2652538948494503E-4</v>
      </c>
      <c r="E56" s="259">
        <v>2.964556251753488E-2</v>
      </c>
    </row>
    <row r="57" spans="2:5" x14ac:dyDescent="0.3">
      <c r="B57" s="102">
        <v>46134.645833333336</v>
      </c>
      <c r="C57" s="108">
        <v>4454.6000000000004</v>
      </c>
      <c r="D57" s="261">
        <f t="shared" si="0"/>
        <v>-5.6030537759223734E-3</v>
      </c>
      <c r="E57" s="259">
        <v>2.9260382147641546E-2</v>
      </c>
    </row>
    <row r="58" spans="2:5" x14ac:dyDescent="0.3">
      <c r="B58" s="102">
        <v>46133.645833333336</v>
      </c>
      <c r="C58" s="108">
        <v>4479.7</v>
      </c>
      <c r="D58" s="261">
        <f t="shared" si="0"/>
        <v>-7.3786838023488103E-3</v>
      </c>
      <c r="E58" s="259">
        <v>2.9191541030051629E-2</v>
      </c>
    </row>
    <row r="59" spans="2:5" x14ac:dyDescent="0.3">
      <c r="B59" s="102">
        <v>46132.645833333336</v>
      </c>
      <c r="C59" s="108">
        <v>4513</v>
      </c>
      <c r="D59" s="261">
        <f t="shared" si="0"/>
        <v>-2.8502618263769939E-3</v>
      </c>
      <c r="E59" s="259">
        <v>2.8991139437276544E-2</v>
      </c>
    </row>
    <row r="60" spans="2:5" x14ac:dyDescent="0.3">
      <c r="B60" s="102">
        <v>46129.645833333336</v>
      </c>
      <c r="C60" s="108">
        <v>4525.8999999999996</v>
      </c>
      <c r="D60" s="261">
        <f t="shared" si="0"/>
        <v>1.4457345227955351E-2</v>
      </c>
      <c r="E60" s="259">
        <v>2.8875841473907957E-2</v>
      </c>
    </row>
    <row r="61" spans="2:5" x14ac:dyDescent="0.3">
      <c r="B61" s="102">
        <v>46128.645833333336</v>
      </c>
      <c r="C61" s="108">
        <v>4461.3999999999996</v>
      </c>
      <c r="D61" s="261">
        <f t="shared" si="0"/>
        <v>-1.3444783512449734E-2</v>
      </c>
      <c r="E61" s="259">
        <v>2.8814630485444671E-2</v>
      </c>
    </row>
    <row r="62" spans="2:5" x14ac:dyDescent="0.3">
      <c r="B62" s="102">
        <v>46127.645833333336</v>
      </c>
      <c r="C62" s="108">
        <v>4522.2</v>
      </c>
      <c r="D62" s="261">
        <f t="shared" si="0"/>
        <v>1.8674115288446293E-2</v>
      </c>
      <c r="E62" s="259">
        <v>2.8205747404008736E-2</v>
      </c>
    </row>
    <row r="63" spans="2:5" x14ac:dyDescent="0.3">
      <c r="B63" s="102">
        <v>46125.645833333336</v>
      </c>
      <c r="C63" s="108">
        <v>4439.3</v>
      </c>
      <c r="D63" s="261">
        <f t="shared" si="0"/>
        <v>-1.4583795782463889E-2</v>
      </c>
      <c r="E63" s="259">
        <v>2.7981284245521175E-2</v>
      </c>
    </row>
    <row r="64" spans="2:5" x14ac:dyDescent="0.3">
      <c r="B64" s="102">
        <v>46122.645833333336</v>
      </c>
      <c r="C64" s="108">
        <v>4505</v>
      </c>
      <c r="D64" s="261">
        <f t="shared" si="0"/>
        <v>1.4685346186765128E-2</v>
      </c>
      <c r="E64" s="259">
        <v>2.6941555677187975E-2</v>
      </c>
    </row>
    <row r="65" spans="2:5" x14ac:dyDescent="0.3">
      <c r="B65" s="102">
        <v>46121.645833333336</v>
      </c>
      <c r="C65" s="108">
        <v>4439.8</v>
      </c>
      <c r="D65" s="261">
        <f t="shared" si="0"/>
        <v>-1.1730662214802408E-2</v>
      </c>
      <c r="E65" s="259">
        <v>2.6725907974014636E-2</v>
      </c>
    </row>
    <row r="66" spans="2:5" x14ac:dyDescent="0.3">
      <c r="B66" s="102">
        <v>46120.645833333336</v>
      </c>
      <c r="C66" s="108">
        <v>4492.5</v>
      </c>
      <c r="D66" s="261">
        <f t="shared" si="0"/>
        <v>6.19061126081406E-2</v>
      </c>
      <c r="E66" s="259">
        <v>2.6714833645526757E-2</v>
      </c>
    </row>
    <row r="67" spans="2:5" x14ac:dyDescent="0.3">
      <c r="B67" s="102">
        <v>46119.645833333336</v>
      </c>
      <c r="C67" s="108">
        <v>4230.6000000000004</v>
      </c>
      <c r="D67" s="261">
        <f t="shared" ref="D67:D130" si="5">(C67-C68)/C68</f>
        <v>-3.6504086102541154E-3</v>
      </c>
      <c r="E67" s="259">
        <v>2.6606416290101745E-2</v>
      </c>
    </row>
    <row r="68" spans="2:5" x14ac:dyDescent="0.3">
      <c r="B68" s="102">
        <v>46118.645833333336</v>
      </c>
      <c r="C68" s="108">
        <v>4246.1000000000004</v>
      </c>
      <c r="D68" s="261">
        <f t="shared" si="5"/>
        <v>3.6341892023821279E-2</v>
      </c>
      <c r="E68" s="259">
        <v>2.6579546462466259E-2</v>
      </c>
    </row>
    <row r="69" spans="2:5" x14ac:dyDescent="0.3">
      <c r="B69" s="102">
        <v>46114.645833333336</v>
      </c>
      <c r="C69" s="108">
        <v>4097.2</v>
      </c>
      <c r="D69" s="261">
        <f t="shared" si="5"/>
        <v>7.7973189029639199E-3</v>
      </c>
      <c r="E69" s="259">
        <v>2.6536525850236414E-2</v>
      </c>
    </row>
    <row r="70" spans="2:5" x14ac:dyDescent="0.3">
      <c r="B70" s="102">
        <v>46113.645833333336</v>
      </c>
      <c r="C70" s="108">
        <v>4065.5</v>
      </c>
      <c r="D70" s="261">
        <f t="shared" si="5"/>
        <v>2.8875841473907957E-2</v>
      </c>
      <c r="E70" s="259">
        <v>2.6315234580917276E-2</v>
      </c>
    </row>
    <row r="71" spans="2:5" x14ac:dyDescent="0.3">
      <c r="B71" s="102">
        <v>46111.645833333336</v>
      </c>
      <c r="C71" s="108">
        <v>3951.4</v>
      </c>
      <c r="D71" s="261">
        <f t="shared" si="5"/>
        <v>-7.5599648373728262E-3</v>
      </c>
      <c r="E71" s="259">
        <v>2.5941041752304862E-2</v>
      </c>
    </row>
    <row r="72" spans="2:5" x14ac:dyDescent="0.3">
      <c r="B72" s="102">
        <v>46108.645833333336</v>
      </c>
      <c r="C72" s="108">
        <v>3981.5</v>
      </c>
      <c r="D72" s="261">
        <f t="shared" si="5"/>
        <v>-1.4309410046295195E-2</v>
      </c>
      <c r="E72" s="259">
        <v>2.5893448047650525E-2</v>
      </c>
    </row>
    <row r="73" spans="2:5" x14ac:dyDescent="0.3">
      <c r="B73" s="102">
        <v>46106.645833333336</v>
      </c>
      <c r="C73" s="108">
        <v>4039.3</v>
      </c>
      <c r="D73" s="261">
        <f t="shared" si="5"/>
        <v>3.5850750096166221E-2</v>
      </c>
      <c r="E73" s="259">
        <v>2.5800444094262642E-2</v>
      </c>
    </row>
    <row r="74" spans="2:5" x14ac:dyDescent="0.3">
      <c r="B74" s="102">
        <v>46105.645833333336</v>
      </c>
      <c r="C74" s="108">
        <v>3899.5</v>
      </c>
      <c r="D74" s="261">
        <f t="shared" si="5"/>
        <v>1.2042251693441669E-2</v>
      </c>
      <c r="E74" s="259">
        <v>2.5725556494787315E-2</v>
      </c>
    </row>
    <row r="75" spans="2:5" x14ac:dyDescent="0.3">
      <c r="B75" s="102">
        <v>46104.645833333336</v>
      </c>
      <c r="C75" s="108">
        <v>3853.1</v>
      </c>
      <c r="D75" s="261">
        <f t="shared" si="5"/>
        <v>-6.172989821263343E-2</v>
      </c>
      <c r="E75" s="259">
        <v>2.5700157899110742E-2</v>
      </c>
    </row>
    <row r="76" spans="2:5" x14ac:dyDescent="0.3">
      <c r="B76" s="102">
        <v>46101.645833333336</v>
      </c>
      <c r="C76" s="108">
        <v>4106.6000000000004</v>
      </c>
      <c r="D76" s="261">
        <f t="shared" si="5"/>
        <v>1.7013794299016883E-2</v>
      </c>
      <c r="E76" s="259">
        <v>2.5582197230916204E-2</v>
      </c>
    </row>
    <row r="77" spans="2:5" x14ac:dyDescent="0.3">
      <c r="B77" s="102">
        <v>46100.645833333336</v>
      </c>
      <c r="C77" s="108">
        <v>4037.9</v>
      </c>
      <c r="D77" s="261">
        <f t="shared" si="5"/>
        <v>-2.5955855747195732E-2</v>
      </c>
      <c r="E77" s="259">
        <v>2.5563882355086304E-2</v>
      </c>
    </row>
    <row r="78" spans="2:5" x14ac:dyDescent="0.3">
      <c r="B78" s="102">
        <v>46099.645833333336</v>
      </c>
      <c r="C78" s="108">
        <v>4145.5</v>
      </c>
      <c r="D78" s="261">
        <f t="shared" si="5"/>
        <v>1.3445789023346779E-2</v>
      </c>
      <c r="E78" s="259">
        <v>2.4605024605024603E-2</v>
      </c>
    </row>
    <row r="79" spans="2:5" x14ac:dyDescent="0.3">
      <c r="B79" s="102">
        <v>46098.645833333336</v>
      </c>
      <c r="C79" s="108">
        <v>4090.5</v>
      </c>
      <c r="D79" s="261">
        <f t="shared" si="5"/>
        <v>-7.3335288941082894E-5</v>
      </c>
      <c r="E79" s="259">
        <v>2.450568745705772E-2</v>
      </c>
    </row>
    <row r="80" spans="2:5" x14ac:dyDescent="0.3">
      <c r="B80" s="102">
        <v>46097.645833333336</v>
      </c>
      <c r="C80" s="108">
        <v>4090.8</v>
      </c>
      <c r="D80" s="261">
        <f t="shared" si="5"/>
        <v>4.3209270352549262E-3</v>
      </c>
      <c r="E80" s="259">
        <v>2.4297997807931668E-2</v>
      </c>
    </row>
    <row r="81" spans="2:5" x14ac:dyDescent="0.3">
      <c r="B81" s="102">
        <v>46094.645833333336</v>
      </c>
      <c r="C81" s="108">
        <v>4073.2</v>
      </c>
      <c r="D81" s="261">
        <f t="shared" si="5"/>
        <v>-1.3657497094149686E-2</v>
      </c>
      <c r="E81" s="259">
        <v>2.4295310440077728E-2</v>
      </c>
    </row>
    <row r="82" spans="2:5" x14ac:dyDescent="0.3">
      <c r="B82" s="102">
        <v>46093.645833333336</v>
      </c>
      <c r="C82" s="108">
        <v>4129.6000000000004</v>
      </c>
      <c r="D82" s="261">
        <f t="shared" si="5"/>
        <v>-2.5843537907880632E-3</v>
      </c>
      <c r="E82" s="259">
        <v>2.4001917414229922E-2</v>
      </c>
    </row>
    <row r="83" spans="2:5" x14ac:dyDescent="0.3">
      <c r="B83" s="102">
        <v>46092.645833333336</v>
      </c>
      <c r="C83" s="108">
        <v>4140.3</v>
      </c>
      <c r="D83" s="261">
        <f t="shared" si="5"/>
        <v>-1.8909504514111081E-2</v>
      </c>
      <c r="E83" s="259">
        <v>2.389582494294536E-2</v>
      </c>
    </row>
    <row r="84" spans="2:5" x14ac:dyDescent="0.3">
      <c r="B84" s="102">
        <v>46091.645833333336</v>
      </c>
      <c r="C84" s="108">
        <v>4220.1000000000004</v>
      </c>
      <c r="D84" s="261">
        <f t="shared" si="5"/>
        <v>1.4642238892094766E-2</v>
      </c>
      <c r="E84" s="259">
        <v>2.3848460070863994E-2</v>
      </c>
    </row>
    <row r="85" spans="2:5" x14ac:dyDescent="0.3">
      <c r="B85" s="102">
        <v>46090.645833333336</v>
      </c>
      <c r="C85" s="108">
        <v>4159.2</v>
      </c>
      <c r="D85" s="261">
        <f t="shared" si="5"/>
        <v>-2.0119681477642308E-2</v>
      </c>
      <c r="E85" s="259">
        <v>2.3781070745697897E-2</v>
      </c>
    </row>
    <row r="86" spans="2:5" x14ac:dyDescent="0.3">
      <c r="B86" s="102">
        <v>46087.645833333336</v>
      </c>
      <c r="C86" s="108">
        <v>4244.6000000000004</v>
      </c>
      <c r="D86" s="261">
        <f t="shared" si="5"/>
        <v>-7.1575598802393935E-3</v>
      </c>
      <c r="E86" s="259">
        <v>2.3760375005375648E-2</v>
      </c>
    </row>
    <row r="87" spans="2:5" x14ac:dyDescent="0.3">
      <c r="B87" s="102">
        <v>46086.645833333336</v>
      </c>
      <c r="C87" s="108">
        <v>4275.2</v>
      </c>
      <c r="D87" s="261">
        <f t="shared" si="5"/>
        <v>1.6839501474645652E-2</v>
      </c>
      <c r="E87" s="259">
        <v>2.3488263890003136E-2</v>
      </c>
    </row>
    <row r="88" spans="2:5" x14ac:dyDescent="0.3">
      <c r="B88" s="102">
        <v>46085.645833333336</v>
      </c>
      <c r="C88" s="108">
        <v>4204.3999999999996</v>
      </c>
      <c r="D88" s="261">
        <f t="shared" si="5"/>
        <v>-1.5432171041847305E-2</v>
      </c>
      <c r="E88" s="259">
        <v>2.3436416585771773E-2</v>
      </c>
    </row>
    <row r="89" spans="2:5" x14ac:dyDescent="0.3">
      <c r="B89" s="102">
        <v>46083.645833333336</v>
      </c>
      <c r="C89" s="108">
        <v>4270.3</v>
      </c>
      <c r="D89" s="261">
        <f t="shared" si="5"/>
        <v>-1.3217793183131096E-2</v>
      </c>
      <c r="E89" s="259">
        <v>2.3404733373277409E-2</v>
      </c>
    </row>
    <row r="90" spans="2:5" x14ac:dyDescent="0.3">
      <c r="B90" s="102">
        <v>46080.645833333336</v>
      </c>
      <c r="C90" s="108">
        <v>4327.5</v>
      </c>
      <c r="D90" s="261">
        <f t="shared" si="5"/>
        <v>-3.4771795698430347E-3</v>
      </c>
      <c r="E90" s="259">
        <v>2.2971066570842909E-2</v>
      </c>
    </row>
    <row r="91" spans="2:5" x14ac:dyDescent="0.3">
      <c r="B91" s="102">
        <v>46079.645833333336</v>
      </c>
      <c r="C91" s="108">
        <v>4342.6000000000004</v>
      </c>
      <c r="D91" s="261">
        <f t="shared" si="5"/>
        <v>4.0693641618497955E-3</v>
      </c>
      <c r="E91" s="259">
        <v>2.2801811650788692E-2</v>
      </c>
    </row>
    <row r="92" spans="2:5" x14ac:dyDescent="0.3">
      <c r="B92" s="102">
        <v>46078.645833333336</v>
      </c>
      <c r="C92" s="108">
        <v>4325</v>
      </c>
      <c r="D92" s="261">
        <f t="shared" si="5"/>
        <v>7.1021073466061239E-3</v>
      </c>
      <c r="E92" s="259">
        <v>2.2767465707619481E-2</v>
      </c>
    </row>
    <row r="93" spans="2:5" x14ac:dyDescent="0.3">
      <c r="B93" s="102">
        <v>46077.645833333336</v>
      </c>
      <c r="C93" s="108">
        <v>4294.5</v>
      </c>
      <c r="D93" s="261">
        <f t="shared" si="5"/>
        <v>5.1021602265546801E-3</v>
      </c>
      <c r="E93" s="259">
        <v>2.2210200462837625E-2</v>
      </c>
    </row>
    <row r="94" spans="2:5" x14ac:dyDescent="0.3">
      <c r="B94" s="102">
        <v>46076.645833333336</v>
      </c>
      <c r="C94" s="108">
        <v>4272.7</v>
      </c>
      <c r="D94" s="261">
        <f t="shared" si="5"/>
        <v>8.5685959777169734E-3</v>
      </c>
      <c r="E94" s="259">
        <v>2.2072110833835378E-2</v>
      </c>
    </row>
    <row r="95" spans="2:5" x14ac:dyDescent="0.3">
      <c r="B95" s="102">
        <v>46073.645833333336</v>
      </c>
      <c r="C95" s="108">
        <v>4236.3999999999996</v>
      </c>
      <c r="D95" s="261">
        <f t="shared" si="5"/>
        <v>9.0991377256919199E-3</v>
      </c>
      <c r="E95" s="259">
        <v>2.1992316917010656E-2</v>
      </c>
    </row>
    <row r="96" spans="2:5" x14ac:dyDescent="0.3">
      <c r="B96" s="102">
        <v>46072.645833333336</v>
      </c>
      <c r="C96" s="108">
        <v>4198.2</v>
      </c>
      <c r="D96" s="261">
        <f t="shared" si="5"/>
        <v>-1.1862731252648058E-2</v>
      </c>
      <c r="E96" s="259">
        <v>2.1819134126338614E-2</v>
      </c>
    </row>
    <row r="97" spans="2:5" x14ac:dyDescent="0.3">
      <c r="B97" s="102">
        <v>46071.645833333336</v>
      </c>
      <c r="C97" s="108">
        <v>4248.6000000000004</v>
      </c>
      <c r="D97" s="261">
        <f t="shared" si="5"/>
        <v>2.8798036068361649E-3</v>
      </c>
      <c r="E97" s="259">
        <v>2.1806640179019957E-2</v>
      </c>
    </row>
    <row r="98" spans="2:5" x14ac:dyDescent="0.3">
      <c r="B98" s="102">
        <v>46070.645833333336</v>
      </c>
      <c r="C98" s="108">
        <v>4236.3999999999996</v>
      </c>
      <c r="D98" s="261">
        <f t="shared" si="5"/>
        <v>1.3226184496902554E-2</v>
      </c>
      <c r="E98" s="259">
        <v>2.1767985134058934E-2</v>
      </c>
    </row>
    <row r="99" spans="2:5" x14ac:dyDescent="0.3">
      <c r="B99" s="102">
        <v>46069.645833333336</v>
      </c>
      <c r="C99" s="108">
        <v>4181.1000000000004</v>
      </c>
      <c r="D99" s="261">
        <f t="shared" si="5"/>
        <v>4.546324655437753E-4</v>
      </c>
      <c r="E99" s="259">
        <v>2.1568758791613719E-2</v>
      </c>
    </row>
    <row r="100" spans="2:5" x14ac:dyDescent="0.3">
      <c r="B100" s="102">
        <v>46066.645833333336</v>
      </c>
      <c r="C100" s="108">
        <v>4179.2</v>
      </c>
      <c r="D100" s="261">
        <f t="shared" si="5"/>
        <v>-2.259226343608222E-2</v>
      </c>
      <c r="E100" s="259">
        <v>2.1365397992646327E-2</v>
      </c>
    </row>
    <row r="101" spans="2:5" x14ac:dyDescent="0.3">
      <c r="B101" s="102">
        <v>46065.645833333336</v>
      </c>
      <c r="C101" s="108">
        <v>4275.8</v>
      </c>
      <c r="D101" s="261">
        <f t="shared" si="5"/>
        <v>6.2836836035865982E-3</v>
      </c>
      <c r="E101" s="259">
        <v>2.1362177483222874E-2</v>
      </c>
    </row>
    <row r="102" spans="2:5" x14ac:dyDescent="0.3">
      <c r="B102" s="102">
        <v>46064.645833333336</v>
      </c>
      <c r="C102" s="108">
        <v>4249.1000000000004</v>
      </c>
      <c r="D102" s="261">
        <f t="shared" si="5"/>
        <v>-4.6848281839263544E-3</v>
      </c>
      <c r="E102" s="259">
        <v>2.1326660811639322E-2</v>
      </c>
    </row>
    <row r="103" spans="2:5" x14ac:dyDescent="0.3">
      <c r="B103" s="102">
        <v>46063.645833333336</v>
      </c>
      <c r="C103" s="108">
        <v>4269.1000000000004</v>
      </c>
      <c r="D103" s="261">
        <f t="shared" si="5"/>
        <v>2.6539527455493872E-3</v>
      </c>
      <c r="E103" s="259">
        <v>2.115468242396332E-2</v>
      </c>
    </row>
    <row r="104" spans="2:5" x14ac:dyDescent="0.3">
      <c r="B104" s="102">
        <v>46062.645833333336</v>
      </c>
      <c r="C104" s="108">
        <v>4257.8</v>
      </c>
      <c r="D104" s="261">
        <f t="shared" si="5"/>
        <v>2.8205747404008736E-2</v>
      </c>
      <c r="E104" s="259">
        <v>2.1063679187717961E-2</v>
      </c>
    </row>
    <row r="105" spans="2:5" x14ac:dyDescent="0.3">
      <c r="B105" s="102">
        <v>46059.645833333336</v>
      </c>
      <c r="C105" s="108">
        <v>4141</v>
      </c>
      <c r="D105" s="261">
        <f t="shared" si="5"/>
        <v>1.059156579461139E-2</v>
      </c>
      <c r="E105" s="259">
        <v>2.0998387436023308E-2</v>
      </c>
    </row>
    <row r="106" spans="2:5" x14ac:dyDescent="0.3">
      <c r="B106" s="102">
        <v>46058.645833333336</v>
      </c>
      <c r="C106" s="108">
        <v>4097.6000000000004</v>
      </c>
      <c r="D106" s="261">
        <f t="shared" si="5"/>
        <v>-1.1196911196911109E-2</v>
      </c>
      <c r="E106" s="259">
        <v>2.0989688205503655E-2</v>
      </c>
    </row>
    <row r="107" spans="2:5" x14ac:dyDescent="0.3">
      <c r="B107" s="102">
        <v>46057.645833333336</v>
      </c>
      <c r="C107" s="108">
        <v>4144</v>
      </c>
      <c r="D107" s="261">
        <f t="shared" si="5"/>
        <v>1.8532173229120603E-2</v>
      </c>
      <c r="E107" s="259">
        <v>2.0955829341365362E-2</v>
      </c>
    </row>
    <row r="108" spans="2:5" x14ac:dyDescent="0.3">
      <c r="B108" s="102">
        <v>46056.645833333336</v>
      </c>
      <c r="C108" s="108">
        <v>4068.6</v>
      </c>
      <c r="D108" s="261">
        <f t="shared" si="5"/>
        <v>2.9191541030051629E-2</v>
      </c>
      <c r="E108" s="259">
        <v>2.0825290610388934E-2</v>
      </c>
    </row>
    <row r="109" spans="2:5" x14ac:dyDescent="0.3">
      <c r="B109" s="102">
        <v>46055.645833333336</v>
      </c>
      <c r="C109" s="108">
        <v>3953.2</v>
      </c>
      <c r="D109" s="261">
        <f t="shared" si="5"/>
        <v>-6.0843767285161847E-3</v>
      </c>
      <c r="E109" s="259">
        <v>2.0478023090945992E-2</v>
      </c>
    </row>
    <row r="110" spans="2:5" x14ac:dyDescent="0.3">
      <c r="B110" s="102">
        <v>46052.645833333336</v>
      </c>
      <c r="C110" s="108">
        <v>3977.4</v>
      </c>
      <c r="D110" s="261">
        <f t="shared" si="5"/>
        <v>9.569256542376392E-3</v>
      </c>
      <c r="E110" s="259">
        <v>2.0322917503413956E-2</v>
      </c>
    </row>
    <row r="111" spans="2:5" x14ac:dyDescent="0.3">
      <c r="B111" s="102">
        <v>46051.645833333336</v>
      </c>
      <c r="C111" s="108">
        <v>3939.7</v>
      </c>
      <c r="D111" s="261">
        <f t="shared" si="5"/>
        <v>-8.930368283356813E-3</v>
      </c>
      <c r="E111" s="259">
        <v>2.0275419116046158E-2</v>
      </c>
    </row>
    <row r="112" spans="2:5" x14ac:dyDescent="0.3">
      <c r="B112" s="102">
        <v>46050.645833333336</v>
      </c>
      <c r="C112" s="108">
        <v>3975.2</v>
      </c>
      <c r="D112" s="261">
        <f t="shared" si="5"/>
        <v>-5.4540905679259901E-3</v>
      </c>
      <c r="E112" s="259">
        <v>2.0154557678384172E-2</v>
      </c>
    </row>
    <row r="113" spans="2:5" x14ac:dyDescent="0.3">
      <c r="B113" s="102">
        <v>46049.645833333336</v>
      </c>
      <c r="C113" s="108">
        <v>3997</v>
      </c>
      <c r="D113" s="261">
        <f t="shared" si="5"/>
        <v>-6.1663931572927995E-3</v>
      </c>
      <c r="E113" s="259">
        <v>2.0142140745906843E-2</v>
      </c>
    </row>
    <row r="114" spans="2:5" x14ac:dyDescent="0.3">
      <c r="B114" s="102">
        <v>46045.645833333336</v>
      </c>
      <c r="C114" s="108">
        <v>4021.8</v>
      </c>
      <c r="D114" s="261">
        <f t="shared" si="5"/>
        <v>7.962972179366627E-4</v>
      </c>
      <c r="E114" s="259">
        <v>1.9993575132704076E-2</v>
      </c>
    </row>
    <row r="115" spans="2:5" x14ac:dyDescent="0.3">
      <c r="B115" s="102">
        <v>46044.645833333336</v>
      </c>
      <c r="C115" s="108">
        <v>4018.6</v>
      </c>
      <c r="D115" s="261">
        <f t="shared" si="5"/>
        <v>-1.4855854089037045E-2</v>
      </c>
      <c r="E115" s="259">
        <v>1.980218592860393E-2</v>
      </c>
    </row>
    <row r="116" spans="2:5" x14ac:dyDescent="0.3">
      <c r="B116" s="102">
        <v>46043.645833333336</v>
      </c>
      <c r="C116" s="108">
        <v>4079.2</v>
      </c>
      <c r="D116" s="261">
        <f t="shared" si="5"/>
        <v>9.0786406575875801E-4</v>
      </c>
      <c r="E116" s="259">
        <v>1.952178645412728E-2</v>
      </c>
    </row>
    <row r="117" spans="2:5" x14ac:dyDescent="0.3">
      <c r="B117" s="102">
        <v>46042.645833333336</v>
      </c>
      <c r="C117" s="108">
        <v>4075.5</v>
      </c>
      <c r="D117" s="261">
        <f t="shared" si="5"/>
        <v>-1.6553654593277276E-2</v>
      </c>
      <c r="E117" s="259">
        <v>1.9476107797992023E-2</v>
      </c>
    </row>
    <row r="118" spans="2:5" x14ac:dyDescent="0.3">
      <c r="B118" s="102">
        <v>46041.645833333336</v>
      </c>
      <c r="C118" s="108">
        <v>4144.1000000000004</v>
      </c>
      <c r="D118" s="261">
        <f t="shared" si="5"/>
        <v>-1.2580714336772207E-2</v>
      </c>
      <c r="E118" s="259">
        <v>1.9461738320505816E-2</v>
      </c>
    </row>
    <row r="119" spans="2:5" x14ac:dyDescent="0.3">
      <c r="B119" s="102">
        <v>46038.645833333336</v>
      </c>
      <c r="C119" s="108">
        <v>4196.8999999999996</v>
      </c>
      <c r="D119" s="261">
        <f t="shared" si="5"/>
        <v>-5.8273125666233241E-3</v>
      </c>
      <c r="E119" s="259">
        <v>1.9333812075346627E-2</v>
      </c>
    </row>
    <row r="120" spans="2:5" x14ac:dyDescent="0.3">
      <c r="B120" s="102">
        <v>46036.645833333336</v>
      </c>
      <c r="C120" s="108">
        <v>4221.5</v>
      </c>
      <c r="D120" s="261">
        <f t="shared" si="5"/>
        <v>-4.1753160973768211E-3</v>
      </c>
      <c r="E120" s="259">
        <v>1.9303852133356485E-2</v>
      </c>
    </row>
    <row r="121" spans="2:5" x14ac:dyDescent="0.3">
      <c r="B121" s="102">
        <v>46035.645833333336</v>
      </c>
      <c r="C121" s="108">
        <v>4239.2</v>
      </c>
      <c r="D121" s="261">
        <f t="shared" si="5"/>
        <v>1.7960109651194475E-3</v>
      </c>
      <c r="E121" s="259">
        <v>1.9138982089693304E-2</v>
      </c>
    </row>
    <row r="122" spans="2:5" x14ac:dyDescent="0.3">
      <c r="B122" s="102">
        <v>46034.645833333336</v>
      </c>
      <c r="C122" s="108">
        <v>4231.6000000000004</v>
      </c>
      <c r="D122" s="261">
        <f t="shared" si="5"/>
        <v>7.0921985815603269E-3</v>
      </c>
      <c r="E122" s="259">
        <v>1.9112551693304915E-2</v>
      </c>
    </row>
    <row r="123" spans="2:5" x14ac:dyDescent="0.3">
      <c r="B123" s="102">
        <v>46031.645833333336</v>
      </c>
      <c r="C123" s="108">
        <v>4201.8</v>
      </c>
      <c r="D123" s="261">
        <f t="shared" si="5"/>
        <v>-1.1108496116733306E-2</v>
      </c>
      <c r="E123" s="259">
        <v>1.8922558922558924E-2</v>
      </c>
    </row>
    <row r="124" spans="2:5" x14ac:dyDescent="0.3">
      <c r="B124" s="102">
        <v>46030.645833333336</v>
      </c>
      <c r="C124" s="108">
        <v>4249</v>
      </c>
      <c r="D124" s="261">
        <f t="shared" si="5"/>
        <v>-5.6632032200692262E-3</v>
      </c>
      <c r="E124" s="259">
        <v>1.8880708252405339E-2</v>
      </c>
    </row>
    <row r="125" spans="2:5" x14ac:dyDescent="0.3">
      <c r="B125" s="102">
        <v>46029.645833333336</v>
      </c>
      <c r="C125" s="108">
        <v>4273.2</v>
      </c>
      <c r="D125" s="261">
        <f t="shared" si="5"/>
        <v>3.925288194951107E-2</v>
      </c>
      <c r="E125" s="259">
        <v>1.8755967807938888E-2</v>
      </c>
    </row>
    <row r="126" spans="2:5" x14ac:dyDescent="0.3">
      <c r="B126" s="102">
        <v>46028.645833333336</v>
      </c>
      <c r="C126" s="108">
        <v>4111.8</v>
      </c>
      <c r="D126" s="261">
        <f t="shared" si="5"/>
        <v>7.8682256048239734E-3</v>
      </c>
      <c r="E126" s="259">
        <v>1.8742477216713502E-2</v>
      </c>
    </row>
    <row r="127" spans="2:5" x14ac:dyDescent="0.3">
      <c r="B127" s="102">
        <v>46027.645833333336</v>
      </c>
      <c r="C127" s="108">
        <v>4079.7</v>
      </c>
      <c r="D127" s="261">
        <f t="shared" si="5"/>
        <v>6.9106794678776813E-3</v>
      </c>
      <c r="E127" s="259">
        <v>1.8681975840210589E-2</v>
      </c>
    </row>
    <row r="128" spans="2:5" x14ac:dyDescent="0.3">
      <c r="B128" s="102">
        <v>46024.645833333336</v>
      </c>
      <c r="C128" s="108">
        <v>4051.7</v>
      </c>
      <c r="D128" s="261">
        <f t="shared" si="5"/>
        <v>5.9269503370944015E-4</v>
      </c>
      <c r="E128" s="259">
        <v>1.8677523604334414E-2</v>
      </c>
    </row>
    <row r="129" spans="2:5" x14ac:dyDescent="0.3">
      <c r="B129" s="102">
        <v>46023.645833333336</v>
      </c>
      <c r="C129" s="108">
        <v>4049.3</v>
      </c>
      <c r="D129" s="261">
        <f t="shared" si="5"/>
        <v>-5.4300876218679945E-4</v>
      </c>
      <c r="E129" s="259">
        <v>1.8674115288446293E-2</v>
      </c>
    </row>
    <row r="130" spans="2:5" x14ac:dyDescent="0.3">
      <c r="B130" s="102">
        <v>46022.645833333336</v>
      </c>
      <c r="C130" s="108">
        <v>4051.5</v>
      </c>
      <c r="D130" s="261">
        <f t="shared" si="5"/>
        <v>1.9476107797992023E-2</v>
      </c>
      <c r="E130" s="259">
        <v>1.8649517684887425E-2</v>
      </c>
    </row>
    <row r="131" spans="2:5" x14ac:dyDescent="0.3">
      <c r="B131" s="102">
        <v>46021.645833333336</v>
      </c>
      <c r="C131" s="108">
        <v>3974.1</v>
      </c>
      <c r="D131" s="261">
        <f t="shared" ref="D131:D194" si="6">(C131-C132)/C132</f>
        <v>-2.40982001656749E-3</v>
      </c>
      <c r="E131" s="259">
        <v>1.8611485245500149E-2</v>
      </c>
    </row>
    <row r="132" spans="2:5" x14ac:dyDescent="0.3">
      <c r="B132" s="102">
        <v>46020.645833333336</v>
      </c>
      <c r="C132" s="108">
        <v>3983.7</v>
      </c>
      <c r="D132" s="261">
        <f t="shared" si="6"/>
        <v>-2.0791583166333122E-3</v>
      </c>
      <c r="E132" s="259">
        <v>1.8532173229120603E-2</v>
      </c>
    </row>
    <row r="133" spans="2:5" x14ac:dyDescent="0.3">
      <c r="B133" s="102">
        <v>46017.645833333336</v>
      </c>
      <c r="C133" s="108">
        <v>3992</v>
      </c>
      <c r="D133" s="261">
        <f t="shared" si="6"/>
        <v>2.115468242396332E-2</v>
      </c>
      <c r="E133" s="259">
        <v>1.8501305714159335E-2</v>
      </c>
    </row>
    <row r="134" spans="2:5" x14ac:dyDescent="0.3">
      <c r="B134" s="102">
        <v>46015.645833333336</v>
      </c>
      <c r="C134" s="108">
        <v>3909.3</v>
      </c>
      <c r="D134" s="261">
        <f t="shared" si="6"/>
        <v>-4.2029650007641755E-3</v>
      </c>
      <c r="E134" s="259">
        <v>1.8466632705043302E-2</v>
      </c>
    </row>
    <row r="135" spans="2:5" x14ac:dyDescent="0.3">
      <c r="B135" s="102">
        <v>46014.645833333336</v>
      </c>
      <c r="C135" s="108">
        <v>3925.8</v>
      </c>
      <c r="D135" s="261">
        <f t="shared" si="6"/>
        <v>-2.0336570237429455E-3</v>
      </c>
      <c r="E135" s="259">
        <v>1.8442928224532858E-2</v>
      </c>
    </row>
    <row r="136" spans="2:5" x14ac:dyDescent="0.3">
      <c r="B136" s="102">
        <v>46013.645833333336</v>
      </c>
      <c r="C136" s="108">
        <v>3933.8</v>
      </c>
      <c r="D136" s="261">
        <f t="shared" si="6"/>
        <v>9.4145187145372206E-4</v>
      </c>
      <c r="E136" s="259">
        <v>1.8436276514930145E-2</v>
      </c>
    </row>
    <row r="137" spans="2:5" x14ac:dyDescent="0.3">
      <c r="B137" s="102">
        <v>46010.645833333336</v>
      </c>
      <c r="C137" s="108">
        <v>3930.1</v>
      </c>
      <c r="D137" s="261">
        <f t="shared" si="6"/>
        <v>2.7555941111932557E-3</v>
      </c>
      <c r="E137" s="259">
        <v>1.8312413843140075E-2</v>
      </c>
    </row>
    <row r="138" spans="2:5" x14ac:dyDescent="0.3">
      <c r="B138" s="102">
        <v>46009.645833333336</v>
      </c>
      <c r="C138" s="108">
        <v>3919.3</v>
      </c>
      <c r="D138" s="261">
        <f t="shared" si="6"/>
        <v>2.9171677883262342E-3</v>
      </c>
      <c r="E138" s="259">
        <v>1.8234136888158194E-2</v>
      </c>
    </row>
    <row r="139" spans="2:5" x14ac:dyDescent="0.3">
      <c r="B139" s="102">
        <v>46008.645833333336</v>
      </c>
      <c r="C139" s="108">
        <v>3907.9</v>
      </c>
      <c r="D139" s="261">
        <f t="shared" si="6"/>
        <v>-5.4968825550324235E-3</v>
      </c>
      <c r="E139" s="259">
        <v>1.8206608918832249E-2</v>
      </c>
    </row>
    <row r="140" spans="2:5" x14ac:dyDescent="0.3">
      <c r="B140" s="102">
        <v>46007.645833333336</v>
      </c>
      <c r="C140" s="108">
        <v>3929.5</v>
      </c>
      <c r="D140" s="261">
        <f t="shared" si="6"/>
        <v>1.6372665666546011E-2</v>
      </c>
      <c r="E140" s="259">
        <v>1.8176634115047399E-2</v>
      </c>
    </row>
    <row r="141" spans="2:5" x14ac:dyDescent="0.3">
      <c r="B141" s="102">
        <v>46006.645833333336</v>
      </c>
      <c r="C141" s="108">
        <v>3866.2</v>
      </c>
      <c r="D141" s="261">
        <f t="shared" si="6"/>
        <v>-3.6080614401319522E-3</v>
      </c>
      <c r="E141" s="259">
        <v>1.8158430058633424E-2</v>
      </c>
    </row>
    <row r="142" spans="2:5" x14ac:dyDescent="0.3">
      <c r="B142" s="102">
        <v>46003.645833333336</v>
      </c>
      <c r="C142" s="108">
        <v>3880.2</v>
      </c>
      <c r="D142" s="261">
        <f t="shared" si="6"/>
        <v>9.207240948813887E-3</v>
      </c>
      <c r="E142" s="259">
        <v>1.8102923563252205E-2</v>
      </c>
    </row>
    <row r="143" spans="2:5" x14ac:dyDescent="0.3">
      <c r="B143" s="102">
        <v>46002.645833333336</v>
      </c>
      <c r="C143" s="108">
        <v>3844.8</v>
      </c>
      <c r="D143" s="261">
        <f t="shared" si="6"/>
        <v>-2.3402761525850594E-4</v>
      </c>
      <c r="E143" s="259">
        <v>1.7892963170986084E-2</v>
      </c>
    </row>
    <row r="144" spans="2:5" x14ac:dyDescent="0.3">
      <c r="B144" s="102">
        <v>46001.645833333336</v>
      </c>
      <c r="C144" s="108">
        <v>3845.7</v>
      </c>
      <c r="D144" s="261">
        <f t="shared" si="6"/>
        <v>-8.5736554949342213E-4</v>
      </c>
      <c r="E144" s="259">
        <v>1.7875368150934514E-2</v>
      </c>
    </row>
    <row r="145" spans="2:5" x14ac:dyDescent="0.3">
      <c r="B145" s="102">
        <v>46000.645833333336</v>
      </c>
      <c r="C145" s="108">
        <v>3849</v>
      </c>
      <c r="D145" s="261">
        <f t="shared" si="6"/>
        <v>2.1767985134058934E-2</v>
      </c>
      <c r="E145" s="259">
        <v>1.7811650360728695E-2</v>
      </c>
    </row>
    <row r="146" spans="2:5" x14ac:dyDescent="0.3">
      <c r="B146" s="102">
        <v>45999.645833333336</v>
      </c>
      <c r="C146" s="108">
        <v>3767</v>
      </c>
      <c r="D146" s="261">
        <f t="shared" si="6"/>
        <v>-1.2141714525476669E-2</v>
      </c>
      <c r="E146" s="259">
        <v>1.7805478608802681E-2</v>
      </c>
    </row>
    <row r="147" spans="2:5" x14ac:dyDescent="0.3">
      <c r="B147" s="102">
        <v>45996.645833333336</v>
      </c>
      <c r="C147" s="108">
        <v>3813.3</v>
      </c>
      <c r="D147" s="261">
        <f t="shared" si="6"/>
        <v>3.394379538995919E-3</v>
      </c>
      <c r="E147" s="259">
        <v>1.7803350820781827E-2</v>
      </c>
    </row>
    <row r="148" spans="2:5" x14ac:dyDescent="0.3">
      <c r="B148" s="102">
        <v>45995.645833333336</v>
      </c>
      <c r="C148" s="108">
        <v>3800.4</v>
      </c>
      <c r="D148" s="261">
        <f t="shared" si="6"/>
        <v>-4.5575986170045815E-3</v>
      </c>
      <c r="E148" s="259">
        <v>1.760930201297177E-2</v>
      </c>
    </row>
    <row r="149" spans="2:5" x14ac:dyDescent="0.3">
      <c r="B149" s="102">
        <v>45994.645833333336</v>
      </c>
      <c r="C149" s="108">
        <v>3817.8</v>
      </c>
      <c r="D149" s="261">
        <f t="shared" si="6"/>
        <v>-1.74996139791034E-2</v>
      </c>
      <c r="E149" s="259">
        <v>1.7507848345810192E-2</v>
      </c>
    </row>
    <row r="150" spans="2:5" x14ac:dyDescent="0.3">
      <c r="B150" s="102">
        <v>45993.645833333336</v>
      </c>
      <c r="C150" s="108">
        <v>3885.8</v>
      </c>
      <c r="D150" s="261">
        <f t="shared" si="6"/>
        <v>-2.3363886107473641E-3</v>
      </c>
      <c r="E150" s="259">
        <v>1.7330852834622539E-2</v>
      </c>
    </row>
    <row r="151" spans="2:5" x14ac:dyDescent="0.3">
      <c r="B151" s="102">
        <v>45992.645833333336</v>
      </c>
      <c r="C151" s="108">
        <v>3894.9</v>
      </c>
      <c r="D151" s="261">
        <f t="shared" si="6"/>
        <v>-3.2755841031808296E-3</v>
      </c>
      <c r="E151" s="259">
        <v>1.7329374101053174E-2</v>
      </c>
    </row>
    <row r="152" spans="2:5" x14ac:dyDescent="0.3">
      <c r="B152" s="102">
        <v>45989.645833333336</v>
      </c>
      <c r="C152" s="108">
        <v>3907.7</v>
      </c>
      <c r="D152" s="261">
        <f t="shared" si="6"/>
        <v>1.127251300181804E-3</v>
      </c>
      <c r="E152" s="259">
        <v>1.7013794299016883E-2</v>
      </c>
    </row>
    <row r="153" spans="2:5" x14ac:dyDescent="0.3">
      <c r="B153" s="102">
        <v>45988.645833333336</v>
      </c>
      <c r="C153" s="108">
        <v>3903.3</v>
      </c>
      <c r="D153" s="261">
        <f t="shared" si="6"/>
        <v>1.4367447469021126E-3</v>
      </c>
      <c r="E153" s="259">
        <v>1.6980515946445965E-2</v>
      </c>
    </row>
    <row r="154" spans="2:5" x14ac:dyDescent="0.3">
      <c r="B154" s="102">
        <v>45987.645833333336</v>
      </c>
      <c r="C154" s="108">
        <v>3897.7</v>
      </c>
      <c r="D154" s="261">
        <f t="shared" si="6"/>
        <v>1.1050297009156678E-2</v>
      </c>
      <c r="E154" s="259">
        <v>1.6931022890498484E-2</v>
      </c>
    </row>
    <row r="155" spans="2:5" x14ac:dyDescent="0.3">
      <c r="B155" s="102">
        <v>45986.645833333336</v>
      </c>
      <c r="C155" s="108">
        <v>3855.1</v>
      </c>
      <c r="D155" s="261">
        <f t="shared" si="6"/>
        <v>-4.9557339390342179E-3</v>
      </c>
      <c r="E155" s="259">
        <v>1.6862745098039165E-2</v>
      </c>
    </row>
    <row r="156" spans="2:5" x14ac:dyDescent="0.3">
      <c r="B156" s="102">
        <v>45985.645833333336</v>
      </c>
      <c r="C156" s="108">
        <v>3874.3</v>
      </c>
      <c r="D156" s="261">
        <f t="shared" si="6"/>
        <v>-7.6584191383637203E-3</v>
      </c>
      <c r="E156" s="259">
        <v>1.6839563767315324E-2</v>
      </c>
    </row>
    <row r="157" spans="2:5" x14ac:dyDescent="0.3">
      <c r="B157" s="102">
        <v>45982.645833333336</v>
      </c>
      <c r="C157" s="108">
        <v>3904.2</v>
      </c>
      <c r="D157" s="261">
        <f t="shared" si="6"/>
        <v>4.6125461254605552E-4</v>
      </c>
      <c r="E157" s="259">
        <v>1.6839501474645652E-2</v>
      </c>
    </row>
    <row r="158" spans="2:5" x14ac:dyDescent="0.3">
      <c r="B158" s="102">
        <v>45981.645833333336</v>
      </c>
      <c r="C158" s="108">
        <v>3902.4</v>
      </c>
      <c r="D158" s="261">
        <f t="shared" si="6"/>
        <v>-7.8055477867330653E-3</v>
      </c>
      <c r="E158" s="259">
        <v>1.6715896885069879E-2</v>
      </c>
    </row>
    <row r="159" spans="2:5" x14ac:dyDescent="0.3">
      <c r="B159" s="102">
        <v>45980.645833333336</v>
      </c>
      <c r="C159" s="108">
        <v>3933.1</v>
      </c>
      <c r="D159" s="261">
        <f t="shared" si="6"/>
        <v>1.3894617446896291E-2</v>
      </c>
      <c r="E159" s="259">
        <v>1.6699480177334546E-2</v>
      </c>
    </row>
    <row r="160" spans="2:5" x14ac:dyDescent="0.3">
      <c r="B160" s="102">
        <v>45979.645833333336</v>
      </c>
      <c r="C160" s="108">
        <v>3879.2</v>
      </c>
      <c r="D160" s="261">
        <f t="shared" si="6"/>
        <v>2.7400093056919581E-3</v>
      </c>
      <c r="E160" s="259">
        <v>1.6660906629802536E-2</v>
      </c>
    </row>
    <row r="161" spans="2:5" x14ac:dyDescent="0.3">
      <c r="B161" s="102">
        <v>45978.645833333336</v>
      </c>
      <c r="C161" s="108">
        <v>3868.6</v>
      </c>
      <c r="D161" s="261">
        <f t="shared" si="6"/>
        <v>1.0289355478951242E-2</v>
      </c>
      <c r="E161" s="259">
        <v>1.6606347884572239E-2</v>
      </c>
    </row>
    <row r="162" spans="2:5" x14ac:dyDescent="0.3">
      <c r="B162" s="102">
        <v>45975.645833333336</v>
      </c>
      <c r="C162" s="108">
        <v>3829.2</v>
      </c>
      <c r="D162" s="261">
        <f t="shared" si="6"/>
        <v>-2.6047093144405085E-3</v>
      </c>
      <c r="E162" s="259">
        <v>1.6575314359410318E-2</v>
      </c>
    </row>
    <row r="163" spans="2:5" x14ac:dyDescent="0.3">
      <c r="B163" s="102">
        <v>45974.645833333336</v>
      </c>
      <c r="C163" s="108">
        <v>3839.2</v>
      </c>
      <c r="D163" s="261">
        <f t="shared" si="6"/>
        <v>-3.0900262262730364E-3</v>
      </c>
      <c r="E163" s="259">
        <v>1.6548591206532983E-2</v>
      </c>
    </row>
    <row r="164" spans="2:5" x14ac:dyDescent="0.3">
      <c r="B164" s="102">
        <v>45973.645833333336</v>
      </c>
      <c r="C164" s="108">
        <v>3851.1</v>
      </c>
      <c r="D164" s="261">
        <f t="shared" si="6"/>
        <v>1.0151085930122709E-2</v>
      </c>
      <c r="E164" s="259">
        <v>1.6517983797244784E-2</v>
      </c>
    </row>
    <row r="165" spans="2:5" x14ac:dyDescent="0.3">
      <c r="B165" s="102">
        <v>45972.645833333336</v>
      </c>
      <c r="C165" s="108">
        <v>3812.4</v>
      </c>
      <c r="D165" s="261">
        <f t="shared" si="6"/>
        <v>2.4717328424927929E-3</v>
      </c>
      <c r="E165" s="259">
        <v>1.6372665666546011E-2</v>
      </c>
    </row>
    <row r="166" spans="2:5" x14ac:dyDescent="0.3">
      <c r="B166" s="102">
        <v>45971.645833333336</v>
      </c>
      <c r="C166" s="108">
        <v>3803</v>
      </c>
      <c r="D166" s="261">
        <f t="shared" si="6"/>
        <v>8.940652110471391E-3</v>
      </c>
      <c r="E166" s="259">
        <v>1.6348085185628657E-2</v>
      </c>
    </row>
    <row r="167" spans="2:5" x14ac:dyDescent="0.3">
      <c r="B167" s="102">
        <v>45968.645833333336</v>
      </c>
      <c r="C167" s="108">
        <v>3769.3</v>
      </c>
      <c r="D167" s="261">
        <f t="shared" si="6"/>
        <v>-1.3512081390419429E-3</v>
      </c>
      <c r="E167" s="259">
        <v>1.6311202843710609E-2</v>
      </c>
    </row>
    <row r="168" spans="2:5" x14ac:dyDescent="0.3">
      <c r="B168" s="102">
        <v>45967.645833333336</v>
      </c>
      <c r="C168" s="108">
        <v>3774.4</v>
      </c>
      <c r="D168" s="261">
        <f t="shared" si="6"/>
        <v>-1.0253048380752566E-2</v>
      </c>
      <c r="E168" s="259">
        <v>1.626016260162607E-2</v>
      </c>
    </row>
    <row r="169" spans="2:5" x14ac:dyDescent="0.3">
      <c r="B169" s="102">
        <v>45965.645833333336</v>
      </c>
      <c r="C169" s="108">
        <v>3813.5</v>
      </c>
      <c r="D169" s="261">
        <f t="shared" si="6"/>
        <v>2.389582494294536E-2</v>
      </c>
      <c r="E169" s="259">
        <v>1.5996800639872025E-2</v>
      </c>
    </row>
    <row r="170" spans="2:5" x14ac:dyDescent="0.3">
      <c r="B170" s="102">
        <v>45964.645833333336</v>
      </c>
      <c r="C170" s="108">
        <v>3724.5</v>
      </c>
      <c r="D170" s="261">
        <f t="shared" si="6"/>
        <v>-5.9252141884858197E-3</v>
      </c>
      <c r="E170" s="259">
        <v>1.5953196347031989E-2</v>
      </c>
    </row>
    <row r="171" spans="2:5" x14ac:dyDescent="0.3">
      <c r="B171" s="102">
        <v>45961.645833333336</v>
      </c>
      <c r="C171" s="108">
        <v>3746.7</v>
      </c>
      <c r="D171" s="261">
        <f t="shared" si="6"/>
        <v>-1.0664675927160264E-3</v>
      </c>
      <c r="E171" s="259">
        <v>1.5922912557527941E-2</v>
      </c>
    </row>
    <row r="172" spans="2:5" x14ac:dyDescent="0.3">
      <c r="B172" s="102">
        <v>45960.645833333336</v>
      </c>
      <c r="C172" s="108">
        <v>3750.7</v>
      </c>
      <c r="D172" s="261">
        <f t="shared" si="6"/>
        <v>6.4029026492000006E-4</v>
      </c>
      <c r="E172" s="259">
        <v>1.5921595598349443E-2</v>
      </c>
    </row>
    <row r="173" spans="2:5" x14ac:dyDescent="0.3">
      <c r="B173" s="102">
        <v>45959.645833333336</v>
      </c>
      <c r="C173" s="108">
        <v>3748.3</v>
      </c>
      <c r="D173" s="261">
        <f t="shared" si="6"/>
        <v>8.4207694377186389E-3</v>
      </c>
      <c r="E173" s="259">
        <v>1.5904920038451495E-2</v>
      </c>
    </row>
    <row r="174" spans="2:5" x14ac:dyDescent="0.3">
      <c r="B174" s="102">
        <v>45958.645833333336</v>
      </c>
      <c r="C174" s="108">
        <v>3717</v>
      </c>
      <c r="D174" s="261">
        <f t="shared" si="6"/>
        <v>-6.096582704957533E-3</v>
      </c>
      <c r="E174" s="259">
        <v>1.5748532185930222E-2</v>
      </c>
    </row>
    <row r="175" spans="2:5" x14ac:dyDescent="0.3">
      <c r="B175" s="102">
        <v>45957.645833333336</v>
      </c>
      <c r="C175" s="108">
        <v>3739.8</v>
      </c>
      <c r="D175" s="261">
        <f t="shared" si="6"/>
        <v>6.7027376241621823E-3</v>
      </c>
      <c r="E175" s="259">
        <v>1.5742188116779531E-2</v>
      </c>
    </row>
    <row r="176" spans="2:5" x14ac:dyDescent="0.3">
      <c r="B176" s="102">
        <v>45954.645833333336</v>
      </c>
      <c r="C176" s="108">
        <v>3714.9</v>
      </c>
      <c r="D176" s="261">
        <f t="shared" si="6"/>
        <v>-1.5216181109667866E-2</v>
      </c>
      <c r="E176" s="259">
        <v>1.5741640164468773E-2</v>
      </c>
    </row>
    <row r="177" spans="2:5" x14ac:dyDescent="0.3">
      <c r="B177" s="102">
        <v>45953.645833333336</v>
      </c>
      <c r="C177" s="108">
        <v>3772.3</v>
      </c>
      <c r="D177" s="261">
        <f t="shared" si="6"/>
        <v>1.1611692142665643E-2</v>
      </c>
      <c r="E177" s="259">
        <v>1.5687617052983577E-2</v>
      </c>
    </row>
    <row r="178" spans="2:5" x14ac:dyDescent="0.3">
      <c r="B178" s="102">
        <v>45951.645833333336</v>
      </c>
      <c r="C178" s="108">
        <v>3729</v>
      </c>
      <c r="D178" s="261">
        <f t="shared" si="6"/>
        <v>-2.1941560526596965E-3</v>
      </c>
      <c r="E178" s="259">
        <v>1.542675313167124E-2</v>
      </c>
    </row>
    <row r="179" spans="2:5" x14ac:dyDescent="0.3">
      <c r="B179" s="102">
        <v>45950.645833333336</v>
      </c>
      <c r="C179" s="108">
        <v>3737.2</v>
      </c>
      <c r="D179" s="261">
        <f t="shared" si="6"/>
        <v>1.6980515946445965E-2</v>
      </c>
      <c r="E179" s="259">
        <v>1.5069232723577177E-2</v>
      </c>
    </row>
    <row r="180" spans="2:5" x14ac:dyDescent="0.3">
      <c r="B180" s="102">
        <v>45947.645833333336</v>
      </c>
      <c r="C180" s="108">
        <v>3674.8</v>
      </c>
      <c r="D180" s="261">
        <f t="shared" si="6"/>
        <v>9.4772408867401028E-3</v>
      </c>
      <c r="E180" s="259">
        <v>1.5016738402678144E-2</v>
      </c>
    </row>
    <row r="181" spans="2:5" x14ac:dyDescent="0.3">
      <c r="B181" s="102">
        <v>45946.645833333336</v>
      </c>
      <c r="C181" s="108">
        <v>3640.3</v>
      </c>
      <c r="D181" s="261">
        <f t="shared" si="6"/>
        <v>2.5725556494787315E-2</v>
      </c>
      <c r="E181" s="259">
        <v>1.4984474261459107E-2</v>
      </c>
    </row>
    <row r="182" spans="2:5" x14ac:dyDescent="0.3">
      <c r="B182" s="102">
        <v>45945.645833333336</v>
      </c>
      <c r="C182" s="108">
        <v>3549</v>
      </c>
      <c r="D182" s="261">
        <f t="shared" si="6"/>
        <v>3.2792446429580789E-3</v>
      </c>
      <c r="E182" s="259">
        <v>1.4924772169057916E-2</v>
      </c>
    </row>
    <row r="183" spans="2:5" x14ac:dyDescent="0.3">
      <c r="B183" s="102">
        <v>45944.645833333336</v>
      </c>
      <c r="C183" s="108">
        <v>3537.4</v>
      </c>
      <c r="D183" s="261">
        <f t="shared" si="6"/>
        <v>1.0753905365633296E-3</v>
      </c>
      <c r="E183" s="259">
        <v>1.4685346186765128E-2</v>
      </c>
    </row>
    <row r="184" spans="2:5" x14ac:dyDescent="0.3">
      <c r="B184" s="102">
        <v>45943.645833333336</v>
      </c>
      <c r="C184" s="108">
        <v>3533.6</v>
      </c>
      <c r="D184" s="261">
        <f t="shared" si="6"/>
        <v>4.8132733089833177E-4</v>
      </c>
      <c r="E184" s="259">
        <v>1.4678346210963523E-2</v>
      </c>
    </row>
    <row r="185" spans="2:5" x14ac:dyDescent="0.3">
      <c r="B185" s="102">
        <v>45940.645833333336</v>
      </c>
      <c r="C185" s="108">
        <v>3531.9</v>
      </c>
      <c r="D185" s="261">
        <f t="shared" si="6"/>
        <v>-5.266715484706759E-3</v>
      </c>
      <c r="E185" s="259">
        <v>1.4642238892094766E-2</v>
      </c>
    </row>
    <row r="186" spans="2:5" x14ac:dyDescent="0.3">
      <c r="B186" s="102">
        <v>45939.645833333336</v>
      </c>
      <c r="C186" s="108">
        <v>3550.6</v>
      </c>
      <c r="D186" s="261">
        <f t="shared" si="6"/>
        <v>-4.2068656046668164E-3</v>
      </c>
      <c r="E186" s="259">
        <v>1.4632724850654659E-2</v>
      </c>
    </row>
    <row r="187" spans="2:5" x14ac:dyDescent="0.3">
      <c r="B187" s="102">
        <v>45938.645833333336</v>
      </c>
      <c r="C187" s="108">
        <v>3565.6</v>
      </c>
      <c r="D187" s="261">
        <f t="shared" si="6"/>
        <v>4.312211105260081E-2</v>
      </c>
      <c r="E187" s="259">
        <v>1.4541832669322683E-2</v>
      </c>
    </row>
    <row r="188" spans="2:5" x14ac:dyDescent="0.3">
      <c r="B188" s="102">
        <v>45937.645833333336</v>
      </c>
      <c r="C188" s="108">
        <v>3418.2</v>
      </c>
      <c r="D188" s="261">
        <f t="shared" si="6"/>
        <v>-2.1019442984761701E-3</v>
      </c>
      <c r="E188" s="259">
        <v>1.4525456909305531E-2</v>
      </c>
    </row>
    <row r="189" spans="2:5" x14ac:dyDescent="0.3">
      <c r="B189" s="102">
        <v>45936.645833333336</v>
      </c>
      <c r="C189" s="108">
        <v>3425.4</v>
      </c>
      <c r="D189" s="261">
        <f t="shared" si="6"/>
        <v>-8.0792285639823044E-3</v>
      </c>
      <c r="E189" s="259">
        <v>1.4457345227955351E-2</v>
      </c>
    </row>
    <row r="190" spans="2:5" x14ac:dyDescent="0.3">
      <c r="B190" s="102">
        <v>45933.645833333336</v>
      </c>
      <c r="C190" s="108">
        <v>3453.3</v>
      </c>
      <c r="D190" s="261">
        <f t="shared" si="6"/>
        <v>1.3203063110641669E-2</v>
      </c>
      <c r="E190" s="259">
        <v>1.4321899167362801E-2</v>
      </c>
    </row>
    <row r="191" spans="2:5" x14ac:dyDescent="0.3">
      <c r="B191" s="102">
        <v>45931.645833333336</v>
      </c>
      <c r="C191" s="108">
        <v>3408.3</v>
      </c>
      <c r="D191" s="261">
        <f t="shared" si="6"/>
        <v>1.2266112266112321E-2</v>
      </c>
      <c r="E191" s="259">
        <v>1.4299352482151867E-2</v>
      </c>
    </row>
    <row r="192" spans="2:5" x14ac:dyDescent="0.3">
      <c r="B192" s="102">
        <v>45930.645833333336</v>
      </c>
      <c r="C192" s="108">
        <v>3367</v>
      </c>
      <c r="D192" s="261">
        <f t="shared" si="6"/>
        <v>-1.005527460896149E-2</v>
      </c>
      <c r="E192" s="259">
        <v>1.4282767866350323E-2</v>
      </c>
    </row>
    <row r="193" spans="2:5" x14ac:dyDescent="0.3">
      <c r="B193" s="102">
        <v>45929.645833333336</v>
      </c>
      <c r="C193" s="108">
        <v>3401.2</v>
      </c>
      <c r="D193" s="261">
        <f t="shared" si="6"/>
        <v>2.2210200462837625E-2</v>
      </c>
      <c r="E193" s="259">
        <v>1.4032420438436131E-2</v>
      </c>
    </row>
    <row r="194" spans="2:5" x14ac:dyDescent="0.3">
      <c r="B194" s="102">
        <v>45926.645833333336</v>
      </c>
      <c r="C194" s="108">
        <v>3327.3</v>
      </c>
      <c r="D194" s="261">
        <f t="shared" si="6"/>
        <v>-1.5154654432440379E-2</v>
      </c>
      <c r="E194" s="259">
        <v>1.3916154081053804E-2</v>
      </c>
    </row>
    <row r="195" spans="2:5" x14ac:dyDescent="0.3">
      <c r="B195" s="102">
        <v>45925.645833333336</v>
      </c>
      <c r="C195" s="108">
        <v>3378.5</v>
      </c>
      <c r="D195" s="261">
        <f t="shared" ref="D195:D258" si="7">(C195-C196)/C196</f>
        <v>-1.1643214463329778E-2</v>
      </c>
      <c r="E195" s="259">
        <v>1.3911878300622576E-2</v>
      </c>
    </row>
    <row r="196" spans="2:5" x14ac:dyDescent="0.3">
      <c r="B196" s="102">
        <v>45924.645833333336</v>
      </c>
      <c r="C196" s="108">
        <v>3418.3</v>
      </c>
      <c r="D196" s="261">
        <f t="shared" si="7"/>
        <v>-6.0769946499184806E-3</v>
      </c>
      <c r="E196" s="259">
        <v>1.3894617446896291E-2</v>
      </c>
    </row>
    <row r="197" spans="2:5" x14ac:dyDescent="0.3">
      <c r="B197" s="102">
        <v>45923.645833333336</v>
      </c>
      <c r="C197" s="108">
        <v>3439.2</v>
      </c>
      <c r="D197" s="261">
        <f t="shared" si="7"/>
        <v>-5.2928416485900744E-3</v>
      </c>
      <c r="E197" s="259">
        <v>1.3831937059781437E-2</v>
      </c>
    </row>
    <row r="198" spans="2:5" x14ac:dyDescent="0.3">
      <c r="B198" s="102">
        <v>45922.645833333336</v>
      </c>
      <c r="C198" s="108">
        <v>3457.5</v>
      </c>
      <c r="D198" s="261">
        <f t="shared" si="7"/>
        <v>-2.7976465159205753E-3</v>
      </c>
      <c r="E198" s="259">
        <v>1.3807029928912586E-2</v>
      </c>
    </row>
    <row r="199" spans="2:5" x14ac:dyDescent="0.3">
      <c r="B199" s="102">
        <v>45919.645833333336</v>
      </c>
      <c r="C199" s="108">
        <v>3467.2</v>
      </c>
      <c r="D199" s="261">
        <f t="shared" si="7"/>
        <v>-1.2559450915615403E-2</v>
      </c>
      <c r="E199" s="259">
        <v>1.3736263736263736E-2</v>
      </c>
    </row>
    <row r="200" spans="2:5" x14ac:dyDescent="0.3">
      <c r="B200" s="102">
        <v>45918.645833333336</v>
      </c>
      <c r="C200" s="108">
        <v>3511.3</v>
      </c>
      <c r="D200" s="261">
        <f t="shared" si="7"/>
        <v>-3.3210332103320518E-3</v>
      </c>
      <c r="E200" s="259">
        <v>1.3725831736631281E-2</v>
      </c>
    </row>
    <row r="201" spans="2:5" x14ac:dyDescent="0.3">
      <c r="B201" s="102">
        <v>45917.645833333336</v>
      </c>
      <c r="C201" s="108">
        <v>3523</v>
      </c>
      <c r="D201" s="261">
        <f t="shared" si="7"/>
        <v>-9.5029239766082386E-3</v>
      </c>
      <c r="E201" s="259">
        <v>1.371390344520021E-2</v>
      </c>
    </row>
    <row r="202" spans="2:5" x14ac:dyDescent="0.3">
      <c r="B202" s="102">
        <v>45916.645833333336</v>
      </c>
      <c r="C202" s="108">
        <v>3556.8</v>
      </c>
      <c r="D202" s="261">
        <f t="shared" si="7"/>
        <v>6.4231346028692663E-3</v>
      </c>
      <c r="E202" s="259">
        <v>1.3602612687555872E-2</v>
      </c>
    </row>
    <row r="203" spans="2:5" x14ac:dyDescent="0.3">
      <c r="B203" s="102">
        <v>45915.645833333336</v>
      </c>
      <c r="C203" s="108">
        <v>3534.1</v>
      </c>
      <c r="D203" s="261">
        <f t="shared" si="7"/>
        <v>-1.0582603096391327E-2</v>
      </c>
      <c r="E203" s="259">
        <v>1.3509037569792621E-2</v>
      </c>
    </row>
    <row r="204" spans="2:5" x14ac:dyDescent="0.3">
      <c r="B204" s="102">
        <v>45912.645833333336</v>
      </c>
      <c r="C204" s="108">
        <v>3571.9</v>
      </c>
      <c r="D204" s="261">
        <f t="shared" si="7"/>
        <v>-3.4317281401706735E-3</v>
      </c>
      <c r="E204" s="259">
        <v>1.350090078357314E-2</v>
      </c>
    </row>
    <row r="205" spans="2:5" x14ac:dyDescent="0.3">
      <c r="B205" s="102">
        <v>45911.645833333336</v>
      </c>
      <c r="C205" s="108">
        <v>3584.2</v>
      </c>
      <c r="D205" s="261">
        <f t="shared" si="7"/>
        <v>-1.0053582279180271E-2</v>
      </c>
      <c r="E205" s="259">
        <v>1.3485071709913079E-2</v>
      </c>
    </row>
    <row r="206" spans="2:5" x14ac:dyDescent="0.3">
      <c r="B206" s="102">
        <v>45910.645833333336</v>
      </c>
      <c r="C206" s="108">
        <v>3620.6</v>
      </c>
      <c r="D206" s="261">
        <f t="shared" si="7"/>
        <v>-2.6170077959284869E-3</v>
      </c>
      <c r="E206" s="259">
        <v>1.3445789023346779E-2</v>
      </c>
    </row>
    <row r="207" spans="2:5" x14ac:dyDescent="0.3">
      <c r="B207" s="102">
        <v>45909.645833333336</v>
      </c>
      <c r="C207" s="108">
        <v>3630.1</v>
      </c>
      <c r="D207" s="261">
        <f t="shared" si="7"/>
        <v>-7.6271186440678212E-3</v>
      </c>
      <c r="E207" s="259">
        <v>1.3385686239514546E-2</v>
      </c>
    </row>
    <row r="208" spans="2:5" x14ac:dyDescent="0.3">
      <c r="B208" s="102">
        <v>45908.645833333336</v>
      </c>
      <c r="C208" s="108">
        <v>3658</v>
      </c>
      <c r="D208" s="261">
        <f t="shared" si="7"/>
        <v>-1.9916514337162527E-3</v>
      </c>
      <c r="E208" s="259">
        <v>1.3379649391365865E-2</v>
      </c>
    </row>
    <row r="209" spans="2:5" x14ac:dyDescent="0.3">
      <c r="B209" s="102">
        <v>45905.645833333336</v>
      </c>
      <c r="C209" s="108">
        <v>3665.3</v>
      </c>
      <c r="D209" s="261">
        <f t="shared" si="7"/>
        <v>-6.9897862425834381E-3</v>
      </c>
      <c r="E209" s="259">
        <v>1.3378402419498277E-2</v>
      </c>
    </row>
    <row r="210" spans="2:5" x14ac:dyDescent="0.3">
      <c r="B210" s="102">
        <v>45904.645833333336</v>
      </c>
      <c r="C210" s="108">
        <v>3691.1</v>
      </c>
      <c r="D210" s="261">
        <f t="shared" si="7"/>
        <v>1.3547932585487456E-4</v>
      </c>
      <c r="E210" s="259">
        <v>1.3352056359481971E-2</v>
      </c>
    </row>
    <row r="211" spans="2:5" x14ac:dyDescent="0.3">
      <c r="B211" s="102">
        <v>45903.645833333336</v>
      </c>
      <c r="C211" s="108">
        <v>3690.6</v>
      </c>
      <c r="D211" s="261">
        <f t="shared" si="7"/>
        <v>1.9333812075346627E-2</v>
      </c>
      <c r="E211" s="259">
        <v>1.3340395246449643E-2</v>
      </c>
    </row>
    <row r="212" spans="2:5" x14ac:dyDescent="0.3">
      <c r="B212" s="102">
        <v>45902.645833333336</v>
      </c>
      <c r="C212" s="108">
        <v>3620.6</v>
      </c>
      <c r="D212" s="261">
        <f t="shared" si="7"/>
        <v>5.5269993920300674E-4</v>
      </c>
      <c r="E212" s="259">
        <v>1.3293246533817025E-2</v>
      </c>
    </row>
    <row r="213" spans="2:5" x14ac:dyDescent="0.3">
      <c r="B213" s="102">
        <v>45901.645833333336</v>
      </c>
      <c r="C213" s="108">
        <v>3618.6</v>
      </c>
      <c r="D213" s="261">
        <f t="shared" si="7"/>
        <v>-2.8108465608466357E-3</v>
      </c>
      <c r="E213" s="259">
        <v>1.324122049510643E-2</v>
      </c>
    </row>
    <row r="214" spans="2:5" x14ac:dyDescent="0.3">
      <c r="B214" s="102">
        <v>45898.645833333336</v>
      </c>
      <c r="C214" s="108">
        <v>3628.8</v>
      </c>
      <c r="D214" s="261">
        <f t="shared" si="7"/>
        <v>-2.4466008741786394E-3</v>
      </c>
      <c r="E214" s="259">
        <v>1.3226256983240198E-2</v>
      </c>
    </row>
    <row r="215" spans="2:5" x14ac:dyDescent="0.3">
      <c r="B215" s="102">
        <v>45897.645833333336</v>
      </c>
      <c r="C215" s="108">
        <v>3637.7</v>
      </c>
      <c r="D215" s="261">
        <f t="shared" si="7"/>
        <v>1.2159154145798502E-2</v>
      </c>
      <c r="E215" s="259">
        <v>1.3226184496902554E-2</v>
      </c>
    </row>
    <row r="216" spans="2:5" x14ac:dyDescent="0.3">
      <c r="B216" s="102">
        <v>45895.645833333336</v>
      </c>
      <c r="C216" s="108">
        <v>3594</v>
      </c>
      <c r="D216" s="261">
        <f t="shared" si="7"/>
        <v>-1.5719997809059562E-2</v>
      </c>
      <c r="E216" s="259">
        <v>1.3203063110641669E-2</v>
      </c>
    </row>
    <row r="217" spans="2:5" x14ac:dyDescent="0.3">
      <c r="B217" s="102">
        <v>45894.645833333336</v>
      </c>
      <c r="C217" s="108">
        <v>3651.4</v>
      </c>
      <c r="D217" s="261">
        <f t="shared" si="7"/>
        <v>8.3954708644021232E-3</v>
      </c>
      <c r="E217" s="259">
        <v>1.3186859263297039E-2</v>
      </c>
    </row>
    <row r="218" spans="2:5" x14ac:dyDescent="0.3">
      <c r="B218" s="102">
        <v>45891.645833333336</v>
      </c>
      <c r="C218" s="108">
        <v>3621</v>
      </c>
      <c r="D218" s="261">
        <f t="shared" si="7"/>
        <v>1.2996709343803938E-3</v>
      </c>
      <c r="E218" s="259">
        <v>1.3173805129510626E-2</v>
      </c>
    </row>
    <row r="219" spans="2:5" x14ac:dyDescent="0.3">
      <c r="B219" s="102">
        <v>45890.645833333336</v>
      </c>
      <c r="C219" s="108">
        <v>3616.3</v>
      </c>
      <c r="D219" s="261">
        <f t="shared" si="7"/>
        <v>5.9248956884562394E-3</v>
      </c>
      <c r="E219" s="259">
        <v>1.3110120665289745E-2</v>
      </c>
    </row>
    <row r="220" spans="2:5" x14ac:dyDescent="0.3">
      <c r="B220" s="102">
        <v>45889.645833333336</v>
      </c>
      <c r="C220" s="108">
        <v>3595</v>
      </c>
      <c r="D220" s="261">
        <f t="shared" si="7"/>
        <v>7.5390263725792694E-3</v>
      </c>
      <c r="E220" s="259">
        <v>1.3084047791206142E-2</v>
      </c>
    </row>
    <row r="221" spans="2:5" x14ac:dyDescent="0.3">
      <c r="B221" s="102">
        <v>45888.645833333336</v>
      </c>
      <c r="C221" s="108">
        <v>3568.1</v>
      </c>
      <c r="D221" s="261">
        <f t="shared" si="7"/>
        <v>3.7414200517609224E-3</v>
      </c>
      <c r="E221" s="259">
        <v>1.3041623499299129E-2</v>
      </c>
    </row>
    <row r="222" spans="2:5" x14ac:dyDescent="0.3">
      <c r="B222" s="102">
        <v>45887.645833333336</v>
      </c>
      <c r="C222" s="108">
        <v>3554.8</v>
      </c>
      <c r="D222" s="261">
        <f t="shared" si="7"/>
        <v>1.8742477216713502E-2</v>
      </c>
      <c r="E222" s="259">
        <v>1.303932453716853E-2</v>
      </c>
    </row>
    <row r="223" spans="2:5" x14ac:dyDescent="0.3">
      <c r="B223" s="102">
        <v>45883.645833333336</v>
      </c>
      <c r="C223" s="108">
        <v>3489.4</v>
      </c>
      <c r="D223" s="261">
        <f t="shared" si="7"/>
        <v>6.5189800392292342E-3</v>
      </c>
      <c r="E223" s="259">
        <v>1.3028076236203414E-2</v>
      </c>
    </row>
    <row r="224" spans="2:5" x14ac:dyDescent="0.3">
      <c r="B224" s="102">
        <v>45882.645833333336</v>
      </c>
      <c r="C224" s="108">
        <v>3466.8</v>
      </c>
      <c r="D224" s="261">
        <f t="shared" si="7"/>
        <v>-5.7359183205231154E-3</v>
      </c>
      <c r="E224" s="259">
        <v>1.2977389321679685E-2</v>
      </c>
    </row>
    <row r="225" spans="2:5" x14ac:dyDescent="0.3">
      <c r="B225" s="102">
        <v>45881.645833333336</v>
      </c>
      <c r="C225" s="108">
        <v>3486.8</v>
      </c>
      <c r="D225" s="261">
        <f t="shared" si="7"/>
        <v>5.449984140257819E-3</v>
      </c>
      <c r="E225" s="259">
        <v>1.2927977303501162E-2</v>
      </c>
    </row>
    <row r="226" spans="2:5" x14ac:dyDescent="0.3">
      <c r="B226" s="102">
        <v>45880.645833333336</v>
      </c>
      <c r="C226" s="108">
        <v>3467.9</v>
      </c>
      <c r="D226" s="261">
        <f t="shared" si="7"/>
        <v>2.2253048956708496E-3</v>
      </c>
      <c r="E226" s="259">
        <v>1.2901097692829364E-2</v>
      </c>
    </row>
    <row r="227" spans="2:5" x14ac:dyDescent="0.3">
      <c r="B227" s="102">
        <v>45877.645833333336</v>
      </c>
      <c r="C227" s="108">
        <v>3460.2</v>
      </c>
      <c r="D227" s="261">
        <f t="shared" si="7"/>
        <v>1.3028076236203414E-2</v>
      </c>
      <c r="E227" s="259">
        <v>1.2875157999941128E-2</v>
      </c>
    </row>
    <row r="228" spans="2:5" x14ac:dyDescent="0.3">
      <c r="B228" s="102">
        <v>45876.645833333336</v>
      </c>
      <c r="C228" s="108">
        <v>3415.7</v>
      </c>
      <c r="D228" s="261">
        <f t="shared" si="7"/>
        <v>-5.8518886970769816E-4</v>
      </c>
      <c r="E228" s="259">
        <v>1.2862616310892229E-2</v>
      </c>
    </row>
    <row r="229" spans="2:5" x14ac:dyDescent="0.3">
      <c r="B229" s="102">
        <v>45875.645833333336</v>
      </c>
      <c r="C229" s="108">
        <v>3417.7</v>
      </c>
      <c r="D229" s="261">
        <f t="shared" si="7"/>
        <v>-1.4627581768182084E-4</v>
      </c>
      <c r="E229" s="259">
        <v>1.2821275583055661E-2</v>
      </c>
    </row>
    <row r="230" spans="2:5" x14ac:dyDescent="0.3">
      <c r="B230" s="102">
        <v>45874.645833333336</v>
      </c>
      <c r="C230" s="108">
        <v>3418.2</v>
      </c>
      <c r="D230" s="261">
        <f t="shared" si="7"/>
        <v>1.8442928224532858E-2</v>
      </c>
      <c r="E230" s="259">
        <v>1.2793007548668979E-2</v>
      </c>
    </row>
    <row r="231" spans="2:5" x14ac:dyDescent="0.3">
      <c r="B231" s="102">
        <v>45873.645833333336</v>
      </c>
      <c r="C231" s="108">
        <v>3356.3</v>
      </c>
      <c r="D231" s="261">
        <f t="shared" si="7"/>
        <v>1.2153196622436725E-2</v>
      </c>
      <c r="E231" s="259">
        <v>1.2765461363592169E-2</v>
      </c>
    </row>
    <row r="232" spans="2:5" x14ac:dyDescent="0.3">
      <c r="B232" s="102">
        <v>45870.645833333336</v>
      </c>
      <c r="C232" s="108">
        <v>3316</v>
      </c>
      <c r="D232" s="261">
        <f t="shared" si="7"/>
        <v>-9.3508200639321783E-3</v>
      </c>
      <c r="E232" s="259">
        <v>1.2736224084153903E-2</v>
      </c>
    </row>
    <row r="233" spans="2:5" x14ac:dyDescent="0.3">
      <c r="B233" s="102">
        <v>45869.645833333336</v>
      </c>
      <c r="C233" s="108">
        <v>3347.3</v>
      </c>
      <c r="D233" s="261">
        <f t="shared" si="7"/>
        <v>-8.6480082926106375E-3</v>
      </c>
      <c r="E233" s="259">
        <v>1.2723240340842769E-2</v>
      </c>
    </row>
    <row r="234" spans="2:5" x14ac:dyDescent="0.3">
      <c r="B234" s="102">
        <v>45868.645833333336</v>
      </c>
      <c r="C234" s="108">
        <v>3376.5</v>
      </c>
      <c r="D234" s="261">
        <f t="shared" si="7"/>
        <v>-7.9900568181812798E-4</v>
      </c>
      <c r="E234" s="259">
        <v>1.2722605742710039E-2</v>
      </c>
    </row>
    <row r="235" spans="2:5" x14ac:dyDescent="0.3">
      <c r="B235" s="102">
        <v>45867.645833333336</v>
      </c>
      <c r="C235" s="108">
        <v>3379.2</v>
      </c>
      <c r="D235" s="261">
        <f t="shared" si="7"/>
        <v>-4.0671971706455002E-3</v>
      </c>
      <c r="E235" s="259">
        <v>1.2629479864842511E-2</v>
      </c>
    </row>
    <row r="236" spans="2:5" x14ac:dyDescent="0.3">
      <c r="B236" s="102">
        <v>45866.645833333336</v>
      </c>
      <c r="C236" s="108">
        <v>3393</v>
      </c>
      <c r="D236" s="261">
        <f t="shared" si="7"/>
        <v>-2.0157098301952229E-2</v>
      </c>
      <c r="E236" s="259">
        <v>1.2590235724793775E-2</v>
      </c>
    </row>
    <row r="237" spans="2:5" x14ac:dyDescent="0.3">
      <c r="B237" s="102">
        <v>45863.645833333336</v>
      </c>
      <c r="C237" s="108">
        <v>3462.8</v>
      </c>
      <c r="D237" s="261">
        <f t="shared" si="7"/>
        <v>-6.1990586614624928E-3</v>
      </c>
      <c r="E237" s="259">
        <v>1.2581236460589952E-2</v>
      </c>
    </row>
    <row r="238" spans="2:5" x14ac:dyDescent="0.3">
      <c r="B238" s="102">
        <v>45862.645833333336</v>
      </c>
      <c r="C238" s="108">
        <v>3484.4</v>
      </c>
      <c r="D238" s="261">
        <f t="shared" si="7"/>
        <v>3.7448867891916805E-3</v>
      </c>
      <c r="E238" s="259">
        <v>1.2545406883121746E-2</v>
      </c>
    </row>
    <row r="239" spans="2:5" x14ac:dyDescent="0.3">
      <c r="B239" s="102">
        <v>45861.645833333336</v>
      </c>
      <c r="C239" s="108">
        <v>3471.4</v>
      </c>
      <c r="D239" s="261">
        <f t="shared" si="7"/>
        <v>-2.8798525515493607E-4</v>
      </c>
      <c r="E239" s="259">
        <v>1.2543014196547056E-2</v>
      </c>
    </row>
    <row r="240" spans="2:5" x14ac:dyDescent="0.3">
      <c r="B240" s="102">
        <v>45860.645833333336</v>
      </c>
      <c r="C240" s="108">
        <v>3472.4</v>
      </c>
      <c r="D240" s="261">
        <f t="shared" si="7"/>
        <v>1.1476842411884675E-2</v>
      </c>
      <c r="E240" s="259">
        <v>1.2521493761297976E-2</v>
      </c>
    </row>
    <row r="241" spans="2:5" x14ac:dyDescent="0.3">
      <c r="B241" s="102">
        <v>45859.645833333336</v>
      </c>
      <c r="C241" s="108">
        <v>3433</v>
      </c>
      <c r="D241" s="261">
        <f t="shared" si="7"/>
        <v>8.8453965735108015E-3</v>
      </c>
      <c r="E241" s="259">
        <v>1.2481548302443884E-2</v>
      </c>
    </row>
    <row r="242" spans="2:5" x14ac:dyDescent="0.3">
      <c r="B242" s="102">
        <v>45856.645833333336</v>
      </c>
      <c r="C242" s="108">
        <v>3402.9</v>
      </c>
      <c r="D242" s="261">
        <f t="shared" si="7"/>
        <v>-8.8544548976203907E-3</v>
      </c>
      <c r="E242" s="259">
        <v>1.2366944068124566E-2</v>
      </c>
    </row>
    <row r="243" spans="2:5" x14ac:dyDescent="0.3">
      <c r="B243" s="102">
        <v>45855.645833333336</v>
      </c>
      <c r="C243" s="108">
        <v>3433.3</v>
      </c>
      <c r="D243" s="261">
        <f t="shared" si="7"/>
        <v>4.6820589354168492E-3</v>
      </c>
      <c r="E243" s="259">
        <v>1.2358162004269183E-2</v>
      </c>
    </row>
    <row r="244" spans="2:5" x14ac:dyDescent="0.3">
      <c r="B244" s="102">
        <v>45854.645833333336</v>
      </c>
      <c r="C244" s="108">
        <v>3417.3</v>
      </c>
      <c r="D244" s="261">
        <f t="shared" si="7"/>
        <v>6.7349926793563162E-4</v>
      </c>
      <c r="E244" s="259">
        <v>1.2335951542609374E-2</v>
      </c>
    </row>
    <row r="245" spans="2:5" x14ac:dyDescent="0.3">
      <c r="B245" s="102">
        <v>45853.645833333336</v>
      </c>
      <c r="C245" s="108">
        <v>3415</v>
      </c>
      <c r="D245" s="261">
        <f t="shared" si="7"/>
        <v>3.0252298293535944E-3</v>
      </c>
      <c r="E245" s="259">
        <v>1.2272690206311632E-2</v>
      </c>
    </row>
    <row r="246" spans="2:5" x14ac:dyDescent="0.3">
      <c r="B246" s="102">
        <v>45852.645833333336</v>
      </c>
      <c r="C246" s="108">
        <v>3404.7</v>
      </c>
      <c r="D246" s="261">
        <f t="shared" si="7"/>
        <v>1.2821275583055661E-2</v>
      </c>
      <c r="E246" s="259">
        <v>1.2266112266112321E-2</v>
      </c>
    </row>
    <row r="247" spans="2:5" x14ac:dyDescent="0.3">
      <c r="B247" s="102">
        <v>45849.645833333336</v>
      </c>
      <c r="C247" s="108">
        <v>3361.6</v>
      </c>
      <c r="D247" s="261">
        <f t="shared" si="7"/>
        <v>-1.7018539095853637E-2</v>
      </c>
      <c r="E247" s="259">
        <v>1.2210196267599263E-2</v>
      </c>
    </row>
    <row r="248" spans="2:5" x14ac:dyDescent="0.3">
      <c r="B248" s="102">
        <v>45848.645833333336</v>
      </c>
      <c r="C248" s="108">
        <v>3419.8</v>
      </c>
      <c r="D248" s="261">
        <f t="shared" si="7"/>
        <v>-3.5838116604993233E-3</v>
      </c>
      <c r="E248" s="259">
        <v>1.2206721623335448E-2</v>
      </c>
    </row>
    <row r="249" spans="2:5" x14ac:dyDescent="0.3">
      <c r="B249" s="102">
        <v>45847.645833333336</v>
      </c>
      <c r="C249" s="108">
        <v>3432.1</v>
      </c>
      <c r="D249" s="261">
        <f t="shared" si="7"/>
        <v>-2.6734083050010964E-3</v>
      </c>
      <c r="E249" s="259">
        <v>1.2167300380228169E-2</v>
      </c>
    </row>
    <row r="250" spans="2:5" x14ac:dyDescent="0.3">
      <c r="B250" s="102">
        <v>45846.645833333336</v>
      </c>
      <c r="C250" s="108">
        <v>3441.3</v>
      </c>
      <c r="D250" s="261">
        <f t="shared" si="7"/>
        <v>-6.1318567414964061E-2</v>
      </c>
      <c r="E250" s="259">
        <v>1.2159154145798502E-2</v>
      </c>
    </row>
    <row r="251" spans="2:5" x14ac:dyDescent="0.3">
      <c r="B251" s="102">
        <v>45845.645833333336</v>
      </c>
      <c r="C251" s="108">
        <v>3666.1</v>
      </c>
      <c r="D251" s="261">
        <f t="shared" si="7"/>
        <v>-5.64159592069223E-3</v>
      </c>
      <c r="E251" s="259">
        <v>1.2153196622436725E-2</v>
      </c>
    </row>
    <row r="252" spans="2:5" x14ac:dyDescent="0.3">
      <c r="B252" s="102">
        <v>45842.645833333336</v>
      </c>
      <c r="C252" s="108">
        <v>3686.9</v>
      </c>
      <c r="D252" s="261">
        <f t="shared" si="7"/>
        <v>2.2290483051078569E-3</v>
      </c>
      <c r="E252" s="259">
        <v>1.2136106433653425E-2</v>
      </c>
    </row>
    <row r="253" spans="2:5" x14ac:dyDescent="0.3">
      <c r="B253" s="102">
        <v>45841.645833333336</v>
      </c>
      <c r="C253" s="108">
        <v>3678.7</v>
      </c>
      <c r="D253" s="261">
        <f t="shared" si="7"/>
        <v>-7.9018338727077087E-3</v>
      </c>
      <c r="E253" s="259">
        <v>1.2126629422718754E-2</v>
      </c>
    </row>
    <row r="254" spans="2:5" x14ac:dyDescent="0.3">
      <c r="B254" s="102">
        <v>45840.645833333336</v>
      </c>
      <c r="C254" s="108">
        <v>3708</v>
      </c>
      <c r="D254" s="261">
        <f t="shared" si="7"/>
        <v>2.0267531414673691E-3</v>
      </c>
      <c r="E254" s="259">
        <v>1.2104043265516324E-2</v>
      </c>
    </row>
    <row r="255" spans="2:5" x14ac:dyDescent="0.3">
      <c r="B255" s="102">
        <v>45839.645833333336</v>
      </c>
      <c r="C255" s="108">
        <v>3700.5</v>
      </c>
      <c r="D255" s="261">
        <f t="shared" si="7"/>
        <v>2.7911766299930038E-3</v>
      </c>
      <c r="E255" s="259">
        <v>1.2057104815444895E-2</v>
      </c>
    </row>
    <row r="256" spans="2:5" x14ac:dyDescent="0.3">
      <c r="B256" s="102">
        <v>45838.645833333336</v>
      </c>
      <c r="C256" s="108">
        <v>3690.2</v>
      </c>
      <c r="D256" s="261">
        <f t="shared" si="7"/>
        <v>6.5462877093448264E-3</v>
      </c>
      <c r="E256" s="259">
        <v>1.2042251693441669E-2</v>
      </c>
    </row>
    <row r="257" spans="2:5" x14ac:dyDescent="0.3">
      <c r="B257" s="102">
        <v>45835.645833333336</v>
      </c>
      <c r="C257" s="108">
        <v>3666.2</v>
      </c>
      <c r="D257" s="261">
        <f t="shared" si="7"/>
        <v>-7.7137521314315106E-3</v>
      </c>
      <c r="E257" s="259">
        <v>1.2002545994604888E-2</v>
      </c>
    </row>
    <row r="258" spans="2:5" x14ac:dyDescent="0.3">
      <c r="B258" s="102">
        <v>45834.645833333336</v>
      </c>
      <c r="C258" s="108">
        <v>3694.7</v>
      </c>
      <c r="D258" s="261">
        <f t="shared" si="7"/>
        <v>1.1636821641750179E-2</v>
      </c>
      <c r="E258" s="259">
        <v>1.197486686765659E-2</v>
      </c>
    </row>
    <row r="259" spans="2:5" x14ac:dyDescent="0.3">
      <c r="B259" s="102">
        <v>45833.645833333336</v>
      </c>
      <c r="C259" s="108">
        <v>3652.2</v>
      </c>
      <c r="D259" s="261">
        <f t="shared" ref="D259:D322" si="8">(C259-C260)/C260</f>
        <v>3.5791264889393028E-2</v>
      </c>
      <c r="E259" s="259">
        <v>1.1963927196129385E-2</v>
      </c>
    </row>
    <row r="260" spans="2:5" x14ac:dyDescent="0.3">
      <c r="B260" s="102">
        <v>45832.645833333336</v>
      </c>
      <c r="C260" s="108">
        <v>3526</v>
      </c>
      <c r="D260" s="261">
        <f t="shared" si="8"/>
        <v>5.7905696437231318E-3</v>
      </c>
      <c r="E260" s="259">
        <v>1.1901449812977217E-2</v>
      </c>
    </row>
    <row r="261" spans="2:5" x14ac:dyDescent="0.3">
      <c r="B261" s="102">
        <v>45831.645833333336</v>
      </c>
      <c r="C261" s="108">
        <v>3505.7</v>
      </c>
      <c r="D261" s="261">
        <f t="shared" si="8"/>
        <v>-3.7794828076158516E-3</v>
      </c>
      <c r="E261" s="259">
        <v>1.1884751059447604E-2</v>
      </c>
    </row>
    <row r="262" spans="2:5" x14ac:dyDescent="0.3">
      <c r="B262" s="102">
        <v>45828.645833333336</v>
      </c>
      <c r="C262" s="108">
        <v>3519</v>
      </c>
      <c r="D262" s="261">
        <f t="shared" si="8"/>
        <v>3.8797284190106433E-3</v>
      </c>
      <c r="E262" s="259">
        <v>1.1869610277870262E-2</v>
      </c>
    </row>
    <row r="263" spans="2:5" x14ac:dyDescent="0.3">
      <c r="B263" s="102">
        <v>45827.645833333336</v>
      </c>
      <c r="C263" s="108">
        <v>3505.4</v>
      </c>
      <c r="D263" s="261">
        <f t="shared" si="8"/>
        <v>1.0842609147009605E-2</v>
      </c>
      <c r="E263" s="259">
        <v>1.1861360718870378E-2</v>
      </c>
    </row>
    <row r="264" spans="2:5" x14ac:dyDescent="0.3">
      <c r="B264" s="102">
        <v>45826.645833333336</v>
      </c>
      <c r="C264" s="108">
        <v>3467.8</v>
      </c>
      <c r="D264" s="261">
        <f t="shared" si="8"/>
        <v>1.8234136888158194E-2</v>
      </c>
      <c r="E264" s="259">
        <v>1.1805150158915511E-2</v>
      </c>
    </row>
    <row r="265" spans="2:5" x14ac:dyDescent="0.3">
      <c r="B265" s="102">
        <v>45825.645833333336</v>
      </c>
      <c r="C265" s="108">
        <v>3405.7</v>
      </c>
      <c r="D265" s="261">
        <f t="shared" si="8"/>
        <v>-9.4238096623135131E-3</v>
      </c>
      <c r="E265" s="259">
        <v>1.1636821641750179E-2</v>
      </c>
    </row>
    <row r="266" spans="2:5" x14ac:dyDescent="0.3">
      <c r="B266" s="102">
        <v>45824.645833333336</v>
      </c>
      <c r="C266" s="108">
        <v>3438.1</v>
      </c>
      <c r="D266" s="261">
        <f t="shared" si="8"/>
        <v>4.7342119874922758E-3</v>
      </c>
      <c r="E266" s="259">
        <v>1.1629642697208589E-2</v>
      </c>
    </row>
    <row r="267" spans="2:5" x14ac:dyDescent="0.3">
      <c r="B267" s="102">
        <v>45821.645833333336</v>
      </c>
      <c r="C267" s="108">
        <v>3421.9</v>
      </c>
      <c r="D267" s="261">
        <f t="shared" si="8"/>
        <v>-8.9205549280272616E-3</v>
      </c>
      <c r="E267" s="259">
        <v>1.1611692142665643E-2</v>
      </c>
    </row>
    <row r="268" spans="2:5" x14ac:dyDescent="0.3">
      <c r="B268" s="102">
        <v>45820.645833333336</v>
      </c>
      <c r="C268" s="108">
        <v>3452.7</v>
      </c>
      <c r="D268" s="261">
        <f t="shared" si="8"/>
        <v>-2.5101648972215975E-2</v>
      </c>
      <c r="E268" s="259">
        <v>1.1563397090604105E-2</v>
      </c>
    </row>
    <row r="269" spans="2:5" x14ac:dyDescent="0.3">
      <c r="B269" s="102">
        <v>45819.645833333336</v>
      </c>
      <c r="C269" s="108">
        <v>3541.6</v>
      </c>
      <c r="D269" s="261">
        <f t="shared" si="8"/>
        <v>4.9372907326485707E-3</v>
      </c>
      <c r="E269" s="259">
        <v>1.1532639773191416E-2</v>
      </c>
    </row>
    <row r="270" spans="2:5" x14ac:dyDescent="0.3">
      <c r="B270" s="102">
        <v>45818.645833333336</v>
      </c>
      <c r="C270" s="108">
        <v>3524.2</v>
      </c>
      <c r="D270" s="261">
        <f t="shared" si="8"/>
        <v>-2.744842808228946E-3</v>
      </c>
      <c r="E270" s="259">
        <v>1.1476842411884675E-2</v>
      </c>
    </row>
    <row r="271" spans="2:5" x14ac:dyDescent="0.3">
      <c r="B271" s="102">
        <v>45817.645833333336</v>
      </c>
      <c r="C271" s="108">
        <v>3533.9</v>
      </c>
      <c r="D271" s="261">
        <f t="shared" si="8"/>
        <v>-7.3035759431444702E-3</v>
      </c>
      <c r="E271" s="259">
        <v>1.1409093031581269E-2</v>
      </c>
    </row>
    <row r="272" spans="2:5" x14ac:dyDescent="0.3">
      <c r="B272" s="102">
        <v>45814.645833333336</v>
      </c>
      <c r="C272" s="108">
        <v>3559.9</v>
      </c>
      <c r="D272" s="261">
        <f t="shared" si="8"/>
        <v>1.5953196347031989E-2</v>
      </c>
      <c r="E272" s="259">
        <v>1.1380841399724348E-2</v>
      </c>
    </row>
    <row r="273" spans="2:5" x14ac:dyDescent="0.3">
      <c r="B273" s="102">
        <v>45813.645833333336</v>
      </c>
      <c r="C273" s="108">
        <v>3504</v>
      </c>
      <c r="D273" s="261">
        <f t="shared" si="8"/>
        <v>1.2000685753471108E-3</v>
      </c>
      <c r="E273" s="259">
        <v>1.1278395488641828E-2</v>
      </c>
    </row>
    <row r="274" spans="2:5" x14ac:dyDescent="0.3">
      <c r="B274" s="102">
        <v>45812.645833333336</v>
      </c>
      <c r="C274" s="108">
        <v>3499.8</v>
      </c>
      <c r="D274" s="261">
        <f t="shared" si="8"/>
        <v>-5.6821410307403824E-3</v>
      </c>
      <c r="E274" s="259">
        <v>1.1201344161299356E-2</v>
      </c>
    </row>
    <row r="275" spans="2:5" x14ac:dyDescent="0.3">
      <c r="B275" s="102">
        <v>45811.645833333336</v>
      </c>
      <c r="C275" s="108">
        <v>3519.8</v>
      </c>
      <c r="D275" s="261">
        <f t="shared" si="8"/>
        <v>-1.6167919444049974E-3</v>
      </c>
      <c r="E275" s="259">
        <v>1.1193727624694149E-2</v>
      </c>
    </row>
    <row r="276" spans="2:5" x14ac:dyDescent="0.3">
      <c r="B276" s="102">
        <v>45810.645833333336</v>
      </c>
      <c r="C276" s="108">
        <v>3525.5</v>
      </c>
      <c r="D276" s="261">
        <f t="shared" si="8"/>
        <v>-8.2981715893108293E-3</v>
      </c>
      <c r="E276" s="259">
        <v>1.1143123464113289E-2</v>
      </c>
    </row>
    <row r="277" spans="2:5" x14ac:dyDescent="0.3">
      <c r="B277" s="102">
        <v>45807.645833333336</v>
      </c>
      <c r="C277" s="108">
        <v>3555</v>
      </c>
      <c r="D277" s="261">
        <f t="shared" si="8"/>
        <v>-9.2801605216955609E-3</v>
      </c>
      <c r="E277" s="259">
        <v>1.1050297009156678E-2</v>
      </c>
    </row>
    <row r="278" spans="2:5" x14ac:dyDescent="0.3">
      <c r="B278" s="102">
        <v>45806.645833333336</v>
      </c>
      <c r="C278" s="108">
        <v>3588.3</v>
      </c>
      <c r="D278" s="261">
        <f t="shared" si="8"/>
        <v>3.8045150642012937E-3</v>
      </c>
      <c r="E278" s="259">
        <v>1.1045705199769981E-2</v>
      </c>
    </row>
    <row r="279" spans="2:5" x14ac:dyDescent="0.3">
      <c r="B279" s="102">
        <v>45805.645833333336</v>
      </c>
      <c r="C279" s="108">
        <v>3574.7</v>
      </c>
      <c r="D279" s="261">
        <f t="shared" si="8"/>
        <v>-4.0953919875188812E-3</v>
      </c>
      <c r="E279" s="259">
        <v>1.0929116068907037E-2</v>
      </c>
    </row>
    <row r="280" spans="2:5" x14ac:dyDescent="0.3">
      <c r="B280" s="102">
        <v>45804.645833333336</v>
      </c>
      <c r="C280" s="108">
        <v>3589.4</v>
      </c>
      <c r="D280" s="261">
        <f t="shared" si="8"/>
        <v>-5.7889926044927265E-3</v>
      </c>
      <c r="E280" s="259">
        <v>1.0925370682219476E-2</v>
      </c>
    </row>
    <row r="281" spans="2:5" x14ac:dyDescent="0.3">
      <c r="B281" s="102">
        <v>45803.645833333336</v>
      </c>
      <c r="C281" s="108">
        <v>3610.3</v>
      </c>
      <c r="D281" s="261">
        <f t="shared" si="8"/>
        <v>8.5482023633266374E-3</v>
      </c>
      <c r="E281" s="259">
        <v>1.0878333781504388E-2</v>
      </c>
    </row>
    <row r="282" spans="2:5" x14ac:dyDescent="0.3">
      <c r="B282" s="102">
        <v>45800.645833333336</v>
      </c>
      <c r="C282" s="108">
        <v>3579.7</v>
      </c>
      <c r="D282" s="261">
        <f t="shared" si="8"/>
        <v>1.0929116068907037E-2</v>
      </c>
      <c r="E282" s="259">
        <v>1.0874264241295692E-2</v>
      </c>
    </row>
    <row r="283" spans="2:5" x14ac:dyDescent="0.3">
      <c r="B283" s="102">
        <v>45799.645833333336</v>
      </c>
      <c r="C283" s="108">
        <v>3541</v>
      </c>
      <c r="D283" s="261">
        <f t="shared" si="8"/>
        <v>-1.1031978773914259E-2</v>
      </c>
      <c r="E283" s="259">
        <v>1.085454904282613E-2</v>
      </c>
    </row>
    <row r="284" spans="2:5" x14ac:dyDescent="0.3">
      <c r="B284" s="102">
        <v>45798.645833333336</v>
      </c>
      <c r="C284" s="108">
        <v>3580.5</v>
      </c>
      <c r="D284" s="261">
        <f t="shared" si="8"/>
        <v>-2.7928280176481331E-5</v>
      </c>
      <c r="E284" s="259">
        <v>1.0846966132297447E-2</v>
      </c>
    </row>
    <row r="285" spans="2:5" x14ac:dyDescent="0.3">
      <c r="B285" s="102">
        <v>45797.645833333336</v>
      </c>
      <c r="C285" s="108">
        <v>3580.6</v>
      </c>
      <c r="D285" s="261">
        <f t="shared" si="8"/>
        <v>-1.0255134477706805E-2</v>
      </c>
      <c r="E285" s="259">
        <v>1.0842609147009605E-2</v>
      </c>
    </row>
    <row r="286" spans="2:5" x14ac:dyDescent="0.3">
      <c r="B286" s="102">
        <v>45796.645833333336</v>
      </c>
      <c r="C286" s="108">
        <v>3617.7</v>
      </c>
      <c r="D286" s="261">
        <f t="shared" si="8"/>
        <v>-4.4032253625780884E-3</v>
      </c>
      <c r="E286" s="259">
        <v>1.0841240965632394E-2</v>
      </c>
    </row>
    <row r="287" spans="2:5" x14ac:dyDescent="0.3">
      <c r="B287" s="102">
        <v>45793.645833333336</v>
      </c>
      <c r="C287" s="108">
        <v>3633.7</v>
      </c>
      <c r="D287" s="261">
        <f t="shared" si="8"/>
        <v>-8.5239771227462705E-4</v>
      </c>
      <c r="E287" s="259">
        <v>1.0833986445991425E-2</v>
      </c>
    </row>
    <row r="288" spans="2:5" x14ac:dyDescent="0.3">
      <c r="B288" s="102">
        <v>45792.645833333336</v>
      </c>
      <c r="C288" s="108">
        <v>3636.8</v>
      </c>
      <c r="D288" s="261">
        <f t="shared" si="8"/>
        <v>1.371390344520021E-2</v>
      </c>
      <c r="E288" s="259">
        <v>1.0765652038240127E-2</v>
      </c>
    </row>
    <row r="289" spans="2:5" x14ac:dyDescent="0.3">
      <c r="B289" s="102">
        <v>45791.645833333336</v>
      </c>
      <c r="C289" s="108">
        <v>3587.6</v>
      </c>
      <c r="D289" s="261">
        <f t="shared" si="8"/>
        <v>6.8477772788504976E-3</v>
      </c>
      <c r="E289" s="259">
        <v>1.0677991809494863E-2</v>
      </c>
    </row>
    <row r="290" spans="2:5" x14ac:dyDescent="0.3">
      <c r="B290" s="102">
        <v>45790.645833333336</v>
      </c>
      <c r="C290" s="108">
        <v>3563.2</v>
      </c>
      <c r="D290" s="261">
        <f t="shared" si="8"/>
        <v>8.4201072160242261E-5</v>
      </c>
      <c r="E290" s="259">
        <v>1.0656934306569343E-2</v>
      </c>
    </row>
    <row r="291" spans="2:5" x14ac:dyDescent="0.3">
      <c r="B291" s="102">
        <v>45789.645833333336</v>
      </c>
      <c r="C291" s="108">
        <v>3562.9</v>
      </c>
      <c r="D291" s="261">
        <f t="shared" si="8"/>
        <v>1.4984474261459107E-2</v>
      </c>
      <c r="E291" s="259">
        <v>1.0625227520931885E-2</v>
      </c>
    </row>
    <row r="292" spans="2:5" x14ac:dyDescent="0.3">
      <c r="B292" s="102">
        <v>45786.645833333336</v>
      </c>
      <c r="C292" s="108">
        <v>3510.3</v>
      </c>
      <c r="D292" s="261">
        <f t="shared" si="8"/>
        <v>4.1848455168729405E-2</v>
      </c>
      <c r="E292" s="259">
        <v>1.059156579461139E-2</v>
      </c>
    </row>
    <row r="293" spans="2:5" x14ac:dyDescent="0.3">
      <c r="B293" s="102">
        <v>45785.645833333336</v>
      </c>
      <c r="C293" s="108">
        <v>3369.3</v>
      </c>
      <c r="D293" s="261">
        <f t="shared" si="8"/>
        <v>9.1047949923627816E-3</v>
      </c>
      <c r="E293" s="259">
        <v>1.0582531924956789E-2</v>
      </c>
    </row>
    <row r="294" spans="2:5" x14ac:dyDescent="0.3">
      <c r="B294" s="102">
        <v>45784.645833333336</v>
      </c>
      <c r="C294" s="108">
        <v>3338.9</v>
      </c>
      <c r="D294" s="261">
        <f t="shared" si="8"/>
        <v>1.2002545994604888E-2</v>
      </c>
      <c r="E294" s="259">
        <v>1.050177479994119E-2</v>
      </c>
    </row>
    <row r="295" spans="2:5" x14ac:dyDescent="0.3">
      <c r="B295" s="102">
        <v>45783.645833333336</v>
      </c>
      <c r="C295" s="108">
        <v>3299.3</v>
      </c>
      <c r="D295" s="261">
        <f t="shared" si="8"/>
        <v>-6.7734360888674809E-3</v>
      </c>
      <c r="E295" s="259">
        <v>1.0454655968879052E-2</v>
      </c>
    </row>
    <row r="296" spans="2:5" x14ac:dyDescent="0.3">
      <c r="B296" s="102">
        <v>45782.645833333336</v>
      </c>
      <c r="C296" s="108">
        <v>3321.8</v>
      </c>
      <c r="D296" s="261">
        <f t="shared" si="8"/>
        <v>-5.7467824004788443E-3</v>
      </c>
      <c r="E296" s="259">
        <v>1.0428788168922828E-2</v>
      </c>
    </row>
    <row r="297" spans="2:5" x14ac:dyDescent="0.3">
      <c r="B297" s="102">
        <v>45779.645833333336</v>
      </c>
      <c r="C297" s="108">
        <v>3341</v>
      </c>
      <c r="D297" s="261">
        <f t="shared" si="8"/>
        <v>-1.1450720478148895E-2</v>
      </c>
      <c r="E297" s="259">
        <v>1.0318897089541897E-2</v>
      </c>
    </row>
    <row r="298" spans="2:5" x14ac:dyDescent="0.3">
      <c r="B298" s="102">
        <v>45777.645833333336</v>
      </c>
      <c r="C298" s="108">
        <v>3379.7</v>
      </c>
      <c r="D298" s="261">
        <f t="shared" si="8"/>
        <v>3.2557864204105517E-4</v>
      </c>
      <c r="E298" s="259">
        <v>1.0305098489711796E-2</v>
      </c>
    </row>
    <row r="299" spans="2:5" x14ac:dyDescent="0.3">
      <c r="B299" s="102">
        <v>45776.645833333336</v>
      </c>
      <c r="C299" s="108">
        <v>3378.6</v>
      </c>
      <c r="D299" s="261">
        <f t="shared" si="8"/>
        <v>2.8197441453207089E-3</v>
      </c>
      <c r="E299" s="259">
        <v>1.0289355478951242E-2</v>
      </c>
    </row>
    <row r="300" spans="2:5" x14ac:dyDescent="0.3">
      <c r="B300" s="102">
        <v>45775.645833333336</v>
      </c>
      <c r="C300" s="108">
        <v>3369.1</v>
      </c>
      <c r="D300" s="261">
        <f t="shared" si="8"/>
        <v>1.1589207179365539E-3</v>
      </c>
      <c r="E300" s="259">
        <v>1.0288896919708261E-2</v>
      </c>
    </row>
    <row r="301" spans="2:5" x14ac:dyDescent="0.3">
      <c r="B301" s="102">
        <v>45772.645833333336</v>
      </c>
      <c r="C301" s="108">
        <v>3365.2</v>
      </c>
      <c r="D301" s="261">
        <f t="shared" si="8"/>
        <v>-5.1439720924732722E-3</v>
      </c>
      <c r="E301" s="259">
        <v>1.0209901893680092E-2</v>
      </c>
    </row>
    <row r="302" spans="2:5" x14ac:dyDescent="0.3">
      <c r="B302" s="102">
        <v>45771.645833333336</v>
      </c>
      <c r="C302" s="108">
        <v>3382.6</v>
      </c>
      <c r="D302" s="261">
        <f t="shared" si="8"/>
        <v>7.5358174723735519E-3</v>
      </c>
      <c r="E302" s="259">
        <v>1.0179749271380959E-2</v>
      </c>
    </row>
    <row r="303" spans="2:5" x14ac:dyDescent="0.3">
      <c r="B303" s="102">
        <v>45770.645833333336</v>
      </c>
      <c r="C303" s="108">
        <v>3357.3</v>
      </c>
      <c r="D303" s="261">
        <f t="shared" si="8"/>
        <v>5.962725474920624E-3</v>
      </c>
      <c r="E303" s="259">
        <v>1.0151085930122709E-2</v>
      </c>
    </row>
    <row r="304" spans="2:5" x14ac:dyDescent="0.3">
      <c r="B304" s="102">
        <v>45769.645833333336</v>
      </c>
      <c r="C304" s="108">
        <v>3337.4</v>
      </c>
      <c r="D304" s="261">
        <f t="shared" si="8"/>
        <v>3.8967656844824257E-4</v>
      </c>
      <c r="E304" s="259">
        <v>1.012006861063461E-2</v>
      </c>
    </row>
    <row r="305" spans="2:5" x14ac:dyDescent="0.3">
      <c r="B305" s="102">
        <v>45768.645833333336</v>
      </c>
      <c r="C305" s="108">
        <v>3336.1</v>
      </c>
      <c r="D305" s="261">
        <f t="shared" si="8"/>
        <v>2.5845229151014002E-3</v>
      </c>
      <c r="E305" s="259">
        <v>1.0119565039116927E-2</v>
      </c>
    </row>
    <row r="306" spans="2:5" x14ac:dyDescent="0.3">
      <c r="B306" s="102">
        <v>45764.645833333336</v>
      </c>
      <c r="C306" s="108">
        <v>3327.5</v>
      </c>
      <c r="D306" s="261">
        <f t="shared" si="8"/>
        <v>1.6931022890498484E-2</v>
      </c>
      <c r="E306" s="259">
        <v>1.0078543129213873E-2</v>
      </c>
    </row>
    <row r="307" spans="2:5" x14ac:dyDescent="0.3">
      <c r="B307" s="102">
        <v>45763.645833333336</v>
      </c>
      <c r="C307" s="108">
        <v>3272.1</v>
      </c>
      <c r="D307" s="261">
        <f t="shared" si="8"/>
        <v>-3.9714058776812544E-4</v>
      </c>
      <c r="E307" s="259">
        <v>9.9988473951129024E-3</v>
      </c>
    </row>
    <row r="308" spans="2:5" x14ac:dyDescent="0.3">
      <c r="B308" s="102">
        <v>45762.645833333336</v>
      </c>
      <c r="C308" s="108">
        <v>3273.4</v>
      </c>
      <c r="D308" s="261">
        <f t="shared" si="8"/>
        <v>1.1901449812977217E-2</v>
      </c>
      <c r="E308" s="259">
        <v>9.8798915149168175E-3</v>
      </c>
    </row>
    <row r="309" spans="2:5" x14ac:dyDescent="0.3">
      <c r="B309" s="102">
        <v>45758.645833333336</v>
      </c>
      <c r="C309" s="108">
        <v>3234.9</v>
      </c>
      <c r="D309" s="261">
        <f t="shared" si="8"/>
        <v>1.9138982089693304E-2</v>
      </c>
      <c r="E309" s="259">
        <v>9.8609975470155646E-3</v>
      </c>
    </row>
    <row r="310" spans="2:5" x14ac:dyDescent="0.3">
      <c r="B310" s="102">
        <v>45756.645833333336</v>
      </c>
      <c r="C310" s="108">
        <v>3174.15</v>
      </c>
      <c r="D310" s="261">
        <f t="shared" si="8"/>
        <v>1.6606347884572239E-2</v>
      </c>
      <c r="E310" s="259">
        <v>9.8496808291577385E-3</v>
      </c>
    </row>
    <row r="311" spans="2:5" x14ac:dyDescent="0.3">
      <c r="B311" s="102">
        <v>45755.645833333336</v>
      </c>
      <c r="C311" s="108">
        <v>3122.3</v>
      </c>
      <c r="D311" s="261">
        <f t="shared" si="8"/>
        <v>3.3121567070346226E-2</v>
      </c>
      <c r="E311" s="259">
        <v>9.797141539880129E-3</v>
      </c>
    </row>
    <row r="312" spans="2:5" x14ac:dyDescent="0.3">
      <c r="B312" s="102">
        <v>45754.645833333336</v>
      </c>
      <c r="C312" s="108">
        <v>3022.2</v>
      </c>
      <c r="D312" s="261">
        <f t="shared" si="8"/>
        <v>-1.7554125219426567E-2</v>
      </c>
      <c r="E312" s="259">
        <v>9.6526978803065464E-3</v>
      </c>
    </row>
    <row r="313" spans="2:5" x14ac:dyDescent="0.3">
      <c r="B313" s="102">
        <v>45751.645833333336</v>
      </c>
      <c r="C313" s="108">
        <v>3076.2</v>
      </c>
      <c r="D313" s="261">
        <f t="shared" si="8"/>
        <v>-1.641860242042505E-2</v>
      </c>
      <c r="E313" s="259">
        <v>9.6033193354636247E-3</v>
      </c>
    </row>
    <row r="314" spans="2:5" x14ac:dyDescent="0.3">
      <c r="B314" s="102">
        <v>45750.645833333336</v>
      </c>
      <c r="C314" s="108">
        <v>3127.55</v>
      </c>
      <c r="D314" s="261">
        <f t="shared" si="8"/>
        <v>9.3917926705289305E-3</v>
      </c>
      <c r="E314" s="259">
        <v>9.569256542376392E-3</v>
      </c>
    </row>
    <row r="315" spans="2:5" x14ac:dyDescent="0.3">
      <c r="B315" s="102">
        <v>45749.645833333336</v>
      </c>
      <c r="C315" s="108">
        <v>3098.45</v>
      </c>
      <c r="D315" s="261">
        <f t="shared" si="8"/>
        <v>3.7329048025577932E-2</v>
      </c>
      <c r="E315" s="259">
        <v>9.5566276131403075E-3</v>
      </c>
    </row>
    <row r="316" spans="2:5" x14ac:dyDescent="0.3">
      <c r="B316" s="102">
        <v>45748.645833333336</v>
      </c>
      <c r="C316" s="108">
        <v>2986.95</v>
      </c>
      <c r="D316" s="261">
        <f t="shared" si="8"/>
        <v>-2.4940016648440463E-2</v>
      </c>
      <c r="E316" s="259">
        <v>9.5445868557403873E-3</v>
      </c>
    </row>
    <row r="317" spans="2:5" x14ac:dyDescent="0.3">
      <c r="B317" s="102">
        <v>45744.645833333336</v>
      </c>
      <c r="C317" s="108">
        <v>3063.35</v>
      </c>
      <c r="D317" s="261">
        <f t="shared" si="8"/>
        <v>-7.8700629928910928E-3</v>
      </c>
      <c r="E317" s="259">
        <v>9.5116645412946718E-3</v>
      </c>
    </row>
    <row r="318" spans="2:5" x14ac:dyDescent="0.3">
      <c r="B318" s="102">
        <v>45743.645833333336</v>
      </c>
      <c r="C318" s="108">
        <v>3087.65</v>
      </c>
      <c r="D318" s="261">
        <f t="shared" si="8"/>
        <v>9.8609975470155646E-3</v>
      </c>
      <c r="E318" s="259">
        <v>9.4772408867401028E-3</v>
      </c>
    </row>
    <row r="319" spans="2:5" x14ac:dyDescent="0.3">
      <c r="B319" s="102">
        <v>45742.645833333336</v>
      </c>
      <c r="C319" s="108">
        <v>3057.5</v>
      </c>
      <c r="D319" s="261">
        <f t="shared" si="8"/>
        <v>1.2443920489898098E-3</v>
      </c>
      <c r="E319" s="259">
        <v>9.4581889111855898E-3</v>
      </c>
    </row>
    <row r="320" spans="2:5" x14ac:dyDescent="0.3">
      <c r="B320" s="102">
        <v>45741.645833333336</v>
      </c>
      <c r="C320" s="108">
        <v>3053.7</v>
      </c>
      <c r="D320" s="261">
        <f t="shared" si="8"/>
        <v>-8.2491637166704854E-3</v>
      </c>
      <c r="E320" s="259">
        <v>9.3917926705289305E-3</v>
      </c>
    </row>
    <row r="321" spans="2:5" x14ac:dyDescent="0.3">
      <c r="B321" s="102">
        <v>45740.645833333336</v>
      </c>
      <c r="C321" s="108">
        <v>3079.1</v>
      </c>
      <c r="D321" s="261">
        <f t="shared" si="8"/>
        <v>-2.6433110949505144E-2</v>
      </c>
      <c r="E321" s="259">
        <v>9.3703384667101642E-3</v>
      </c>
    </row>
    <row r="322" spans="2:5" x14ac:dyDescent="0.3">
      <c r="B322" s="102">
        <v>45737.645833333336</v>
      </c>
      <c r="C322" s="108">
        <v>3162.7</v>
      </c>
      <c r="D322" s="261">
        <f t="shared" si="8"/>
        <v>-9.5205286398797693E-3</v>
      </c>
      <c r="E322" s="259">
        <v>9.3657231258100666E-3</v>
      </c>
    </row>
    <row r="323" spans="2:5" x14ac:dyDescent="0.3">
      <c r="B323" s="102">
        <v>45736.645833333336</v>
      </c>
      <c r="C323" s="108">
        <v>3193.1</v>
      </c>
      <c r="D323" s="261">
        <f t="shared" ref="D323:D386" si="9">(C323-C324)/C324</f>
        <v>3.7967688456912431E-2</v>
      </c>
      <c r="E323" s="259">
        <v>9.2631140716070894E-3</v>
      </c>
    </row>
    <row r="324" spans="2:5" x14ac:dyDescent="0.3">
      <c r="B324" s="102">
        <v>45735.645833333336</v>
      </c>
      <c r="C324" s="108">
        <v>3076.3</v>
      </c>
      <c r="D324" s="261">
        <f t="shared" si="9"/>
        <v>-1.7522795859427058E-3</v>
      </c>
      <c r="E324" s="259">
        <v>9.2387987457121755E-3</v>
      </c>
    </row>
    <row r="325" spans="2:5" x14ac:dyDescent="0.3">
      <c r="B325" s="102">
        <v>45734.645833333336</v>
      </c>
      <c r="C325" s="108">
        <v>3081.7</v>
      </c>
      <c r="D325" s="261">
        <f t="shared" si="9"/>
        <v>2.1326660811639322E-2</v>
      </c>
      <c r="E325" s="259">
        <v>9.2074929942987833E-3</v>
      </c>
    </row>
    <row r="326" spans="2:5" x14ac:dyDescent="0.3">
      <c r="B326" s="102">
        <v>45733.645833333336</v>
      </c>
      <c r="C326" s="108">
        <v>3017.35</v>
      </c>
      <c r="D326" s="261">
        <f t="shared" si="9"/>
        <v>2.3919073800308349E-3</v>
      </c>
      <c r="E326" s="259">
        <v>9.207240948813887E-3</v>
      </c>
    </row>
    <row r="327" spans="2:5" x14ac:dyDescent="0.3">
      <c r="B327" s="102">
        <v>45729.645833333336</v>
      </c>
      <c r="C327" s="108">
        <v>3010.15</v>
      </c>
      <c r="D327" s="261">
        <f t="shared" si="9"/>
        <v>-2.9149207505920031E-3</v>
      </c>
      <c r="E327" s="259">
        <v>9.1967092502173772E-3</v>
      </c>
    </row>
    <row r="328" spans="2:5" x14ac:dyDescent="0.3">
      <c r="B328" s="102">
        <v>45728.645833333336</v>
      </c>
      <c r="C328" s="108">
        <v>3018.95</v>
      </c>
      <c r="D328" s="261">
        <f t="shared" si="9"/>
        <v>-9.0106355042017701E-3</v>
      </c>
      <c r="E328" s="259">
        <v>9.1726355795935938E-3</v>
      </c>
    </row>
    <row r="329" spans="2:5" x14ac:dyDescent="0.3">
      <c r="B329" s="102">
        <v>45727.645833333336</v>
      </c>
      <c r="C329" s="108">
        <v>3046.4</v>
      </c>
      <c r="D329" s="261">
        <f t="shared" si="9"/>
        <v>6.4754856614245761E-3</v>
      </c>
      <c r="E329" s="259">
        <v>9.1298005212346912E-3</v>
      </c>
    </row>
    <row r="330" spans="2:5" x14ac:dyDescent="0.3">
      <c r="B330" s="102">
        <v>45726.645833333336</v>
      </c>
      <c r="C330" s="108">
        <v>3026.8</v>
      </c>
      <c r="D330" s="261">
        <f t="shared" si="9"/>
        <v>-1.7065289752707463E-2</v>
      </c>
      <c r="E330" s="259">
        <v>9.1047949923627816E-3</v>
      </c>
    </row>
    <row r="331" spans="2:5" x14ac:dyDescent="0.3">
      <c r="B331" s="102">
        <v>45723.645833333336</v>
      </c>
      <c r="C331" s="108">
        <v>3079.35</v>
      </c>
      <c r="D331" s="261">
        <f t="shared" si="9"/>
        <v>-1.337669411425459E-2</v>
      </c>
      <c r="E331" s="259">
        <v>9.0991377256919199E-3</v>
      </c>
    </row>
    <row r="332" spans="2:5" x14ac:dyDescent="0.3">
      <c r="B332" s="102">
        <v>45722.645833333336</v>
      </c>
      <c r="C332" s="108">
        <v>3121.1</v>
      </c>
      <c r="D332" s="261">
        <f t="shared" si="9"/>
        <v>1.1193727624694149E-2</v>
      </c>
      <c r="E332" s="259">
        <v>9.0510864204694595E-3</v>
      </c>
    </row>
    <row r="333" spans="2:5" x14ac:dyDescent="0.3">
      <c r="B333" s="102">
        <v>45721.645833333336</v>
      </c>
      <c r="C333" s="108">
        <v>3086.55</v>
      </c>
      <c r="D333" s="261">
        <f t="shared" si="9"/>
        <v>1.2481548302443884E-2</v>
      </c>
      <c r="E333" s="259">
        <v>9.0484059489743564E-3</v>
      </c>
    </row>
    <row r="334" spans="2:5" x14ac:dyDescent="0.3">
      <c r="B334" s="102">
        <v>45720.645833333336</v>
      </c>
      <c r="C334" s="108">
        <v>3048.5</v>
      </c>
      <c r="D334" s="261">
        <f t="shared" si="9"/>
        <v>-1.0869565217391304E-2</v>
      </c>
      <c r="E334" s="259">
        <v>9.0427940677007459E-3</v>
      </c>
    </row>
    <row r="335" spans="2:5" x14ac:dyDescent="0.3">
      <c r="B335" s="102">
        <v>45719.645833333336</v>
      </c>
      <c r="C335" s="108">
        <v>3082</v>
      </c>
      <c r="D335" s="261">
        <f t="shared" si="9"/>
        <v>1.5435859939881389E-3</v>
      </c>
      <c r="E335" s="259">
        <v>9.0170536120740986E-3</v>
      </c>
    </row>
    <row r="336" spans="2:5" x14ac:dyDescent="0.3">
      <c r="B336" s="102">
        <v>45716.645833333336</v>
      </c>
      <c r="C336" s="108">
        <v>3077.25</v>
      </c>
      <c r="D336" s="261">
        <f t="shared" si="9"/>
        <v>-4.5251465979957155E-2</v>
      </c>
      <c r="E336" s="259">
        <v>8.9770793014200111E-3</v>
      </c>
    </row>
    <row r="337" spans="2:5" x14ac:dyDescent="0.3">
      <c r="B337" s="102">
        <v>45715.645833333336</v>
      </c>
      <c r="C337" s="108">
        <v>3223.1</v>
      </c>
      <c r="D337" s="261">
        <f t="shared" si="9"/>
        <v>7.5965987245216098E-3</v>
      </c>
      <c r="E337" s="259">
        <v>8.9466778003101516E-3</v>
      </c>
    </row>
    <row r="338" spans="2:5" x14ac:dyDescent="0.3">
      <c r="B338" s="102">
        <v>45713.645833333336</v>
      </c>
      <c r="C338" s="108">
        <v>3198.8</v>
      </c>
      <c r="D338" s="261">
        <f t="shared" si="9"/>
        <v>8.1311062086354188E-3</v>
      </c>
      <c r="E338" s="259">
        <v>8.940652110471391E-3</v>
      </c>
    </row>
    <row r="339" spans="2:5" x14ac:dyDescent="0.3">
      <c r="B339" s="102">
        <v>45712.645833333336</v>
      </c>
      <c r="C339" s="108">
        <v>3173</v>
      </c>
      <c r="D339" s="261">
        <f t="shared" si="9"/>
        <v>-2.1698795559609079E-3</v>
      </c>
      <c r="E339" s="259">
        <v>8.901468537205727E-3</v>
      </c>
    </row>
    <row r="340" spans="2:5" x14ac:dyDescent="0.3">
      <c r="B340" s="102">
        <v>45709.645833333336</v>
      </c>
      <c r="C340" s="108">
        <v>3179.9</v>
      </c>
      <c r="D340" s="261">
        <f t="shared" si="9"/>
        <v>-3.619044634883745E-3</v>
      </c>
      <c r="E340" s="259">
        <v>8.8691796008869856E-3</v>
      </c>
    </row>
    <row r="341" spans="2:5" x14ac:dyDescent="0.3">
      <c r="B341" s="102">
        <v>45708.645833333336</v>
      </c>
      <c r="C341" s="108">
        <v>3191.45</v>
      </c>
      <c r="D341" s="261">
        <f t="shared" si="9"/>
        <v>-5.8717253839206188E-3</v>
      </c>
      <c r="E341" s="259">
        <v>8.8594024960052149E-3</v>
      </c>
    </row>
    <row r="342" spans="2:5" x14ac:dyDescent="0.3">
      <c r="B342" s="102">
        <v>45707.645833333336</v>
      </c>
      <c r="C342" s="108">
        <v>3210.3</v>
      </c>
      <c r="D342" s="261">
        <f t="shared" si="9"/>
        <v>-3.5848968760183522E-3</v>
      </c>
      <c r="E342" s="259">
        <v>8.8548559904203412E-3</v>
      </c>
    </row>
    <row r="343" spans="2:5" x14ac:dyDescent="0.3">
      <c r="B343" s="102">
        <v>45706.645833333336</v>
      </c>
      <c r="C343" s="108">
        <v>3221.85</v>
      </c>
      <c r="D343" s="261">
        <f t="shared" si="9"/>
        <v>-3.5104540393418007E-3</v>
      </c>
      <c r="E343" s="259">
        <v>8.8497110829617032E-3</v>
      </c>
    </row>
    <row r="344" spans="2:5" x14ac:dyDescent="0.3">
      <c r="B344" s="102">
        <v>45705.645833333336</v>
      </c>
      <c r="C344" s="108">
        <v>3233.2</v>
      </c>
      <c r="D344" s="261">
        <f t="shared" si="9"/>
        <v>6.2086672372208256E-3</v>
      </c>
      <c r="E344" s="259">
        <v>8.8453965735108015E-3</v>
      </c>
    </row>
    <row r="345" spans="2:5" x14ac:dyDescent="0.3">
      <c r="B345" s="102">
        <v>45702.645833333336</v>
      </c>
      <c r="C345" s="108">
        <v>3213.25</v>
      </c>
      <c r="D345" s="261">
        <f t="shared" si="9"/>
        <v>-5.6475321058332044E-3</v>
      </c>
      <c r="E345" s="259">
        <v>8.8164251207729222E-3</v>
      </c>
    </row>
    <row r="346" spans="2:5" x14ac:dyDescent="0.3">
      <c r="B346" s="102">
        <v>45701.645833333336</v>
      </c>
      <c r="C346" s="108">
        <v>3231.5</v>
      </c>
      <c r="D346" s="261">
        <f t="shared" si="9"/>
        <v>-7.3568938242024361E-3</v>
      </c>
      <c r="E346" s="259">
        <v>8.7945703087658634E-3</v>
      </c>
    </row>
    <row r="347" spans="2:5" x14ac:dyDescent="0.3">
      <c r="B347" s="102">
        <v>45700.645833333336</v>
      </c>
      <c r="C347" s="108">
        <v>3255.45</v>
      </c>
      <c r="D347" s="261">
        <f t="shared" si="9"/>
        <v>-8.0291303552929381E-3</v>
      </c>
      <c r="E347" s="259">
        <v>8.7293171898502296E-3</v>
      </c>
    </row>
    <row r="348" spans="2:5" x14ac:dyDescent="0.3">
      <c r="B348" s="102">
        <v>45699.645833333336</v>
      </c>
      <c r="C348" s="108">
        <v>3281.8</v>
      </c>
      <c r="D348" s="261">
        <f t="shared" si="9"/>
        <v>-1.3719214413439613E-2</v>
      </c>
      <c r="E348" s="259">
        <v>8.673335291662072E-3</v>
      </c>
    </row>
    <row r="349" spans="2:5" x14ac:dyDescent="0.3">
      <c r="B349" s="102">
        <v>45698.645833333336</v>
      </c>
      <c r="C349" s="108">
        <v>3327.45</v>
      </c>
      <c r="D349" s="261">
        <f t="shared" si="9"/>
        <v>-2.8425017519271303E-2</v>
      </c>
      <c r="E349" s="259">
        <v>8.6660693285545778E-3</v>
      </c>
    </row>
    <row r="350" spans="2:5" x14ac:dyDescent="0.3">
      <c r="B350" s="102">
        <v>45695.645833333336</v>
      </c>
      <c r="C350" s="108">
        <v>3424.8</v>
      </c>
      <c r="D350" s="261">
        <f t="shared" si="9"/>
        <v>4.1193285934179235E-3</v>
      </c>
      <c r="E350" s="259">
        <v>8.6564202916275725E-3</v>
      </c>
    </row>
    <row r="351" spans="2:5" x14ac:dyDescent="0.3">
      <c r="B351" s="102">
        <v>45694.645833333336</v>
      </c>
      <c r="C351" s="108">
        <v>3410.75</v>
      </c>
      <c r="D351" s="261">
        <f t="shared" si="9"/>
        <v>-2.295969520753963E-2</v>
      </c>
      <c r="E351" s="259">
        <v>8.6542443064181948E-3</v>
      </c>
    </row>
    <row r="352" spans="2:5" x14ac:dyDescent="0.3">
      <c r="B352" s="102">
        <v>45693.645833333336</v>
      </c>
      <c r="C352" s="108">
        <v>3490.9</v>
      </c>
      <c r="D352" s="261">
        <f t="shared" si="9"/>
        <v>-2.9685632487422446E-2</v>
      </c>
      <c r="E352" s="259">
        <v>8.5685959777169734E-3</v>
      </c>
    </row>
    <row r="353" spans="2:5" x14ac:dyDescent="0.3">
      <c r="B353" s="102">
        <v>45692.645833333336</v>
      </c>
      <c r="C353" s="108">
        <v>3597.7</v>
      </c>
      <c r="D353" s="261">
        <f t="shared" si="9"/>
        <v>4.8599279389994234E-3</v>
      </c>
      <c r="E353" s="259">
        <v>8.5576325476885273E-3</v>
      </c>
    </row>
    <row r="354" spans="2:5" x14ac:dyDescent="0.3">
      <c r="B354" s="102">
        <v>45691.645833333336</v>
      </c>
      <c r="C354" s="108">
        <v>3580.3</v>
      </c>
      <c r="D354" s="261">
        <f t="shared" si="9"/>
        <v>2.5800444094262642E-2</v>
      </c>
      <c r="E354" s="259">
        <v>8.5517051894082804E-3</v>
      </c>
    </row>
    <row r="355" spans="2:5" x14ac:dyDescent="0.3">
      <c r="B355" s="102">
        <v>45688.645833333336</v>
      </c>
      <c r="C355" s="108">
        <v>3490.25</v>
      </c>
      <c r="D355" s="261">
        <f t="shared" si="9"/>
        <v>3.617444484028022E-2</v>
      </c>
      <c r="E355" s="259">
        <v>8.5482023633266374E-3</v>
      </c>
    </row>
    <row r="356" spans="2:5" x14ac:dyDescent="0.3">
      <c r="B356" s="102">
        <v>45687.645833333336</v>
      </c>
      <c r="C356" s="108">
        <v>3368.4</v>
      </c>
      <c r="D356" s="261">
        <f t="shared" si="9"/>
        <v>-6.9717421938734971E-4</v>
      </c>
      <c r="E356" s="259">
        <v>8.5474099469308295E-3</v>
      </c>
    </row>
    <row r="357" spans="2:5" x14ac:dyDescent="0.3">
      <c r="B357" s="102">
        <v>45686.645833333336</v>
      </c>
      <c r="C357" s="108">
        <v>3370.75</v>
      </c>
      <c r="D357" s="261">
        <f t="shared" si="9"/>
        <v>1.3485071709913079E-2</v>
      </c>
      <c r="E357" s="259">
        <v>8.5005679666792199E-3</v>
      </c>
    </row>
    <row r="358" spans="2:5" x14ac:dyDescent="0.3">
      <c r="B358" s="102">
        <v>45685.645833333336</v>
      </c>
      <c r="C358" s="108">
        <v>3325.9</v>
      </c>
      <c r="D358" s="261">
        <f t="shared" si="9"/>
        <v>1.9732779007938851E-3</v>
      </c>
      <c r="E358" s="259">
        <v>8.4421906104240642E-3</v>
      </c>
    </row>
    <row r="359" spans="2:5" x14ac:dyDescent="0.3">
      <c r="B359" s="102">
        <v>45684.645833333336</v>
      </c>
      <c r="C359" s="108">
        <v>3319.35</v>
      </c>
      <c r="D359" s="261">
        <f t="shared" si="9"/>
        <v>-2.4337551254353919E-2</v>
      </c>
      <c r="E359" s="259">
        <v>8.4207694377186389E-3</v>
      </c>
    </row>
    <row r="360" spans="2:5" x14ac:dyDescent="0.3">
      <c r="B360" s="102">
        <v>45681.645833333336</v>
      </c>
      <c r="C360" s="108">
        <v>3402.15</v>
      </c>
      <c r="D360" s="261">
        <f t="shared" si="9"/>
        <v>1.0592752791631457E-3</v>
      </c>
      <c r="E360" s="259">
        <v>8.3954708644021232E-3</v>
      </c>
    </row>
    <row r="361" spans="2:5" x14ac:dyDescent="0.3">
      <c r="B361" s="102">
        <v>45680.645833333336</v>
      </c>
      <c r="C361" s="108">
        <v>3398.55</v>
      </c>
      <c r="D361" s="261">
        <f t="shared" si="9"/>
        <v>1.2543014196547056E-2</v>
      </c>
      <c r="E361" s="259">
        <v>8.3752954475387695E-3</v>
      </c>
    </row>
    <row r="362" spans="2:5" x14ac:dyDescent="0.3">
      <c r="B362" s="102">
        <v>45679.645833333336</v>
      </c>
      <c r="C362" s="108">
        <v>3356.45</v>
      </c>
      <c r="D362" s="261">
        <f t="shared" si="9"/>
        <v>9.2444868564268837E-4</v>
      </c>
      <c r="E362" s="259">
        <v>8.3655987321202517E-3</v>
      </c>
    </row>
    <row r="363" spans="2:5" x14ac:dyDescent="0.3">
      <c r="B363" s="102">
        <v>45678.645833333336</v>
      </c>
      <c r="C363" s="108">
        <v>3353.35</v>
      </c>
      <c r="D363" s="261">
        <f t="shared" si="9"/>
        <v>-8.5446078793702685E-3</v>
      </c>
      <c r="E363" s="259">
        <v>8.3274977761795717E-3</v>
      </c>
    </row>
    <row r="364" spans="2:5" x14ac:dyDescent="0.3">
      <c r="B364" s="102">
        <v>45677.645833333336</v>
      </c>
      <c r="C364" s="108">
        <v>3382.25</v>
      </c>
      <c r="D364" s="261">
        <f t="shared" si="9"/>
        <v>7.4015607315184098E-3</v>
      </c>
      <c r="E364" s="259">
        <v>8.3031661207837986E-3</v>
      </c>
    </row>
    <row r="365" spans="2:5" x14ac:dyDescent="0.3">
      <c r="B365" s="102">
        <v>45674.645833333336</v>
      </c>
      <c r="C365" s="108">
        <v>3357.4</v>
      </c>
      <c r="D365" s="261">
        <f t="shared" si="9"/>
        <v>1.2210196267599263E-2</v>
      </c>
      <c r="E365" s="259">
        <v>8.2939531295206873E-3</v>
      </c>
    </row>
    <row r="366" spans="2:5" x14ac:dyDescent="0.3">
      <c r="B366" s="102">
        <v>45673.645833333336</v>
      </c>
      <c r="C366" s="108">
        <v>3316.9</v>
      </c>
      <c r="D366" s="261">
        <f t="shared" si="9"/>
        <v>-1.9858582819316712E-3</v>
      </c>
      <c r="E366" s="259">
        <v>8.2892082702974417E-3</v>
      </c>
    </row>
    <row r="367" spans="2:5" x14ac:dyDescent="0.3">
      <c r="B367" s="102">
        <v>45672.645833333336</v>
      </c>
      <c r="C367" s="108">
        <v>3323.5</v>
      </c>
      <c r="D367" s="261">
        <f t="shared" si="9"/>
        <v>3.0097817908201655E-4</v>
      </c>
      <c r="E367" s="259">
        <v>8.2621637410633091E-3</v>
      </c>
    </row>
    <row r="368" spans="2:5" x14ac:dyDescent="0.3">
      <c r="B368" s="102">
        <v>45671.645833333336</v>
      </c>
      <c r="C368" s="108">
        <v>3322.5</v>
      </c>
      <c r="D368" s="261">
        <f t="shared" si="9"/>
        <v>-1.7810952627300272E-2</v>
      </c>
      <c r="E368" s="259">
        <v>8.1979106210099996E-3</v>
      </c>
    </row>
    <row r="369" spans="2:5" x14ac:dyDescent="0.3">
      <c r="B369" s="102">
        <v>45670.645833333336</v>
      </c>
      <c r="C369" s="108">
        <v>3382.75</v>
      </c>
      <c r="D369" s="261">
        <f t="shared" si="9"/>
        <v>-1.6713901605987937E-2</v>
      </c>
      <c r="E369" s="259">
        <v>8.1960548355096731E-3</v>
      </c>
    </row>
    <row r="370" spans="2:5" x14ac:dyDescent="0.3">
      <c r="B370" s="102">
        <v>45667.645833333336</v>
      </c>
      <c r="C370" s="108">
        <v>3440.25</v>
      </c>
      <c r="D370" s="261">
        <f t="shared" si="9"/>
        <v>-1.342108659181835E-2</v>
      </c>
      <c r="E370" s="259">
        <v>8.173610486217342E-3</v>
      </c>
    </row>
    <row r="371" spans="2:5" x14ac:dyDescent="0.3">
      <c r="B371" s="102">
        <v>45666.645833333336</v>
      </c>
      <c r="C371" s="108">
        <v>3487.05</v>
      </c>
      <c r="D371" s="261">
        <f t="shared" si="9"/>
        <v>8.6106686184182193E-4</v>
      </c>
      <c r="E371" s="259">
        <v>8.1311062086354188E-3</v>
      </c>
    </row>
    <row r="372" spans="2:5" x14ac:dyDescent="0.3">
      <c r="B372" s="102">
        <v>45665.645833333336</v>
      </c>
      <c r="C372" s="108">
        <v>3484.05</v>
      </c>
      <c r="D372" s="261">
        <f t="shared" si="9"/>
        <v>-6.0055347921599174E-3</v>
      </c>
      <c r="E372" s="259">
        <v>8.1188857331383028E-3</v>
      </c>
    </row>
    <row r="373" spans="2:5" x14ac:dyDescent="0.3">
      <c r="B373" s="102">
        <v>45664.645833333336</v>
      </c>
      <c r="C373" s="108">
        <v>3505.1</v>
      </c>
      <c r="D373" s="261">
        <f t="shared" si="9"/>
        <v>9.9988473951129024E-3</v>
      </c>
      <c r="E373" s="259">
        <v>8.1123053659732346E-3</v>
      </c>
    </row>
    <row r="374" spans="2:5" x14ac:dyDescent="0.3">
      <c r="B374" s="102">
        <v>45663.645833333336</v>
      </c>
      <c r="C374" s="108">
        <v>3470.4</v>
      </c>
      <c r="D374" s="261">
        <f t="shared" si="9"/>
        <v>5.4321846073616962E-3</v>
      </c>
      <c r="E374" s="259">
        <v>8.091306325554444E-3</v>
      </c>
    </row>
    <row r="375" spans="2:5" x14ac:dyDescent="0.3">
      <c r="B375" s="102">
        <v>45660.645833333336</v>
      </c>
      <c r="C375" s="108">
        <v>3451.65</v>
      </c>
      <c r="D375" s="261">
        <f t="shared" si="9"/>
        <v>1.8501305714159335E-2</v>
      </c>
      <c r="E375" s="259">
        <v>8.0048175782856477E-3</v>
      </c>
    </row>
    <row r="376" spans="2:5" x14ac:dyDescent="0.3">
      <c r="B376" s="102">
        <v>45659.645833333336</v>
      </c>
      <c r="C376" s="108">
        <v>3388.95</v>
      </c>
      <c r="D376" s="261">
        <f t="shared" si="9"/>
        <v>4.1520045484579778E-2</v>
      </c>
      <c r="E376" s="259">
        <v>7.920094007050486E-3</v>
      </c>
    </row>
    <row r="377" spans="2:5" x14ac:dyDescent="0.3">
      <c r="B377" s="102">
        <v>45658.645833333336</v>
      </c>
      <c r="C377" s="108">
        <v>3253.85</v>
      </c>
      <c r="D377" s="261">
        <f t="shared" si="9"/>
        <v>2.1517606012628316E-4</v>
      </c>
      <c r="E377" s="259">
        <v>7.8758430633113618E-3</v>
      </c>
    </row>
    <row r="378" spans="2:5" x14ac:dyDescent="0.3">
      <c r="B378" s="102">
        <v>45657.645833333336</v>
      </c>
      <c r="C378" s="108">
        <v>3253.15</v>
      </c>
      <c r="D378" s="261">
        <f t="shared" si="9"/>
        <v>-1.2893916834235861E-3</v>
      </c>
      <c r="E378" s="259">
        <v>7.8682256048239734E-3</v>
      </c>
    </row>
    <row r="379" spans="2:5" x14ac:dyDescent="0.3">
      <c r="B379" s="102">
        <v>45656.645833333336</v>
      </c>
      <c r="C379" s="108">
        <v>3257.35</v>
      </c>
      <c r="D379" s="261">
        <f t="shared" si="9"/>
        <v>-1.5668439501994414E-2</v>
      </c>
      <c r="E379" s="259">
        <v>7.8416319368283527E-3</v>
      </c>
    </row>
    <row r="380" spans="2:5" x14ac:dyDescent="0.3">
      <c r="B380" s="102">
        <v>45653.645833333336</v>
      </c>
      <c r="C380" s="108">
        <v>3309.2</v>
      </c>
      <c r="D380" s="261">
        <f t="shared" si="9"/>
        <v>-4.1678578414409539E-3</v>
      </c>
      <c r="E380" s="259">
        <v>7.8322270438635228E-3</v>
      </c>
    </row>
    <row r="381" spans="2:5" x14ac:dyDescent="0.3">
      <c r="B381" s="102">
        <v>45652.645833333336</v>
      </c>
      <c r="C381" s="108">
        <v>3323.05</v>
      </c>
      <c r="D381" s="261">
        <f t="shared" si="9"/>
        <v>-9.0505158943161891E-3</v>
      </c>
      <c r="E381" s="259">
        <v>7.7973189029639199E-3</v>
      </c>
    </row>
    <row r="382" spans="2:5" x14ac:dyDescent="0.3">
      <c r="B382" s="102">
        <v>45650.645833333336</v>
      </c>
      <c r="C382" s="108">
        <v>3353.4</v>
      </c>
      <c r="D382" s="261">
        <f t="shared" si="9"/>
        <v>-1.2820324114278907E-2</v>
      </c>
      <c r="E382" s="259">
        <v>7.793662777953677E-3</v>
      </c>
    </row>
    <row r="383" spans="2:5" x14ac:dyDescent="0.3">
      <c r="B383" s="102">
        <v>45649.645833333336</v>
      </c>
      <c r="C383" s="108">
        <v>3396.95</v>
      </c>
      <c r="D383" s="261">
        <f t="shared" si="9"/>
        <v>1.2126629422718754E-2</v>
      </c>
      <c r="E383" s="259">
        <v>7.7156614390964818E-3</v>
      </c>
    </row>
    <row r="384" spans="2:5" x14ac:dyDescent="0.3">
      <c r="B384" s="102">
        <v>45646.645833333336</v>
      </c>
      <c r="C384" s="108">
        <v>3356.25</v>
      </c>
      <c r="D384" s="261">
        <f t="shared" si="9"/>
        <v>-1.7873899638050825E-4</v>
      </c>
      <c r="E384" s="259">
        <v>7.6664790481920696E-3</v>
      </c>
    </row>
    <row r="385" spans="2:5" x14ac:dyDescent="0.3">
      <c r="B385" s="102">
        <v>45645.645833333336</v>
      </c>
      <c r="C385" s="108">
        <v>3356.85</v>
      </c>
      <c r="D385" s="261">
        <f t="shared" si="9"/>
        <v>-1.3242599723683877E-2</v>
      </c>
      <c r="E385" s="259">
        <v>7.6611482916520311E-3</v>
      </c>
    </row>
    <row r="386" spans="2:5" x14ac:dyDescent="0.3">
      <c r="B386" s="102">
        <v>45644.645833333336</v>
      </c>
      <c r="C386" s="108">
        <v>3401.9</v>
      </c>
      <c r="D386" s="261">
        <f t="shared" si="9"/>
        <v>-1.2330818237866821E-3</v>
      </c>
      <c r="E386" s="259">
        <v>7.6465590484282074E-3</v>
      </c>
    </row>
    <row r="387" spans="2:5" x14ac:dyDescent="0.3">
      <c r="B387" s="102">
        <v>45643.645833333336</v>
      </c>
      <c r="C387" s="108">
        <v>3406.1</v>
      </c>
      <c r="D387" s="261">
        <f t="shared" ref="D387:D450" si="10">(C387-C388)/C388</f>
        <v>-9.3362806119480866E-3</v>
      </c>
      <c r="E387" s="259">
        <v>7.6015913611820248E-3</v>
      </c>
    </row>
    <row r="388" spans="2:5" x14ac:dyDescent="0.3">
      <c r="B388" s="102">
        <v>45642.645833333336</v>
      </c>
      <c r="C388" s="108">
        <v>3438.2</v>
      </c>
      <c r="D388" s="261">
        <f t="shared" si="10"/>
        <v>-2.0134802000655511E-2</v>
      </c>
      <c r="E388" s="259">
        <v>7.5965987245216098E-3</v>
      </c>
    </row>
    <row r="389" spans="2:5" x14ac:dyDescent="0.3">
      <c r="B389" s="102">
        <v>45639.645833333336</v>
      </c>
      <c r="C389" s="108">
        <v>3508.85</v>
      </c>
      <c r="D389" s="261">
        <f t="shared" si="10"/>
        <v>1.8312413843140075E-2</v>
      </c>
      <c r="E389" s="259">
        <v>7.5408126428943394E-3</v>
      </c>
    </row>
    <row r="390" spans="2:5" x14ac:dyDescent="0.3">
      <c r="B390" s="102">
        <v>45638.645833333336</v>
      </c>
      <c r="C390" s="108">
        <v>3445.75</v>
      </c>
      <c r="D390" s="261">
        <f t="shared" si="10"/>
        <v>-7.8748092482220228E-3</v>
      </c>
      <c r="E390" s="259">
        <v>7.5390263725792694E-3</v>
      </c>
    </row>
    <row r="391" spans="2:5" x14ac:dyDescent="0.3">
      <c r="B391" s="102">
        <v>45637.645833333336</v>
      </c>
      <c r="C391" s="108">
        <v>3473.1</v>
      </c>
      <c r="D391" s="261">
        <f t="shared" si="10"/>
        <v>-7.6242537581819488E-4</v>
      </c>
      <c r="E391" s="259">
        <v>7.5358174723735519E-3</v>
      </c>
    </row>
    <row r="392" spans="2:5" x14ac:dyDescent="0.3">
      <c r="B392" s="102">
        <v>45636.645833333336</v>
      </c>
      <c r="C392" s="108">
        <v>3475.75</v>
      </c>
      <c r="D392" s="261">
        <f t="shared" si="10"/>
        <v>2.1769217461507936E-3</v>
      </c>
      <c r="E392" s="259">
        <v>7.5004934535165884E-3</v>
      </c>
    </row>
    <row r="393" spans="2:5" x14ac:dyDescent="0.3">
      <c r="B393" s="102">
        <v>45635.645833333336</v>
      </c>
      <c r="C393" s="108">
        <v>3468.2</v>
      </c>
      <c r="D393" s="261">
        <f t="shared" si="10"/>
        <v>-5.4753465318004989E-4</v>
      </c>
      <c r="E393" s="259">
        <v>7.4529372711113397E-3</v>
      </c>
    </row>
    <row r="394" spans="2:5" x14ac:dyDescent="0.3">
      <c r="B394" s="102">
        <v>45632.645833333336</v>
      </c>
      <c r="C394" s="108">
        <v>3470.1</v>
      </c>
      <c r="D394" s="261">
        <f t="shared" si="10"/>
        <v>8.4421906104240642E-3</v>
      </c>
      <c r="E394" s="259">
        <v>7.408208511328636E-3</v>
      </c>
    </row>
    <row r="395" spans="2:5" x14ac:dyDescent="0.3">
      <c r="B395" s="102">
        <v>45631.645833333336</v>
      </c>
      <c r="C395" s="108">
        <v>3441.05</v>
      </c>
      <c r="D395" s="261">
        <f t="shared" si="10"/>
        <v>2.2767465707619481E-2</v>
      </c>
      <c r="E395" s="259">
        <v>7.4041034790365747E-3</v>
      </c>
    </row>
    <row r="396" spans="2:5" x14ac:dyDescent="0.3">
      <c r="B396" s="102">
        <v>45630.645833333336</v>
      </c>
      <c r="C396" s="108">
        <v>3364.45</v>
      </c>
      <c r="D396" s="261">
        <f t="shared" si="10"/>
        <v>9.5116645412946718E-3</v>
      </c>
      <c r="E396" s="259">
        <v>7.4015607315184098E-3</v>
      </c>
    </row>
    <row r="397" spans="2:5" x14ac:dyDescent="0.3">
      <c r="B397" s="102">
        <v>45629.645833333336</v>
      </c>
      <c r="C397" s="108">
        <v>3332.75</v>
      </c>
      <c r="D397" s="261">
        <f t="shared" si="10"/>
        <v>7.8322270438635228E-3</v>
      </c>
      <c r="E397" s="259">
        <v>7.371849819989635E-3</v>
      </c>
    </row>
    <row r="398" spans="2:5" x14ac:dyDescent="0.3">
      <c r="B398" s="102">
        <v>45628.645833333336</v>
      </c>
      <c r="C398" s="108">
        <v>3306.85</v>
      </c>
      <c r="D398" s="261">
        <f t="shared" si="10"/>
        <v>1.7805478608802681E-2</v>
      </c>
      <c r="E398" s="259">
        <v>7.3692109364478058E-3</v>
      </c>
    </row>
    <row r="399" spans="2:5" x14ac:dyDescent="0.3">
      <c r="B399" s="102">
        <v>45625.645833333336</v>
      </c>
      <c r="C399" s="108">
        <v>3249</v>
      </c>
      <c r="D399" s="261">
        <f t="shared" si="10"/>
        <v>1.1409093031581269E-2</v>
      </c>
      <c r="E399" s="259">
        <v>7.3178294573643127E-3</v>
      </c>
    </row>
    <row r="400" spans="2:5" x14ac:dyDescent="0.3">
      <c r="B400" s="102">
        <v>45624.645833333336</v>
      </c>
      <c r="C400" s="108">
        <v>3212.35</v>
      </c>
      <c r="D400" s="261">
        <f t="shared" si="10"/>
        <v>-2.4091261221575861E-2</v>
      </c>
      <c r="E400" s="259">
        <v>7.2927824243943576E-3</v>
      </c>
    </row>
    <row r="401" spans="2:5" x14ac:dyDescent="0.3">
      <c r="B401" s="102">
        <v>45623.645833333336</v>
      </c>
      <c r="C401" s="108">
        <v>3291.65</v>
      </c>
      <c r="D401" s="261">
        <f t="shared" si="10"/>
        <v>-1.0773854244928598E-2</v>
      </c>
      <c r="E401" s="259">
        <v>7.2873582622886499E-3</v>
      </c>
    </row>
    <row r="402" spans="2:5" x14ac:dyDescent="0.3">
      <c r="B402" s="102">
        <v>45622.645833333336</v>
      </c>
      <c r="C402" s="108">
        <v>3327.5</v>
      </c>
      <c r="D402" s="261">
        <f t="shared" si="10"/>
        <v>5.5604242845486967E-3</v>
      </c>
      <c r="E402" s="259">
        <v>7.2188696385698534E-3</v>
      </c>
    </row>
    <row r="403" spans="2:5" x14ac:dyDescent="0.3">
      <c r="B403" s="102">
        <v>45621.645833333336</v>
      </c>
      <c r="C403" s="108">
        <v>3309.1</v>
      </c>
      <c r="D403" s="261">
        <f t="shared" si="10"/>
        <v>1.208934022426001E-4</v>
      </c>
      <c r="E403" s="259">
        <v>7.2162575648852941E-3</v>
      </c>
    </row>
    <row r="404" spans="2:5" x14ac:dyDescent="0.3">
      <c r="B404" s="102">
        <v>45618.645833333336</v>
      </c>
      <c r="C404" s="108">
        <v>3308.7</v>
      </c>
      <c r="D404" s="261">
        <f t="shared" si="10"/>
        <v>4.0979093583350376E-2</v>
      </c>
      <c r="E404" s="259">
        <v>7.2108843537415377E-3</v>
      </c>
    </row>
    <row r="405" spans="2:5" x14ac:dyDescent="0.3">
      <c r="B405" s="102">
        <v>45617.645833333336</v>
      </c>
      <c r="C405" s="108">
        <v>3178.45</v>
      </c>
      <c r="D405" s="261">
        <f t="shared" si="10"/>
        <v>-1.4342419449871307E-2</v>
      </c>
      <c r="E405" s="259">
        <v>7.1911122347225005E-3</v>
      </c>
    </row>
    <row r="406" spans="2:5" x14ac:dyDescent="0.3">
      <c r="B406" s="102">
        <v>45615.645833333336</v>
      </c>
      <c r="C406" s="108">
        <v>3224.7</v>
      </c>
      <c r="D406" s="261">
        <f t="shared" si="10"/>
        <v>1.6517983797244784E-2</v>
      </c>
      <c r="E406" s="259">
        <v>7.1511635678291208E-3</v>
      </c>
    </row>
    <row r="407" spans="2:5" x14ac:dyDescent="0.3">
      <c r="B407" s="102">
        <v>45614.645833333336</v>
      </c>
      <c r="C407" s="108">
        <v>3172.3</v>
      </c>
      <c r="D407" s="261">
        <f t="shared" si="10"/>
        <v>-3.5807393912741896E-3</v>
      </c>
      <c r="E407" s="259">
        <v>7.1385703907261471E-3</v>
      </c>
    </row>
    <row r="408" spans="2:5" x14ac:dyDescent="0.3">
      <c r="B408" s="102">
        <v>45610.645833333336</v>
      </c>
      <c r="C408" s="108">
        <v>3183.7</v>
      </c>
      <c r="D408" s="261">
        <f t="shared" si="10"/>
        <v>-1.3018178396097969E-3</v>
      </c>
      <c r="E408" s="259">
        <v>7.1021073466061239E-3</v>
      </c>
    </row>
    <row r="409" spans="2:5" x14ac:dyDescent="0.3">
      <c r="B409" s="102">
        <v>45609.645833333336</v>
      </c>
      <c r="C409" s="108">
        <v>3187.85</v>
      </c>
      <c r="D409" s="261">
        <f t="shared" si="10"/>
        <v>-3.314105269740002E-3</v>
      </c>
      <c r="E409" s="259">
        <v>7.0921985815603269E-3</v>
      </c>
    </row>
    <row r="410" spans="2:5" x14ac:dyDescent="0.3">
      <c r="B410" s="102">
        <v>45608.645833333336</v>
      </c>
      <c r="C410" s="108">
        <v>3198.45</v>
      </c>
      <c r="D410" s="261">
        <f t="shared" si="10"/>
        <v>-2.5416328821805311E-3</v>
      </c>
      <c r="E410" s="259">
        <v>7.0697124852303339E-3</v>
      </c>
    </row>
    <row r="411" spans="2:5" x14ac:dyDescent="0.3">
      <c r="B411" s="102">
        <v>45607.645833333336</v>
      </c>
      <c r="C411" s="108">
        <v>3206.6</v>
      </c>
      <c r="D411" s="261">
        <f t="shared" si="10"/>
        <v>6.3868183601412032E-3</v>
      </c>
      <c r="E411" s="259">
        <v>7.0068442095276573E-3</v>
      </c>
    </row>
    <row r="412" spans="2:5" x14ac:dyDescent="0.3">
      <c r="B412" s="102">
        <v>45604.645833333336</v>
      </c>
      <c r="C412" s="108">
        <v>3186.25</v>
      </c>
      <c r="D412" s="261">
        <f t="shared" si="10"/>
        <v>2.0955829341365362E-2</v>
      </c>
      <c r="E412" s="259">
        <v>6.9810092882919925E-3</v>
      </c>
    </row>
    <row r="413" spans="2:5" x14ac:dyDescent="0.3">
      <c r="B413" s="102">
        <v>45603.645833333336</v>
      </c>
      <c r="C413" s="108">
        <v>3120.85</v>
      </c>
      <c r="D413" s="261">
        <f t="shared" si="10"/>
        <v>-1.7689365921216307E-2</v>
      </c>
      <c r="E413" s="259">
        <v>6.9408432725677491E-3</v>
      </c>
    </row>
    <row r="414" spans="2:5" x14ac:dyDescent="0.3">
      <c r="B414" s="102">
        <v>45602.645833333336</v>
      </c>
      <c r="C414" s="108">
        <v>3177.05</v>
      </c>
      <c r="D414" s="261">
        <f t="shared" si="10"/>
        <v>-1.6469313520625282E-2</v>
      </c>
      <c r="E414" s="259">
        <v>6.9106794678776813E-3</v>
      </c>
    </row>
    <row r="415" spans="2:5" x14ac:dyDescent="0.3">
      <c r="B415" s="102">
        <v>45601.645833333336</v>
      </c>
      <c r="C415" s="108">
        <v>3230.25</v>
      </c>
      <c r="D415" s="261">
        <f t="shared" si="10"/>
        <v>2.5605214152700185E-3</v>
      </c>
      <c r="E415" s="259">
        <v>6.9014417395414362E-3</v>
      </c>
    </row>
    <row r="416" spans="2:5" x14ac:dyDescent="0.3">
      <c r="B416" s="102">
        <v>45600.645833333336</v>
      </c>
      <c r="C416" s="108">
        <v>3222</v>
      </c>
      <c r="D416" s="261">
        <f t="shared" si="10"/>
        <v>-1.3789198206332984E-2</v>
      </c>
      <c r="E416" s="259">
        <v>6.8477772788504976E-3</v>
      </c>
    </row>
    <row r="417" spans="2:5" x14ac:dyDescent="0.3">
      <c r="B417" s="102">
        <v>45596.645833333336</v>
      </c>
      <c r="C417" s="108">
        <v>3267.05</v>
      </c>
      <c r="D417" s="261">
        <f t="shared" si="10"/>
        <v>-1.2513412625247362E-2</v>
      </c>
      <c r="E417" s="259">
        <v>6.8246075850638592E-3</v>
      </c>
    </row>
    <row r="418" spans="2:5" x14ac:dyDescent="0.3">
      <c r="B418" s="102">
        <v>45595.645833333336</v>
      </c>
      <c r="C418" s="108">
        <v>3308.45</v>
      </c>
      <c r="D418" s="261">
        <f t="shared" si="10"/>
        <v>2.8037099903006793E-3</v>
      </c>
      <c r="E418" s="259">
        <v>6.8038569102976927E-3</v>
      </c>
    </row>
    <row r="419" spans="2:5" x14ac:dyDescent="0.3">
      <c r="B419" s="102">
        <v>45594.645833333336</v>
      </c>
      <c r="C419" s="108">
        <v>3299.2</v>
      </c>
      <c r="D419" s="261">
        <f t="shared" si="10"/>
        <v>4.9192062259178614E-3</v>
      </c>
      <c r="E419" s="259">
        <v>6.7349758231637375E-3</v>
      </c>
    </row>
    <row r="420" spans="2:5" x14ac:dyDescent="0.3">
      <c r="B420" s="102">
        <v>45593.645833333336</v>
      </c>
      <c r="C420" s="108">
        <v>3283.05</v>
      </c>
      <c r="D420" s="261">
        <f t="shared" si="10"/>
        <v>5.0512008081921292E-3</v>
      </c>
      <c r="E420" s="259">
        <v>6.7144791247392543E-3</v>
      </c>
    </row>
    <row r="421" spans="2:5" x14ac:dyDescent="0.3">
      <c r="B421" s="102">
        <v>45590.645833333336</v>
      </c>
      <c r="C421" s="108">
        <v>3266.55</v>
      </c>
      <c r="D421" s="261">
        <f t="shared" si="10"/>
        <v>-1.9319102945149932E-2</v>
      </c>
      <c r="E421" s="259">
        <v>6.7069498951390569E-3</v>
      </c>
    </row>
    <row r="422" spans="2:5" x14ac:dyDescent="0.3">
      <c r="B422" s="102">
        <v>45589.645833333336</v>
      </c>
      <c r="C422" s="108">
        <v>3330.9</v>
      </c>
      <c r="D422" s="261">
        <f t="shared" si="10"/>
        <v>1.2862616310892229E-2</v>
      </c>
      <c r="E422" s="259">
        <v>6.7054531111329042E-3</v>
      </c>
    </row>
    <row r="423" spans="2:5" x14ac:dyDescent="0.3">
      <c r="B423" s="102">
        <v>45588.645833333336</v>
      </c>
      <c r="C423" s="108">
        <v>3288.6</v>
      </c>
      <c r="D423" s="261">
        <f t="shared" si="10"/>
        <v>-1.237311550243266E-2</v>
      </c>
      <c r="E423" s="259">
        <v>6.7027376241621823E-3</v>
      </c>
    </row>
    <row r="424" spans="2:5" x14ac:dyDescent="0.3">
      <c r="B424" s="102">
        <v>45587.645833333336</v>
      </c>
      <c r="C424" s="108">
        <v>3329.8</v>
      </c>
      <c r="D424" s="261">
        <f t="shared" si="10"/>
        <v>-9.9457370103322139E-3</v>
      </c>
      <c r="E424" s="259">
        <v>6.6821885913852892E-3</v>
      </c>
    </row>
    <row r="425" spans="2:5" x14ac:dyDescent="0.3">
      <c r="B425" s="102">
        <v>45586.645833333336</v>
      </c>
      <c r="C425" s="108">
        <v>3363.25</v>
      </c>
      <c r="D425" s="261">
        <f t="shared" si="10"/>
        <v>-5.3823064070146883E-3</v>
      </c>
      <c r="E425" s="259">
        <v>6.6680704709763455E-3</v>
      </c>
    </row>
    <row r="426" spans="2:5" x14ac:dyDescent="0.3">
      <c r="B426" s="102">
        <v>45583.645833333336</v>
      </c>
      <c r="C426" s="108">
        <v>3381.45</v>
      </c>
      <c r="D426" s="261">
        <f t="shared" si="10"/>
        <v>-6.4348362642690556E-3</v>
      </c>
      <c r="E426" s="259">
        <v>6.6611636880194681E-3</v>
      </c>
    </row>
    <row r="427" spans="2:5" x14ac:dyDescent="0.3">
      <c r="B427" s="102">
        <v>45582.645833333336</v>
      </c>
      <c r="C427" s="108">
        <v>3403.35</v>
      </c>
      <c r="D427" s="261">
        <f t="shared" si="10"/>
        <v>-1.9490060501296484E-2</v>
      </c>
      <c r="E427" s="259">
        <v>6.5572959196298214E-3</v>
      </c>
    </row>
    <row r="428" spans="2:5" x14ac:dyDescent="0.3">
      <c r="B428" s="102">
        <v>45581.645833333336</v>
      </c>
      <c r="C428" s="108">
        <v>3471</v>
      </c>
      <c r="D428" s="261">
        <f t="shared" si="10"/>
        <v>-1.0688328345446772E-2</v>
      </c>
      <c r="E428" s="259">
        <v>6.5462877093448264E-3</v>
      </c>
    </row>
    <row r="429" spans="2:5" x14ac:dyDescent="0.3">
      <c r="B429" s="102">
        <v>45580.645833333336</v>
      </c>
      <c r="C429" s="108">
        <v>3508.5</v>
      </c>
      <c r="D429" s="261">
        <f t="shared" si="10"/>
        <v>3.0590656984389665E-3</v>
      </c>
      <c r="E429" s="259">
        <v>6.5430016863406715E-3</v>
      </c>
    </row>
    <row r="430" spans="2:5" x14ac:dyDescent="0.3">
      <c r="B430" s="102">
        <v>45579.645833333336</v>
      </c>
      <c r="C430" s="108">
        <v>3497.8</v>
      </c>
      <c r="D430" s="261">
        <f t="shared" si="10"/>
        <v>6.7349758231637375E-3</v>
      </c>
      <c r="E430" s="259">
        <v>6.5246060942596397E-3</v>
      </c>
    </row>
    <row r="431" spans="2:5" x14ac:dyDescent="0.3">
      <c r="B431" s="102">
        <v>45576.645833333336</v>
      </c>
      <c r="C431" s="108">
        <v>3474.4</v>
      </c>
      <c r="D431" s="261">
        <f t="shared" si="10"/>
        <v>7.8758430633113618E-3</v>
      </c>
      <c r="E431" s="259">
        <v>6.5189800392292342E-3</v>
      </c>
    </row>
    <row r="432" spans="2:5" x14ac:dyDescent="0.3">
      <c r="B432" s="102">
        <v>45575.645833333336</v>
      </c>
      <c r="C432" s="108">
        <v>3447.25</v>
      </c>
      <c r="D432" s="261">
        <f t="shared" si="10"/>
        <v>-1.3224749173453126E-2</v>
      </c>
      <c r="E432" s="259">
        <v>6.4754856614245761E-3</v>
      </c>
    </row>
    <row r="433" spans="2:5" x14ac:dyDescent="0.3">
      <c r="B433" s="102">
        <v>45574.645833333336</v>
      </c>
      <c r="C433" s="108">
        <v>3493.45</v>
      </c>
      <c r="D433" s="261">
        <f t="shared" si="10"/>
        <v>2.8625817624889876E-5</v>
      </c>
      <c r="E433" s="259">
        <v>6.4561936527856353E-3</v>
      </c>
    </row>
    <row r="434" spans="2:5" x14ac:dyDescent="0.3">
      <c r="B434" s="102">
        <v>45573.645833333336</v>
      </c>
      <c r="C434" s="108">
        <v>3493.35</v>
      </c>
      <c r="D434" s="261">
        <f t="shared" si="10"/>
        <v>-2.6718673817649953E-2</v>
      </c>
      <c r="E434" s="259">
        <v>6.4231346028692663E-3</v>
      </c>
    </row>
    <row r="435" spans="2:5" x14ac:dyDescent="0.3">
      <c r="B435" s="102">
        <v>45572.645833333336</v>
      </c>
      <c r="C435" s="108">
        <v>3589.25</v>
      </c>
      <c r="D435" s="261">
        <f t="shared" si="10"/>
        <v>-2.2029372496662192E-2</v>
      </c>
      <c r="E435" s="259">
        <v>6.4176986584106154E-3</v>
      </c>
    </row>
    <row r="436" spans="2:5" x14ac:dyDescent="0.3">
      <c r="B436" s="102">
        <v>45569.645833333336</v>
      </c>
      <c r="C436" s="108">
        <v>3670.1</v>
      </c>
      <c r="D436" s="261">
        <f t="shared" si="10"/>
        <v>-1.3197458468822457E-3</v>
      </c>
      <c r="E436" s="259">
        <v>6.3868183601412032E-3</v>
      </c>
    </row>
    <row r="437" spans="2:5" x14ac:dyDescent="0.3">
      <c r="B437" s="102">
        <v>45568.645833333336</v>
      </c>
      <c r="C437" s="108">
        <v>3674.95</v>
      </c>
      <c r="D437" s="261">
        <f t="shared" si="10"/>
        <v>-2.6748235543373192E-2</v>
      </c>
      <c r="E437" s="259">
        <v>6.3767305271990437E-3</v>
      </c>
    </row>
    <row r="438" spans="2:5" x14ac:dyDescent="0.3">
      <c r="B438" s="102">
        <v>45566.645833333336</v>
      </c>
      <c r="C438" s="108">
        <v>3775.95</v>
      </c>
      <c r="D438" s="261">
        <f t="shared" si="10"/>
        <v>-1.2552465382654062E-2</v>
      </c>
      <c r="E438" s="259">
        <v>6.2836836035865982E-3</v>
      </c>
    </row>
    <row r="439" spans="2:5" x14ac:dyDescent="0.3">
      <c r="B439" s="102">
        <v>45565.645833333336</v>
      </c>
      <c r="C439" s="108">
        <v>3823.95</v>
      </c>
      <c r="D439" s="261">
        <f t="shared" si="10"/>
        <v>1.8995467288495298E-3</v>
      </c>
      <c r="E439" s="259">
        <v>6.2830455941545486E-3</v>
      </c>
    </row>
    <row r="440" spans="2:5" x14ac:dyDescent="0.3">
      <c r="B440" s="102">
        <v>45562.645833333336</v>
      </c>
      <c r="C440" s="108">
        <v>3816.7</v>
      </c>
      <c r="D440" s="261">
        <f t="shared" si="10"/>
        <v>1.5741640164468773E-2</v>
      </c>
      <c r="E440" s="259">
        <v>6.2777119276525425E-3</v>
      </c>
    </row>
    <row r="441" spans="2:5" x14ac:dyDescent="0.3">
      <c r="B441" s="102">
        <v>45561.645833333336</v>
      </c>
      <c r="C441" s="108">
        <v>3757.55</v>
      </c>
      <c r="D441" s="261">
        <f t="shared" si="10"/>
        <v>5.4318014582915731E-3</v>
      </c>
      <c r="E441" s="259">
        <v>6.2086672372208256E-3</v>
      </c>
    </row>
    <row r="442" spans="2:5" x14ac:dyDescent="0.3">
      <c r="B442" s="102">
        <v>45560.645833333336</v>
      </c>
      <c r="C442" s="108">
        <v>3737.25</v>
      </c>
      <c r="D442" s="261">
        <f t="shared" si="10"/>
        <v>-1.2589500383101294E-2</v>
      </c>
      <c r="E442" s="259">
        <v>6.1603963753508444E-3</v>
      </c>
    </row>
    <row r="443" spans="2:5" x14ac:dyDescent="0.3">
      <c r="B443" s="102">
        <v>45559.645833333336</v>
      </c>
      <c r="C443" s="108">
        <v>3784.9</v>
      </c>
      <c r="D443" s="261">
        <f t="shared" si="10"/>
        <v>-9.2144184707206138E-3</v>
      </c>
      <c r="E443" s="259">
        <v>6.1333333333332988E-3</v>
      </c>
    </row>
    <row r="444" spans="2:5" x14ac:dyDescent="0.3">
      <c r="B444" s="102">
        <v>45558.645833333336</v>
      </c>
      <c r="C444" s="108">
        <v>3820.1</v>
      </c>
      <c r="D444" s="261">
        <f t="shared" si="10"/>
        <v>6.0307595070051862E-3</v>
      </c>
      <c r="E444" s="259">
        <v>6.0307595070051862E-3</v>
      </c>
    </row>
    <row r="445" spans="2:5" x14ac:dyDescent="0.3">
      <c r="B445" s="102">
        <v>45555.645833333336</v>
      </c>
      <c r="C445" s="108">
        <v>3797.2</v>
      </c>
      <c r="D445" s="261">
        <f t="shared" si="10"/>
        <v>4.297861648527487E-3</v>
      </c>
      <c r="E445" s="259">
        <v>5.9799516073280956E-3</v>
      </c>
    </row>
    <row r="446" spans="2:5" x14ac:dyDescent="0.3">
      <c r="B446" s="102">
        <v>45554.645833333336</v>
      </c>
      <c r="C446" s="108">
        <v>3780.95</v>
      </c>
      <c r="D446" s="261">
        <f t="shared" si="10"/>
        <v>1.4924772169057916E-2</v>
      </c>
      <c r="E446" s="259">
        <v>5.962725474920624E-3</v>
      </c>
    </row>
    <row r="447" spans="2:5" x14ac:dyDescent="0.3">
      <c r="B447" s="102">
        <v>45553.645833333336</v>
      </c>
      <c r="C447" s="108">
        <v>3725.35</v>
      </c>
      <c r="D447" s="261">
        <f t="shared" si="10"/>
        <v>-1.1161543770239471E-2</v>
      </c>
      <c r="E447" s="259">
        <v>5.9532989913321588E-3</v>
      </c>
    </row>
    <row r="448" spans="2:5" x14ac:dyDescent="0.3">
      <c r="B448" s="102">
        <v>45552.645833333336</v>
      </c>
      <c r="C448" s="108">
        <v>3767.4</v>
      </c>
      <c r="D448" s="261">
        <f t="shared" si="10"/>
        <v>7.1511635678291208E-3</v>
      </c>
      <c r="E448" s="259">
        <v>5.9248956884562394E-3</v>
      </c>
    </row>
    <row r="449" spans="2:5" x14ac:dyDescent="0.3">
      <c r="B449" s="102">
        <v>45551.645833333336</v>
      </c>
      <c r="C449" s="108">
        <v>3740.65</v>
      </c>
      <c r="D449" s="261">
        <f t="shared" si="10"/>
        <v>-6.9949561985664741E-3</v>
      </c>
      <c r="E449" s="259">
        <v>5.9008501882836361E-3</v>
      </c>
    </row>
    <row r="450" spans="2:5" x14ac:dyDescent="0.3">
      <c r="B450" s="102">
        <v>45548.645833333336</v>
      </c>
      <c r="C450" s="108">
        <v>3767</v>
      </c>
      <c r="D450" s="261">
        <f t="shared" si="10"/>
        <v>7.3055721591286447E-4</v>
      </c>
      <c r="E450" s="259">
        <v>5.8992920849498054E-3</v>
      </c>
    </row>
    <row r="451" spans="2:5" x14ac:dyDescent="0.3">
      <c r="B451" s="102">
        <v>45547.645833333336</v>
      </c>
      <c r="C451" s="108">
        <v>3764.25</v>
      </c>
      <c r="D451" s="261">
        <f t="shared" ref="D451:D514" si="11">(C451-C452)/C452</f>
        <v>1.4321899167362801E-2</v>
      </c>
      <c r="E451" s="259">
        <v>5.863825224500737E-3</v>
      </c>
    </row>
    <row r="452" spans="2:5" x14ac:dyDescent="0.3">
      <c r="B452" s="102">
        <v>45546.645833333336</v>
      </c>
      <c r="C452" s="108">
        <v>3711.1</v>
      </c>
      <c r="D452" s="261">
        <f t="shared" si="11"/>
        <v>-4.3730214090251067E-3</v>
      </c>
      <c r="E452" s="259">
        <v>5.8349662529936595E-3</v>
      </c>
    </row>
    <row r="453" spans="2:5" x14ac:dyDescent="0.3">
      <c r="B453" s="102">
        <v>45545.645833333336</v>
      </c>
      <c r="C453" s="108">
        <v>3727.4</v>
      </c>
      <c r="D453" s="261">
        <f t="shared" si="11"/>
        <v>1.1629642697208589E-2</v>
      </c>
      <c r="E453" s="259">
        <v>5.8163433081221778E-3</v>
      </c>
    </row>
    <row r="454" spans="2:5" x14ac:dyDescent="0.3">
      <c r="B454" s="102">
        <v>45544.645833333336</v>
      </c>
      <c r="C454" s="108">
        <v>3684.55</v>
      </c>
      <c r="D454" s="261">
        <f t="shared" si="11"/>
        <v>-2.9630631849546256E-3</v>
      </c>
      <c r="E454" s="259">
        <v>5.800697424892612E-3</v>
      </c>
    </row>
    <row r="455" spans="2:5" x14ac:dyDescent="0.3">
      <c r="B455" s="102">
        <v>45541.645833333336</v>
      </c>
      <c r="C455" s="108">
        <v>3695.5</v>
      </c>
      <c r="D455" s="261">
        <f t="shared" si="11"/>
        <v>-7.3465221537262872E-3</v>
      </c>
      <c r="E455" s="259">
        <v>5.7905696437231318E-3</v>
      </c>
    </row>
    <row r="456" spans="2:5" x14ac:dyDescent="0.3">
      <c r="B456" s="102">
        <v>45540.645833333336</v>
      </c>
      <c r="C456" s="108">
        <v>3722.85</v>
      </c>
      <c r="D456" s="261">
        <f t="shared" si="11"/>
        <v>3.191784239266017E-2</v>
      </c>
      <c r="E456" s="259">
        <v>5.7381395918034098E-3</v>
      </c>
    </row>
    <row r="457" spans="2:5" x14ac:dyDescent="0.3">
      <c r="B457" s="102">
        <v>45539.645833333336</v>
      </c>
      <c r="C457" s="108">
        <v>3607.7</v>
      </c>
      <c r="D457" s="261">
        <f t="shared" si="11"/>
        <v>-3.7142896593624327E-3</v>
      </c>
      <c r="E457" s="259">
        <v>5.7322867176203577E-3</v>
      </c>
    </row>
    <row r="458" spans="2:5" x14ac:dyDescent="0.3">
      <c r="B458" s="102">
        <v>45538.645833333336</v>
      </c>
      <c r="C458" s="108">
        <v>3621.15</v>
      </c>
      <c r="D458" s="261">
        <f t="shared" si="11"/>
        <v>9.3657231258100666E-3</v>
      </c>
      <c r="E458" s="259">
        <v>5.7080682959491733E-3</v>
      </c>
    </row>
    <row r="459" spans="2:5" x14ac:dyDescent="0.3">
      <c r="B459" s="102">
        <v>45537.645833333336</v>
      </c>
      <c r="C459" s="108">
        <v>3587.55</v>
      </c>
      <c r="D459" s="261">
        <f t="shared" si="11"/>
        <v>6.2830455941545486E-3</v>
      </c>
      <c r="E459" s="259">
        <v>5.7073140470233806E-3</v>
      </c>
    </row>
    <row r="460" spans="2:5" x14ac:dyDescent="0.3">
      <c r="B460" s="102">
        <v>45534.645833333336</v>
      </c>
      <c r="C460" s="108">
        <v>3565.15</v>
      </c>
      <c r="D460" s="261">
        <f t="shared" si="11"/>
        <v>9.0427940677007459E-3</v>
      </c>
      <c r="E460" s="259">
        <v>5.6457169103574989E-3</v>
      </c>
    </row>
    <row r="461" spans="2:5" x14ac:dyDescent="0.3">
      <c r="B461" s="102">
        <v>45533.645833333336</v>
      </c>
      <c r="C461" s="108">
        <v>3533.2</v>
      </c>
      <c r="D461" s="261">
        <f t="shared" si="11"/>
        <v>1.6158752657689066E-3</v>
      </c>
      <c r="E461" s="259">
        <v>5.5930595849140053E-3</v>
      </c>
    </row>
    <row r="462" spans="2:5" x14ac:dyDescent="0.3">
      <c r="B462" s="102">
        <v>45532.645833333336</v>
      </c>
      <c r="C462" s="108">
        <v>3527.5</v>
      </c>
      <c r="D462" s="261">
        <f t="shared" si="11"/>
        <v>-6.6877859908482931E-3</v>
      </c>
      <c r="E462" s="259">
        <v>5.5659299816886018E-3</v>
      </c>
    </row>
    <row r="463" spans="2:5" x14ac:dyDescent="0.3">
      <c r="B463" s="102">
        <v>45531.645833333336</v>
      </c>
      <c r="C463" s="108">
        <v>3551.25</v>
      </c>
      <c r="D463" s="261">
        <f t="shared" si="11"/>
        <v>-2.1748113051622452E-2</v>
      </c>
      <c r="E463" s="259">
        <v>5.5604242845486967E-3</v>
      </c>
    </row>
    <row r="464" spans="2:5" x14ac:dyDescent="0.3">
      <c r="B464" s="102">
        <v>45530.645833333336</v>
      </c>
      <c r="C464" s="108">
        <v>3630.2</v>
      </c>
      <c r="D464" s="261">
        <f t="shared" si="11"/>
        <v>1.6862745098039165E-2</v>
      </c>
      <c r="E464" s="259">
        <v>5.5360043313480833E-3</v>
      </c>
    </row>
    <row r="465" spans="2:5" x14ac:dyDescent="0.3">
      <c r="B465" s="102">
        <v>45527.645833333336</v>
      </c>
      <c r="C465" s="108">
        <v>3570</v>
      </c>
      <c r="D465" s="261">
        <f t="shared" si="11"/>
        <v>-9.5438908001331951E-3</v>
      </c>
      <c r="E465" s="259">
        <v>5.4971849093407542E-3</v>
      </c>
    </row>
    <row r="466" spans="2:5" x14ac:dyDescent="0.3">
      <c r="B466" s="102">
        <v>45526.645833333336</v>
      </c>
      <c r="C466" s="108">
        <v>3604.4</v>
      </c>
      <c r="D466" s="261">
        <f t="shared" si="11"/>
        <v>1.2358162004269183E-2</v>
      </c>
      <c r="E466" s="259">
        <v>5.449984140257819E-3</v>
      </c>
    </row>
    <row r="467" spans="2:5" x14ac:dyDescent="0.3">
      <c r="B467" s="102">
        <v>45525.645833333336</v>
      </c>
      <c r="C467" s="108">
        <v>3560.4</v>
      </c>
      <c r="D467" s="261">
        <f t="shared" si="11"/>
        <v>2.4605024605024603E-2</v>
      </c>
      <c r="E467" s="259">
        <v>5.4321846073616962E-3</v>
      </c>
    </row>
    <row r="468" spans="2:5" x14ac:dyDescent="0.3">
      <c r="B468" s="102">
        <v>45524.645833333336</v>
      </c>
      <c r="C468" s="108">
        <v>3474.9</v>
      </c>
      <c r="D468" s="261">
        <f t="shared" si="11"/>
        <v>2.9005584657345001E-3</v>
      </c>
      <c r="E468" s="259">
        <v>5.4318014582915731E-3</v>
      </c>
    </row>
    <row r="469" spans="2:5" x14ac:dyDescent="0.3">
      <c r="B469" s="102">
        <v>45523.645833333336</v>
      </c>
      <c r="C469" s="108">
        <v>3464.85</v>
      </c>
      <c r="D469" s="261">
        <f t="shared" si="11"/>
        <v>5.8349662529936595E-3</v>
      </c>
      <c r="E469" s="259">
        <v>5.3749524172059656E-3</v>
      </c>
    </row>
    <row r="470" spans="2:5" x14ac:dyDescent="0.3">
      <c r="B470" s="102">
        <v>45520.645833333336</v>
      </c>
      <c r="C470" s="108">
        <v>3444.75</v>
      </c>
      <c r="D470" s="261">
        <f t="shared" si="11"/>
        <v>1.2521493761297976E-2</v>
      </c>
      <c r="E470" s="259">
        <v>5.2908583410867021E-3</v>
      </c>
    </row>
    <row r="471" spans="2:5" x14ac:dyDescent="0.3">
      <c r="B471" s="102">
        <v>45518.645833333336</v>
      </c>
      <c r="C471" s="108">
        <v>3402.15</v>
      </c>
      <c r="D471" s="261">
        <f t="shared" si="11"/>
        <v>5.4971849093407542E-3</v>
      </c>
      <c r="E471" s="259">
        <v>5.2892706489191567E-3</v>
      </c>
    </row>
    <row r="472" spans="2:5" x14ac:dyDescent="0.3">
      <c r="B472" s="102">
        <v>45517.645833333336</v>
      </c>
      <c r="C472" s="108">
        <v>3383.55</v>
      </c>
      <c r="D472" s="261">
        <f t="shared" si="11"/>
        <v>1.8880708252405339E-2</v>
      </c>
      <c r="E472" s="259">
        <v>5.2229270807646706E-3</v>
      </c>
    </row>
    <row r="473" spans="2:5" x14ac:dyDescent="0.3">
      <c r="B473" s="102">
        <v>45516.645833333336</v>
      </c>
      <c r="C473" s="108">
        <v>3320.85</v>
      </c>
      <c r="D473" s="261">
        <f t="shared" si="11"/>
        <v>-3.2565957319086081E-3</v>
      </c>
      <c r="E473" s="259">
        <v>5.1940415523324488E-3</v>
      </c>
    </row>
    <row r="474" spans="2:5" x14ac:dyDescent="0.3">
      <c r="B474" s="102">
        <v>45513.645833333336</v>
      </c>
      <c r="C474" s="108">
        <v>3331.7</v>
      </c>
      <c r="D474" s="261">
        <f t="shared" si="11"/>
        <v>1.0677991809494863E-2</v>
      </c>
      <c r="E474" s="259">
        <v>5.1618745755037769E-3</v>
      </c>
    </row>
    <row r="475" spans="2:5" x14ac:dyDescent="0.3">
      <c r="B475" s="102">
        <v>45512.645833333336</v>
      </c>
      <c r="C475" s="108">
        <v>3296.5</v>
      </c>
      <c r="D475" s="261">
        <f t="shared" si="11"/>
        <v>-8.9440060127771517E-3</v>
      </c>
      <c r="E475" s="259">
        <v>5.1522897964845528E-3</v>
      </c>
    </row>
    <row r="476" spans="2:5" x14ac:dyDescent="0.3">
      <c r="B476" s="102">
        <v>45511.645833333336</v>
      </c>
      <c r="C476" s="108">
        <v>3326.25</v>
      </c>
      <c r="D476" s="261">
        <f t="shared" si="11"/>
        <v>-2.6535935953944136E-3</v>
      </c>
      <c r="E476" s="259">
        <v>5.1089697988748904E-3</v>
      </c>
    </row>
    <row r="477" spans="2:5" x14ac:dyDescent="0.3">
      <c r="B477" s="102">
        <v>45510.645833333336</v>
      </c>
      <c r="C477" s="108">
        <v>3335.1</v>
      </c>
      <c r="D477" s="261">
        <f t="shared" si="11"/>
        <v>-1.2100297693982407E-2</v>
      </c>
      <c r="E477" s="259">
        <v>5.1021602265546801E-3</v>
      </c>
    </row>
    <row r="478" spans="2:5" x14ac:dyDescent="0.3">
      <c r="B478" s="102">
        <v>45509.645833333336</v>
      </c>
      <c r="C478" s="108">
        <v>3375.95</v>
      </c>
      <c r="D478" s="261">
        <f t="shared" si="11"/>
        <v>-2.4954149638251502E-2</v>
      </c>
      <c r="E478" s="259">
        <v>5.0966484252060549E-3</v>
      </c>
    </row>
    <row r="479" spans="2:5" x14ac:dyDescent="0.3">
      <c r="B479" s="102">
        <v>45506.645833333336</v>
      </c>
      <c r="C479" s="108">
        <v>3462.35</v>
      </c>
      <c r="D479" s="261">
        <f t="shared" si="11"/>
        <v>-1.7299292170628686E-3</v>
      </c>
      <c r="E479" s="259">
        <v>5.0512008081921292E-3</v>
      </c>
    </row>
    <row r="480" spans="2:5" x14ac:dyDescent="0.3">
      <c r="B480" s="102">
        <v>45505.645833333336</v>
      </c>
      <c r="C480" s="108">
        <v>3468.35</v>
      </c>
      <c r="D480" s="261">
        <f t="shared" si="11"/>
        <v>2.7175877072522273E-3</v>
      </c>
      <c r="E480" s="259">
        <v>5.0216620716817869E-3</v>
      </c>
    </row>
    <row r="481" spans="2:5" x14ac:dyDescent="0.3">
      <c r="B481" s="102">
        <v>45504.645833333336</v>
      </c>
      <c r="C481" s="108">
        <v>3458.95</v>
      </c>
      <c r="D481" s="261">
        <f t="shared" si="11"/>
        <v>-2.6814675989332319E-3</v>
      </c>
      <c r="E481" s="259">
        <v>4.9372907326485707E-3</v>
      </c>
    </row>
    <row r="482" spans="2:5" x14ac:dyDescent="0.3">
      <c r="B482" s="102">
        <v>45503.645833333336</v>
      </c>
      <c r="C482" s="108">
        <v>3468.25</v>
      </c>
      <c r="D482" s="261">
        <f t="shared" si="11"/>
        <v>1.6575314359410318E-2</v>
      </c>
      <c r="E482" s="259">
        <v>4.9192062259178614E-3</v>
      </c>
    </row>
    <row r="483" spans="2:5" x14ac:dyDescent="0.3">
      <c r="B483" s="102">
        <v>45502.645833333336</v>
      </c>
      <c r="C483" s="108">
        <v>3411.7</v>
      </c>
      <c r="D483" s="261">
        <f t="shared" si="11"/>
        <v>-2.3596582859923092E-2</v>
      </c>
      <c r="E483" s="259">
        <v>4.9164076733468837E-3</v>
      </c>
    </row>
    <row r="484" spans="2:5" x14ac:dyDescent="0.3">
      <c r="B484" s="102">
        <v>45499.645833333336</v>
      </c>
      <c r="C484" s="108">
        <v>3494.15</v>
      </c>
      <c r="D484" s="261">
        <f t="shared" si="11"/>
        <v>2.5941041752304862E-2</v>
      </c>
      <c r="E484" s="259">
        <v>4.8747594228958904E-3</v>
      </c>
    </row>
    <row r="485" spans="2:5" x14ac:dyDescent="0.3">
      <c r="B485" s="102">
        <v>45498.645833333336</v>
      </c>
      <c r="C485" s="108">
        <v>3405.8</v>
      </c>
      <c r="D485" s="261">
        <f t="shared" si="11"/>
        <v>-2.0871665133394637E-2</v>
      </c>
      <c r="E485" s="259">
        <v>4.8599279389994234E-3</v>
      </c>
    </row>
    <row r="486" spans="2:5" x14ac:dyDescent="0.3">
      <c r="B486" s="102">
        <v>45497.645833333336</v>
      </c>
      <c r="C486" s="108">
        <v>3478.4</v>
      </c>
      <c r="D486" s="261">
        <f t="shared" si="11"/>
        <v>3.3315545812481594E-3</v>
      </c>
      <c r="E486" s="259">
        <v>4.8404021257149668E-3</v>
      </c>
    </row>
    <row r="487" spans="2:5" x14ac:dyDescent="0.3">
      <c r="B487" s="102">
        <v>45496.645833333336</v>
      </c>
      <c r="C487" s="108">
        <v>3466.85</v>
      </c>
      <c r="D487" s="261">
        <f t="shared" si="11"/>
        <v>6.5264484014195975E-2</v>
      </c>
      <c r="E487" s="259">
        <v>4.7662812319661839E-3</v>
      </c>
    </row>
    <row r="488" spans="2:5" x14ac:dyDescent="0.3">
      <c r="B488" s="102">
        <v>45495.645833333336</v>
      </c>
      <c r="C488" s="108">
        <v>3254.45</v>
      </c>
      <c r="D488" s="261">
        <f t="shared" si="11"/>
        <v>-1.3961337833691874E-3</v>
      </c>
      <c r="E488" s="259">
        <v>4.7545465351242124E-3</v>
      </c>
    </row>
    <row r="489" spans="2:5" x14ac:dyDescent="0.3">
      <c r="B489" s="102">
        <v>45492.645833333336</v>
      </c>
      <c r="C489" s="108">
        <v>3259</v>
      </c>
      <c r="D489" s="261">
        <f t="shared" si="11"/>
        <v>-9.5030808374970386E-4</v>
      </c>
      <c r="E489" s="259">
        <v>4.7342119874922758E-3</v>
      </c>
    </row>
    <row r="490" spans="2:5" x14ac:dyDescent="0.3">
      <c r="B490" s="102">
        <v>45491.645833333336</v>
      </c>
      <c r="C490" s="108">
        <v>3262.1</v>
      </c>
      <c r="D490" s="261">
        <f t="shared" si="11"/>
        <v>8.673335291662072E-3</v>
      </c>
      <c r="E490" s="259">
        <v>4.7156479181232345E-3</v>
      </c>
    </row>
    <row r="491" spans="2:5" x14ac:dyDescent="0.3">
      <c r="B491" s="102">
        <v>45489.645833333336</v>
      </c>
      <c r="C491" s="108">
        <v>3234.05</v>
      </c>
      <c r="D491" s="261">
        <f t="shared" si="11"/>
        <v>3.0550214006576405E-3</v>
      </c>
      <c r="E491" s="259">
        <v>4.6945217205220753E-3</v>
      </c>
    </row>
    <row r="492" spans="2:5" x14ac:dyDescent="0.3">
      <c r="B492" s="102">
        <v>45488.645833333336</v>
      </c>
      <c r="C492" s="108">
        <v>3224.2</v>
      </c>
      <c r="D492" s="261">
        <f t="shared" si="11"/>
        <v>-1.7493072433704634E-3</v>
      </c>
      <c r="E492" s="259">
        <v>4.6820589354168492E-3</v>
      </c>
    </row>
    <row r="493" spans="2:5" x14ac:dyDescent="0.3">
      <c r="B493" s="102">
        <v>45485.645833333336</v>
      </c>
      <c r="C493" s="108">
        <v>3229.85</v>
      </c>
      <c r="D493" s="261">
        <f t="shared" si="11"/>
        <v>-5.7717170473434712E-3</v>
      </c>
      <c r="E493" s="259">
        <v>4.5711300486498841E-3</v>
      </c>
    </row>
    <row r="494" spans="2:5" x14ac:dyDescent="0.3">
      <c r="B494" s="102">
        <v>45484.645833333336</v>
      </c>
      <c r="C494" s="108">
        <v>3248.6</v>
      </c>
      <c r="D494" s="261">
        <f t="shared" si="11"/>
        <v>7.3178294573643127E-3</v>
      </c>
      <c r="E494" s="259">
        <v>4.5644951610573975E-3</v>
      </c>
    </row>
    <row r="495" spans="2:5" x14ac:dyDescent="0.3">
      <c r="B495" s="102">
        <v>45483.645833333336</v>
      </c>
      <c r="C495" s="108">
        <v>3225</v>
      </c>
      <c r="D495" s="261">
        <f t="shared" si="11"/>
        <v>3.0636206708862445E-3</v>
      </c>
      <c r="E495" s="259">
        <v>4.5165637691453467E-3</v>
      </c>
    </row>
    <row r="496" spans="2:5" x14ac:dyDescent="0.3">
      <c r="B496" s="102">
        <v>45482.645833333336</v>
      </c>
      <c r="C496" s="108">
        <v>3215.15</v>
      </c>
      <c r="D496" s="261">
        <f t="shared" si="11"/>
        <v>1.8677523604334414E-2</v>
      </c>
      <c r="E496" s="259">
        <v>4.5133437990582436E-3</v>
      </c>
    </row>
    <row r="497" spans="2:5" x14ac:dyDescent="0.3">
      <c r="B497" s="102">
        <v>45481.645833333336</v>
      </c>
      <c r="C497" s="108">
        <v>3156.2</v>
      </c>
      <c r="D497" s="261">
        <f t="shared" si="11"/>
        <v>-3.4609326012816029E-2</v>
      </c>
      <c r="E497" s="259">
        <v>4.5093152960721848E-3</v>
      </c>
    </row>
    <row r="498" spans="2:5" x14ac:dyDescent="0.3">
      <c r="B498" s="102">
        <v>45478.645833333336</v>
      </c>
      <c r="C498" s="108">
        <v>3269.35</v>
      </c>
      <c r="D498" s="261">
        <f t="shared" si="11"/>
        <v>-1.9979016786570769E-2</v>
      </c>
      <c r="E498" s="259">
        <v>4.5021645021644761E-3</v>
      </c>
    </row>
    <row r="499" spans="2:5" x14ac:dyDescent="0.3">
      <c r="B499" s="102">
        <v>45477.645833333336</v>
      </c>
      <c r="C499" s="108">
        <v>3336</v>
      </c>
      <c r="D499" s="261">
        <f t="shared" si="11"/>
        <v>-7.2167249460605614E-3</v>
      </c>
      <c r="E499" s="259">
        <v>4.4439935064934325E-3</v>
      </c>
    </row>
    <row r="500" spans="2:5" x14ac:dyDescent="0.3">
      <c r="B500" s="102">
        <v>45476.645833333336</v>
      </c>
      <c r="C500" s="108">
        <v>3360.25</v>
      </c>
      <c r="D500" s="261">
        <f t="shared" si="11"/>
        <v>-1.1589428323503917E-2</v>
      </c>
      <c r="E500" s="259">
        <v>4.4387483979870194E-3</v>
      </c>
    </row>
    <row r="501" spans="2:5" x14ac:dyDescent="0.3">
      <c r="B501" s="102">
        <v>45475.645833333336</v>
      </c>
      <c r="C501" s="108">
        <v>3399.65</v>
      </c>
      <c r="D501" s="261">
        <f t="shared" si="11"/>
        <v>-9.2672193970478167E-3</v>
      </c>
      <c r="E501" s="259">
        <v>4.3458325857704243E-3</v>
      </c>
    </row>
    <row r="502" spans="2:5" x14ac:dyDescent="0.3">
      <c r="B502" s="102">
        <v>45474.645833333336</v>
      </c>
      <c r="C502" s="108">
        <v>3431.45</v>
      </c>
      <c r="D502" s="261">
        <f t="shared" si="11"/>
        <v>8.0048175782856477E-3</v>
      </c>
      <c r="E502" s="259">
        <v>4.3209270352549262E-3</v>
      </c>
    </row>
    <row r="503" spans="2:5" x14ac:dyDescent="0.3">
      <c r="B503" s="102">
        <v>45471.645833333336</v>
      </c>
      <c r="C503" s="108">
        <v>3404.2</v>
      </c>
      <c r="D503" s="261">
        <f t="shared" si="11"/>
        <v>6.9810092882919925E-3</v>
      </c>
      <c r="E503" s="259">
        <v>4.297861648527487E-3</v>
      </c>
    </row>
    <row r="504" spans="2:5" x14ac:dyDescent="0.3">
      <c r="B504" s="102">
        <v>45470.645833333336</v>
      </c>
      <c r="C504" s="108">
        <v>3380.6</v>
      </c>
      <c r="D504" s="261">
        <f t="shared" si="11"/>
        <v>2.3274775776443287E-3</v>
      </c>
      <c r="E504" s="259">
        <v>4.2970292430260376E-3</v>
      </c>
    </row>
    <row r="505" spans="2:5" x14ac:dyDescent="0.3">
      <c r="B505" s="102">
        <v>45469.645833333336</v>
      </c>
      <c r="C505" s="108">
        <v>3372.75</v>
      </c>
      <c r="D505" s="261">
        <f t="shared" si="11"/>
        <v>-8.7290040999867206E-3</v>
      </c>
      <c r="E505" s="259">
        <v>4.2343252272551051E-3</v>
      </c>
    </row>
    <row r="506" spans="2:5" x14ac:dyDescent="0.3">
      <c r="B506" s="102">
        <v>45468.645833333336</v>
      </c>
      <c r="C506" s="108">
        <v>3402.45</v>
      </c>
      <c r="D506" s="261">
        <f t="shared" si="11"/>
        <v>-2.901226427535303E-3</v>
      </c>
      <c r="E506" s="259">
        <v>4.1193285934179235E-3</v>
      </c>
    </row>
    <row r="507" spans="2:5" x14ac:dyDescent="0.3">
      <c r="B507" s="102">
        <v>45467.645833333336</v>
      </c>
      <c r="C507" s="108">
        <v>3412.35</v>
      </c>
      <c r="D507" s="261">
        <f t="shared" si="11"/>
        <v>3.7061548643282328E-3</v>
      </c>
      <c r="E507" s="259">
        <v>4.0917515103376899E-3</v>
      </c>
    </row>
    <row r="508" spans="2:5" x14ac:dyDescent="0.3">
      <c r="B508" s="102">
        <v>45464.645833333336</v>
      </c>
      <c r="C508" s="108">
        <v>3399.75</v>
      </c>
      <c r="D508" s="261">
        <f t="shared" si="11"/>
        <v>-1.0535659715653551E-2</v>
      </c>
      <c r="E508" s="259">
        <v>4.0893600908747376E-3</v>
      </c>
    </row>
    <row r="509" spans="2:5" x14ac:dyDescent="0.3">
      <c r="B509" s="102">
        <v>45463.645833333336</v>
      </c>
      <c r="C509" s="108">
        <v>3435.95</v>
      </c>
      <c r="D509" s="261">
        <f t="shared" si="11"/>
        <v>-7.6248790561324218E-3</v>
      </c>
      <c r="E509" s="259">
        <v>4.0693641618497955E-3</v>
      </c>
    </row>
    <row r="510" spans="2:5" x14ac:dyDescent="0.3">
      <c r="B510" s="102">
        <v>45462.645833333336</v>
      </c>
      <c r="C510" s="108">
        <v>3462.35</v>
      </c>
      <c r="D510" s="261">
        <f t="shared" si="11"/>
        <v>-3.5288381164669848E-2</v>
      </c>
      <c r="E510" s="259">
        <v>4.0522579181119719E-3</v>
      </c>
    </row>
    <row r="511" spans="2:5" x14ac:dyDescent="0.3">
      <c r="B511" s="102">
        <v>45461.645833333336</v>
      </c>
      <c r="C511" s="108">
        <v>3589</v>
      </c>
      <c r="D511" s="261">
        <f t="shared" si="11"/>
        <v>1.6699480177334546E-2</v>
      </c>
      <c r="E511" s="259">
        <v>4.04585300067427E-3</v>
      </c>
    </row>
    <row r="512" spans="2:5" x14ac:dyDescent="0.3">
      <c r="B512" s="102">
        <v>45457.645833333336</v>
      </c>
      <c r="C512" s="108">
        <v>3530.05</v>
      </c>
      <c r="D512" s="261">
        <f t="shared" si="11"/>
        <v>1.6660906629802536E-2</v>
      </c>
      <c r="E512" s="259">
        <v>4.0345714655858796E-3</v>
      </c>
    </row>
    <row r="513" spans="2:5" x14ac:dyDescent="0.3">
      <c r="B513" s="102">
        <v>45456.645833333336</v>
      </c>
      <c r="C513" s="108">
        <v>3472.2</v>
      </c>
      <c r="D513" s="261">
        <f t="shared" si="11"/>
        <v>2.6579546462466259E-2</v>
      </c>
      <c r="E513" s="259">
        <v>3.9854372948672735E-3</v>
      </c>
    </row>
    <row r="514" spans="2:5" x14ac:dyDescent="0.3">
      <c r="B514" s="102">
        <v>45455.645833333336</v>
      </c>
      <c r="C514" s="108">
        <v>3382.3</v>
      </c>
      <c r="D514" s="261">
        <f t="shared" si="11"/>
        <v>-8.3267364470635472E-3</v>
      </c>
      <c r="E514" s="259">
        <v>3.9781603826765976E-3</v>
      </c>
    </row>
    <row r="515" spans="2:5" x14ac:dyDescent="0.3">
      <c r="B515" s="102">
        <v>45454.645833333336</v>
      </c>
      <c r="C515" s="108">
        <v>3410.7</v>
      </c>
      <c r="D515" s="261">
        <f t="shared" ref="D515:D578" si="12">(C515-C516)/C516</f>
        <v>-3.3604114312430601E-3</v>
      </c>
      <c r="E515" s="259">
        <v>3.9661773211777593E-3</v>
      </c>
    </row>
    <row r="516" spans="2:5" x14ac:dyDescent="0.3">
      <c r="B516" s="102">
        <v>45453.645833333336</v>
      </c>
      <c r="C516" s="108">
        <v>3422.2</v>
      </c>
      <c r="D516" s="261">
        <f t="shared" si="12"/>
        <v>-6.3442749089009636E-3</v>
      </c>
      <c r="E516" s="259">
        <v>3.8797284190106433E-3</v>
      </c>
    </row>
    <row r="517" spans="2:5" x14ac:dyDescent="0.3">
      <c r="B517" s="102">
        <v>45450.645833333336</v>
      </c>
      <c r="C517" s="108">
        <v>3444.05</v>
      </c>
      <c r="D517" s="261">
        <f t="shared" si="12"/>
        <v>3.6849156292806315E-2</v>
      </c>
      <c r="E517" s="259">
        <v>3.8726501381698584E-3</v>
      </c>
    </row>
    <row r="518" spans="2:5" x14ac:dyDescent="0.3">
      <c r="B518" s="102">
        <v>45449.645833333336</v>
      </c>
      <c r="C518" s="108">
        <v>3321.65</v>
      </c>
      <c r="D518" s="261">
        <f t="shared" si="12"/>
        <v>1.2056726900064804E-3</v>
      </c>
      <c r="E518" s="259">
        <v>3.8495439909337187E-3</v>
      </c>
    </row>
    <row r="519" spans="2:5" x14ac:dyDescent="0.3">
      <c r="B519" s="102">
        <v>45448.645833333336</v>
      </c>
      <c r="C519" s="108">
        <v>3317.65</v>
      </c>
      <c r="D519" s="261">
        <f t="shared" si="12"/>
        <v>2.4297997807931668E-2</v>
      </c>
      <c r="E519" s="259">
        <v>3.8363529444709679E-3</v>
      </c>
    </row>
    <row r="520" spans="2:5" x14ac:dyDescent="0.3">
      <c r="B520" s="102">
        <v>45447.645833333336</v>
      </c>
      <c r="C520" s="108">
        <v>3238.95</v>
      </c>
      <c r="D520" s="261">
        <f t="shared" si="12"/>
        <v>-6.8226419722801426E-3</v>
      </c>
      <c r="E520" s="259">
        <v>3.8045150642012937E-3</v>
      </c>
    </row>
    <row r="521" spans="2:5" x14ac:dyDescent="0.3">
      <c r="B521" s="102">
        <v>45446.645833333336</v>
      </c>
      <c r="C521" s="108">
        <v>3261.2</v>
      </c>
      <c r="D521" s="261">
        <f t="shared" si="12"/>
        <v>5.9532989913321588E-3</v>
      </c>
      <c r="E521" s="259">
        <v>3.77529758834819E-3</v>
      </c>
    </row>
    <row r="522" spans="2:5" x14ac:dyDescent="0.3">
      <c r="B522" s="102">
        <v>45443.645833333336</v>
      </c>
      <c r="C522" s="108">
        <v>3241.9</v>
      </c>
      <c r="D522" s="261">
        <f t="shared" si="12"/>
        <v>-9.1538426272597517E-3</v>
      </c>
      <c r="E522" s="259">
        <v>3.7745138262081797E-3</v>
      </c>
    </row>
    <row r="523" spans="2:5" x14ac:dyDescent="0.3">
      <c r="B523" s="102">
        <v>45442.645833333336</v>
      </c>
      <c r="C523" s="108">
        <v>3271.85</v>
      </c>
      <c r="D523" s="261">
        <f t="shared" si="12"/>
        <v>-3.2111584427878412E-2</v>
      </c>
      <c r="E523" s="259">
        <v>3.7688442211054689E-3</v>
      </c>
    </row>
    <row r="524" spans="2:5" x14ac:dyDescent="0.3">
      <c r="B524" s="102">
        <v>45441.645833333336</v>
      </c>
      <c r="C524" s="108">
        <v>3380.4</v>
      </c>
      <c r="D524" s="261">
        <f t="shared" si="12"/>
        <v>-8.5058954654777964E-3</v>
      </c>
      <c r="E524" s="259">
        <v>3.7448867891916805E-3</v>
      </c>
    </row>
    <row r="525" spans="2:5" x14ac:dyDescent="0.3">
      <c r="B525" s="102">
        <v>45440.645833333336</v>
      </c>
      <c r="C525" s="108">
        <v>3409.4</v>
      </c>
      <c r="D525" s="261">
        <f t="shared" si="12"/>
        <v>1.7629429394135276E-3</v>
      </c>
      <c r="E525" s="259">
        <v>3.7414200517609224E-3</v>
      </c>
    </row>
    <row r="526" spans="2:5" x14ac:dyDescent="0.3">
      <c r="B526" s="102">
        <v>45439.645833333336</v>
      </c>
      <c r="C526" s="108">
        <v>3403.4</v>
      </c>
      <c r="D526" s="261">
        <f t="shared" si="12"/>
        <v>-2.6374399249794863E-3</v>
      </c>
      <c r="E526" s="259">
        <v>3.7061548643282328E-3</v>
      </c>
    </row>
    <row r="527" spans="2:5" x14ac:dyDescent="0.3">
      <c r="B527" s="102">
        <v>45436.645833333336</v>
      </c>
      <c r="C527" s="108">
        <v>3412.4</v>
      </c>
      <c r="D527" s="261">
        <f t="shared" si="12"/>
        <v>-1.1485928651091406E-2</v>
      </c>
      <c r="E527" s="259">
        <v>3.6738117966964093E-3</v>
      </c>
    </row>
    <row r="528" spans="2:5" x14ac:dyDescent="0.3">
      <c r="B528" s="102">
        <v>45435.645833333336</v>
      </c>
      <c r="C528" s="108">
        <v>3452.05</v>
      </c>
      <c r="D528" s="261">
        <f t="shared" si="12"/>
        <v>2.0154557678384172E-2</v>
      </c>
      <c r="E528" s="259">
        <v>3.6612309310888242E-3</v>
      </c>
    </row>
    <row r="529" spans="2:5" x14ac:dyDescent="0.3">
      <c r="B529" s="102">
        <v>45434.645833333336</v>
      </c>
      <c r="C529" s="108">
        <v>3383.85</v>
      </c>
      <c r="D529" s="261">
        <f t="shared" si="12"/>
        <v>2.0284275984601449E-3</v>
      </c>
      <c r="E529" s="259">
        <v>3.5986882201004414E-3</v>
      </c>
    </row>
    <row r="530" spans="2:5" x14ac:dyDescent="0.3">
      <c r="B530" s="102">
        <v>45433.645833333336</v>
      </c>
      <c r="C530" s="108">
        <v>3377</v>
      </c>
      <c r="D530" s="261">
        <f t="shared" si="12"/>
        <v>4.7156479181232345E-3</v>
      </c>
      <c r="E530" s="259">
        <v>3.5366187398690992E-3</v>
      </c>
    </row>
    <row r="531" spans="2:5" x14ac:dyDescent="0.3">
      <c r="B531" s="102">
        <v>45429.645833333336</v>
      </c>
      <c r="C531" s="108">
        <v>3361.15</v>
      </c>
      <c r="D531" s="261">
        <f t="shared" si="12"/>
        <v>8.173610486217342E-3</v>
      </c>
      <c r="E531" s="259">
        <v>3.456503120029421E-3</v>
      </c>
    </row>
    <row r="532" spans="2:5" x14ac:dyDescent="0.3">
      <c r="B532" s="102">
        <v>45428.645833333336</v>
      </c>
      <c r="C532" s="108">
        <v>3333.9</v>
      </c>
      <c r="D532" s="261">
        <f t="shared" si="12"/>
        <v>1.9993575132704076E-2</v>
      </c>
      <c r="E532" s="259">
        <v>3.394379538995919E-3</v>
      </c>
    </row>
    <row r="533" spans="2:5" x14ac:dyDescent="0.3">
      <c r="B533" s="102">
        <v>45427.645833333336</v>
      </c>
      <c r="C533" s="108">
        <v>3268.55</v>
      </c>
      <c r="D533" s="261">
        <f t="shared" si="12"/>
        <v>-6.1874790963543768E-3</v>
      </c>
      <c r="E533" s="259">
        <v>3.384766217698826E-3</v>
      </c>
    </row>
    <row r="534" spans="2:5" x14ac:dyDescent="0.3">
      <c r="B534" s="102">
        <v>45426.645833333336</v>
      </c>
      <c r="C534" s="108">
        <v>3288.9</v>
      </c>
      <c r="D534" s="261">
        <f t="shared" si="12"/>
        <v>1.0833986445991425E-2</v>
      </c>
      <c r="E534" s="259">
        <v>3.3343256921702347E-3</v>
      </c>
    </row>
    <row r="535" spans="2:5" x14ac:dyDescent="0.3">
      <c r="B535" s="102">
        <v>45425.645833333336</v>
      </c>
      <c r="C535" s="108">
        <v>3253.65</v>
      </c>
      <c r="D535" s="261">
        <f t="shared" si="12"/>
        <v>-1.1003541194887249E-2</v>
      </c>
      <c r="E535" s="259">
        <v>3.3315545812481594E-3</v>
      </c>
    </row>
    <row r="536" spans="2:5" x14ac:dyDescent="0.3">
      <c r="B536" s="102">
        <v>45422.645833333336</v>
      </c>
      <c r="C536" s="108">
        <v>3289.85</v>
      </c>
      <c r="D536" s="261">
        <f t="shared" si="12"/>
        <v>1.3602612687555872E-2</v>
      </c>
      <c r="E536" s="259">
        <v>3.2792446429580789E-3</v>
      </c>
    </row>
    <row r="537" spans="2:5" x14ac:dyDescent="0.3">
      <c r="B537" s="102">
        <v>45421.645833333336</v>
      </c>
      <c r="C537" s="108">
        <v>3245.7</v>
      </c>
      <c r="D537" s="261">
        <f t="shared" si="12"/>
        <v>-4.3406905225700848E-3</v>
      </c>
      <c r="E537" s="259">
        <v>3.2478139713653571E-3</v>
      </c>
    </row>
    <row r="538" spans="2:5" x14ac:dyDescent="0.3">
      <c r="B538" s="102">
        <v>45420.645833333336</v>
      </c>
      <c r="C538" s="108">
        <v>3259.85</v>
      </c>
      <c r="D538" s="261">
        <f t="shared" si="12"/>
        <v>-3.3782750924822471E-3</v>
      </c>
      <c r="E538" s="259">
        <v>3.1209154685373892E-3</v>
      </c>
    </row>
    <row r="539" spans="2:5" x14ac:dyDescent="0.3">
      <c r="B539" s="102">
        <v>45419.645833333336</v>
      </c>
      <c r="C539" s="108">
        <v>3270.9</v>
      </c>
      <c r="D539" s="261">
        <f t="shared" si="12"/>
        <v>-2.8199929881255431E-3</v>
      </c>
      <c r="E539" s="259">
        <v>3.0674846625766495E-3</v>
      </c>
    </row>
    <row r="540" spans="2:5" x14ac:dyDescent="0.3">
      <c r="B540" s="102">
        <v>45418.645833333336</v>
      </c>
      <c r="C540" s="108">
        <v>3280.15</v>
      </c>
      <c r="D540" s="261">
        <f t="shared" si="12"/>
        <v>-7.1804521916296438E-2</v>
      </c>
      <c r="E540" s="259">
        <v>3.0636206708862445E-3</v>
      </c>
    </row>
    <row r="541" spans="2:5" x14ac:dyDescent="0.3">
      <c r="B541" s="102">
        <v>45415.645833333336</v>
      </c>
      <c r="C541" s="108">
        <v>3533.9</v>
      </c>
      <c r="D541" s="261">
        <f t="shared" si="12"/>
        <v>-9.6820748504251788E-3</v>
      </c>
      <c r="E541" s="259">
        <v>3.0630216708783212E-3</v>
      </c>
    </row>
    <row r="542" spans="2:5" x14ac:dyDescent="0.3">
      <c r="B542" s="102">
        <v>45414.645833333336</v>
      </c>
      <c r="C542" s="108">
        <v>3568.45</v>
      </c>
      <c r="D542" s="261">
        <f t="shared" si="12"/>
        <v>-5.7950825381347581E-3</v>
      </c>
      <c r="E542" s="259">
        <v>3.0613322073260846E-3</v>
      </c>
    </row>
    <row r="543" spans="2:5" x14ac:dyDescent="0.3">
      <c r="B543" s="102">
        <v>45412.645833333336</v>
      </c>
      <c r="C543" s="108">
        <v>3589.25</v>
      </c>
      <c r="D543" s="261">
        <f t="shared" si="12"/>
        <v>-4.3275032248220897E-3</v>
      </c>
      <c r="E543" s="259">
        <v>3.0590656984389665E-3</v>
      </c>
    </row>
    <row r="544" spans="2:5" x14ac:dyDescent="0.3">
      <c r="B544" s="102">
        <v>45411.645833333336</v>
      </c>
      <c r="C544" s="108">
        <v>3604.85</v>
      </c>
      <c r="D544" s="261">
        <f t="shared" si="12"/>
        <v>5.5930595849140053E-3</v>
      </c>
      <c r="E544" s="259">
        <v>3.0550214006576405E-3</v>
      </c>
    </row>
    <row r="545" spans="2:5" x14ac:dyDescent="0.3">
      <c r="B545" s="102">
        <v>45408.645833333336</v>
      </c>
      <c r="C545" s="108">
        <v>3584.8</v>
      </c>
      <c r="D545" s="261">
        <f t="shared" si="12"/>
        <v>3.8363529444709679E-3</v>
      </c>
      <c r="E545" s="259">
        <v>3.0425766942500758E-3</v>
      </c>
    </row>
    <row r="546" spans="2:5" x14ac:dyDescent="0.3">
      <c r="B546" s="102">
        <v>45407.645833333336</v>
      </c>
      <c r="C546" s="108">
        <v>3571.1</v>
      </c>
      <c r="D546" s="261">
        <f t="shared" si="12"/>
        <v>-1.0707112680933608E-2</v>
      </c>
      <c r="E546" s="259">
        <v>3.0252298293535944E-3</v>
      </c>
    </row>
    <row r="547" spans="2:5" x14ac:dyDescent="0.3">
      <c r="B547" s="102">
        <v>45406.645833333336</v>
      </c>
      <c r="C547" s="108">
        <v>3609.75</v>
      </c>
      <c r="D547" s="261">
        <f t="shared" si="12"/>
        <v>-6.3996696944673822E-3</v>
      </c>
      <c r="E547" s="259">
        <v>3.0003310710147325E-3</v>
      </c>
    </row>
    <row r="548" spans="2:5" x14ac:dyDescent="0.3">
      <c r="B548" s="102">
        <v>45405.645833333336</v>
      </c>
      <c r="C548" s="108">
        <v>3633</v>
      </c>
      <c r="D548" s="261">
        <f t="shared" si="12"/>
        <v>1.0078543129213873E-2</v>
      </c>
      <c r="E548" s="259">
        <v>2.9979497891764345E-3</v>
      </c>
    </row>
    <row r="549" spans="2:5" x14ac:dyDescent="0.3">
      <c r="B549" s="102">
        <v>45404.645833333336</v>
      </c>
      <c r="C549" s="108">
        <v>3596.75</v>
      </c>
      <c r="D549" s="261">
        <f t="shared" si="12"/>
        <v>9.4581889111855898E-3</v>
      </c>
      <c r="E549" s="259">
        <v>2.9621753000152601E-3</v>
      </c>
    </row>
    <row r="550" spans="2:5" x14ac:dyDescent="0.3">
      <c r="B550" s="102">
        <v>45401.645833333336</v>
      </c>
      <c r="C550" s="108">
        <v>3563.05</v>
      </c>
      <c r="D550" s="261">
        <f t="shared" si="12"/>
        <v>1.0765652038240127E-2</v>
      </c>
      <c r="E550" s="259">
        <v>2.9425520305556654E-3</v>
      </c>
    </row>
    <row r="551" spans="2:5" x14ac:dyDescent="0.3">
      <c r="B551" s="102">
        <v>45400.645833333336</v>
      </c>
      <c r="C551" s="108">
        <v>3525.1</v>
      </c>
      <c r="D551" s="261">
        <f t="shared" si="12"/>
        <v>-3.3133108423160314E-2</v>
      </c>
      <c r="E551" s="259">
        <v>2.9171677883262342E-3</v>
      </c>
    </row>
    <row r="552" spans="2:5" x14ac:dyDescent="0.3">
      <c r="B552" s="102">
        <v>45398.645833333336</v>
      </c>
      <c r="C552" s="108">
        <v>3645.9</v>
      </c>
      <c r="D552" s="261">
        <f t="shared" si="12"/>
        <v>1.2581236460589952E-2</v>
      </c>
      <c r="E552" s="259">
        <v>2.9005584657345001E-3</v>
      </c>
    </row>
    <row r="553" spans="2:5" x14ac:dyDescent="0.3">
      <c r="B553" s="102">
        <v>45397.645833333336</v>
      </c>
      <c r="C553" s="108">
        <v>3600.6</v>
      </c>
      <c r="D553" s="261">
        <f t="shared" si="12"/>
        <v>-5.1667449506811458E-3</v>
      </c>
      <c r="E553" s="259">
        <v>2.8859367842418134E-3</v>
      </c>
    </row>
    <row r="554" spans="2:5" x14ac:dyDescent="0.3">
      <c r="B554" s="102">
        <v>45394.645833333336</v>
      </c>
      <c r="C554" s="108">
        <v>3619.3</v>
      </c>
      <c r="D554" s="261">
        <f t="shared" si="12"/>
        <v>-2.476287993101952E-2</v>
      </c>
      <c r="E554" s="259">
        <v>2.8824977328669814E-3</v>
      </c>
    </row>
    <row r="555" spans="2:5" x14ac:dyDescent="0.3">
      <c r="B555" s="102">
        <v>45392.645833333336</v>
      </c>
      <c r="C555" s="108">
        <v>3711.2</v>
      </c>
      <c r="D555" s="261">
        <f t="shared" si="12"/>
        <v>8.6564202916275725E-3</v>
      </c>
      <c r="E555" s="259">
        <v>2.8798036068361649E-3</v>
      </c>
    </row>
    <row r="556" spans="2:5" x14ac:dyDescent="0.3">
      <c r="B556" s="102">
        <v>45391.645833333336</v>
      </c>
      <c r="C556" s="108">
        <v>3679.35</v>
      </c>
      <c r="D556" s="261">
        <f t="shared" si="12"/>
        <v>-1.855210861852815E-2</v>
      </c>
      <c r="E556" s="259">
        <v>2.8372504829361424E-3</v>
      </c>
    </row>
    <row r="557" spans="2:5" x14ac:dyDescent="0.3">
      <c r="B557" s="102">
        <v>45390.645833333336</v>
      </c>
      <c r="C557" s="108">
        <v>3748.9</v>
      </c>
      <c r="D557" s="261">
        <f t="shared" si="12"/>
        <v>-1.4782458149661675E-3</v>
      </c>
      <c r="E557" s="259">
        <v>2.8197441453207089E-3</v>
      </c>
    </row>
    <row r="558" spans="2:5" x14ac:dyDescent="0.3">
      <c r="B558" s="102">
        <v>45387.645833333336</v>
      </c>
      <c r="C558" s="108">
        <v>3754.45</v>
      </c>
      <c r="D558" s="261">
        <f t="shared" si="12"/>
        <v>-7.481329720441526E-3</v>
      </c>
      <c r="E558" s="259">
        <v>2.8037099903006793E-3</v>
      </c>
    </row>
    <row r="559" spans="2:5" x14ac:dyDescent="0.3">
      <c r="B559" s="102">
        <v>45386.645833333336</v>
      </c>
      <c r="C559" s="108">
        <v>3782.75</v>
      </c>
      <c r="D559" s="261">
        <f t="shared" si="12"/>
        <v>1.8922558922558924E-2</v>
      </c>
      <c r="E559" s="259">
        <v>2.7911766299930038E-3</v>
      </c>
    </row>
    <row r="560" spans="2:5" x14ac:dyDescent="0.3">
      <c r="B560" s="102">
        <v>45385.645833333336</v>
      </c>
      <c r="C560" s="108">
        <v>3712.5</v>
      </c>
      <c r="D560" s="261">
        <f t="shared" si="12"/>
        <v>-1.1568311612241861E-2</v>
      </c>
      <c r="E560" s="259">
        <v>2.7655231447949202E-3</v>
      </c>
    </row>
    <row r="561" spans="2:5" x14ac:dyDescent="0.3">
      <c r="B561" s="102">
        <v>45384.645833333336</v>
      </c>
      <c r="C561" s="108">
        <v>3755.95</v>
      </c>
      <c r="D561" s="261">
        <f t="shared" si="12"/>
        <v>4.6945217205220753E-3</v>
      </c>
      <c r="E561" s="259">
        <v>2.7555941111932557E-3</v>
      </c>
    </row>
    <row r="562" spans="2:5" x14ac:dyDescent="0.3">
      <c r="B562" s="102">
        <v>45383.645833333336</v>
      </c>
      <c r="C562" s="108">
        <v>3738.4</v>
      </c>
      <c r="D562" s="261">
        <f t="shared" si="12"/>
        <v>-1.6676311221000602E-2</v>
      </c>
      <c r="E562" s="259">
        <v>2.7504011001603704E-3</v>
      </c>
    </row>
    <row r="563" spans="2:5" x14ac:dyDescent="0.3">
      <c r="B563" s="102">
        <v>45379.645833333336</v>
      </c>
      <c r="C563" s="108">
        <v>3801.8</v>
      </c>
      <c r="D563" s="261">
        <f t="shared" si="12"/>
        <v>1.1278395488641828E-2</v>
      </c>
      <c r="E563" s="259">
        <v>2.7400093056919581E-3</v>
      </c>
    </row>
    <row r="564" spans="2:5" x14ac:dyDescent="0.3">
      <c r="B564" s="102">
        <v>45378.645833333336</v>
      </c>
      <c r="C564" s="108">
        <v>3759.4</v>
      </c>
      <c r="D564" s="261">
        <f t="shared" si="12"/>
        <v>1.6548591206532983E-2</v>
      </c>
      <c r="E564" s="259">
        <v>2.7175877072522273E-3</v>
      </c>
    </row>
    <row r="565" spans="2:5" x14ac:dyDescent="0.3">
      <c r="B565" s="102">
        <v>45377.645833333336</v>
      </c>
      <c r="C565" s="108">
        <v>3698.2</v>
      </c>
      <c r="D565" s="261">
        <f t="shared" si="12"/>
        <v>-2.293144845819732E-3</v>
      </c>
      <c r="E565" s="259">
        <v>2.6539527455493872E-3</v>
      </c>
    </row>
    <row r="566" spans="2:5" x14ac:dyDescent="0.3">
      <c r="B566" s="102">
        <v>45373.645833333336</v>
      </c>
      <c r="C566" s="108">
        <v>3706.7</v>
      </c>
      <c r="D566" s="261">
        <f t="shared" si="12"/>
        <v>2.1819134126338614E-2</v>
      </c>
      <c r="E566" s="259">
        <v>2.6340934328434825E-3</v>
      </c>
    </row>
    <row r="567" spans="2:5" x14ac:dyDescent="0.3">
      <c r="B567" s="102">
        <v>45372.645833333336</v>
      </c>
      <c r="C567" s="108">
        <v>3627.55</v>
      </c>
      <c r="D567" s="261">
        <f t="shared" si="12"/>
        <v>1.0318897089541897E-2</v>
      </c>
      <c r="E567" s="259">
        <v>2.6237708736912466E-3</v>
      </c>
    </row>
    <row r="568" spans="2:5" x14ac:dyDescent="0.3">
      <c r="B568" s="102">
        <v>45371.645833333336</v>
      </c>
      <c r="C568" s="108">
        <v>3590.5</v>
      </c>
      <c r="D568" s="261">
        <f t="shared" si="12"/>
        <v>1.9813584863537168E-3</v>
      </c>
      <c r="E568" s="259">
        <v>2.5845229151014002E-3</v>
      </c>
    </row>
    <row r="569" spans="2:5" x14ac:dyDescent="0.3">
      <c r="B569" s="102">
        <v>45370.645833333336</v>
      </c>
      <c r="C569" s="108">
        <v>3583.4</v>
      </c>
      <c r="D569" s="261">
        <f t="shared" si="12"/>
        <v>1.0336061681147227E-3</v>
      </c>
      <c r="E569" s="259">
        <v>2.5795752913538444E-3</v>
      </c>
    </row>
    <row r="570" spans="2:5" x14ac:dyDescent="0.3">
      <c r="B570" s="102">
        <v>45369.645833333336</v>
      </c>
      <c r="C570" s="108">
        <v>3579.7</v>
      </c>
      <c r="D570" s="261">
        <f t="shared" si="12"/>
        <v>-1.4725311020587913E-2</v>
      </c>
      <c r="E570" s="259">
        <v>2.5605214152700185E-3</v>
      </c>
    </row>
    <row r="571" spans="2:5" x14ac:dyDescent="0.3">
      <c r="B571" s="102">
        <v>45366.645833333336</v>
      </c>
      <c r="C571" s="108">
        <v>3633.2</v>
      </c>
      <c r="D571" s="261">
        <f t="shared" si="12"/>
        <v>-1.9092619809623979E-3</v>
      </c>
      <c r="E571" s="259">
        <v>2.5584640757813602E-3</v>
      </c>
    </row>
    <row r="572" spans="2:5" x14ac:dyDescent="0.3">
      <c r="B572" s="102">
        <v>45365.645833333336</v>
      </c>
      <c r="C572" s="108">
        <v>3640.15</v>
      </c>
      <c r="D572" s="261">
        <f t="shared" si="12"/>
        <v>3.9854372948672735E-3</v>
      </c>
      <c r="E572" s="259">
        <v>2.5583626479053936E-3</v>
      </c>
    </row>
    <row r="573" spans="2:5" x14ac:dyDescent="0.3">
      <c r="B573" s="102">
        <v>45364.645833333336</v>
      </c>
      <c r="C573" s="108">
        <v>3625.7</v>
      </c>
      <c r="D573" s="261">
        <f t="shared" si="12"/>
        <v>-3.2837174562526772E-2</v>
      </c>
      <c r="E573" s="259">
        <v>2.5521555898751404E-3</v>
      </c>
    </row>
    <row r="574" spans="2:5" x14ac:dyDescent="0.3">
      <c r="B574" s="102">
        <v>45363.645833333336</v>
      </c>
      <c r="C574" s="108">
        <v>3748.8</v>
      </c>
      <c r="D574" s="261">
        <f t="shared" si="12"/>
        <v>-3.5998560057595269E-4</v>
      </c>
      <c r="E574" s="259">
        <v>2.5499034127495403E-3</v>
      </c>
    </row>
    <row r="575" spans="2:5" x14ac:dyDescent="0.3">
      <c r="B575" s="102">
        <v>45362.645833333336</v>
      </c>
      <c r="C575" s="108">
        <v>3750.15</v>
      </c>
      <c r="D575" s="261">
        <f t="shared" si="12"/>
        <v>-9.7045076447754095E-3</v>
      </c>
      <c r="E575" s="259">
        <v>2.5477529654174113E-3</v>
      </c>
    </row>
    <row r="576" spans="2:5" x14ac:dyDescent="0.3">
      <c r="B576" s="102">
        <v>45358.645833333336</v>
      </c>
      <c r="C576" s="108">
        <v>3786.9</v>
      </c>
      <c r="D576" s="261">
        <f t="shared" si="12"/>
        <v>-6.2586105097421525E-3</v>
      </c>
      <c r="E576" s="259">
        <v>2.5161509690581744E-3</v>
      </c>
    </row>
    <row r="577" spans="2:5" x14ac:dyDescent="0.3">
      <c r="B577" s="102">
        <v>45357.645833333336</v>
      </c>
      <c r="C577" s="108">
        <v>3810.75</v>
      </c>
      <c r="D577" s="261">
        <f t="shared" si="12"/>
        <v>1.5996800639872025E-2</v>
      </c>
      <c r="E577" s="259">
        <v>2.4717328424927929E-3</v>
      </c>
    </row>
    <row r="578" spans="2:5" x14ac:dyDescent="0.3">
      <c r="B578" s="102">
        <v>45356.645833333336</v>
      </c>
      <c r="C578" s="108">
        <v>3750.75</v>
      </c>
      <c r="D578" s="261">
        <f t="shared" si="12"/>
        <v>4.9164076733468837E-3</v>
      </c>
      <c r="E578" s="259">
        <v>2.4295209718084719E-3</v>
      </c>
    </row>
    <row r="579" spans="2:5" x14ac:dyDescent="0.3">
      <c r="B579" s="102">
        <v>45355.645833333336</v>
      </c>
      <c r="C579" s="108">
        <v>3732.4</v>
      </c>
      <c r="D579" s="261">
        <f t="shared" ref="D579:D642" si="13">(C579-C580)/C580</f>
        <v>-8.8956159218247961E-3</v>
      </c>
      <c r="E579" s="259">
        <v>2.4161945950335294E-3</v>
      </c>
    </row>
    <row r="580" spans="2:5" x14ac:dyDescent="0.3">
      <c r="B580" s="102">
        <v>45352.645833333336</v>
      </c>
      <c r="C580" s="108">
        <v>3765.9</v>
      </c>
      <c r="D580" s="261">
        <f t="shared" si="13"/>
        <v>3.9040944708089616E-2</v>
      </c>
      <c r="E580" s="259">
        <v>2.4110679500182483E-3</v>
      </c>
    </row>
    <row r="581" spans="2:5" x14ac:dyDescent="0.3">
      <c r="B581" s="102">
        <v>45351.645833333336</v>
      </c>
      <c r="C581" s="108">
        <v>3624.4</v>
      </c>
      <c r="D581" s="261">
        <f t="shared" si="13"/>
        <v>8.2621637410633091E-3</v>
      </c>
      <c r="E581" s="259">
        <v>2.40254539945011E-3</v>
      </c>
    </row>
    <row r="582" spans="2:5" x14ac:dyDescent="0.3">
      <c r="B582" s="102">
        <v>45350.645833333336</v>
      </c>
      <c r="C582" s="108">
        <v>3594.7</v>
      </c>
      <c r="D582" s="261">
        <f t="shared" si="13"/>
        <v>-1.618840401220633E-2</v>
      </c>
      <c r="E582" s="259">
        <v>2.3919073800308349E-3</v>
      </c>
    </row>
    <row r="583" spans="2:5" x14ac:dyDescent="0.3">
      <c r="B583" s="102">
        <v>45349.645833333336</v>
      </c>
      <c r="C583" s="108">
        <v>3653.85</v>
      </c>
      <c r="D583" s="261">
        <f t="shared" si="13"/>
        <v>8.6542443064181948E-3</v>
      </c>
      <c r="E583" s="259">
        <v>2.3652982681206264E-3</v>
      </c>
    </row>
    <row r="584" spans="2:5" x14ac:dyDescent="0.3">
      <c r="B584" s="102">
        <v>45348.645833333336</v>
      </c>
      <c r="C584" s="108">
        <v>3622.5</v>
      </c>
      <c r="D584" s="261">
        <f t="shared" si="13"/>
        <v>-1.8811197334741753E-2</v>
      </c>
      <c r="E584" s="259">
        <v>2.3451041702068571E-3</v>
      </c>
    </row>
    <row r="585" spans="2:5" x14ac:dyDescent="0.3">
      <c r="B585" s="102">
        <v>45345.645833333336</v>
      </c>
      <c r="C585" s="108">
        <v>3691.95</v>
      </c>
      <c r="D585" s="261">
        <f t="shared" si="13"/>
        <v>1.0925370682219476E-2</v>
      </c>
      <c r="E585" s="259">
        <v>2.3367334498313489E-3</v>
      </c>
    </row>
    <row r="586" spans="2:5" x14ac:dyDescent="0.3">
      <c r="B586" s="102">
        <v>45344.645833333336</v>
      </c>
      <c r="C586" s="108">
        <v>3652.05</v>
      </c>
      <c r="D586" s="261">
        <f t="shared" si="13"/>
        <v>-1.1760362109753517E-3</v>
      </c>
      <c r="E586" s="259">
        <v>2.3274775776443287E-3</v>
      </c>
    </row>
    <row r="587" spans="2:5" x14ac:dyDescent="0.3">
      <c r="B587" s="102">
        <v>45343.645833333336</v>
      </c>
      <c r="C587" s="108">
        <v>3656.35</v>
      </c>
      <c r="D587" s="261">
        <f t="shared" si="13"/>
        <v>-8.2322944638836652E-3</v>
      </c>
      <c r="E587" s="259">
        <v>2.3179374156897417E-3</v>
      </c>
    </row>
    <row r="588" spans="2:5" x14ac:dyDescent="0.3">
      <c r="B588" s="102">
        <v>45342.645833333336</v>
      </c>
      <c r="C588" s="108">
        <v>3686.7</v>
      </c>
      <c r="D588" s="261">
        <f t="shared" si="13"/>
        <v>-2.2597799759138206E-3</v>
      </c>
      <c r="E588" s="259">
        <v>2.2897735468052662E-3</v>
      </c>
    </row>
    <row r="589" spans="2:5" x14ac:dyDescent="0.3">
      <c r="B589" s="102">
        <v>45341.645833333336</v>
      </c>
      <c r="C589" s="108">
        <v>3695.05</v>
      </c>
      <c r="D589" s="261">
        <f t="shared" si="13"/>
        <v>1.0846966132297447E-2</v>
      </c>
      <c r="E589" s="259">
        <v>2.2290483051078569E-3</v>
      </c>
    </row>
    <row r="590" spans="2:5" x14ac:dyDescent="0.3">
      <c r="B590" s="102">
        <v>45338.645833333336</v>
      </c>
      <c r="C590" s="108">
        <v>3655.4</v>
      </c>
      <c r="D590" s="261">
        <f t="shared" si="13"/>
        <v>9.2074929942987833E-3</v>
      </c>
      <c r="E590" s="259">
        <v>2.2253048956708496E-3</v>
      </c>
    </row>
    <row r="591" spans="2:5" x14ac:dyDescent="0.3">
      <c r="B591" s="102">
        <v>45337.645833333336</v>
      </c>
      <c r="C591" s="108">
        <v>3622.05</v>
      </c>
      <c r="D591" s="261">
        <f t="shared" si="13"/>
        <v>1.0179749271380959E-2</v>
      </c>
      <c r="E591" s="259">
        <v>2.1891339351942998E-3</v>
      </c>
    </row>
    <row r="592" spans="2:5" x14ac:dyDescent="0.3">
      <c r="B592" s="102">
        <v>45336.645833333336</v>
      </c>
      <c r="C592" s="108">
        <v>3585.55</v>
      </c>
      <c r="D592" s="261">
        <f t="shared" si="13"/>
        <v>7.1911122347225005E-3</v>
      </c>
      <c r="E592" s="259">
        <v>2.1794480089621792E-3</v>
      </c>
    </row>
    <row r="593" spans="2:5" x14ac:dyDescent="0.3">
      <c r="B593" s="102">
        <v>45335.645833333336</v>
      </c>
      <c r="C593" s="108">
        <v>3559.95</v>
      </c>
      <c r="D593" s="261">
        <f t="shared" si="13"/>
        <v>-7.0566906073496081E-3</v>
      </c>
      <c r="E593" s="259">
        <v>2.1769217461507936E-3</v>
      </c>
    </row>
    <row r="594" spans="2:5" x14ac:dyDescent="0.3">
      <c r="B594" s="102">
        <v>45334.645833333336</v>
      </c>
      <c r="C594" s="108">
        <v>3585.25</v>
      </c>
      <c r="D594" s="261">
        <f t="shared" si="13"/>
        <v>-1.7680142554849954E-3</v>
      </c>
      <c r="E594" s="259">
        <v>2.1629563123636143E-3</v>
      </c>
    </row>
    <row r="595" spans="2:5" x14ac:dyDescent="0.3">
      <c r="B595" s="102">
        <v>45331.645833333336</v>
      </c>
      <c r="C595" s="108">
        <v>3591.6</v>
      </c>
      <c r="D595" s="261">
        <f t="shared" si="13"/>
        <v>1.197486686765659E-2</v>
      </c>
      <c r="E595" s="259">
        <v>2.135457684618564E-3</v>
      </c>
    </row>
    <row r="596" spans="2:5" x14ac:dyDescent="0.3">
      <c r="B596" s="102">
        <v>45330.645833333336</v>
      </c>
      <c r="C596" s="108">
        <v>3549.1</v>
      </c>
      <c r="D596" s="261">
        <f t="shared" si="13"/>
        <v>-7.661121207884829E-3</v>
      </c>
      <c r="E596" s="259">
        <v>2.1130054680065752E-3</v>
      </c>
    </row>
    <row r="597" spans="2:5" x14ac:dyDescent="0.3">
      <c r="B597" s="102">
        <v>45329.645833333336</v>
      </c>
      <c r="C597" s="108">
        <v>3576.5</v>
      </c>
      <c r="D597" s="261">
        <f t="shared" si="13"/>
        <v>4.8747594228958904E-3</v>
      </c>
      <c r="E597" s="259">
        <v>2.0965302424487474E-3</v>
      </c>
    </row>
    <row r="598" spans="2:5" x14ac:dyDescent="0.3">
      <c r="B598" s="102">
        <v>45328.645833333336</v>
      </c>
      <c r="C598" s="108">
        <v>3559.15</v>
      </c>
      <c r="D598" s="261">
        <f t="shared" si="13"/>
        <v>1.9988457369687668E-3</v>
      </c>
      <c r="E598" s="259">
        <v>2.0834668889031347E-3</v>
      </c>
    </row>
    <row r="599" spans="2:5" x14ac:dyDescent="0.3">
      <c r="B599" s="102">
        <v>45327.645833333336</v>
      </c>
      <c r="C599" s="108">
        <v>3552.05</v>
      </c>
      <c r="D599" s="261">
        <f t="shared" si="13"/>
        <v>-1.6706344812313118E-2</v>
      </c>
      <c r="E599" s="259">
        <v>2.0698940937680659E-3</v>
      </c>
    </row>
    <row r="600" spans="2:5" x14ac:dyDescent="0.3">
      <c r="B600" s="102">
        <v>45324.645833333336</v>
      </c>
      <c r="C600" s="108">
        <v>3612.4</v>
      </c>
      <c r="D600" s="261">
        <f t="shared" si="13"/>
        <v>-4.1489200402485844E-3</v>
      </c>
      <c r="E600" s="259">
        <v>2.0574115802879482E-3</v>
      </c>
    </row>
    <row r="601" spans="2:5" x14ac:dyDescent="0.3">
      <c r="B601" s="102">
        <v>45323.645833333336</v>
      </c>
      <c r="C601" s="108">
        <v>3627.45</v>
      </c>
      <c r="D601" s="261">
        <f t="shared" si="13"/>
        <v>-1.8958499546997434E-2</v>
      </c>
      <c r="E601" s="259">
        <v>2.0543387054772458E-3</v>
      </c>
    </row>
    <row r="602" spans="2:5" x14ac:dyDescent="0.3">
      <c r="B602" s="102">
        <v>45322.645833333336</v>
      </c>
      <c r="C602" s="108">
        <v>3697.55</v>
      </c>
      <c r="D602" s="261">
        <f t="shared" si="13"/>
        <v>-1.0225523656561552E-2</v>
      </c>
      <c r="E602" s="259">
        <v>2.0315818635146367E-3</v>
      </c>
    </row>
    <row r="603" spans="2:5" x14ac:dyDescent="0.3">
      <c r="B603" s="102">
        <v>45321.645833333336</v>
      </c>
      <c r="C603" s="108">
        <v>3735.75</v>
      </c>
      <c r="D603" s="261">
        <f t="shared" si="13"/>
        <v>-3.3853594196526733E-2</v>
      </c>
      <c r="E603" s="259">
        <v>2.0284275984601449E-3</v>
      </c>
    </row>
    <row r="604" spans="2:5" x14ac:dyDescent="0.3">
      <c r="B604" s="102">
        <v>45320.645833333336</v>
      </c>
      <c r="C604" s="108">
        <v>3866.65</v>
      </c>
      <c r="D604" s="261">
        <f t="shared" si="13"/>
        <v>2.5582197230916204E-2</v>
      </c>
      <c r="E604" s="259">
        <v>2.0267531414673691E-3</v>
      </c>
    </row>
    <row r="605" spans="2:5" x14ac:dyDescent="0.3">
      <c r="B605" s="102">
        <v>45316.645833333336</v>
      </c>
      <c r="C605" s="108">
        <v>3770.2</v>
      </c>
      <c r="D605" s="261">
        <f t="shared" si="13"/>
        <v>6.2369786483005142E-4</v>
      </c>
      <c r="E605" s="259">
        <v>1.9988457369687668E-3</v>
      </c>
    </row>
    <row r="606" spans="2:5" x14ac:dyDescent="0.3">
      <c r="B606" s="102">
        <v>45315.645833333336</v>
      </c>
      <c r="C606" s="108">
        <v>3767.85</v>
      </c>
      <c r="D606" s="261">
        <f t="shared" si="13"/>
        <v>7.5408126428943394E-3</v>
      </c>
      <c r="E606" s="259">
        <v>1.9813584863537168E-3</v>
      </c>
    </row>
    <row r="607" spans="2:5" x14ac:dyDescent="0.3">
      <c r="B607" s="102">
        <v>45314.645833333336</v>
      </c>
      <c r="C607" s="108">
        <v>3739.65</v>
      </c>
      <c r="D607" s="261">
        <f t="shared" si="13"/>
        <v>-1.8619115099984207E-2</v>
      </c>
      <c r="E607" s="259">
        <v>1.9732779007938851E-3</v>
      </c>
    </row>
    <row r="608" spans="2:5" x14ac:dyDescent="0.3">
      <c r="B608" s="102">
        <v>45310.645833333336</v>
      </c>
      <c r="C608" s="108">
        <v>3810.6</v>
      </c>
      <c r="D608" s="261">
        <f t="shared" si="13"/>
        <v>2.0322917503413956E-2</v>
      </c>
      <c r="E608" s="259">
        <v>1.9600156801254411E-3</v>
      </c>
    </row>
    <row r="609" spans="2:5" x14ac:dyDescent="0.3">
      <c r="B609" s="102">
        <v>45309.645833333336</v>
      </c>
      <c r="C609" s="108">
        <v>3734.7</v>
      </c>
      <c r="D609" s="261">
        <f t="shared" si="13"/>
        <v>-2.4895236354616875E-2</v>
      </c>
      <c r="E609" s="259">
        <v>1.9210691167257921E-3</v>
      </c>
    </row>
    <row r="610" spans="2:5" x14ac:dyDescent="0.3">
      <c r="B610" s="102">
        <v>45308.645833333336</v>
      </c>
      <c r="C610" s="108">
        <v>3830.05</v>
      </c>
      <c r="D610" s="261">
        <f t="shared" si="13"/>
        <v>2.5521555898751404E-3</v>
      </c>
      <c r="E610" s="259">
        <v>1.8995467288495298E-3</v>
      </c>
    </row>
    <row r="611" spans="2:5" x14ac:dyDescent="0.3">
      <c r="B611" s="102">
        <v>45307.645833333336</v>
      </c>
      <c r="C611" s="108">
        <v>3820.3</v>
      </c>
      <c r="D611" s="261">
        <f t="shared" si="13"/>
        <v>1.6348085185628657E-2</v>
      </c>
      <c r="E611" s="259">
        <v>1.8513161700897433E-3</v>
      </c>
    </row>
    <row r="612" spans="2:5" x14ac:dyDescent="0.3">
      <c r="B612" s="102">
        <v>45306.645833333336</v>
      </c>
      <c r="C612" s="108">
        <v>3758.85</v>
      </c>
      <c r="D612" s="261">
        <f t="shared" si="13"/>
        <v>8.8164251207729222E-3</v>
      </c>
      <c r="E612" s="259">
        <v>1.8506700701977916E-3</v>
      </c>
    </row>
    <row r="613" spans="2:5" x14ac:dyDescent="0.3">
      <c r="B613" s="102">
        <v>45303.645833333336</v>
      </c>
      <c r="C613" s="108">
        <v>3726</v>
      </c>
      <c r="D613" s="261">
        <f t="shared" si="13"/>
        <v>7.408208511328636E-3</v>
      </c>
      <c r="E613" s="259">
        <v>1.8445040214477991E-3</v>
      </c>
    </row>
    <row r="614" spans="2:5" x14ac:dyDescent="0.3">
      <c r="B614" s="102">
        <v>45302.645833333336</v>
      </c>
      <c r="C614" s="108">
        <v>3698.6</v>
      </c>
      <c r="D614" s="261">
        <f t="shared" si="13"/>
        <v>-4.2671189543539174E-3</v>
      </c>
      <c r="E614" s="259">
        <v>1.8190392777740656E-3</v>
      </c>
    </row>
    <row r="615" spans="2:5" x14ac:dyDescent="0.3">
      <c r="B615" s="102">
        <v>45301.645833333336</v>
      </c>
      <c r="C615" s="108">
        <v>3714.45</v>
      </c>
      <c r="D615" s="261">
        <f t="shared" si="13"/>
        <v>5.5360043313480833E-3</v>
      </c>
      <c r="E615" s="259">
        <v>1.7960109651194475E-3</v>
      </c>
    </row>
    <row r="616" spans="2:5" x14ac:dyDescent="0.3">
      <c r="B616" s="102">
        <v>45300.645833333336</v>
      </c>
      <c r="C616" s="108">
        <v>3694</v>
      </c>
      <c r="D616" s="261">
        <f t="shared" si="13"/>
        <v>-3.2514402126253509E-3</v>
      </c>
      <c r="E616" s="259">
        <v>1.7810194215928561E-3</v>
      </c>
    </row>
    <row r="617" spans="2:5" x14ac:dyDescent="0.3">
      <c r="B617" s="102">
        <v>45299.645833333336</v>
      </c>
      <c r="C617" s="108">
        <v>3706.05</v>
      </c>
      <c r="D617" s="261">
        <f t="shared" si="13"/>
        <v>-1.7508181707990465E-3</v>
      </c>
      <c r="E617" s="259">
        <v>1.7629429394135276E-3</v>
      </c>
    </row>
    <row r="618" spans="2:5" x14ac:dyDescent="0.3">
      <c r="B618" s="102">
        <v>45296.645833333336</v>
      </c>
      <c r="C618" s="108">
        <v>3712.55</v>
      </c>
      <c r="D618" s="261">
        <f t="shared" si="13"/>
        <v>-1.9221980267224875E-3</v>
      </c>
      <c r="E618" s="259">
        <v>1.7510638731088417E-3</v>
      </c>
    </row>
    <row r="619" spans="2:5" x14ac:dyDescent="0.3">
      <c r="B619" s="102">
        <v>45295.645833333336</v>
      </c>
      <c r="C619" s="108">
        <v>3719.7</v>
      </c>
      <c r="D619" s="261">
        <f t="shared" si="13"/>
        <v>7.2162575648852941E-3</v>
      </c>
      <c r="E619" s="259">
        <v>1.7444150582409884E-3</v>
      </c>
    </row>
    <row r="620" spans="2:5" x14ac:dyDescent="0.3">
      <c r="B620" s="102">
        <v>45294.645833333336</v>
      </c>
      <c r="C620" s="108">
        <v>3693.05</v>
      </c>
      <c r="D620" s="261">
        <f t="shared" si="13"/>
        <v>-1.4060704387209675E-3</v>
      </c>
      <c r="E620" s="259">
        <v>1.6893048738727625E-3</v>
      </c>
    </row>
    <row r="621" spans="2:5" x14ac:dyDescent="0.3">
      <c r="B621" s="102">
        <v>45293.645833333336</v>
      </c>
      <c r="C621" s="108">
        <v>3698.25</v>
      </c>
      <c r="D621" s="261">
        <f t="shared" si="13"/>
        <v>5.7381395918034098E-3</v>
      </c>
      <c r="E621" s="259">
        <v>1.6760151064828266E-3</v>
      </c>
    </row>
    <row r="622" spans="2:5" x14ac:dyDescent="0.3">
      <c r="B622" s="102">
        <v>45292.645833333336</v>
      </c>
      <c r="C622" s="108">
        <v>3677.15</v>
      </c>
      <c r="D622" s="261">
        <f t="shared" si="13"/>
        <v>4.6252839788332663E-4</v>
      </c>
      <c r="E622" s="259">
        <v>1.6559139784945846E-3</v>
      </c>
    </row>
    <row r="623" spans="2:5" x14ac:dyDescent="0.3">
      <c r="B623" s="102">
        <v>45289.645833333336</v>
      </c>
      <c r="C623" s="108">
        <v>3675.45</v>
      </c>
      <c r="D623" s="261">
        <f t="shared" si="13"/>
        <v>-1.0672660224489271E-2</v>
      </c>
      <c r="E623" s="259">
        <v>1.6366300645137427E-3</v>
      </c>
    </row>
    <row r="624" spans="2:5" x14ac:dyDescent="0.3">
      <c r="B624" s="102">
        <v>45288.645833333336</v>
      </c>
      <c r="C624" s="108">
        <v>3715.1</v>
      </c>
      <c r="D624" s="261">
        <f t="shared" si="13"/>
        <v>7.0068442095276573E-3</v>
      </c>
      <c r="E624" s="259">
        <v>1.6158752657689066E-3</v>
      </c>
    </row>
    <row r="625" spans="2:5" x14ac:dyDescent="0.3">
      <c r="B625" s="102">
        <v>45287.645833333336</v>
      </c>
      <c r="C625" s="108">
        <v>3689.25</v>
      </c>
      <c r="D625" s="261">
        <f t="shared" si="13"/>
        <v>8.901468537205727E-3</v>
      </c>
      <c r="E625" s="259">
        <v>1.5723270440251573E-3</v>
      </c>
    </row>
    <row r="626" spans="2:5" x14ac:dyDescent="0.3">
      <c r="B626" s="102">
        <v>45286.645833333336</v>
      </c>
      <c r="C626" s="108">
        <v>3656.7</v>
      </c>
      <c r="D626" s="261">
        <f t="shared" si="13"/>
        <v>8.091306325554444E-3</v>
      </c>
      <c r="E626" s="259">
        <v>1.5435859939881389E-3</v>
      </c>
    </row>
    <row r="627" spans="2:5" x14ac:dyDescent="0.3">
      <c r="B627" s="102">
        <v>45282.645833333336</v>
      </c>
      <c r="C627" s="108">
        <v>3627.35</v>
      </c>
      <c r="D627" s="261">
        <f t="shared" si="13"/>
        <v>1.3226256983240198E-2</v>
      </c>
      <c r="E627" s="259">
        <v>1.4538908889503662E-3</v>
      </c>
    </row>
    <row r="628" spans="2:5" x14ac:dyDescent="0.3">
      <c r="B628" s="102">
        <v>45281.645833333336</v>
      </c>
      <c r="C628" s="108">
        <v>3580</v>
      </c>
      <c r="D628" s="261">
        <f t="shared" si="13"/>
        <v>7.2873582622886499E-3</v>
      </c>
      <c r="E628" s="259">
        <v>1.4509990485253007E-3</v>
      </c>
    </row>
    <row r="629" spans="2:5" x14ac:dyDescent="0.3">
      <c r="B629" s="102">
        <v>45280.645833333336</v>
      </c>
      <c r="C629" s="108">
        <v>3554.1</v>
      </c>
      <c r="D629" s="261">
        <f t="shared" si="13"/>
        <v>-1.5607472752703933E-2</v>
      </c>
      <c r="E629" s="259">
        <v>1.4367447469021126E-3</v>
      </c>
    </row>
    <row r="630" spans="2:5" x14ac:dyDescent="0.3">
      <c r="B630" s="102">
        <v>45279.645833333336</v>
      </c>
      <c r="C630" s="108">
        <v>3610.45</v>
      </c>
      <c r="D630" s="261">
        <f t="shared" si="13"/>
        <v>-2.5279036357608829E-3</v>
      </c>
      <c r="E630" s="259">
        <v>1.4168068715133268E-3</v>
      </c>
    </row>
    <row r="631" spans="2:5" x14ac:dyDescent="0.3">
      <c r="B631" s="102">
        <v>45278.645833333336</v>
      </c>
      <c r="C631" s="108">
        <v>3619.6</v>
      </c>
      <c r="D631" s="261">
        <f t="shared" si="13"/>
        <v>5.2908583410867021E-3</v>
      </c>
      <c r="E631" s="259">
        <v>1.3880702021257007E-3</v>
      </c>
    </row>
    <row r="632" spans="2:5" x14ac:dyDescent="0.3">
      <c r="B632" s="102">
        <v>45275.645833333336</v>
      </c>
      <c r="C632" s="108">
        <v>3600.55</v>
      </c>
      <c r="D632" s="261">
        <f t="shared" si="13"/>
        <v>2.5477529654174113E-3</v>
      </c>
      <c r="E632" s="259">
        <v>1.3717421124828531E-3</v>
      </c>
    </row>
    <row r="633" spans="2:5" x14ac:dyDescent="0.3">
      <c r="B633" s="102">
        <v>45274.645833333336</v>
      </c>
      <c r="C633" s="108">
        <v>3591.4</v>
      </c>
      <c r="D633" s="261">
        <f t="shared" si="13"/>
        <v>-3.0396824295251205E-3</v>
      </c>
      <c r="E633" s="259">
        <v>1.3062739010261909E-3</v>
      </c>
    </row>
    <row r="634" spans="2:5" x14ac:dyDescent="0.3">
      <c r="B634" s="102">
        <v>45273.645833333336</v>
      </c>
      <c r="C634" s="108">
        <v>3602.35</v>
      </c>
      <c r="D634" s="261">
        <f t="shared" si="13"/>
        <v>8.6660693285545778E-3</v>
      </c>
      <c r="E634" s="259">
        <v>1.2996709343803938E-3</v>
      </c>
    </row>
    <row r="635" spans="2:5" x14ac:dyDescent="0.3">
      <c r="B635" s="102">
        <v>45272.645833333336</v>
      </c>
      <c r="C635" s="108">
        <v>3571.4</v>
      </c>
      <c r="D635" s="261">
        <f t="shared" si="13"/>
        <v>-1.6278749483542188E-2</v>
      </c>
      <c r="E635" s="259">
        <v>1.2443920489898098E-3</v>
      </c>
    </row>
    <row r="636" spans="2:5" x14ac:dyDescent="0.3">
      <c r="B636" s="102">
        <v>45271.645833333336</v>
      </c>
      <c r="C636" s="108">
        <v>3630.5</v>
      </c>
      <c r="D636" s="261">
        <f t="shared" si="13"/>
        <v>-1.1417880676268942E-3</v>
      </c>
      <c r="E636" s="259">
        <v>1.2056726900064804E-3</v>
      </c>
    </row>
    <row r="637" spans="2:5" x14ac:dyDescent="0.3">
      <c r="B637" s="102">
        <v>45268.645833333336</v>
      </c>
      <c r="C637" s="108">
        <v>3634.65</v>
      </c>
      <c r="D637" s="261">
        <f t="shared" si="13"/>
        <v>1.3736263736263736E-2</v>
      </c>
      <c r="E637" s="259">
        <v>1.2000685753471108E-3</v>
      </c>
    </row>
    <row r="638" spans="2:5" x14ac:dyDescent="0.3">
      <c r="B638" s="102">
        <v>45267.645833333336</v>
      </c>
      <c r="C638" s="108">
        <v>3585.4</v>
      </c>
      <c r="D638" s="261">
        <f t="shared" si="13"/>
        <v>1.085454904282613E-2</v>
      </c>
      <c r="E638" s="259">
        <v>1.1917558536244249E-3</v>
      </c>
    </row>
    <row r="639" spans="2:5" x14ac:dyDescent="0.3">
      <c r="B639" s="102">
        <v>45266.645833333336</v>
      </c>
      <c r="C639" s="108">
        <v>3546.9</v>
      </c>
      <c r="D639" s="261">
        <f t="shared" si="13"/>
        <v>4.5130172340843058E-4</v>
      </c>
      <c r="E639" s="259">
        <v>1.1741833650939259E-3</v>
      </c>
    </row>
    <row r="640" spans="2:5" x14ac:dyDescent="0.3">
      <c r="B640" s="102">
        <v>45265.645833333336</v>
      </c>
      <c r="C640" s="108">
        <v>3545.3</v>
      </c>
      <c r="D640" s="261">
        <f t="shared" si="13"/>
        <v>1.6311202843710609E-2</v>
      </c>
      <c r="E640" s="259">
        <v>1.1589207179365539E-3</v>
      </c>
    </row>
    <row r="641" spans="2:5" x14ac:dyDescent="0.3">
      <c r="B641" s="102">
        <v>45264.645833333336</v>
      </c>
      <c r="C641" s="108">
        <v>3488.4</v>
      </c>
      <c r="D641" s="261">
        <f t="shared" si="13"/>
        <v>-3.1523140851122199E-4</v>
      </c>
      <c r="E641" s="259">
        <v>1.1435782168066923E-3</v>
      </c>
    </row>
    <row r="642" spans="2:5" x14ac:dyDescent="0.3">
      <c r="B642" s="102">
        <v>45261.645833333336</v>
      </c>
      <c r="C642" s="108">
        <v>3489.5</v>
      </c>
      <c r="D642" s="261">
        <f t="shared" si="13"/>
        <v>-3.151320689852487E-4</v>
      </c>
      <c r="E642" s="259">
        <v>1.127251300181804E-3</v>
      </c>
    </row>
    <row r="643" spans="2:5" x14ac:dyDescent="0.3">
      <c r="B643" s="102">
        <v>45260.645833333336</v>
      </c>
      <c r="C643" s="108">
        <v>3490.6</v>
      </c>
      <c r="D643" s="261">
        <f t="shared" ref="D643:D706" si="14">(C643-C644)/C644</f>
        <v>1.7875368150934514E-2</v>
      </c>
      <c r="E643" s="259">
        <v>1.0753905365633296E-3</v>
      </c>
    </row>
    <row r="644" spans="2:5" x14ac:dyDescent="0.3">
      <c r="B644" s="102">
        <v>45259.645833333336</v>
      </c>
      <c r="C644" s="108">
        <v>3429.3</v>
      </c>
      <c r="D644" s="261">
        <f t="shared" si="14"/>
        <v>-3.8054845456657882E-3</v>
      </c>
      <c r="E644" s="259">
        <v>1.0726474890296529E-3</v>
      </c>
    </row>
    <row r="645" spans="2:5" x14ac:dyDescent="0.3">
      <c r="B645" s="102">
        <v>45258.645833333336</v>
      </c>
      <c r="C645" s="108">
        <v>3442.4</v>
      </c>
      <c r="D645" s="261">
        <f t="shared" si="14"/>
        <v>1.3379649391365865E-2</v>
      </c>
      <c r="E645" s="259">
        <v>1.0592752791631457E-3</v>
      </c>
    </row>
    <row r="646" spans="2:5" x14ac:dyDescent="0.3">
      <c r="B646" s="102">
        <v>45254.645833333336</v>
      </c>
      <c r="C646" s="108">
        <v>3396.95</v>
      </c>
      <c r="D646" s="261">
        <f t="shared" si="14"/>
        <v>-3.3593474944256167E-3</v>
      </c>
      <c r="E646" s="259">
        <v>1.0503198701421836E-3</v>
      </c>
    </row>
    <row r="647" spans="2:5" x14ac:dyDescent="0.3">
      <c r="B647" s="102">
        <v>45253.645833333336</v>
      </c>
      <c r="C647" s="108">
        <v>3408.4</v>
      </c>
      <c r="D647" s="261">
        <f t="shared" si="14"/>
        <v>-6.2539178098167027E-3</v>
      </c>
      <c r="E647" s="259">
        <v>1.0428581040166551E-3</v>
      </c>
    </row>
    <row r="648" spans="2:5" x14ac:dyDescent="0.3">
      <c r="B648" s="102">
        <v>45252.645833333336</v>
      </c>
      <c r="C648" s="108">
        <v>3429.85</v>
      </c>
      <c r="D648" s="261">
        <f t="shared" si="14"/>
        <v>1.0428788168922828E-2</v>
      </c>
      <c r="E648" s="259">
        <v>1.0336061681147227E-3</v>
      </c>
    </row>
    <row r="649" spans="2:5" x14ac:dyDescent="0.3">
      <c r="B649" s="102">
        <v>45251.645833333336</v>
      </c>
      <c r="C649" s="108">
        <v>3394.45</v>
      </c>
      <c r="D649" s="261">
        <f t="shared" si="14"/>
        <v>1.4525456909305531E-2</v>
      </c>
      <c r="E649" s="259">
        <v>9.7436414339940056E-4</v>
      </c>
    </row>
    <row r="650" spans="2:5" x14ac:dyDescent="0.3">
      <c r="B650" s="102">
        <v>45250.645833333336</v>
      </c>
      <c r="C650" s="108">
        <v>3345.85</v>
      </c>
      <c r="D650" s="261">
        <f t="shared" si="14"/>
        <v>2.0965302424487474E-3</v>
      </c>
      <c r="E650" s="259">
        <v>9.6417257158587597E-4</v>
      </c>
    </row>
    <row r="651" spans="2:5" x14ac:dyDescent="0.3">
      <c r="B651" s="102">
        <v>45247.645833333336</v>
      </c>
      <c r="C651" s="108">
        <v>3338.85</v>
      </c>
      <c r="D651" s="261">
        <f t="shared" si="14"/>
        <v>8.693175856952566E-4</v>
      </c>
      <c r="E651" s="259">
        <v>9.4145187145372206E-4</v>
      </c>
    </row>
    <row r="652" spans="2:5" x14ac:dyDescent="0.3">
      <c r="B652" s="102">
        <v>45246.645833333336</v>
      </c>
      <c r="C652" s="108">
        <v>3335.95</v>
      </c>
      <c r="D652" s="261">
        <f t="shared" si="14"/>
        <v>1.2136106433653425E-2</v>
      </c>
      <c r="E652" s="259">
        <v>9.2444868564268837E-4</v>
      </c>
    </row>
    <row r="653" spans="2:5" x14ac:dyDescent="0.3">
      <c r="B653" s="102">
        <v>45245.645833333336</v>
      </c>
      <c r="C653" s="108">
        <v>3295.95</v>
      </c>
      <c r="D653" s="261">
        <f t="shared" si="14"/>
        <v>9.5566276131403075E-3</v>
      </c>
      <c r="E653" s="259">
        <v>9.0926803922833247E-4</v>
      </c>
    </row>
    <row r="654" spans="2:5" x14ac:dyDescent="0.3">
      <c r="B654" s="102">
        <v>45243.645833333336</v>
      </c>
      <c r="C654" s="108">
        <v>3264.75</v>
      </c>
      <c r="D654" s="261">
        <f t="shared" si="14"/>
        <v>2.5795752913538444E-3</v>
      </c>
      <c r="E654" s="259">
        <v>9.0786406575875801E-4</v>
      </c>
    </row>
    <row r="655" spans="2:5" x14ac:dyDescent="0.3">
      <c r="B655" s="102">
        <v>45240.645833333336</v>
      </c>
      <c r="C655" s="108">
        <v>3256.35</v>
      </c>
      <c r="D655" s="261">
        <f t="shared" si="14"/>
        <v>-8.3441187666540052E-3</v>
      </c>
      <c r="E655" s="259">
        <v>8.7887688785072556E-4</v>
      </c>
    </row>
    <row r="656" spans="2:5" x14ac:dyDescent="0.3">
      <c r="B656" s="102">
        <v>45239.645833333336</v>
      </c>
      <c r="C656" s="108">
        <v>3283.75</v>
      </c>
      <c r="D656" s="261">
        <f t="shared" si="14"/>
        <v>-8.4846837870072352E-3</v>
      </c>
      <c r="E656" s="259">
        <v>8.7287237358933808E-4</v>
      </c>
    </row>
    <row r="657" spans="2:5" x14ac:dyDescent="0.3">
      <c r="B657" s="102">
        <v>45238.645833333336</v>
      </c>
      <c r="C657" s="108">
        <v>3311.85</v>
      </c>
      <c r="D657" s="261">
        <f t="shared" si="14"/>
        <v>1.2736224084153903E-2</v>
      </c>
      <c r="E657" s="259">
        <v>8.693175856952566E-4</v>
      </c>
    </row>
    <row r="658" spans="2:5" x14ac:dyDescent="0.3">
      <c r="B658" s="102">
        <v>45237.645833333336</v>
      </c>
      <c r="C658" s="108">
        <v>3270.2</v>
      </c>
      <c r="D658" s="261">
        <f t="shared" si="14"/>
        <v>9.6417257158587597E-4</v>
      </c>
      <c r="E658" s="259">
        <v>8.6106686184182193E-4</v>
      </c>
    </row>
    <row r="659" spans="2:5" x14ac:dyDescent="0.3">
      <c r="B659" s="102">
        <v>45236.645833333336</v>
      </c>
      <c r="C659" s="108">
        <v>3267.05</v>
      </c>
      <c r="D659" s="261">
        <f t="shared" si="14"/>
        <v>-2.2751565124445924E-3</v>
      </c>
      <c r="E659" s="259">
        <v>8.3437630371294537E-4</v>
      </c>
    </row>
    <row r="660" spans="2:5" x14ac:dyDescent="0.3">
      <c r="B660" s="102">
        <v>45233.645833333336</v>
      </c>
      <c r="C660" s="108">
        <v>3274.5</v>
      </c>
      <c r="D660" s="261">
        <f t="shared" si="14"/>
        <v>2.2801811650788692E-2</v>
      </c>
      <c r="E660" s="259">
        <v>7.962972179366627E-4</v>
      </c>
    </row>
    <row r="661" spans="2:5" x14ac:dyDescent="0.3">
      <c r="B661" s="102">
        <v>45232.645833333336</v>
      </c>
      <c r="C661" s="108">
        <v>3201.5</v>
      </c>
      <c r="D661" s="261">
        <f t="shared" si="14"/>
        <v>8.8548559904203412E-3</v>
      </c>
      <c r="E661" s="259">
        <v>7.9252954756906446E-4</v>
      </c>
    </row>
    <row r="662" spans="2:5" x14ac:dyDescent="0.3">
      <c r="B662" s="102">
        <v>45231.645833333336</v>
      </c>
      <c r="C662" s="108">
        <v>3173.4</v>
      </c>
      <c r="D662" s="261">
        <f t="shared" si="14"/>
        <v>-5.0946028561127399E-3</v>
      </c>
      <c r="E662" s="259">
        <v>7.9196365303659335E-4</v>
      </c>
    </row>
    <row r="663" spans="2:5" x14ac:dyDescent="0.3">
      <c r="B663" s="102">
        <v>45230.645833333336</v>
      </c>
      <c r="C663" s="108">
        <v>3189.65</v>
      </c>
      <c r="D663" s="261">
        <f t="shared" si="14"/>
        <v>2.3488263890003136E-2</v>
      </c>
      <c r="E663" s="259">
        <v>7.3055721591286447E-4</v>
      </c>
    </row>
    <row r="664" spans="2:5" x14ac:dyDescent="0.3">
      <c r="B664" s="102">
        <v>45229.645833333336</v>
      </c>
      <c r="C664" s="108">
        <v>3116.45</v>
      </c>
      <c r="D664" s="261">
        <f t="shared" si="14"/>
        <v>-1.3618739385394304E-3</v>
      </c>
      <c r="E664" s="259">
        <v>6.7349926793563162E-4</v>
      </c>
    </row>
    <row r="665" spans="2:5" x14ac:dyDescent="0.3">
      <c r="B665" s="102">
        <v>45226.645833333336</v>
      </c>
      <c r="C665" s="108">
        <v>3120.7</v>
      </c>
      <c r="D665" s="261">
        <f t="shared" si="14"/>
        <v>6.4176986584106154E-3</v>
      </c>
      <c r="E665" s="259">
        <v>6.6854850690840212E-4</v>
      </c>
    </row>
    <row r="666" spans="2:5" x14ac:dyDescent="0.3">
      <c r="B666" s="102">
        <v>45225.645833333336</v>
      </c>
      <c r="C666" s="108">
        <v>3100.8</v>
      </c>
      <c r="D666" s="261">
        <f t="shared" si="14"/>
        <v>-2.730680552723614E-2</v>
      </c>
      <c r="E666" s="259">
        <v>6.4029026492000006E-4</v>
      </c>
    </row>
    <row r="667" spans="2:5" x14ac:dyDescent="0.3">
      <c r="B667" s="102">
        <v>45224.645833333336</v>
      </c>
      <c r="C667" s="108">
        <v>3187.85</v>
      </c>
      <c r="D667" s="261">
        <f t="shared" si="14"/>
        <v>-9.9076015218573146E-3</v>
      </c>
      <c r="E667" s="259">
        <v>6.2369786483005142E-4</v>
      </c>
    </row>
    <row r="668" spans="2:5" x14ac:dyDescent="0.3">
      <c r="B668" s="102">
        <v>45222.645833333336</v>
      </c>
      <c r="C668" s="108">
        <v>3219.75</v>
      </c>
      <c r="D668" s="261">
        <f t="shared" si="14"/>
        <v>-1.4221419386442906E-2</v>
      </c>
      <c r="E668" s="259">
        <v>6.1857795800533591E-4</v>
      </c>
    </row>
    <row r="669" spans="2:5" x14ac:dyDescent="0.3">
      <c r="B669" s="102">
        <v>45219.645833333336</v>
      </c>
      <c r="C669" s="108">
        <v>3266.2</v>
      </c>
      <c r="D669" s="261">
        <f t="shared" si="14"/>
        <v>-5.6170368227970325E-3</v>
      </c>
      <c r="E669" s="259">
        <v>5.9269503370944015E-4</v>
      </c>
    </row>
    <row r="670" spans="2:5" x14ac:dyDescent="0.3">
      <c r="B670" s="102">
        <v>45218.645833333336</v>
      </c>
      <c r="C670" s="108">
        <v>3284.65</v>
      </c>
      <c r="D670" s="261">
        <f t="shared" si="14"/>
        <v>5.7878303251849542E-4</v>
      </c>
      <c r="E670" s="259">
        <v>5.7878303251849542E-4</v>
      </c>
    </row>
    <row r="671" spans="2:5" x14ac:dyDescent="0.3">
      <c r="B671" s="102">
        <v>45217.645833333336</v>
      </c>
      <c r="C671" s="108">
        <v>3282.75</v>
      </c>
      <c r="D671" s="261">
        <f t="shared" si="14"/>
        <v>-7.7679880306487387E-3</v>
      </c>
      <c r="E671" s="259">
        <v>5.7484934982549084E-4</v>
      </c>
    </row>
    <row r="672" spans="2:5" x14ac:dyDescent="0.3">
      <c r="B672" s="102">
        <v>45216.645833333336</v>
      </c>
      <c r="C672" s="108">
        <v>3308.45</v>
      </c>
      <c r="D672" s="261">
        <f t="shared" si="14"/>
        <v>2.135457684618564E-3</v>
      </c>
      <c r="E672" s="259">
        <v>5.5269993920300674E-4</v>
      </c>
    </row>
    <row r="673" spans="2:5" x14ac:dyDescent="0.3">
      <c r="B673" s="102">
        <v>45215.645833333336</v>
      </c>
      <c r="C673" s="108">
        <v>3301.4</v>
      </c>
      <c r="D673" s="261">
        <f t="shared" si="14"/>
        <v>5.3749524172059656E-3</v>
      </c>
      <c r="E673" s="259">
        <v>5.2027543993873545E-4</v>
      </c>
    </row>
    <row r="674" spans="2:5" x14ac:dyDescent="0.3">
      <c r="B674" s="102">
        <v>45212.645833333336</v>
      </c>
      <c r="C674" s="108">
        <v>3283.75</v>
      </c>
      <c r="D674" s="261">
        <f t="shared" si="14"/>
        <v>-3.8051750380517502E-4</v>
      </c>
      <c r="E674" s="259">
        <v>5.1975051975057225E-4</v>
      </c>
    </row>
    <row r="675" spans="2:5" x14ac:dyDescent="0.3">
      <c r="B675" s="102">
        <v>45211.645833333336</v>
      </c>
      <c r="C675" s="108">
        <v>3285</v>
      </c>
      <c r="D675" s="261">
        <f t="shared" si="14"/>
        <v>1.3717421124828531E-3</v>
      </c>
      <c r="E675" s="259">
        <v>5.1612409917225512E-4</v>
      </c>
    </row>
    <row r="676" spans="2:5" x14ac:dyDescent="0.3">
      <c r="B676" s="102">
        <v>45210.645833333336</v>
      </c>
      <c r="C676" s="108">
        <v>3280.5</v>
      </c>
      <c r="D676" s="261">
        <f t="shared" si="14"/>
        <v>3.456503120029421E-3</v>
      </c>
      <c r="E676" s="259">
        <v>4.8132733089833177E-4</v>
      </c>
    </row>
    <row r="677" spans="2:5" x14ac:dyDescent="0.3">
      <c r="B677" s="102">
        <v>45209.645833333336</v>
      </c>
      <c r="C677" s="108">
        <v>3269.2</v>
      </c>
      <c r="D677" s="261">
        <f t="shared" si="14"/>
        <v>5.2027543993873545E-4</v>
      </c>
      <c r="E677" s="259">
        <v>4.6252839788332663E-4</v>
      </c>
    </row>
    <row r="678" spans="2:5" x14ac:dyDescent="0.3">
      <c r="B678" s="102">
        <v>45208.645833333336</v>
      </c>
      <c r="C678" s="108">
        <v>3267.5</v>
      </c>
      <c r="D678" s="261">
        <f t="shared" si="14"/>
        <v>-1.2765314600800664E-2</v>
      </c>
      <c r="E678" s="259">
        <v>4.6125461254605552E-4</v>
      </c>
    </row>
    <row r="679" spans="2:5" x14ac:dyDescent="0.3">
      <c r="B679" s="102">
        <v>45205.645833333336</v>
      </c>
      <c r="C679" s="108">
        <v>3309.75</v>
      </c>
      <c r="D679" s="261">
        <f t="shared" si="14"/>
        <v>2.8991139437276544E-2</v>
      </c>
      <c r="E679" s="259">
        <v>4.546324655437753E-4</v>
      </c>
    </row>
    <row r="680" spans="2:5" x14ac:dyDescent="0.3">
      <c r="B680" s="102">
        <v>45204.645833333336</v>
      </c>
      <c r="C680" s="108">
        <v>3216.5</v>
      </c>
      <c r="D680" s="261">
        <f t="shared" si="14"/>
        <v>1.5742188116779531E-2</v>
      </c>
      <c r="E680" s="259">
        <v>4.5130172340843058E-4</v>
      </c>
    </row>
    <row r="681" spans="2:5" x14ac:dyDescent="0.3">
      <c r="B681" s="102">
        <v>45203.645833333336</v>
      </c>
      <c r="C681" s="108">
        <v>3166.65</v>
      </c>
      <c r="D681" s="261">
        <f t="shared" si="14"/>
        <v>-9.2608525615955912E-3</v>
      </c>
      <c r="E681" s="259">
        <v>4.2652538948494503E-4</v>
      </c>
    </row>
    <row r="682" spans="2:5" x14ac:dyDescent="0.3">
      <c r="B682" s="102">
        <v>45202.645833333336</v>
      </c>
      <c r="C682" s="108">
        <v>3196.25</v>
      </c>
      <c r="D682" s="261">
        <f t="shared" si="14"/>
        <v>1.5069232723577177E-2</v>
      </c>
      <c r="E682" s="259">
        <v>4.2112017967801631E-4</v>
      </c>
    </row>
    <row r="683" spans="2:5" x14ac:dyDescent="0.3">
      <c r="B683" s="102">
        <v>45198.645833333336</v>
      </c>
      <c r="C683" s="108">
        <v>3148.8</v>
      </c>
      <c r="D683" s="261">
        <f t="shared" si="14"/>
        <v>-2.6763797608677863E-3</v>
      </c>
      <c r="E683" s="259">
        <v>3.8967656844824257E-4</v>
      </c>
    </row>
    <row r="684" spans="2:5" x14ac:dyDescent="0.3">
      <c r="B684" s="102">
        <v>45197.645833333336</v>
      </c>
      <c r="C684" s="108">
        <v>3157.25</v>
      </c>
      <c r="D684" s="261">
        <f t="shared" si="14"/>
        <v>-1.7825201039025736E-2</v>
      </c>
      <c r="E684" s="259">
        <v>3.2679176484746325E-4</v>
      </c>
    </row>
    <row r="685" spans="2:5" x14ac:dyDescent="0.3">
      <c r="B685" s="102">
        <v>45196.645833333336</v>
      </c>
      <c r="C685" s="108">
        <v>3214.55</v>
      </c>
      <c r="D685" s="261">
        <f t="shared" si="14"/>
        <v>-1.4727517930484806E-2</v>
      </c>
      <c r="E685" s="259">
        <v>3.2557864204105517E-4</v>
      </c>
    </row>
    <row r="686" spans="2:5" x14ac:dyDescent="0.3">
      <c r="B686" s="102">
        <v>45195.645833333336</v>
      </c>
      <c r="C686" s="108">
        <v>3262.6</v>
      </c>
      <c r="D686" s="261">
        <f t="shared" si="14"/>
        <v>-6.5013170115257269E-3</v>
      </c>
      <c r="E686" s="259">
        <v>3.0097817908201655E-4</v>
      </c>
    </row>
    <row r="687" spans="2:5" x14ac:dyDescent="0.3">
      <c r="B687" s="102">
        <v>45194.645833333336</v>
      </c>
      <c r="C687" s="108">
        <v>3283.95</v>
      </c>
      <c r="D687" s="261">
        <f t="shared" si="14"/>
        <v>2.8859367842418134E-3</v>
      </c>
      <c r="E687" s="259">
        <v>2.5856496444725023E-4</v>
      </c>
    </row>
    <row r="688" spans="2:5" x14ac:dyDescent="0.3">
      <c r="B688" s="102">
        <v>45191.645833333336</v>
      </c>
      <c r="C688" s="108">
        <v>3274.5</v>
      </c>
      <c r="D688" s="261">
        <f t="shared" si="14"/>
        <v>-9.0785292782569228E-3</v>
      </c>
      <c r="E688" s="259">
        <v>2.1517606012628316E-4</v>
      </c>
    </row>
    <row r="689" spans="2:5" x14ac:dyDescent="0.3">
      <c r="B689" s="102">
        <v>45190.645833333336</v>
      </c>
      <c r="C689" s="108">
        <v>3304.5</v>
      </c>
      <c r="D689" s="261">
        <f t="shared" si="14"/>
        <v>-6.5020489014564311E-4</v>
      </c>
      <c r="E689" s="259">
        <v>1.494693836878475E-4</v>
      </c>
    </row>
    <row r="690" spans="2:5" x14ac:dyDescent="0.3">
      <c r="B690" s="102">
        <v>45189.645833333336</v>
      </c>
      <c r="C690" s="108">
        <v>3306.65</v>
      </c>
      <c r="D690" s="261">
        <f t="shared" si="14"/>
        <v>-9.8368019164545312E-3</v>
      </c>
      <c r="E690" s="259">
        <v>1.4391595308326839E-4</v>
      </c>
    </row>
    <row r="691" spans="2:5" x14ac:dyDescent="0.3">
      <c r="B691" s="102">
        <v>45187.645833333336</v>
      </c>
      <c r="C691" s="108">
        <v>3339.5</v>
      </c>
      <c r="D691" s="261">
        <f t="shared" si="14"/>
        <v>2.7981284245521175E-2</v>
      </c>
      <c r="E691" s="259">
        <v>1.3547932585487456E-4</v>
      </c>
    </row>
    <row r="692" spans="2:5" x14ac:dyDescent="0.3">
      <c r="B692" s="102">
        <v>45184.645833333336</v>
      </c>
      <c r="C692" s="108">
        <v>3248.6</v>
      </c>
      <c r="D692" s="261">
        <f t="shared" si="14"/>
        <v>-3.9094240115289678E-3</v>
      </c>
      <c r="E692" s="259">
        <v>1.208934022426001E-4</v>
      </c>
    </row>
    <row r="693" spans="2:5" x14ac:dyDescent="0.3">
      <c r="B693" s="102">
        <v>45183.645833333336</v>
      </c>
      <c r="C693" s="108">
        <v>3261.35</v>
      </c>
      <c r="D693" s="261">
        <f t="shared" si="14"/>
        <v>-5.6692816866876349E-4</v>
      </c>
      <c r="E693" s="259">
        <v>1.0296893770385512E-4</v>
      </c>
    </row>
    <row r="694" spans="2:5" x14ac:dyDescent="0.3">
      <c r="B694" s="102">
        <v>45182.645833333336</v>
      </c>
      <c r="C694" s="108">
        <v>3263.2</v>
      </c>
      <c r="D694" s="261">
        <f t="shared" si="14"/>
        <v>2.4295310440077728E-2</v>
      </c>
      <c r="E694" s="259">
        <v>8.4201072160242261E-5</v>
      </c>
    </row>
    <row r="695" spans="2:5" x14ac:dyDescent="0.3">
      <c r="B695" s="102">
        <v>45181.645833333336</v>
      </c>
      <c r="C695" s="108">
        <v>3185.8</v>
      </c>
      <c r="D695" s="261">
        <f t="shared" si="14"/>
        <v>-8.5581800641085486E-3</v>
      </c>
      <c r="E695" s="259">
        <v>6.8861038424396806E-5</v>
      </c>
    </row>
    <row r="696" spans="2:5" x14ac:dyDescent="0.3">
      <c r="B696" s="102">
        <v>45180.645833333336</v>
      </c>
      <c r="C696" s="108">
        <v>3213.3</v>
      </c>
      <c r="D696" s="261">
        <f t="shared" si="14"/>
        <v>4.4387483979870194E-3</v>
      </c>
      <c r="E696" s="259">
        <v>2.8625817624889876E-5</v>
      </c>
    </row>
    <row r="697" spans="2:5" x14ac:dyDescent="0.3">
      <c r="B697" s="102">
        <v>45177.645833333336</v>
      </c>
      <c r="C697" s="108">
        <v>3199.1</v>
      </c>
      <c r="D697" s="261">
        <f t="shared" si="14"/>
        <v>8.2892082702974417E-3</v>
      </c>
      <c r="E697" s="259">
        <v>2.779090125890255E-5</v>
      </c>
    </row>
    <row r="698" spans="2:5" x14ac:dyDescent="0.3">
      <c r="B698" s="102">
        <v>45176.645833333336</v>
      </c>
      <c r="C698" s="108">
        <v>3172.8</v>
      </c>
      <c r="D698" s="261">
        <f t="shared" si="14"/>
        <v>-1.0232836384817619E-3</v>
      </c>
      <c r="E698" s="259">
        <v>2.0136931131768787E-5</v>
      </c>
    </row>
    <row r="699" spans="2:5" x14ac:dyDescent="0.3">
      <c r="B699" s="102">
        <v>45175.645833333336</v>
      </c>
      <c r="C699" s="108">
        <v>3176.05</v>
      </c>
      <c r="D699" s="261">
        <f t="shared" si="14"/>
        <v>1.2722605742710039E-2</v>
      </c>
      <c r="E699" s="259">
        <v>-2.7928280176481331E-5</v>
      </c>
    </row>
    <row r="700" spans="2:5" x14ac:dyDescent="0.3">
      <c r="B700" s="102">
        <v>45174.645833333336</v>
      </c>
      <c r="C700" s="108">
        <v>3136.15</v>
      </c>
      <c r="D700" s="261">
        <f t="shared" si="14"/>
        <v>1.1563397090604105E-2</v>
      </c>
      <c r="E700" s="259">
        <v>-3.9377830281515672E-5</v>
      </c>
    </row>
    <row r="701" spans="2:5" x14ac:dyDescent="0.3">
      <c r="B701" s="102">
        <v>45173.645833333336</v>
      </c>
      <c r="C701" s="108">
        <v>3100.3</v>
      </c>
      <c r="D701" s="261">
        <f t="shared" si="14"/>
        <v>-5.293891170431211E-3</v>
      </c>
      <c r="E701" s="259">
        <v>-5.8431693350553007E-5</v>
      </c>
    </row>
    <row r="702" spans="2:5" x14ac:dyDescent="0.3">
      <c r="B702" s="102">
        <v>45170.645833333336</v>
      </c>
      <c r="C702" s="108">
        <v>3116.8</v>
      </c>
      <c r="D702" s="261">
        <f t="shared" si="14"/>
        <v>3.9781603826765976E-3</v>
      </c>
      <c r="E702" s="259">
        <v>-5.9640961412334121E-5</v>
      </c>
    </row>
    <row r="703" spans="2:5" x14ac:dyDescent="0.3">
      <c r="B703" s="102">
        <v>45169.645833333336</v>
      </c>
      <c r="C703" s="108">
        <v>3104.45</v>
      </c>
      <c r="D703" s="261">
        <f t="shared" si="14"/>
        <v>7.2188696385698534E-3</v>
      </c>
      <c r="E703" s="259">
        <v>-7.3335288941082894E-5</v>
      </c>
    </row>
    <row r="704" spans="2:5" x14ac:dyDescent="0.3">
      <c r="B704" s="102">
        <v>45168.645833333336</v>
      </c>
      <c r="C704" s="108">
        <v>3082.2</v>
      </c>
      <c r="D704" s="261">
        <f t="shared" si="14"/>
        <v>9.0926803922833247E-4</v>
      </c>
      <c r="E704" s="259">
        <v>-1.4627581768182084E-4</v>
      </c>
    </row>
    <row r="705" spans="2:5" x14ac:dyDescent="0.3">
      <c r="B705" s="102">
        <v>45167.645833333336</v>
      </c>
      <c r="C705" s="108">
        <v>3079.4</v>
      </c>
      <c r="D705" s="261">
        <f t="shared" si="14"/>
        <v>1.0119565039116927E-2</v>
      </c>
      <c r="E705" s="259">
        <v>-1.6178939066074422E-4</v>
      </c>
    </row>
    <row r="706" spans="2:5" x14ac:dyDescent="0.3">
      <c r="B706" s="102">
        <v>45166.645833333336</v>
      </c>
      <c r="C706" s="108">
        <v>3048.55</v>
      </c>
      <c r="D706" s="261">
        <f t="shared" si="14"/>
        <v>-6.080464267083867E-3</v>
      </c>
      <c r="E706" s="259">
        <v>-1.6670371193596052E-4</v>
      </c>
    </row>
    <row r="707" spans="2:5" x14ac:dyDescent="0.3">
      <c r="B707" s="102">
        <v>45163.645833333336</v>
      </c>
      <c r="C707" s="108">
        <v>3067.2</v>
      </c>
      <c r="D707" s="261">
        <f t="shared" ref="D707:D770" si="15">(C707-C708)/C708</f>
        <v>1.9600156801254411E-3</v>
      </c>
      <c r="E707" s="259">
        <v>-1.7873899638050825E-4</v>
      </c>
    </row>
    <row r="708" spans="2:5" x14ac:dyDescent="0.3">
      <c r="B708" s="102">
        <v>45162.645833333336</v>
      </c>
      <c r="C708" s="108">
        <v>3061.2</v>
      </c>
      <c r="D708" s="261">
        <f t="shared" si="15"/>
        <v>-2.8664495114007109E-3</v>
      </c>
      <c r="E708" s="259">
        <v>-1.9025875190263077E-4</v>
      </c>
    </row>
    <row r="709" spans="2:5" x14ac:dyDescent="0.3">
      <c r="B709" s="102">
        <v>45161.645833333336</v>
      </c>
      <c r="C709" s="108">
        <v>3070</v>
      </c>
      <c r="D709" s="261">
        <f t="shared" si="15"/>
        <v>-1.8207829366627354E-3</v>
      </c>
      <c r="E709" s="259">
        <v>-2.3402761525850594E-4</v>
      </c>
    </row>
    <row r="710" spans="2:5" x14ac:dyDescent="0.3">
      <c r="B710" s="102">
        <v>45160.645833333336</v>
      </c>
      <c r="C710" s="108">
        <v>3075.6</v>
      </c>
      <c r="D710" s="261">
        <f t="shared" si="15"/>
        <v>-8.7710749439634625E-4</v>
      </c>
      <c r="E710" s="259">
        <v>-2.6068821689259646E-4</v>
      </c>
    </row>
    <row r="711" spans="2:5" x14ac:dyDescent="0.3">
      <c r="B711" s="102">
        <v>45159.645833333336</v>
      </c>
      <c r="C711" s="108">
        <v>3078.3</v>
      </c>
      <c r="D711" s="261">
        <f t="shared" si="15"/>
        <v>9.1298005212346912E-3</v>
      </c>
      <c r="E711" s="259">
        <v>-2.6698259607192752E-4</v>
      </c>
    </row>
    <row r="712" spans="2:5" x14ac:dyDescent="0.3">
      <c r="B712" s="102">
        <v>45156.645833333336</v>
      </c>
      <c r="C712" s="108">
        <v>3050.45</v>
      </c>
      <c r="D712" s="261">
        <f t="shared" si="15"/>
        <v>-6.9341580532270471E-3</v>
      </c>
      <c r="E712" s="259">
        <v>-2.8608932718518699E-4</v>
      </c>
    </row>
    <row r="713" spans="2:5" x14ac:dyDescent="0.3">
      <c r="B713" s="102">
        <v>45155.645833333336</v>
      </c>
      <c r="C713" s="108">
        <v>3071.75</v>
      </c>
      <c r="D713" s="261">
        <f t="shared" si="15"/>
        <v>2.0142140745906843E-2</v>
      </c>
      <c r="E713" s="259">
        <v>-2.8798525515493607E-4</v>
      </c>
    </row>
    <row r="714" spans="2:5" x14ac:dyDescent="0.3">
      <c r="B714" s="102">
        <v>45154.645833333336</v>
      </c>
      <c r="C714" s="108">
        <v>3011.1</v>
      </c>
      <c r="D714" s="261">
        <f t="shared" si="15"/>
        <v>1.494693836878475E-4</v>
      </c>
      <c r="E714" s="259">
        <v>-3.151320689852487E-4</v>
      </c>
    </row>
    <row r="715" spans="2:5" x14ac:dyDescent="0.3">
      <c r="B715" s="102">
        <v>45152.645833333336</v>
      </c>
      <c r="C715" s="108">
        <v>3010.65</v>
      </c>
      <c r="D715" s="261">
        <f t="shared" si="15"/>
        <v>-2.1874223216504793E-3</v>
      </c>
      <c r="E715" s="259">
        <v>-3.1523140851122199E-4</v>
      </c>
    </row>
    <row r="716" spans="2:5" x14ac:dyDescent="0.3">
      <c r="B716" s="102">
        <v>45149.645833333336</v>
      </c>
      <c r="C716" s="108">
        <v>3017.25</v>
      </c>
      <c r="D716" s="261">
        <f t="shared" si="15"/>
        <v>9.6033193354636247E-3</v>
      </c>
      <c r="E716" s="259">
        <v>-3.5998560057595269E-4</v>
      </c>
    </row>
    <row r="717" spans="2:5" x14ac:dyDescent="0.3">
      <c r="B717" s="102">
        <v>45148.645833333336</v>
      </c>
      <c r="C717" s="108">
        <v>2988.55</v>
      </c>
      <c r="D717" s="261">
        <f t="shared" si="15"/>
        <v>1.1045705199769981E-2</v>
      </c>
      <c r="E717" s="259">
        <v>-3.8051750380517502E-4</v>
      </c>
    </row>
    <row r="718" spans="2:5" x14ac:dyDescent="0.3">
      <c r="B718" s="102">
        <v>45147.645833333336</v>
      </c>
      <c r="C718" s="108">
        <v>2955.9</v>
      </c>
      <c r="D718" s="261">
        <f t="shared" si="15"/>
        <v>1.1861360718870378E-2</v>
      </c>
      <c r="E718" s="259">
        <v>-3.8086947059146059E-4</v>
      </c>
    </row>
    <row r="719" spans="2:5" x14ac:dyDescent="0.3">
      <c r="B719" s="102">
        <v>45146.645833333336</v>
      </c>
      <c r="C719" s="108">
        <v>2921.25</v>
      </c>
      <c r="D719" s="261">
        <f t="shared" si="15"/>
        <v>5.7322867176203577E-3</v>
      </c>
      <c r="E719" s="259">
        <v>-3.9714058776812544E-4</v>
      </c>
    </row>
    <row r="720" spans="2:5" x14ac:dyDescent="0.3">
      <c r="B720" s="102">
        <v>45145.645833333336</v>
      </c>
      <c r="C720" s="108">
        <v>2904.6</v>
      </c>
      <c r="D720" s="261">
        <f t="shared" si="15"/>
        <v>6.8861038424396806E-5</v>
      </c>
      <c r="E720" s="259">
        <v>-4.0099446627636539E-4</v>
      </c>
    </row>
    <row r="721" spans="2:5" x14ac:dyDescent="0.3">
      <c r="B721" s="102">
        <v>45142.645833333336</v>
      </c>
      <c r="C721" s="108">
        <v>2904.4</v>
      </c>
      <c r="D721" s="261">
        <f t="shared" si="15"/>
        <v>7.9252954756906446E-4</v>
      </c>
      <c r="E721" s="259">
        <v>-4.3589445542252704E-4</v>
      </c>
    </row>
    <row r="722" spans="2:5" x14ac:dyDescent="0.3">
      <c r="B722" s="102">
        <v>45141.645833333336</v>
      </c>
      <c r="C722" s="108">
        <v>2902.1</v>
      </c>
      <c r="D722" s="261">
        <f t="shared" si="15"/>
        <v>-2.5208672723913871E-2</v>
      </c>
      <c r="E722" s="259">
        <v>-4.7010430439251038E-4</v>
      </c>
    </row>
    <row r="723" spans="2:5" x14ac:dyDescent="0.3">
      <c r="B723" s="102">
        <v>45140.645833333336</v>
      </c>
      <c r="C723" s="108">
        <v>2977.15</v>
      </c>
      <c r="D723" s="261">
        <f t="shared" si="15"/>
        <v>-8.2447783070721866E-3</v>
      </c>
      <c r="E723" s="259">
        <v>-4.7376524931907018E-4</v>
      </c>
    </row>
    <row r="724" spans="2:5" x14ac:dyDescent="0.3">
      <c r="B724" s="102">
        <v>45139.645833333336</v>
      </c>
      <c r="C724" s="108">
        <v>3001.9</v>
      </c>
      <c r="D724" s="261">
        <f t="shared" si="15"/>
        <v>-7.1570047103080539E-4</v>
      </c>
      <c r="E724" s="259">
        <v>-5.2105948762488983E-4</v>
      </c>
    </row>
    <row r="725" spans="2:5" x14ac:dyDescent="0.3">
      <c r="B725" s="102">
        <v>45138.645833333336</v>
      </c>
      <c r="C725" s="108">
        <v>3004.05</v>
      </c>
      <c r="D725" s="261">
        <f t="shared" si="15"/>
        <v>5.7080682959491733E-3</v>
      </c>
      <c r="E725" s="259">
        <v>-5.4300876218679945E-4</v>
      </c>
    </row>
    <row r="726" spans="2:5" x14ac:dyDescent="0.3">
      <c r="B726" s="102">
        <v>45135.645833333336</v>
      </c>
      <c r="C726" s="108">
        <v>2987</v>
      </c>
      <c r="D726" s="261">
        <f t="shared" si="15"/>
        <v>-5.0298124646080775E-3</v>
      </c>
      <c r="E726" s="259">
        <v>-5.4753465318004989E-4</v>
      </c>
    </row>
    <row r="727" spans="2:5" x14ac:dyDescent="0.3">
      <c r="B727" s="102">
        <v>45134.645833333336</v>
      </c>
      <c r="C727" s="108">
        <v>3002.1</v>
      </c>
      <c r="D727" s="261">
        <f t="shared" si="15"/>
        <v>-2.0775508168929813E-3</v>
      </c>
      <c r="E727" s="259">
        <v>-5.6692816866876349E-4</v>
      </c>
    </row>
    <row r="728" spans="2:5" x14ac:dyDescent="0.3">
      <c r="B728" s="102">
        <v>45133.645833333336</v>
      </c>
      <c r="C728" s="108">
        <v>3008.35</v>
      </c>
      <c r="D728" s="261">
        <f t="shared" si="15"/>
        <v>-6.8174314955431132E-3</v>
      </c>
      <c r="E728" s="259">
        <v>-5.8518886970769816E-4</v>
      </c>
    </row>
    <row r="729" spans="2:5" x14ac:dyDescent="0.3">
      <c r="B729" s="102">
        <v>45132.645833333336</v>
      </c>
      <c r="C729" s="108">
        <v>3029</v>
      </c>
      <c r="D729" s="261">
        <f t="shared" si="15"/>
        <v>1.6715896885069879E-2</v>
      </c>
      <c r="E729" s="259">
        <v>-6.5020489014564311E-4</v>
      </c>
    </row>
    <row r="730" spans="2:5" x14ac:dyDescent="0.3">
      <c r="B730" s="102">
        <v>45131.645833333336</v>
      </c>
      <c r="C730" s="108">
        <v>2979.2</v>
      </c>
      <c r="D730" s="261">
        <f t="shared" si="15"/>
        <v>9.7436414339940056E-4</v>
      </c>
      <c r="E730" s="259">
        <v>-6.6162760390564427E-4</v>
      </c>
    </row>
    <row r="731" spans="2:5" x14ac:dyDescent="0.3">
      <c r="B731" s="102">
        <v>45128.645833333336</v>
      </c>
      <c r="C731" s="108">
        <v>2976.3</v>
      </c>
      <c r="D731" s="261">
        <f t="shared" si="15"/>
        <v>-4.348844211019302E-3</v>
      </c>
      <c r="E731" s="259">
        <v>-6.6269052352555013E-4</v>
      </c>
    </row>
    <row r="732" spans="2:5" x14ac:dyDescent="0.3">
      <c r="B732" s="102">
        <v>45127.645833333336</v>
      </c>
      <c r="C732" s="108">
        <v>2989.3</v>
      </c>
      <c r="D732" s="261">
        <f t="shared" si="15"/>
        <v>-2.119740290087263E-3</v>
      </c>
      <c r="E732" s="259">
        <v>-6.9717421938734971E-4</v>
      </c>
    </row>
    <row r="733" spans="2:5" x14ac:dyDescent="0.3">
      <c r="B733" s="102">
        <v>45126.645833333336</v>
      </c>
      <c r="C733" s="108">
        <v>2995.65</v>
      </c>
      <c r="D733" s="261">
        <f t="shared" si="15"/>
        <v>-2.6698259607192752E-4</v>
      </c>
      <c r="E733" s="259">
        <v>-7.1570047103080539E-4</v>
      </c>
    </row>
    <row r="734" spans="2:5" x14ac:dyDescent="0.3">
      <c r="B734" s="102">
        <v>45125.645833333336</v>
      </c>
      <c r="C734" s="108">
        <v>2996.45</v>
      </c>
      <c r="D734" s="261">
        <f t="shared" si="15"/>
        <v>-1.2197333069607214E-2</v>
      </c>
      <c r="E734" s="259">
        <v>-7.5268391237178259E-4</v>
      </c>
    </row>
    <row r="735" spans="2:5" x14ac:dyDescent="0.3">
      <c r="B735" s="102">
        <v>45124.645833333336</v>
      </c>
      <c r="C735" s="108">
        <v>3033.45</v>
      </c>
      <c r="D735" s="261">
        <f t="shared" si="15"/>
        <v>-7.2327404231645248E-3</v>
      </c>
      <c r="E735" s="259">
        <v>-7.6242537581819488E-4</v>
      </c>
    </row>
    <row r="736" spans="2:5" x14ac:dyDescent="0.3">
      <c r="B736" s="102">
        <v>45121.645833333336</v>
      </c>
      <c r="C736" s="108">
        <v>3055.55</v>
      </c>
      <c r="D736" s="261">
        <f t="shared" si="15"/>
        <v>-9.4659210632951837E-3</v>
      </c>
      <c r="E736" s="259">
        <v>-7.8532450011086071E-4</v>
      </c>
    </row>
    <row r="737" spans="2:5" x14ac:dyDescent="0.3">
      <c r="B737" s="102">
        <v>45120.645833333336</v>
      </c>
      <c r="C737" s="108">
        <v>3084.75</v>
      </c>
      <c r="D737" s="261">
        <f t="shared" si="15"/>
        <v>-3.7946068141450026E-3</v>
      </c>
      <c r="E737" s="259">
        <v>-7.9900568181812798E-4</v>
      </c>
    </row>
    <row r="738" spans="2:5" x14ac:dyDescent="0.3">
      <c r="B738" s="102">
        <v>45119.645833333336</v>
      </c>
      <c r="C738" s="108">
        <v>3096.5</v>
      </c>
      <c r="D738" s="261">
        <f t="shared" si="15"/>
        <v>2.8824977328669814E-3</v>
      </c>
      <c r="E738" s="259">
        <v>-8.0820944870312441E-4</v>
      </c>
    </row>
    <row r="739" spans="2:5" x14ac:dyDescent="0.3">
      <c r="B739" s="102">
        <v>45118.645833333336</v>
      </c>
      <c r="C739" s="108">
        <v>3087.6</v>
      </c>
      <c r="D739" s="261">
        <f t="shared" si="15"/>
        <v>1.3807029928912586E-2</v>
      </c>
      <c r="E739" s="259">
        <v>-8.5239771227462705E-4</v>
      </c>
    </row>
    <row r="740" spans="2:5" x14ac:dyDescent="0.3">
      <c r="B740" s="102">
        <v>45117.645833333336</v>
      </c>
      <c r="C740" s="108">
        <v>3045.55</v>
      </c>
      <c r="D740" s="261">
        <f t="shared" si="15"/>
        <v>-3.1313613231552108E-2</v>
      </c>
      <c r="E740" s="259">
        <v>-8.5736554949342213E-4</v>
      </c>
    </row>
    <row r="741" spans="2:5" x14ac:dyDescent="0.3">
      <c r="B741" s="102">
        <v>45114.645833333336</v>
      </c>
      <c r="C741" s="108">
        <v>3144</v>
      </c>
      <c r="D741" s="261">
        <f t="shared" si="15"/>
        <v>1.2104043265516324E-2</v>
      </c>
      <c r="E741" s="259">
        <v>-8.5946751212804152E-4</v>
      </c>
    </row>
    <row r="742" spans="2:5" x14ac:dyDescent="0.3">
      <c r="B742" s="102">
        <v>45113.645833333336</v>
      </c>
      <c r="C742" s="108">
        <v>3106.4</v>
      </c>
      <c r="D742" s="261">
        <f t="shared" si="15"/>
        <v>2.1130054680065752E-3</v>
      </c>
      <c r="E742" s="259">
        <v>-8.6943081262799953E-4</v>
      </c>
    </row>
    <row r="743" spans="2:5" x14ac:dyDescent="0.3">
      <c r="B743" s="102">
        <v>45112.645833333336</v>
      </c>
      <c r="C743" s="108">
        <v>3099.85</v>
      </c>
      <c r="D743" s="261">
        <f t="shared" si="15"/>
        <v>8.1960548355096731E-3</v>
      </c>
      <c r="E743" s="259">
        <v>-8.7710749439634625E-4</v>
      </c>
    </row>
    <row r="744" spans="2:5" x14ac:dyDescent="0.3">
      <c r="B744" s="102">
        <v>45111.645833333336</v>
      </c>
      <c r="C744" s="108">
        <v>3074.65</v>
      </c>
      <c r="D744" s="261">
        <f t="shared" si="15"/>
        <v>1.1963927196129385E-2</v>
      </c>
      <c r="E744" s="259">
        <v>-9.5030808374970386E-4</v>
      </c>
    </row>
    <row r="745" spans="2:5" x14ac:dyDescent="0.3">
      <c r="B745" s="102">
        <v>45110.645833333336</v>
      </c>
      <c r="C745" s="108">
        <v>3038.3</v>
      </c>
      <c r="D745" s="261">
        <f t="shared" si="15"/>
        <v>-3.067937591258809E-3</v>
      </c>
      <c r="E745" s="259">
        <v>-9.5368993857117366E-4</v>
      </c>
    </row>
    <row r="746" spans="2:5" x14ac:dyDescent="0.3">
      <c r="B746" s="102">
        <v>45107.645833333336</v>
      </c>
      <c r="C746" s="108">
        <v>3047.65</v>
      </c>
      <c r="D746" s="261">
        <f t="shared" si="15"/>
        <v>6.4561936527856353E-3</v>
      </c>
      <c r="E746" s="259">
        <v>-9.7511768661738096E-4</v>
      </c>
    </row>
    <row r="747" spans="2:5" x14ac:dyDescent="0.3">
      <c r="B747" s="102">
        <v>45105.645833333336</v>
      </c>
      <c r="C747" s="108">
        <v>3028.1</v>
      </c>
      <c r="D747" s="261">
        <f t="shared" si="15"/>
        <v>1.760930201297177E-2</v>
      </c>
      <c r="E747" s="259">
        <v>-1.0232836384817619E-3</v>
      </c>
    </row>
    <row r="748" spans="2:5" x14ac:dyDescent="0.3">
      <c r="B748" s="102">
        <v>45104.645833333336</v>
      </c>
      <c r="C748" s="108">
        <v>2975.7</v>
      </c>
      <c r="D748" s="261">
        <f t="shared" si="15"/>
        <v>1.0428581040166551E-3</v>
      </c>
      <c r="E748" s="259">
        <v>-1.0358927760108711E-3</v>
      </c>
    </row>
    <row r="749" spans="2:5" x14ac:dyDescent="0.3">
      <c r="B749" s="102">
        <v>45103.645833333336</v>
      </c>
      <c r="C749" s="108">
        <v>2972.6</v>
      </c>
      <c r="D749" s="261">
        <f t="shared" si="15"/>
        <v>1.1380841399724348E-2</v>
      </c>
      <c r="E749" s="259">
        <v>-1.0664675927160264E-3</v>
      </c>
    </row>
    <row r="750" spans="2:5" x14ac:dyDescent="0.3">
      <c r="B750" s="102">
        <v>45100.645833333336</v>
      </c>
      <c r="C750" s="108">
        <v>2939.15</v>
      </c>
      <c r="D750" s="261">
        <f t="shared" si="15"/>
        <v>-1.0470499116235977E-2</v>
      </c>
      <c r="E750" s="259">
        <v>-1.0733517683016564E-3</v>
      </c>
    </row>
    <row r="751" spans="2:5" x14ac:dyDescent="0.3">
      <c r="B751" s="102">
        <v>45099.645833333336</v>
      </c>
      <c r="C751" s="108">
        <v>2970.25</v>
      </c>
      <c r="D751" s="261">
        <f t="shared" si="15"/>
        <v>-2.8608932718518699E-4</v>
      </c>
      <c r="E751" s="259">
        <v>-1.1417880676268942E-3</v>
      </c>
    </row>
    <row r="752" spans="2:5" x14ac:dyDescent="0.3">
      <c r="B752" s="102">
        <v>45098.645833333336</v>
      </c>
      <c r="C752" s="108">
        <v>2971.1</v>
      </c>
      <c r="D752" s="261">
        <f t="shared" si="15"/>
        <v>-9.7511768661738096E-4</v>
      </c>
      <c r="E752" s="259">
        <v>-1.1760362109753517E-3</v>
      </c>
    </row>
    <row r="753" spans="2:5" x14ac:dyDescent="0.3">
      <c r="B753" s="102">
        <v>45097.645833333336</v>
      </c>
      <c r="C753" s="108">
        <v>2974</v>
      </c>
      <c r="D753" s="261">
        <f t="shared" si="15"/>
        <v>1.8190392777740656E-3</v>
      </c>
      <c r="E753" s="259">
        <v>-1.2002286149743154E-3</v>
      </c>
    </row>
    <row r="754" spans="2:5" x14ac:dyDescent="0.3">
      <c r="B754" s="102">
        <v>45096.645833333336</v>
      </c>
      <c r="C754" s="108">
        <v>2968.6</v>
      </c>
      <c r="D754" s="261">
        <f t="shared" si="15"/>
        <v>4.8404021257149668E-3</v>
      </c>
      <c r="E754" s="259">
        <v>-1.2136857517146069E-3</v>
      </c>
    </row>
    <row r="755" spans="2:5" x14ac:dyDescent="0.3">
      <c r="B755" s="102">
        <v>45093.645833333336</v>
      </c>
      <c r="C755" s="108">
        <v>2954.3</v>
      </c>
      <c r="D755" s="261">
        <f t="shared" si="15"/>
        <v>1.5921595598349443E-2</v>
      </c>
      <c r="E755" s="259">
        <v>-1.2261580381470565E-3</v>
      </c>
    </row>
    <row r="756" spans="2:5" x14ac:dyDescent="0.3">
      <c r="B756" s="102">
        <v>45092.645833333336</v>
      </c>
      <c r="C756" s="108">
        <v>2908</v>
      </c>
      <c r="D756" s="261">
        <f t="shared" si="15"/>
        <v>3.2679176484746325E-4</v>
      </c>
      <c r="E756" s="259">
        <v>-1.2330818237866821E-3</v>
      </c>
    </row>
    <row r="757" spans="2:5" x14ac:dyDescent="0.3">
      <c r="B757" s="102">
        <v>45091.645833333336</v>
      </c>
      <c r="C757" s="108">
        <v>2907.05</v>
      </c>
      <c r="D757" s="261">
        <f t="shared" si="15"/>
        <v>-1.8712446351930707E-3</v>
      </c>
      <c r="E757" s="259">
        <v>-1.2661856753787045E-3</v>
      </c>
    </row>
    <row r="758" spans="2:5" x14ac:dyDescent="0.3">
      <c r="B758" s="102">
        <v>45090.645833333336</v>
      </c>
      <c r="C758" s="108">
        <v>2912.5</v>
      </c>
      <c r="D758" s="261">
        <f t="shared" si="15"/>
        <v>2.0998387436023308E-2</v>
      </c>
      <c r="E758" s="259">
        <v>-1.2893916834235861E-3</v>
      </c>
    </row>
    <row r="759" spans="2:5" x14ac:dyDescent="0.3">
      <c r="B759" s="102">
        <v>45089.645833333336</v>
      </c>
      <c r="C759" s="108">
        <v>2852.6</v>
      </c>
      <c r="D759" s="261">
        <f t="shared" si="15"/>
        <v>-8.2225119513255427E-3</v>
      </c>
      <c r="E759" s="259">
        <v>-1.3018178396097969E-3</v>
      </c>
    </row>
    <row r="760" spans="2:5" x14ac:dyDescent="0.3">
      <c r="B760" s="102">
        <v>45086.645833333336</v>
      </c>
      <c r="C760" s="108">
        <v>2876.25</v>
      </c>
      <c r="D760" s="261">
        <f t="shared" si="15"/>
        <v>-2.6068821689259646E-4</v>
      </c>
      <c r="E760" s="259">
        <v>-1.3197458468822457E-3</v>
      </c>
    </row>
    <row r="761" spans="2:5" x14ac:dyDescent="0.3">
      <c r="B761" s="102">
        <v>45085.645833333336</v>
      </c>
      <c r="C761" s="108">
        <v>2877</v>
      </c>
      <c r="D761" s="261">
        <f t="shared" si="15"/>
        <v>-1.0302894786631975E-2</v>
      </c>
      <c r="E761" s="259">
        <v>-1.3512081390419429E-3</v>
      </c>
    </row>
    <row r="762" spans="2:5" x14ac:dyDescent="0.3">
      <c r="B762" s="102">
        <v>45084.645833333336</v>
      </c>
      <c r="C762" s="108">
        <v>2906.95</v>
      </c>
      <c r="D762" s="261">
        <f t="shared" si="15"/>
        <v>8.8497110829617032E-3</v>
      </c>
      <c r="E762" s="259">
        <v>-1.3586506279616626E-3</v>
      </c>
    </row>
    <row r="763" spans="2:5" x14ac:dyDescent="0.3">
      <c r="B763" s="102">
        <v>45083.645833333336</v>
      </c>
      <c r="C763" s="108">
        <v>2881.45</v>
      </c>
      <c r="D763" s="261">
        <f t="shared" si="15"/>
        <v>9.0170536120740986E-3</v>
      </c>
      <c r="E763" s="259">
        <v>-1.3618739385394304E-3</v>
      </c>
    </row>
    <row r="764" spans="2:5" x14ac:dyDescent="0.3">
      <c r="B764" s="102">
        <v>45082.645833333336</v>
      </c>
      <c r="C764" s="108">
        <v>2855.7</v>
      </c>
      <c r="D764" s="261">
        <f t="shared" si="15"/>
        <v>-2.0792200304021362E-3</v>
      </c>
      <c r="E764" s="259">
        <v>-1.3961337833691874E-3</v>
      </c>
    </row>
    <row r="765" spans="2:5" x14ac:dyDescent="0.3">
      <c r="B765" s="102">
        <v>45079.645833333336</v>
      </c>
      <c r="C765" s="108">
        <v>2861.65</v>
      </c>
      <c r="D765" s="261">
        <f t="shared" si="15"/>
        <v>1.2167300380228169E-2</v>
      </c>
      <c r="E765" s="259">
        <v>-1.4060704387209675E-3</v>
      </c>
    </row>
    <row r="766" spans="2:5" x14ac:dyDescent="0.3">
      <c r="B766" s="102">
        <v>45078.645833333336</v>
      </c>
      <c r="C766" s="108">
        <v>2827.25</v>
      </c>
      <c r="D766" s="261">
        <f t="shared" si="15"/>
        <v>1.4168068715133268E-3</v>
      </c>
      <c r="E766" s="259">
        <v>-1.4127027131631523E-3</v>
      </c>
    </row>
    <row r="767" spans="2:5" x14ac:dyDescent="0.3">
      <c r="B767" s="102">
        <v>45077.645833333336</v>
      </c>
      <c r="C767" s="108">
        <v>2823.25</v>
      </c>
      <c r="D767" s="261">
        <f t="shared" si="15"/>
        <v>7.4041034790365747E-3</v>
      </c>
      <c r="E767" s="259">
        <v>-1.4782458149661675E-3</v>
      </c>
    </row>
    <row r="768" spans="2:5" x14ac:dyDescent="0.3">
      <c r="B768" s="102">
        <v>45076.645833333336</v>
      </c>
      <c r="C768" s="108">
        <v>2802.5</v>
      </c>
      <c r="D768" s="261">
        <f t="shared" si="15"/>
        <v>-3.4669748422081962E-3</v>
      </c>
      <c r="E768" s="259">
        <v>-1.5054572826497569E-3</v>
      </c>
    </row>
    <row r="769" spans="2:5" x14ac:dyDescent="0.3">
      <c r="B769" s="102">
        <v>45075.645833333336</v>
      </c>
      <c r="C769" s="108">
        <v>2812.25</v>
      </c>
      <c r="D769" s="261">
        <f t="shared" si="15"/>
        <v>2.5563882355086304E-2</v>
      </c>
      <c r="E769" s="259">
        <v>-1.5272626296685282E-3</v>
      </c>
    </row>
    <row r="770" spans="2:5" x14ac:dyDescent="0.3">
      <c r="B770" s="102">
        <v>45072.645833333336</v>
      </c>
      <c r="C770" s="108">
        <v>2742.15</v>
      </c>
      <c r="D770" s="261">
        <f t="shared" si="15"/>
        <v>1.2629479864842511E-2</v>
      </c>
      <c r="E770" s="259">
        <v>-1.5353845532231874E-3</v>
      </c>
    </row>
    <row r="771" spans="2:5" x14ac:dyDescent="0.3">
      <c r="B771" s="102">
        <v>45071.645833333336</v>
      </c>
      <c r="C771" s="108">
        <v>2707.95</v>
      </c>
      <c r="D771" s="261">
        <f t="shared" ref="D771:D834" si="16">(C771-C772)/C772</f>
        <v>2.5856496444725023E-4</v>
      </c>
      <c r="E771" s="259">
        <v>-1.5616180620884631E-3</v>
      </c>
    </row>
    <row r="772" spans="2:5" x14ac:dyDescent="0.3">
      <c r="B772" s="102">
        <v>45070.645833333336</v>
      </c>
      <c r="C772" s="108">
        <v>2707.25</v>
      </c>
      <c r="D772" s="261">
        <f t="shared" si="16"/>
        <v>8.8691796008869856E-3</v>
      </c>
      <c r="E772" s="259">
        <v>-1.6167919444049974E-3</v>
      </c>
    </row>
    <row r="773" spans="2:5" x14ac:dyDescent="0.3">
      <c r="B773" s="102">
        <v>45069.645833333336</v>
      </c>
      <c r="C773" s="108">
        <v>2683.45</v>
      </c>
      <c r="D773" s="261">
        <f t="shared" si="16"/>
        <v>-1.0727912849532862E-2</v>
      </c>
      <c r="E773" s="259">
        <v>-1.7026451809059766E-3</v>
      </c>
    </row>
    <row r="774" spans="2:5" x14ac:dyDescent="0.3">
      <c r="B774" s="102">
        <v>45068.645833333336</v>
      </c>
      <c r="C774" s="108">
        <v>2712.55</v>
      </c>
      <c r="D774" s="261">
        <f t="shared" si="16"/>
        <v>4.0345714655858796E-3</v>
      </c>
      <c r="E774" s="259">
        <v>-1.7046366115835072E-3</v>
      </c>
    </row>
    <row r="775" spans="2:5" x14ac:dyDescent="0.3">
      <c r="B775" s="102">
        <v>45065.645833333336</v>
      </c>
      <c r="C775" s="108">
        <v>2701.65</v>
      </c>
      <c r="D775" s="261">
        <f t="shared" si="16"/>
        <v>-7.4214229292576071E-3</v>
      </c>
      <c r="E775" s="259">
        <v>-1.7074668099147489E-3</v>
      </c>
    </row>
    <row r="776" spans="2:5" x14ac:dyDescent="0.3">
      <c r="B776" s="102">
        <v>45064.645833333336</v>
      </c>
      <c r="C776" s="108">
        <v>2721.85</v>
      </c>
      <c r="D776" s="261">
        <f t="shared" si="16"/>
        <v>-1.4679264407761433E-2</v>
      </c>
      <c r="E776" s="259">
        <v>-1.7299292170628686E-3</v>
      </c>
    </row>
    <row r="777" spans="2:5" x14ac:dyDescent="0.3">
      <c r="B777" s="102">
        <v>45063.645833333336</v>
      </c>
      <c r="C777" s="108">
        <v>2762.4</v>
      </c>
      <c r="D777" s="261">
        <f t="shared" si="16"/>
        <v>-9.9811844816772369E-3</v>
      </c>
      <c r="E777" s="259">
        <v>-1.7316193696905494E-3</v>
      </c>
    </row>
    <row r="778" spans="2:5" x14ac:dyDescent="0.3">
      <c r="B778" s="102">
        <v>45062.645833333336</v>
      </c>
      <c r="C778" s="108">
        <v>2790.25</v>
      </c>
      <c r="D778" s="261">
        <f t="shared" si="16"/>
        <v>3.8495439909337187E-3</v>
      </c>
      <c r="E778" s="259">
        <v>-1.7493072433704634E-3</v>
      </c>
    </row>
    <row r="779" spans="2:5" x14ac:dyDescent="0.3">
      <c r="B779" s="102">
        <v>45061.645833333336</v>
      </c>
      <c r="C779" s="108">
        <v>2779.55</v>
      </c>
      <c r="D779" s="261">
        <f t="shared" si="16"/>
        <v>2.2897735468052662E-3</v>
      </c>
      <c r="E779" s="259">
        <v>-1.7508181707990465E-3</v>
      </c>
    </row>
    <row r="780" spans="2:5" x14ac:dyDescent="0.3">
      <c r="B780" s="102">
        <v>45058.645833333336</v>
      </c>
      <c r="C780" s="108">
        <v>2773.2</v>
      </c>
      <c r="D780" s="261">
        <f t="shared" si="16"/>
        <v>5.5659299816886018E-3</v>
      </c>
      <c r="E780" s="259">
        <v>-1.7522795859427058E-3</v>
      </c>
    </row>
    <row r="781" spans="2:5" x14ac:dyDescent="0.3">
      <c r="B781" s="102">
        <v>45057.645833333336</v>
      </c>
      <c r="C781" s="108">
        <v>2757.85</v>
      </c>
      <c r="D781" s="261">
        <f t="shared" si="16"/>
        <v>4.5165637691453467E-3</v>
      </c>
      <c r="E781" s="259">
        <v>-1.7680142554849954E-3</v>
      </c>
    </row>
    <row r="782" spans="2:5" x14ac:dyDescent="0.3">
      <c r="B782" s="102">
        <v>45056.645833333336</v>
      </c>
      <c r="C782" s="108">
        <v>2745.45</v>
      </c>
      <c r="D782" s="261">
        <f t="shared" si="16"/>
        <v>-1.0733517683016564E-3</v>
      </c>
      <c r="E782" s="259">
        <v>-1.7942289731110769E-3</v>
      </c>
    </row>
    <row r="783" spans="2:5" x14ac:dyDescent="0.3">
      <c r="B783" s="102">
        <v>45055.645833333336</v>
      </c>
      <c r="C783" s="108">
        <v>2748.4</v>
      </c>
      <c r="D783" s="261">
        <f t="shared" si="16"/>
        <v>-1.0358927760108711E-3</v>
      </c>
      <c r="E783" s="259">
        <v>-1.8207829366627354E-3</v>
      </c>
    </row>
    <row r="784" spans="2:5" x14ac:dyDescent="0.3">
      <c r="B784" s="102">
        <v>45054.645833333336</v>
      </c>
      <c r="C784" s="108">
        <v>2751.25</v>
      </c>
      <c r="D784" s="261">
        <f t="shared" si="16"/>
        <v>6.7144791247392543E-3</v>
      </c>
      <c r="E784" s="259">
        <v>-1.8295725453236025E-3</v>
      </c>
    </row>
    <row r="785" spans="2:5" x14ac:dyDescent="0.3">
      <c r="B785" s="102">
        <v>45051.645833333336</v>
      </c>
      <c r="C785" s="108">
        <v>2732.9</v>
      </c>
      <c r="D785" s="261">
        <f t="shared" si="16"/>
        <v>2.3404733373277409E-2</v>
      </c>
      <c r="E785" s="259">
        <v>-1.86140509493166E-3</v>
      </c>
    </row>
    <row r="786" spans="2:5" x14ac:dyDescent="0.3">
      <c r="B786" s="102">
        <v>45050.645833333336</v>
      </c>
      <c r="C786" s="108">
        <v>2670.4</v>
      </c>
      <c r="D786" s="261">
        <f t="shared" si="16"/>
        <v>6.1603963753508444E-3</v>
      </c>
      <c r="E786" s="259">
        <v>-1.8712446351930707E-3</v>
      </c>
    </row>
    <row r="787" spans="2:5" x14ac:dyDescent="0.3">
      <c r="B787" s="102">
        <v>45049.645833333336</v>
      </c>
      <c r="C787" s="108">
        <v>2654.05</v>
      </c>
      <c r="D787" s="261">
        <f t="shared" si="16"/>
        <v>-3.6788858231506004E-3</v>
      </c>
      <c r="E787" s="259">
        <v>-1.8730418199155428E-3</v>
      </c>
    </row>
    <row r="788" spans="2:5" x14ac:dyDescent="0.3">
      <c r="B788" s="102">
        <v>45048.645833333336</v>
      </c>
      <c r="C788" s="108">
        <v>2663.85</v>
      </c>
      <c r="D788" s="261">
        <f t="shared" si="16"/>
        <v>8.3274977761795717E-3</v>
      </c>
      <c r="E788" s="259">
        <v>-1.9092619809623979E-3</v>
      </c>
    </row>
    <row r="789" spans="2:5" x14ac:dyDescent="0.3">
      <c r="B789" s="102">
        <v>45044.645833333336</v>
      </c>
      <c r="C789" s="108">
        <v>2641.85</v>
      </c>
      <c r="D789" s="261">
        <f t="shared" si="16"/>
        <v>-8.1097824250501837E-3</v>
      </c>
      <c r="E789" s="259">
        <v>-1.9221980267224875E-3</v>
      </c>
    </row>
    <row r="790" spans="2:5" x14ac:dyDescent="0.3">
      <c r="B790" s="102">
        <v>45043.645833333336</v>
      </c>
      <c r="C790" s="108">
        <v>2663.45</v>
      </c>
      <c r="D790" s="261">
        <f t="shared" si="16"/>
        <v>8.5005679666792199E-3</v>
      </c>
      <c r="E790" s="259">
        <v>-1.9858582819316712E-3</v>
      </c>
    </row>
    <row r="791" spans="2:5" x14ac:dyDescent="0.3">
      <c r="B791" s="102">
        <v>45042.645833333336</v>
      </c>
      <c r="C791" s="108">
        <v>2641</v>
      </c>
      <c r="D791" s="261">
        <f t="shared" si="16"/>
        <v>2.9621753000152601E-3</v>
      </c>
      <c r="E791" s="259">
        <v>-1.9916514337162527E-3</v>
      </c>
    </row>
    <row r="792" spans="2:5" x14ac:dyDescent="0.3">
      <c r="B792" s="102">
        <v>45041.645833333336</v>
      </c>
      <c r="C792" s="108">
        <v>2633.2</v>
      </c>
      <c r="D792" s="261">
        <f t="shared" si="16"/>
        <v>1.3880702021257007E-3</v>
      </c>
      <c r="E792" s="259">
        <v>-2.0336570237429455E-3</v>
      </c>
    </row>
    <row r="793" spans="2:5" x14ac:dyDescent="0.3">
      <c r="B793" s="102">
        <v>45040.645833333336</v>
      </c>
      <c r="C793" s="108">
        <v>2629.55</v>
      </c>
      <c r="D793" s="261">
        <f t="shared" si="16"/>
        <v>2.3848460070863994E-2</v>
      </c>
      <c r="E793" s="259">
        <v>-2.0700311962447617E-3</v>
      </c>
    </row>
    <row r="794" spans="2:5" x14ac:dyDescent="0.3">
      <c r="B794" s="102">
        <v>45037.645833333336</v>
      </c>
      <c r="C794" s="108">
        <v>2568.3000000000002</v>
      </c>
      <c r="D794" s="261">
        <f t="shared" si="16"/>
        <v>-4.2454201802848961E-3</v>
      </c>
      <c r="E794" s="259">
        <v>-2.0705614875562947E-3</v>
      </c>
    </row>
    <row r="795" spans="2:5" x14ac:dyDescent="0.3">
      <c r="B795" s="102">
        <v>45036.645833333336</v>
      </c>
      <c r="C795" s="108">
        <v>2579.25</v>
      </c>
      <c r="D795" s="261">
        <f t="shared" si="16"/>
        <v>3.8726501381698584E-3</v>
      </c>
      <c r="E795" s="259">
        <v>-2.0775508168929813E-3</v>
      </c>
    </row>
    <row r="796" spans="2:5" x14ac:dyDescent="0.3">
      <c r="B796" s="102">
        <v>45035.645833333336</v>
      </c>
      <c r="C796" s="108">
        <v>2569.3000000000002</v>
      </c>
      <c r="D796" s="261">
        <f t="shared" si="16"/>
        <v>-3.2587190130735294E-3</v>
      </c>
      <c r="E796" s="259">
        <v>-2.0791583166333122E-3</v>
      </c>
    </row>
    <row r="797" spans="2:5" x14ac:dyDescent="0.3">
      <c r="B797" s="102">
        <v>45034.645833333336</v>
      </c>
      <c r="C797" s="108">
        <v>2577.6999999999998</v>
      </c>
      <c r="D797" s="261">
        <f t="shared" si="16"/>
        <v>-1.0707706478354348E-2</v>
      </c>
      <c r="E797" s="259">
        <v>-2.0792200304021362E-3</v>
      </c>
    </row>
    <row r="798" spans="2:5" x14ac:dyDescent="0.3">
      <c r="B798" s="102">
        <v>45033.645833333336</v>
      </c>
      <c r="C798" s="108">
        <v>2605.6</v>
      </c>
      <c r="D798" s="261">
        <f t="shared" si="16"/>
        <v>7.7156614390964818E-3</v>
      </c>
      <c r="E798" s="259">
        <v>-2.1019442984761701E-3</v>
      </c>
    </row>
    <row r="799" spans="2:5" x14ac:dyDescent="0.3">
      <c r="B799" s="102">
        <v>45029.645833333336</v>
      </c>
      <c r="C799" s="108">
        <v>2585.65</v>
      </c>
      <c r="D799" s="261">
        <f t="shared" si="16"/>
        <v>-8.6943081262799953E-4</v>
      </c>
      <c r="E799" s="259">
        <v>-2.119740290087263E-3</v>
      </c>
    </row>
    <row r="800" spans="2:5" x14ac:dyDescent="0.3">
      <c r="B800" s="102">
        <v>45028.645833333336</v>
      </c>
      <c r="C800" s="108">
        <v>2587.9</v>
      </c>
      <c r="D800" s="261">
        <f t="shared" si="16"/>
        <v>3.0425766942500758E-3</v>
      </c>
      <c r="E800" s="259">
        <v>-2.1698795559609079E-3</v>
      </c>
    </row>
    <row r="801" spans="2:5" x14ac:dyDescent="0.3">
      <c r="B801" s="102">
        <v>45027.645833333336</v>
      </c>
      <c r="C801" s="108">
        <v>2580.0500000000002</v>
      </c>
      <c r="D801" s="261">
        <f t="shared" si="16"/>
        <v>-1.4127027131631523E-3</v>
      </c>
      <c r="E801" s="259">
        <v>-2.1874223216504793E-3</v>
      </c>
    </row>
    <row r="802" spans="2:5" x14ac:dyDescent="0.3">
      <c r="B802" s="102">
        <v>45026.645833333336</v>
      </c>
      <c r="C802" s="108">
        <v>2583.6999999999998</v>
      </c>
      <c r="D802" s="261">
        <f t="shared" si="16"/>
        <v>1.3831937059781437E-2</v>
      </c>
      <c r="E802" s="259">
        <v>-2.1941560526596965E-3</v>
      </c>
    </row>
    <row r="803" spans="2:5" x14ac:dyDescent="0.3">
      <c r="B803" s="102">
        <v>45022.645833333336</v>
      </c>
      <c r="C803" s="108">
        <v>2548.4499999999998</v>
      </c>
      <c r="D803" s="261">
        <f t="shared" si="16"/>
        <v>-9.4258949741516697E-3</v>
      </c>
      <c r="E803" s="259">
        <v>-2.2597799759138206E-3</v>
      </c>
    </row>
    <row r="804" spans="2:5" x14ac:dyDescent="0.3">
      <c r="B804" s="102">
        <v>45021.645833333336</v>
      </c>
      <c r="C804" s="108">
        <v>2572.6999999999998</v>
      </c>
      <c r="D804" s="261">
        <f t="shared" si="16"/>
        <v>1.3911878300622576E-2</v>
      </c>
      <c r="E804" s="259">
        <v>-2.2751565124445924E-3</v>
      </c>
    </row>
    <row r="805" spans="2:5" x14ac:dyDescent="0.3">
      <c r="B805" s="102">
        <v>45019.645833333336</v>
      </c>
      <c r="C805" s="108">
        <v>2537.4</v>
      </c>
      <c r="D805" s="261">
        <f t="shared" si="16"/>
        <v>8.9466778003101516E-3</v>
      </c>
      <c r="E805" s="259">
        <v>-2.293144845819732E-3</v>
      </c>
    </row>
    <row r="806" spans="2:5" x14ac:dyDescent="0.3">
      <c r="B806" s="102">
        <v>45016.645833333336</v>
      </c>
      <c r="C806" s="108">
        <v>2514.9</v>
      </c>
      <c r="D806" s="261">
        <f t="shared" si="16"/>
        <v>-5.9640961412334121E-5</v>
      </c>
      <c r="E806" s="259">
        <v>-2.3012201260875554E-3</v>
      </c>
    </row>
    <row r="807" spans="2:5" x14ac:dyDescent="0.3">
      <c r="B807" s="102">
        <v>45014.645833333336</v>
      </c>
      <c r="C807" s="108">
        <v>2515.0500000000002</v>
      </c>
      <c r="D807" s="261">
        <f t="shared" si="16"/>
        <v>5.8992920849498054E-3</v>
      </c>
      <c r="E807" s="259">
        <v>-2.3363886107473641E-3</v>
      </c>
    </row>
    <row r="808" spans="2:5" x14ac:dyDescent="0.3">
      <c r="B808" s="102">
        <v>45013.645833333336</v>
      </c>
      <c r="C808" s="108">
        <v>2500.3000000000002</v>
      </c>
      <c r="D808" s="261">
        <f t="shared" si="16"/>
        <v>2.3652982681206264E-3</v>
      </c>
      <c r="E808" s="259">
        <v>-2.3468109226149401E-3</v>
      </c>
    </row>
    <row r="809" spans="2:5" x14ac:dyDescent="0.3">
      <c r="B809" s="102">
        <v>45012.645833333336</v>
      </c>
      <c r="C809" s="108">
        <v>2494.4</v>
      </c>
      <c r="D809" s="261">
        <f t="shared" si="16"/>
        <v>4.2112017967801631E-4</v>
      </c>
      <c r="E809" s="259">
        <v>-2.371899330074301E-3</v>
      </c>
    </row>
    <row r="810" spans="2:5" x14ac:dyDescent="0.3">
      <c r="B810" s="102">
        <v>45009.645833333336</v>
      </c>
      <c r="C810" s="108">
        <v>2493.35</v>
      </c>
      <c r="D810" s="261">
        <f t="shared" si="16"/>
        <v>-1.020225878803528E-2</v>
      </c>
      <c r="E810" s="259">
        <v>-2.40982001656749E-3</v>
      </c>
    </row>
    <row r="811" spans="2:5" x14ac:dyDescent="0.3">
      <c r="B811" s="102">
        <v>45008.645833333336</v>
      </c>
      <c r="C811" s="108">
        <v>2519.0500000000002</v>
      </c>
      <c r="D811" s="261">
        <f t="shared" si="16"/>
        <v>4.3458325857704243E-3</v>
      </c>
      <c r="E811" s="259">
        <v>-2.4466008741786394E-3</v>
      </c>
    </row>
    <row r="812" spans="2:5" x14ac:dyDescent="0.3">
      <c r="B812" s="102">
        <v>45007.645833333336</v>
      </c>
      <c r="C812" s="108">
        <v>2508.15</v>
      </c>
      <c r="D812" s="261">
        <f t="shared" si="16"/>
        <v>-2.3468109226149401E-3</v>
      </c>
      <c r="E812" s="259">
        <v>-2.5279036357608829E-3</v>
      </c>
    </row>
    <row r="813" spans="2:5" x14ac:dyDescent="0.3">
      <c r="B813" s="102">
        <v>45006.645833333336</v>
      </c>
      <c r="C813" s="108">
        <v>2514.0500000000002</v>
      </c>
      <c r="D813" s="261">
        <f t="shared" si="16"/>
        <v>2.1992316917010656E-2</v>
      </c>
      <c r="E813" s="259">
        <v>-2.5416328821805311E-3</v>
      </c>
    </row>
    <row r="814" spans="2:5" x14ac:dyDescent="0.3">
      <c r="B814" s="102">
        <v>45005.645833333336</v>
      </c>
      <c r="C814" s="108">
        <v>2459.9499999999998</v>
      </c>
      <c r="D814" s="261">
        <f t="shared" si="16"/>
        <v>1.7510638731088417E-3</v>
      </c>
      <c r="E814" s="259">
        <v>-2.5843537907880632E-3</v>
      </c>
    </row>
    <row r="815" spans="2:5" x14ac:dyDescent="0.3">
      <c r="B815" s="102">
        <v>45002.645833333336</v>
      </c>
      <c r="C815" s="108">
        <v>2455.65</v>
      </c>
      <c r="D815" s="261">
        <f t="shared" si="16"/>
        <v>2.1629563123636143E-3</v>
      </c>
      <c r="E815" s="259">
        <v>-2.590926867422739E-3</v>
      </c>
    </row>
    <row r="816" spans="2:5" x14ac:dyDescent="0.3">
      <c r="B816" s="102">
        <v>45001.645833333336</v>
      </c>
      <c r="C816" s="108">
        <v>2450.35</v>
      </c>
      <c r="D816" s="261">
        <f t="shared" si="16"/>
        <v>2.1362177483222874E-2</v>
      </c>
      <c r="E816" s="259">
        <v>-2.6047093144405085E-3</v>
      </c>
    </row>
    <row r="817" spans="2:5" x14ac:dyDescent="0.3">
      <c r="B817" s="102">
        <v>45000.645833333336</v>
      </c>
      <c r="C817" s="108">
        <v>2399.1</v>
      </c>
      <c r="D817" s="261">
        <f t="shared" si="16"/>
        <v>1.8466632705043302E-2</v>
      </c>
      <c r="E817" s="259">
        <v>-2.6170077959284869E-3</v>
      </c>
    </row>
    <row r="818" spans="2:5" x14ac:dyDescent="0.3">
      <c r="B818" s="102">
        <v>44999.645833333336</v>
      </c>
      <c r="C818" s="108">
        <v>2355.6</v>
      </c>
      <c r="D818" s="261">
        <f t="shared" si="16"/>
        <v>1.012006861063461E-2</v>
      </c>
      <c r="E818" s="259">
        <v>-2.6374399249794863E-3</v>
      </c>
    </row>
    <row r="819" spans="2:5" x14ac:dyDescent="0.3">
      <c r="B819" s="102">
        <v>44998.645833333336</v>
      </c>
      <c r="C819" s="108">
        <v>2332</v>
      </c>
      <c r="D819" s="261">
        <f t="shared" si="16"/>
        <v>-1.8311934329614817E-2</v>
      </c>
      <c r="E819" s="259">
        <v>-2.6420354074351078E-3</v>
      </c>
    </row>
    <row r="820" spans="2:5" x14ac:dyDescent="0.3">
      <c r="B820" s="102">
        <v>44995.645833333336</v>
      </c>
      <c r="C820" s="108">
        <v>2375.5</v>
      </c>
      <c r="D820" s="261">
        <f t="shared" si="16"/>
        <v>3.0613322073260846E-3</v>
      </c>
      <c r="E820" s="259">
        <v>-2.6510282776349252E-3</v>
      </c>
    </row>
    <row r="821" spans="2:5" x14ac:dyDescent="0.3">
      <c r="B821" s="102">
        <v>44994.645833333336</v>
      </c>
      <c r="C821" s="108">
        <v>2368.25</v>
      </c>
      <c r="D821" s="261">
        <f t="shared" si="16"/>
        <v>-1.2035376079429273E-2</v>
      </c>
      <c r="E821" s="259">
        <v>-2.6519550909794459E-3</v>
      </c>
    </row>
    <row r="822" spans="2:5" x14ac:dyDescent="0.3">
      <c r="B822" s="102">
        <v>44993.645833333336</v>
      </c>
      <c r="C822" s="108">
        <v>2397.1</v>
      </c>
      <c r="D822" s="261">
        <f t="shared" si="16"/>
        <v>-2.6420354074351078E-3</v>
      </c>
      <c r="E822" s="259">
        <v>-2.6535935953944136E-3</v>
      </c>
    </row>
    <row r="823" spans="2:5" x14ac:dyDescent="0.3">
      <c r="B823" s="102">
        <v>44991.645833333336</v>
      </c>
      <c r="C823" s="108">
        <v>2403.4499999999998</v>
      </c>
      <c r="D823" s="261">
        <f t="shared" si="16"/>
        <v>3.0674846625766495E-3</v>
      </c>
      <c r="E823" s="259">
        <v>-2.6537833424060556E-3</v>
      </c>
    </row>
    <row r="824" spans="2:5" x14ac:dyDescent="0.3">
      <c r="B824" s="102">
        <v>44988.645833333336</v>
      </c>
      <c r="C824" s="108">
        <v>2396.1</v>
      </c>
      <c r="D824" s="261">
        <f t="shared" si="16"/>
        <v>1.5748532185930222E-2</v>
      </c>
      <c r="E824" s="259">
        <v>-2.6734083050010964E-3</v>
      </c>
    </row>
    <row r="825" spans="2:5" x14ac:dyDescent="0.3">
      <c r="B825" s="102">
        <v>44987.645833333336</v>
      </c>
      <c r="C825" s="108">
        <v>2358.9499999999998</v>
      </c>
      <c r="D825" s="261">
        <f t="shared" si="16"/>
        <v>-9.8430154466085766E-3</v>
      </c>
      <c r="E825" s="259">
        <v>-2.6763797608677863E-3</v>
      </c>
    </row>
    <row r="826" spans="2:5" x14ac:dyDescent="0.3">
      <c r="B826" s="102">
        <v>44986.645833333336</v>
      </c>
      <c r="C826" s="108">
        <v>2382.4</v>
      </c>
      <c r="D826" s="261">
        <f t="shared" si="16"/>
        <v>4.04585300067427E-3</v>
      </c>
      <c r="E826" s="259">
        <v>-2.6814675989332319E-3</v>
      </c>
    </row>
    <row r="827" spans="2:5" x14ac:dyDescent="0.3">
      <c r="B827" s="102">
        <v>44985.645833333336</v>
      </c>
      <c r="C827" s="108">
        <v>2372.8000000000002</v>
      </c>
      <c r="D827" s="261">
        <f t="shared" si="16"/>
        <v>-1.174510620574753E-2</v>
      </c>
      <c r="E827" s="259">
        <v>-2.7418076109935676E-3</v>
      </c>
    </row>
    <row r="828" spans="2:5" x14ac:dyDescent="0.3">
      <c r="B828" s="102">
        <v>44984.645833333336</v>
      </c>
      <c r="C828" s="108">
        <v>2401</v>
      </c>
      <c r="D828" s="261">
        <f t="shared" si="16"/>
        <v>7.9196365303659335E-4</v>
      </c>
      <c r="E828" s="259">
        <v>-2.744842808228946E-3</v>
      </c>
    </row>
    <row r="829" spans="2:5" x14ac:dyDescent="0.3">
      <c r="B829" s="102">
        <v>44981.645833333336</v>
      </c>
      <c r="C829" s="108">
        <v>2399.1</v>
      </c>
      <c r="D829" s="261">
        <f t="shared" si="16"/>
        <v>1.9210691167257921E-3</v>
      </c>
      <c r="E829" s="259">
        <v>-2.7639264852542581E-3</v>
      </c>
    </row>
    <row r="830" spans="2:5" x14ac:dyDescent="0.3">
      <c r="B830" s="102">
        <v>44980.645833333336</v>
      </c>
      <c r="C830" s="108">
        <v>2394.5</v>
      </c>
      <c r="D830" s="261">
        <f t="shared" si="16"/>
        <v>-1.5237194382184276E-2</v>
      </c>
      <c r="E830" s="259">
        <v>-2.7804150278040889E-3</v>
      </c>
    </row>
    <row r="831" spans="2:5" x14ac:dyDescent="0.3">
      <c r="B831" s="102">
        <v>44979.645833333336</v>
      </c>
      <c r="C831" s="108">
        <v>2431.5500000000002</v>
      </c>
      <c r="D831" s="261">
        <f t="shared" si="16"/>
        <v>-1.3009417113167611E-2</v>
      </c>
      <c r="E831" s="259">
        <v>-2.7832834310295464E-3</v>
      </c>
    </row>
    <row r="832" spans="2:5" x14ac:dyDescent="0.3">
      <c r="B832" s="102">
        <v>44978.645833333336</v>
      </c>
      <c r="C832" s="108">
        <v>2463.6</v>
      </c>
      <c r="D832" s="261">
        <f t="shared" si="16"/>
        <v>-4.264090697815485E-3</v>
      </c>
      <c r="E832" s="259">
        <v>-2.7976465159205753E-3</v>
      </c>
    </row>
    <row r="833" spans="2:5" x14ac:dyDescent="0.3">
      <c r="B833" s="102">
        <v>44977.645833333336</v>
      </c>
      <c r="C833" s="108">
        <v>2474.15</v>
      </c>
      <c r="D833" s="261">
        <f t="shared" si="16"/>
        <v>-1.0458744950605963E-2</v>
      </c>
      <c r="E833" s="259">
        <v>-2.8108465608466357E-3</v>
      </c>
    </row>
    <row r="834" spans="2:5" x14ac:dyDescent="0.3">
      <c r="B834" s="102">
        <v>44974.645833333336</v>
      </c>
      <c r="C834" s="108">
        <v>2500.3000000000002</v>
      </c>
      <c r="D834" s="261">
        <f t="shared" si="16"/>
        <v>-8.7614969869964747E-3</v>
      </c>
      <c r="E834" s="259">
        <v>-2.8199929881255431E-3</v>
      </c>
    </row>
    <row r="835" spans="2:5" x14ac:dyDescent="0.3">
      <c r="B835" s="102">
        <v>44973.645833333336</v>
      </c>
      <c r="C835" s="108">
        <v>2522.4</v>
      </c>
      <c r="D835" s="261">
        <f t="shared" ref="D835:D898" si="17">(C835-C836)/C836</f>
        <v>-7.5268391237178259E-4</v>
      </c>
      <c r="E835" s="259">
        <v>-2.8502618263769939E-3</v>
      </c>
    </row>
    <row r="836" spans="2:5" x14ac:dyDescent="0.3">
      <c r="B836" s="102">
        <v>44972.645833333336</v>
      </c>
      <c r="C836" s="108">
        <v>2524.3000000000002</v>
      </c>
      <c r="D836" s="261">
        <f t="shared" si="17"/>
        <v>6.9408432725677491E-3</v>
      </c>
      <c r="E836" s="259">
        <v>-2.8664495114007109E-3</v>
      </c>
    </row>
    <row r="837" spans="2:5" x14ac:dyDescent="0.3">
      <c r="B837" s="102">
        <v>44971.645833333336</v>
      </c>
      <c r="C837" s="108">
        <v>2506.9</v>
      </c>
      <c r="D837" s="261">
        <f t="shared" si="17"/>
        <v>-4.8232468589349516E-3</v>
      </c>
      <c r="E837" s="259">
        <v>-2.901226427535303E-3</v>
      </c>
    </row>
    <row r="838" spans="2:5" x14ac:dyDescent="0.3">
      <c r="B838" s="102">
        <v>44970.645833333336</v>
      </c>
      <c r="C838" s="108">
        <v>2519.0500000000002</v>
      </c>
      <c r="D838" s="261">
        <f t="shared" si="17"/>
        <v>2.0478023090945992E-2</v>
      </c>
      <c r="E838" s="259">
        <v>-2.9149207505920031E-3</v>
      </c>
    </row>
    <row r="839" spans="2:5" x14ac:dyDescent="0.3">
      <c r="B839" s="102">
        <v>44967.645833333336</v>
      </c>
      <c r="C839" s="108">
        <v>2468.5</v>
      </c>
      <c r="D839" s="261">
        <f t="shared" si="17"/>
        <v>2.4161945950335294E-3</v>
      </c>
      <c r="E839" s="259">
        <v>-2.9540592849138631E-3</v>
      </c>
    </row>
    <row r="840" spans="2:5" x14ac:dyDescent="0.3">
      <c r="B840" s="102">
        <v>44966.645833333336</v>
      </c>
      <c r="C840" s="108">
        <v>2462.5500000000002</v>
      </c>
      <c r="D840" s="261">
        <f t="shared" si="17"/>
        <v>-1.7026451809059766E-3</v>
      </c>
      <c r="E840" s="259">
        <v>-2.9630631849546256E-3</v>
      </c>
    </row>
    <row r="841" spans="2:5" x14ac:dyDescent="0.3">
      <c r="B841" s="102">
        <v>44965.645833333336</v>
      </c>
      <c r="C841" s="108">
        <v>2466.75</v>
      </c>
      <c r="D841" s="261">
        <f t="shared" si="17"/>
        <v>8.1123053659732346E-3</v>
      </c>
      <c r="E841" s="259">
        <v>-3.0125226431440854E-3</v>
      </c>
    </row>
    <row r="842" spans="2:5" x14ac:dyDescent="0.3">
      <c r="B842" s="102">
        <v>44964.645833333336</v>
      </c>
      <c r="C842" s="108">
        <v>2446.9</v>
      </c>
      <c r="D842" s="261">
        <f t="shared" si="17"/>
        <v>-4.5158665581773432E-3</v>
      </c>
      <c r="E842" s="259">
        <v>-3.0383711824588312E-3</v>
      </c>
    </row>
    <row r="843" spans="2:5" x14ac:dyDescent="0.3">
      <c r="B843" s="102">
        <v>44963.645833333336</v>
      </c>
      <c r="C843" s="108">
        <v>2458</v>
      </c>
      <c r="D843" s="261">
        <f t="shared" si="17"/>
        <v>-2.0705614875562947E-3</v>
      </c>
      <c r="E843" s="259">
        <v>-3.0396824295251205E-3</v>
      </c>
    </row>
    <row r="844" spans="2:5" x14ac:dyDescent="0.3">
      <c r="B844" s="102">
        <v>44960.645833333336</v>
      </c>
      <c r="C844" s="108">
        <v>2463.1</v>
      </c>
      <c r="D844" s="261">
        <f t="shared" si="17"/>
        <v>6.7154802651531564E-2</v>
      </c>
      <c r="E844" s="259">
        <v>-3.067937591258809E-3</v>
      </c>
    </row>
    <row r="845" spans="2:5" x14ac:dyDescent="0.3">
      <c r="B845" s="102">
        <v>44959.645833333336</v>
      </c>
      <c r="C845" s="108">
        <v>2308.1</v>
      </c>
      <c r="D845" s="261">
        <f t="shared" si="17"/>
        <v>-1.6113218807280866E-2</v>
      </c>
      <c r="E845" s="259">
        <v>-3.0900262262730364E-3</v>
      </c>
    </row>
    <row r="846" spans="2:5" x14ac:dyDescent="0.3">
      <c r="B846" s="102">
        <v>44958.645833333336</v>
      </c>
      <c r="C846" s="108">
        <v>2345.9</v>
      </c>
      <c r="D846" s="261">
        <f t="shared" si="17"/>
        <v>-1.3145994152661801E-2</v>
      </c>
      <c r="E846" s="259">
        <v>-3.1451580592170795E-3</v>
      </c>
    </row>
    <row r="847" spans="2:5" x14ac:dyDescent="0.3">
      <c r="B847" s="102">
        <v>44957.645833333336</v>
      </c>
      <c r="C847" s="108">
        <v>2377.15</v>
      </c>
      <c r="D847" s="261">
        <f t="shared" si="17"/>
        <v>1.7811650360728695E-2</v>
      </c>
      <c r="E847" s="259">
        <v>-3.1809375090367542E-3</v>
      </c>
    </row>
    <row r="848" spans="2:5" x14ac:dyDescent="0.3">
      <c r="B848" s="102">
        <v>44956.645833333336</v>
      </c>
      <c r="C848" s="108">
        <v>2335.5500000000002</v>
      </c>
      <c r="D848" s="261">
        <f t="shared" si="17"/>
        <v>1.8445040214477991E-3</v>
      </c>
      <c r="E848" s="259">
        <v>-3.201024327784891E-3</v>
      </c>
    </row>
    <row r="849" spans="2:5" x14ac:dyDescent="0.3">
      <c r="B849" s="102">
        <v>44953.645833333336</v>
      </c>
      <c r="C849" s="108">
        <v>2331.25</v>
      </c>
      <c r="D849" s="261">
        <f t="shared" si="17"/>
        <v>-1.075702282950009E-2</v>
      </c>
      <c r="E849" s="259">
        <v>-3.2514402126253509E-3</v>
      </c>
    </row>
    <row r="850" spans="2:5" x14ac:dyDescent="0.3">
      <c r="B850" s="102">
        <v>44951.645833333336</v>
      </c>
      <c r="C850" s="108">
        <v>2356.6</v>
      </c>
      <c r="D850" s="261">
        <f t="shared" si="17"/>
        <v>-5.9685753453548838E-3</v>
      </c>
      <c r="E850" s="259">
        <v>-3.2565957319086081E-3</v>
      </c>
    </row>
    <row r="851" spans="2:5" x14ac:dyDescent="0.3">
      <c r="B851" s="102">
        <v>44950.645833333336</v>
      </c>
      <c r="C851" s="108">
        <v>2370.75</v>
      </c>
      <c r="D851" s="261">
        <f t="shared" si="17"/>
        <v>2.5584640757813602E-3</v>
      </c>
      <c r="E851" s="259">
        <v>-3.2587190130735294E-3</v>
      </c>
    </row>
    <row r="852" spans="2:5" x14ac:dyDescent="0.3">
      <c r="B852" s="102">
        <v>44949.645833333336</v>
      </c>
      <c r="C852" s="108">
        <v>2364.6999999999998</v>
      </c>
      <c r="D852" s="261">
        <f t="shared" si="17"/>
        <v>-2.7832834310295464E-3</v>
      </c>
      <c r="E852" s="259">
        <v>-3.2755841031808296E-3</v>
      </c>
    </row>
    <row r="853" spans="2:5" x14ac:dyDescent="0.3">
      <c r="B853" s="102">
        <v>44946.645833333336</v>
      </c>
      <c r="C853" s="108">
        <v>2371.3000000000002</v>
      </c>
      <c r="D853" s="261">
        <f t="shared" si="17"/>
        <v>-5.7650783002452773E-3</v>
      </c>
      <c r="E853" s="259">
        <v>-3.285717614708914E-3</v>
      </c>
    </row>
    <row r="854" spans="2:5" x14ac:dyDescent="0.3">
      <c r="B854" s="102">
        <v>44945.645833333336</v>
      </c>
      <c r="C854" s="108">
        <v>2385.0500000000002</v>
      </c>
      <c r="D854" s="261">
        <f t="shared" si="17"/>
        <v>-1.6109071407945104E-2</v>
      </c>
      <c r="E854" s="259">
        <v>-3.2923443078144315E-3</v>
      </c>
    </row>
    <row r="855" spans="2:5" x14ac:dyDescent="0.3">
      <c r="B855" s="102">
        <v>44944.645833333336</v>
      </c>
      <c r="C855" s="108">
        <v>2424.1</v>
      </c>
      <c r="D855" s="261">
        <f t="shared" si="17"/>
        <v>6.7069498951390569E-3</v>
      </c>
      <c r="E855" s="259">
        <v>-3.314105269740002E-3</v>
      </c>
    </row>
    <row r="856" spans="2:5" x14ac:dyDescent="0.3">
      <c r="B856" s="102">
        <v>44943.645833333336</v>
      </c>
      <c r="C856" s="108">
        <v>2407.9499999999998</v>
      </c>
      <c r="D856" s="261">
        <f t="shared" si="17"/>
        <v>8.7287237358933808E-4</v>
      </c>
      <c r="E856" s="259">
        <v>-3.3210332103320518E-3</v>
      </c>
    </row>
    <row r="857" spans="2:5" x14ac:dyDescent="0.3">
      <c r="B857" s="102">
        <v>44942.645833333336</v>
      </c>
      <c r="C857" s="108">
        <v>2405.85</v>
      </c>
      <c r="D857" s="261">
        <f t="shared" si="17"/>
        <v>-4.6955154724474223E-3</v>
      </c>
      <c r="E857" s="259">
        <v>-3.3307266776725461E-3</v>
      </c>
    </row>
    <row r="858" spans="2:5" x14ac:dyDescent="0.3">
      <c r="B858" s="102">
        <v>44939.645833333336</v>
      </c>
      <c r="C858" s="108">
        <v>2417.1999999999998</v>
      </c>
      <c r="D858" s="261">
        <f t="shared" si="17"/>
        <v>-1.201667620371131E-2</v>
      </c>
      <c r="E858" s="259">
        <v>-3.3593474944256167E-3</v>
      </c>
    </row>
    <row r="859" spans="2:5" x14ac:dyDescent="0.3">
      <c r="B859" s="102">
        <v>44938.645833333336</v>
      </c>
      <c r="C859" s="108">
        <v>2446.6</v>
      </c>
      <c r="D859" s="261">
        <f t="shared" si="17"/>
        <v>3.7745138262081797E-3</v>
      </c>
      <c r="E859" s="259">
        <v>-3.3604114312430601E-3</v>
      </c>
    </row>
    <row r="860" spans="2:5" x14ac:dyDescent="0.3">
      <c r="B860" s="102">
        <v>44937.645833333336</v>
      </c>
      <c r="C860" s="108">
        <v>2437.4</v>
      </c>
      <c r="D860" s="261">
        <f t="shared" si="17"/>
        <v>-1.2478729438457065E-2</v>
      </c>
      <c r="E860" s="259">
        <v>-3.3782750924822471E-3</v>
      </c>
    </row>
    <row r="861" spans="2:5" x14ac:dyDescent="0.3">
      <c r="B861" s="102">
        <v>44936.645833333336</v>
      </c>
      <c r="C861" s="108">
        <v>2468.1999999999998</v>
      </c>
      <c r="D861" s="261">
        <f t="shared" si="17"/>
        <v>-6.6206507958868543E-3</v>
      </c>
      <c r="E861" s="259">
        <v>-3.3853713268721104E-3</v>
      </c>
    </row>
    <row r="862" spans="2:5" x14ac:dyDescent="0.3">
      <c r="B862" s="102">
        <v>44935.645833333336</v>
      </c>
      <c r="C862" s="108">
        <v>2484.65</v>
      </c>
      <c r="D862" s="261">
        <f t="shared" si="17"/>
        <v>-2.1059059926716764E-2</v>
      </c>
      <c r="E862" s="259">
        <v>-3.4317281401706735E-3</v>
      </c>
    </row>
    <row r="863" spans="2:5" x14ac:dyDescent="0.3">
      <c r="B863" s="102">
        <v>44932.645833333336</v>
      </c>
      <c r="C863" s="108">
        <v>2538.1</v>
      </c>
      <c r="D863" s="261">
        <f t="shared" si="17"/>
        <v>-9.3673158736973586E-3</v>
      </c>
      <c r="E863" s="259">
        <v>-3.4367007672634516E-3</v>
      </c>
    </row>
    <row r="864" spans="2:5" x14ac:dyDescent="0.3">
      <c r="B864" s="102">
        <v>44931.645833333336</v>
      </c>
      <c r="C864" s="108">
        <v>2562.1</v>
      </c>
      <c r="D864" s="261">
        <f t="shared" si="17"/>
        <v>-1.3647475505765151E-2</v>
      </c>
      <c r="E864" s="259">
        <v>-3.4669748422081962E-3</v>
      </c>
    </row>
    <row r="865" spans="2:5" x14ac:dyDescent="0.3">
      <c r="B865" s="102">
        <v>44930.645833333336</v>
      </c>
      <c r="C865" s="108">
        <v>2597.5500000000002</v>
      </c>
      <c r="D865" s="261">
        <f t="shared" si="17"/>
        <v>-6.140955004591264E-3</v>
      </c>
      <c r="E865" s="259">
        <v>-3.4771795698430347E-3</v>
      </c>
    </row>
    <row r="866" spans="2:5" x14ac:dyDescent="0.3">
      <c r="B866" s="102">
        <v>44929.645833333336</v>
      </c>
      <c r="C866" s="108">
        <v>2613.6</v>
      </c>
      <c r="D866" s="261">
        <f t="shared" si="17"/>
        <v>1.8649517684887425E-2</v>
      </c>
      <c r="E866" s="259">
        <v>-3.5104540393418007E-3</v>
      </c>
    </row>
    <row r="867" spans="2:5" x14ac:dyDescent="0.3">
      <c r="B867" s="102">
        <v>44928.645833333336</v>
      </c>
      <c r="C867" s="108">
        <v>2565.75</v>
      </c>
      <c r="D867" s="261">
        <f t="shared" si="17"/>
        <v>-1.2223291626564005E-2</v>
      </c>
      <c r="E867" s="259">
        <v>-3.5142788904432704E-3</v>
      </c>
    </row>
    <row r="868" spans="2:5" x14ac:dyDescent="0.3">
      <c r="B868" s="102">
        <v>44925.645833333336</v>
      </c>
      <c r="C868" s="108">
        <v>2597.5</v>
      </c>
      <c r="D868" s="261">
        <f t="shared" si="17"/>
        <v>1.7330852834622539E-2</v>
      </c>
      <c r="E868" s="259">
        <v>-3.5807393912741896E-3</v>
      </c>
    </row>
    <row r="869" spans="2:5" x14ac:dyDescent="0.3">
      <c r="B869" s="102">
        <v>44924.645833333336</v>
      </c>
      <c r="C869" s="108">
        <v>2553.25</v>
      </c>
      <c r="D869" s="261">
        <f t="shared" si="17"/>
        <v>-1.0425750440865876E-2</v>
      </c>
      <c r="E869" s="259">
        <v>-3.5817519165514925E-3</v>
      </c>
    </row>
    <row r="870" spans="2:5" x14ac:dyDescent="0.3">
      <c r="B870" s="102">
        <v>44923.645833333336</v>
      </c>
      <c r="C870" s="108">
        <v>2580.15</v>
      </c>
      <c r="D870" s="261">
        <f t="shared" si="17"/>
        <v>3.0596552894889217E-2</v>
      </c>
      <c r="E870" s="259">
        <v>-3.5838116604993233E-3</v>
      </c>
    </row>
    <row r="871" spans="2:5" x14ac:dyDescent="0.3">
      <c r="B871" s="102">
        <v>44922.645833333336</v>
      </c>
      <c r="C871" s="108">
        <v>2503.5500000000002</v>
      </c>
      <c r="D871" s="261">
        <f t="shared" si="17"/>
        <v>9.0484059489743564E-3</v>
      </c>
      <c r="E871" s="259">
        <v>-3.5848968760183522E-3</v>
      </c>
    </row>
    <row r="872" spans="2:5" x14ac:dyDescent="0.3">
      <c r="B872" s="102">
        <v>44921.645833333336</v>
      </c>
      <c r="C872" s="108">
        <v>2481.1</v>
      </c>
      <c r="D872" s="261">
        <f t="shared" si="17"/>
        <v>-7.8532450011086071E-4</v>
      </c>
      <c r="E872" s="259">
        <v>-3.585049580472956E-3</v>
      </c>
    </row>
    <row r="873" spans="2:5" x14ac:dyDescent="0.3">
      <c r="B873" s="102">
        <v>44918.645833333336</v>
      </c>
      <c r="C873" s="108">
        <v>2483.0500000000002</v>
      </c>
      <c r="D873" s="261">
        <f t="shared" si="17"/>
        <v>2.0136931131768787E-5</v>
      </c>
      <c r="E873" s="259">
        <v>-3.5893613682722566E-3</v>
      </c>
    </row>
    <row r="874" spans="2:5" x14ac:dyDescent="0.3">
      <c r="B874" s="102">
        <v>44917.645833333336</v>
      </c>
      <c r="C874" s="108">
        <v>2483</v>
      </c>
      <c r="D874" s="261">
        <f t="shared" si="17"/>
        <v>-2.6510282776349252E-3</v>
      </c>
      <c r="E874" s="259">
        <v>-3.6080614401319522E-3</v>
      </c>
    </row>
    <row r="875" spans="2:5" x14ac:dyDescent="0.3">
      <c r="B875" s="102">
        <v>44916.645833333336</v>
      </c>
      <c r="C875" s="108">
        <v>2489.6</v>
      </c>
      <c r="D875" s="261">
        <f t="shared" si="17"/>
        <v>-7.3958894005542652E-3</v>
      </c>
      <c r="E875" s="259">
        <v>-3.619044634883745E-3</v>
      </c>
    </row>
    <row r="876" spans="2:5" x14ac:dyDescent="0.3">
      <c r="B876" s="102">
        <v>44915.645833333336</v>
      </c>
      <c r="C876" s="108">
        <v>2508.15</v>
      </c>
      <c r="D876" s="261">
        <f t="shared" si="17"/>
        <v>-5.4128003806805016E-3</v>
      </c>
      <c r="E876" s="259">
        <v>-3.6437365931063122E-3</v>
      </c>
    </row>
    <row r="877" spans="2:5" x14ac:dyDescent="0.3">
      <c r="B877" s="102">
        <v>44914.645833333336</v>
      </c>
      <c r="C877" s="108">
        <v>2521.8000000000002</v>
      </c>
      <c r="D877" s="261">
        <f t="shared" si="17"/>
        <v>1.5687617052983577E-2</v>
      </c>
      <c r="E877" s="259">
        <v>-3.6504086102541154E-3</v>
      </c>
    </row>
    <row r="878" spans="2:5" x14ac:dyDescent="0.3">
      <c r="B878" s="102">
        <v>44911.645833333336</v>
      </c>
      <c r="C878" s="108">
        <v>2482.85</v>
      </c>
      <c r="D878" s="261">
        <f t="shared" si="17"/>
        <v>-1.5796567170095498E-2</v>
      </c>
      <c r="E878" s="259">
        <v>-3.6788858231506004E-3</v>
      </c>
    </row>
    <row r="879" spans="2:5" x14ac:dyDescent="0.3">
      <c r="B879" s="102">
        <v>44910.645833333336</v>
      </c>
      <c r="C879" s="108">
        <v>2522.6999999999998</v>
      </c>
      <c r="D879" s="261">
        <f t="shared" si="17"/>
        <v>-2.639805488016676E-2</v>
      </c>
      <c r="E879" s="259">
        <v>-3.7142896593624327E-3</v>
      </c>
    </row>
    <row r="880" spans="2:5" x14ac:dyDescent="0.3">
      <c r="B880" s="102">
        <v>44909.645833333336</v>
      </c>
      <c r="C880" s="108">
        <v>2591.1</v>
      </c>
      <c r="D880" s="261">
        <f t="shared" si="17"/>
        <v>5.9008501882836361E-3</v>
      </c>
      <c r="E880" s="259">
        <v>-3.7794828076158516E-3</v>
      </c>
    </row>
    <row r="881" spans="2:5" x14ac:dyDescent="0.3">
      <c r="B881" s="102">
        <v>44908.645833333336</v>
      </c>
      <c r="C881" s="108">
        <v>2575.9</v>
      </c>
      <c r="D881" s="261">
        <f t="shared" si="17"/>
        <v>-3.3853713268721104E-3</v>
      </c>
      <c r="E881" s="259">
        <v>-3.7946068141450026E-3</v>
      </c>
    </row>
    <row r="882" spans="2:5" x14ac:dyDescent="0.3">
      <c r="B882" s="102">
        <v>44907.645833333336</v>
      </c>
      <c r="C882" s="108">
        <v>2584.65</v>
      </c>
      <c r="D882" s="261">
        <f t="shared" si="17"/>
        <v>-1.1776176183830594E-2</v>
      </c>
      <c r="E882" s="259">
        <v>-3.8054845456657882E-3</v>
      </c>
    </row>
    <row r="883" spans="2:5" x14ac:dyDescent="0.3">
      <c r="B883" s="102">
        <v>44904.645833333336</v>
      </c>
      <c r="C883" s="108">
        <v>2615.4499999999998</v>
      </c>
      <c r="D883" s="261">
        <f t="shared" si="17"/>
        <v>1.2366944068124566E-2</v>
      </c>
      <c r="E883" s="259">
        <v>-3.8660353590200649E-3</v>
      </c>
    </row>
    <row r="884" spans="2:5" x14ac:dyDescent="0.3">
      <c r="B884" s="102">
        <v>44903.645833333336</v>
      </c>
      <c r="C884" s="108">
        <v>2583.5</v>
      </c>
      <c r="D884" s="261">
        <f t="shared" si="17"/>
        <v>-5.1408437145002255E-3</v>
      </c>
      <c r="E884" s="259">
        <v>-3.905257076834116E-3</v>
      </c>
    </row>
    <row r="885" spans="2:5" x14ac:dyDescent="0.3">
      <c r="B885" s="102">
        <v>44902.645833333336</v>
      </c>
      <c r="C885" s="108">
        <v>2596.85</v>
      </c>
      <c r="D885" s="261">
        <f t="shared" si="17"/>
        <v>-7.6996560947650327E-3</v>
      </c>
      <c r="E885" s="259">
        <v>-3.9094240115289678E-3</v>
      </c>
    </row>
    <row r="886" spans="2:5" x14ac:dyDescent="0.3">
      <c r="B886" s="102">
        <v>44901.645833333336</v>
      </c>
      <c r="C886" s="108">
        <v>2617</v>
      </c>
      <c r="D886" s="261">
        <f t="shared" si="17"/>
        <v>5.1612409917225512E-4</v>
      </c>
      <c r="E886" s="259">
        <v>-4.0051573258717702E-3</v>
      </c>
    </row>
    <row r="887" spans="2:5" x14ac:dyDescent="0.3">
      <c r="B887" s="102">
        <v>44900.645833333336</v>
      </c>
      <c r="C887" s="108">
        <v>2615.65</v>
      </c>
      <c r="D887" s="261">
        <f t="shared" si="17"/>
        <v>-8.5946751212804152E-4</v>
      </c>
      <c r="E887" s="259">
        <v>-4.0671971706455002E-3</v>
      </c>
    </row>
    <row r="888" spans="2:5" x14ac:dyDescent="0.3">
      <c r="B888" s="102">
        <v>44897.645833333336</v>
      </c>
      <c r="C888" s="108">
        <v>2617.9</v>
      </c>
      <c r="D888" s="261">
        <f t="shared" si="17"/>
        <v>-7.8826694963427934E-3</v>
      </c>
      <c r="E888" s="259">
        <v>-4.0953919875188812E-3</v>
      </c>
    </row>
    <row r="889" spans="2:5" x14ac:dyDescent="0.3">
      <c r="B889" s="102">
        <v>44896.645833333336</v>
      </c>
      <c r="C889" s="108">
        <v>2638.7</v>
      </c>
      <c r="D889" s="261">
        <f t="shared" si="17"/>
        <v>-5.3901243874859336E-3</v>
      </c>
      <c r="E889" s="259">
        <v>-4.1489200402485844E-3</v>
      </c>
    </row>
    <row r="890" spans="2:5" x14ac:dyDescent="0.3">
      <c r="B890" s="102">
        <v>44895.645833333336</v>
      </c>
      <c r="C890" s="108">
        <v>2653</v>
      </c>
      <c r="D890" s="261">
        <f t="shared" si="17"/>
        <v>1.5016738402678144E-2</v>
      </c>
      <c r="E890" s="259">
        <v>-4.1678578414409539E-3</v>
      </c>
    </row>
    <row r="891" spans="2:5" x14ac:dyDescent="0.3">
      <c r="B891" s="102">
        <v>44894.645833333336</v>
      </c>
      <c r="C891" s="108">
        <v>2613.75</v>
      </c>
      <c r="D891" s="261">
        <f t="shared" si="17"/>
        <v>8.2939531295206873E-3</v>
      </c>
      <c r="E891" s="259">
        <v>-4.1753160973768211E-3</v>
      </c>
    </row>
    <row r="892" spans="2:5" x14ac:dyDescent="0.3">
      <c r="B892" s="102">
        <v>44893.645833333336</v>
      </c>
      <c r="C892" s="108">
        <v>2592.25</v>
      </c>
      <c r="D892" s="261">
        <f t="shared" si="17"/>
        <v>-1.2136857517146069E-3</v>
      </c>
      <c r="E892" s="259">
        <v>-4.1809950273372981E-3</v>
      </c>
    </row>
    <row r="893" spans="2:5" x14ac:dyDescent="0.3">
      <c r="B893" s="102">
        <v>44890.645833333336</v>
      </c>
      <c r="C893" s="108">
        <v>2595.4</v>
      </c>
      <c r="D893" s="261">
        <f t="shared" si="17"/>
        <v>-5.6700635966591556E-3</v>
      </c>
      <c r="E893" s="259">
        <v>-4.1891763813857192E-3</v>
      </c>
    </row>
    <row r="894" spans="2:5" x14ac:dyDescent="0.3">
      <c r="B894" s="102">
        <v>44889.645833333336</v>
      </c>
      <c r="C894" s="108">
        <v>2610.1999999999998</v>
      </c>
      <c r="D894" s="261">
        <f t="shared" si="17"/>
        <v>3.2478139713653571E-3</v>
      </c>
      <c r="E894" s="259">
        <v>-4.2029650007641755E-3</v>
      </c>
    </row>
    <row r="895" spans="2:5" x14ac:dyDescent="0.3">
      <c r="B895" s="102">
        <v>44888.645833333336</v>
      </c>
      <c r="C895" s="108">
        <v>2601.75</v>
      </c>
      <c r="D895" s="261">
        <f t="shared" si="17"/>
        <v>-1.7074668099147489E-3</v>
      </c>
      <c r="E895" s="259">
        <v>-4.2038216560509557E-3</v>
      </c>
    </row>
    <row r="896" spans="2:5" x14ac:dyDescent="0.3">
      <c r="B896" s="102">
        <v>44887.645833333336</v>
      </c>
      <c r="C896" s="108">
        <v>2606.1999999999998</v>
      </c>
      <c r="D896" s="261">
        <f t="shared" si="17"/>
        <v>1.2765461363592169E-2</v>
      </c>
      <c r="E896" s="259">
        <v>-4.2068656046668164E-3</v>
      </c>
    </row>
    <row r="897" spans="2:5" x14ac:dyDescent="0.3">
      <c r="B897" s="102">
        <v>44886.645833333336</v>
      </c>
      <c r="C897" s="108">
        <v>2573.35</v>
      </c>
      <c r="D897" s="261">
        <f t="shared" si="17"/>
        <v>2.9425520305556654E-3</v>
      </c>
      <c r="E897" s="259">
        <v>-4.2454201802848961E-3</v>
      </c>
    </row>
    <row r="898" spans="2:5" x14ac:dyDescent="0.3">
      <c r="B898" s="102">
        <v>44883.645833333336</v>
      </c>
      <c r="C898" s="108">
        <v>2565.8000000000002</v>
      </c>
      <c r="D898" s="261">
        <f t="shared" si="17"/>
        <v>-6.27420604182797E-3</v>
      </c>
      <c r="E898" s="259">
        <v>-4.264090697815485E-3</v>
      </c>
    </row>
    <row r="899" spans="2:5" x14ac:dyDescent="0.3">
      <c r="B899" s="102">
        <v>44882.645833333336</v>
      </c>
      <c r="C899" s="108">
        <v>2582</v>
      </c>
      <c r="D899" s="261">
        <f t="shared" ref="D899:D962" si="18">(C899-C900)/C900</f>
        <v>-2.3560110426199817E-2</v>
      </c>
      <c r="E899" s="259">
        <v>-4.2671189543539174E-3</v>
      </c>
    </row>
    <row r="900" spans="2:5" x14ac:dyDescent="0.3">
      <c r="B900" s="102">
        <v>44881.645833333336</v>
      </c>
      <c r="C900" s="108">
        <v>2644.3</v>
      </c>
      <c r="D900" s="261">
        <f t="shared" si="18"/>
        <v>-4.6487117234110288E-3</v>
      </c>
      <c r="E900" s="259">
        <v>-4.3275032248220897E-3</v>
      </c>
    </row>
    <row r="901" spans="2:5" x14ac:dyDescent="0.3">
      <c r="B901" s="102">
        <v>44880.645833333336</v>
      </c>
      <c r="C901" s="108">
        <v>2656.65</v>
      </c>
      <c r="D901" s="261">
        <f t="shared" si="18"/>
        <v>1.0209901893680092E-2</v>
      </c>
      <c r="E901" s="259">
        <v>-4.3406905225700848E-3</v>
      </c>
    </row>
    <row r="902" spans="2:5" x14ac:dyDescent="0.3">
      <c r="B902" s="102">
        <v>44879.645833333336</v>
      </c>
      <c r="C902" s="108">
        <v>2629.8</v>
      </c>
      <c r="D902" s="261">
        <f t="shared" si="18"/>
        <v>-8.2962516026849689E-3</v>
      </c>
      <c r="E902" s="259">
        <v>-4.348844211019302E-3</v>
      </c>
    </row>
    <row r="903" spans="2:5" x14ac:dyDescent="0.3">
      <c r="B903" s="102">
        <v>44876.645833333336</v>
      </c>
      <c r="C903" s="108">
        <v>2651.8</v>
      </c>
      <c r="D903" s="261">
        <f t="shared" si="18"/>
        <v>4.0893600908747376E-3</v>
      </c>
      <c r="E903" s="259">
        <v>-4.3730214090251067E-3</v>
      </c>
    </row>
    <row r="904" spans="2:5" x14ac:dyDescent="0.3">
      <c r="B904" s="102">
        <v>44875.645833333336</v>
      </c>
      <c r="C904" s="108">
        <v>2641</v>
      </c>
      <c r="D904" s="261">
        <f t="shared" si="18"/>
        <v>-2.8365402303079323E-2</v>
      </c>
      <c r="E904" s="259">
        <v>-4.4032253625780884E-3</v>
      </c>
    </row>
    <row r="905" spans="2:5" x14ac:dyDescent="0.3">
      <c r="B905" s="102">
        <v>44874.645833333336</v>
      </c>
      <c r="C905" s="108">
        <v>2718.1</v>
      </c>
      <c r="D905" s="261">
        <f t="shared" si="18"/>
        <v>-8.5535554704456503E-3</v>
      </c>
      <c r="E905" s="259">
        <v>-4.4110552071127849E-3</v>
      </c>
    </row>
    <row r="906" spans="2:5" x14ac:dyDescent="0.3">
      <c r="B906" s="102">
        <v>44872.645833333336</v>
      </c>
      <c r="C906" s="108">
        <v>2741.55</v>
      </c>
      <c r="D906" s="261">
        <f t="shared" si="18"/>
        <v>-1.016355561974208E-2</v>
      </c>
      <c r="E906" s="259">
        <v>-4.4631898417799194E-3</v>
      </c>
    </row>
    <row r="907" spans="2:5" x14ac:dyDescent="0.3">
      <c r="B907" s="102">
        <v>44869.645833333336</v>
      </c>
      <c r="C907" s="108">
        <v>2769.7</v>
      </c>
      <c r="D907" s="261">
        <f t="shared" si="18"/>
        <v>2.1891339351942998E-3</v>
      </c>
      <c r="E907" s="259">
        <v>-4.4851710373836956E-3</v>
      </c>
    </row>
    <row r="908" spans="2:5" x14ac:dyDescent="0.3">
      <c r="B908" s="102">
        <v>44868.645833333336</v>
      </c>
      <c r="C908" s="108">
        <v>2763.65</v>
      </c>
      <c r="D908" s="261">
        <f t="shared" si="18"/>
        <v>1.2901097692829364E-2</v>
      </c>
      <c r="E908" s="259">
        <v>-4.4989617780511488E-3</v>
      </c>
    </row>
    <row r="909" spans="2:5" x14ac:dyDescent="0.3">
      <c r="B909" s="102">
        <v>44867.645833333336</v>
      </c>
      <c r="C909" s="108">
        <v>2728.45</v>
      </c>
      <c r="D909" s="261">
        <f t="shared" si="18"/>
        <v>-9.6190493475380688E-3</v>
      </c>
      <c r="E909" s="259">
        <v>-4.5158665581773432E-3</v>
      </c>
    </row>
    <row r="910" spans="2:5" x14ac:dyDescent="0.3">
      <c r="B910" s="102">
        <v>44866.645833333336</v>
      </c>
      <c r="C910" s="108">
        <v>2754.95</v>
      </c>
      <c r="D910" s="261">
        <f t="shared" si="18"/>
        <v>-2.371899330074301E-3</v>
      </c>
      <c r="E910" s="259">
        <v>-4.5575986170045815E-3</v>
      </c>
    </row>
    <row r="911" spans="2:5" x14ac:dyDescent="0.3">
      <c r="B911" s="102">
        <v>44865.645833333336</v>
      </c>
      <c r="C911" s="108">
        <v>2761.5</v>
      </c>
      <c r="D911" s="261">
        <f t="shared" si="18"/>
        <v>9.1726355795935938E-3</v>
      </c>
      <c r="E911" s="259">
        <v>-4.6487117234110288E-3</v>
      </c>
    </row>
    <row r="912" spans="2:5" x14ac:dyDescent="0.3">
      <c r="B912" s="102">
        <v>44862.645833333336</v>
      </c>
      <c r="C912" s="108">
        <v>2736.4</v>
      </c>
      <c r="D912" s="261">
        <f t="shared" si="18"/>
        <v>1.2057104815444895E-2</v>
      </c>
      <c r="E912" s="259">
        <v>-4.6848281839263544E-3</v>
      </c>
    </row>
    <row r="913" spans="2:5" x14ac:dyDescent="0.3">
      <c r="B913" s="102">
        <v>44861.645833333336</v>
      </c>
      <c r="C913" s="108">
        <v>2703.8</v>
      </c>
      <c r="D913" s="261">
        <f t="shared" si="18"/>
        <v>1.2545406883121746E-2</v>
      </c>
      <c r="E913" s="259">
        <v>-4.6955154724474223E-3</v>
      </c>
    </row>
    <row r="914" spans="2:5" x14ac:dyDescent="0.3">
      <c r="B914" s="102">
        <v>44859.645833333336</v>
      </c>
      <c r="C914" s="108">
        <v>2670.3</v>
      </c>
      <c r="D914" s="261">
        <f t="shared" si="18"/>
        <v>1.7444150582409884E-3</v>
      </c>
      <c r="E914" s="259">
        <v>-4.8149262714413475E-3</v>
      </c>
    </row>
    <row r="915" spans="2:5" x14ac:dyDescent="0.3">
      <c r="B915" s="102">
        <v>44855.645833333336</v>
      </c>
      <c r="C915" s="108">
        <v>2665.65</v>
      </c>
      <c r="D915" s="261">
        <f t="shared" si="18"/>
        <v>1.2977389321679685E-2</v>
      </c>
      <c r="E915" s="259">
        <v>-4.8232468589349516E-3</v>
      </c>
    </row>
    <row r="916" spans="2:5" x14ac:dyDescent="0.3">
      <c r="B916" s="102">
        <v>44854.645833333336</v>
      </c>
      <c r="C916" s="108">
        <v>2631.5</v>
      </c>
      <c r="D916" s="261">
        <f t="shared" si="18"/>
        <v>-4.9346769771795506E-3</v>
      </c>
      <c r="E916" s="259">
        <v>-4.9030985261692269E-3</v>
      </c>
    </row>
    <row r="917" spans="2:5" x14ac:dyDescent="0.3">
      <c r="B917" s="102">
        <v>44853.645833333336</v>
      </c>
      <c r="C917" s="108">
        <v>2644.55</v>
      </c>
      <c r="D917" s="261">
        <f t="shared" si="18"/>
        <v>1.3062739010261909E-3</v>
      </c>
      <c r="E917" s="259">
        <v>-4.9346769771795506E-3</v>
      </c>
    </row>
    <row r="918" spans="2:5" x14ac:dyDescent="0.3">
      <c r="B918" s="102">
        <v>44852.645833333336</v>
      </c>
      <c r="C918" s="108">
        <v>2641.1</v>
      </c>
      <c r="D918" s="261">
        <f t="shared" si="18"/>
        <v>6.1333333333332988E-3</v>
      </c>
      <c r="E918" s="259">
        <v>-4.9403310663414723E-3</v>
      </c>
    </row>
    <row r="919" spans="2:5" x14ac:dyDescent="0.3">
      <c r="B919" s="102">
        <v>44851.645833333336</v>
      </c>
      <c r="C919" s="108">
        <v>2625</v>
      </c>
      <c r="D919" s="261">
        <f t="shared" si="18"/>
        <v>2.7504011001603704E-3</v>
      </c>
      <c r="E919" s="259">
        <v>-4.9557339390342179E-3</v>
      </c>
    </row>
    <row r="920" spans="2:5" x14ac:dyDescent="0.3">
      <c r="B920" s="102">
        <v>44848.645833333336</v>
      </c>
      <c r="C920" s="108">
        <v>2617.8000000000002</v>
      </c>
      <c r="D920" s="261">
        <f t="shared" si="18"/>
        <v>7.3692109364478058E-3</v>
      </c>
      <c r="E920" s="259">
        <v>-4.9629350420906772E-3</v>
      </c>
    </row>
    <row r="921" spans="2:5" x14ac:dyDescent="0.3">
      <c r="B921" s="102">
        <v>44847.645833333336</v>
      </c>
      <c r="C921" s="108">
        <v>2598.65</v>
      </c>
      <c r="D921" s="261">
        <f t="shared" si="18"/>
        <v>-8.6596600988039819E-3</v>
      </c>
      <c r="E921" s="259">
        <v>-5.0298124646080775E-3</v>
      </c>
    </row>
    <row r="922" spans="2:5" x14ac:dyDescent="0.3">
      <c r="B922" s="102">
        <v>44846.645833333336</v>
      </c>
      <c r="C922" s="108">
        <v>2621.35</v>
      </c>
      <c r="D922" s="261">
        <f t="shared" si="18"/>
        <v>-1.2002286149743154E-3</v>
      </c>
      <c r="E922" s="259">
        <v>-5.0624828970171985E-3</v>
      </c>
    </row>
    <row r="923" spans="2:5" x14ac:dyDescent="0.3">
      <c r="B923" s="102">
        <v>44845.645833333336</v>
      </c>
      <c r="C923" s="108">
        <v>2624.5</v>
      </c>
      <c r="D923" s="261">
        <f t="shared" si="18"/>
        <v>-2.0745494571098061E-2</v>
      </c>
      <c r="E923" s="259">
        <v>-5.0946028561127399E-3</v>
      </c>
    </row>
    <row r="924" spans="2:5" x14ac:dyDescent="0.3">
      <c r="B924" s="102">
        <v>44844.645833333336</v>
      </c>
      <c r="C924" s="108">
        <v>2680.1</v>
      </c>
      <c r="D924" s="261">
        <f t="shared" si="18"/>
        <v>-1.8458157846548286E-2</v>
      </c>
      <c r="E924" s="259">
        <v>-5.1364291358714179E-3</v>
      </c>
    </row>
    <row r="925" spans="2:5" x14ac:dyDescent="0.3">
      <c r="B925" s="102">
        <v>44841.645833333336</v>
      </c>
      <c r="C925" s="108">
        <v>2730.5</v>
      </c>
      <c r="D925" s="261">
        <f t="shared" si="18"/>
        <v>5.3088300518734248E-2</v>
      </c>
      <c r="E925" s="259">
        <v>-5.1408437145002255E-3</v>
      </c>
    </row>
    <row r="926" spans="2:5" x14ac:dyDescent="0.3">
      <c r="B926" s="102">
        <v>44840.645833333336</v>
      </c>
      <c r="C926" s="108">
        <v>2592.85</v>
      </c>
      <c r="D926" s="261">
        <f t="shared" si="18"/>
        <v>2.9979497891764345E-3</v>
      </c>
      <c r="E926" s="259">
        <v>-5.1439720924732722E-3</v>
      </c>
    </row>
    <row r="927" spans="2:5" x14ac:dyDescent="0.3">
      <c r="B927" s="102">
        <v>44838.645833333336</v>
      </c>
      <c r="C927" s="108">
        <v>2585.1</v>
      </c>
      <c r="D927" s="261">
        <f t="shared" si="18"/>
        <v>4.2343252272551051E-3</v>
      </c>
      <c r="E927" s="259">
        <v>-5.1451457304060311E-3</v>
      </c>
    </row>
    <row r="928" spans="2:5" x14ac:dyDescent="0.3">
      <c r="B928" s="102">
        <v>44837.645833333336</v>
      </c>
      <c r="C928" s="108">
        <v>2574.1999999999998</v>
      </c>
      <c r="D928" s="261">
        <f t="shared" si="18"/>
        <v>-1.2562573121847371E-2</v>
      </c>
      <c r="E928" s="259">
        <v>-5.1667449506811458E-3</v>
      </c>
    </row>
    <row r="929" spans="2:5" x14ac:dyDescent="0.3">
      <c r="B929" s="102">
        <v>44834.645833333336</v>
      </c>
      <c r="C929" s="108">
        <v>2606.9499999999998</v>
      </c>
      <c r="D929" s="261">
        <f t="shared" si="18"/>
        <v>2.9804463756665938E-2</v>
      </c>
      <c r="E929" s="259">
        <v>-5.1988834612700947E-3</v>
      </c>
    </row>
    <row r="930" spans="2:5" x14ac:dyDescent="0.3">
      <c r="B930" s="102">
        <v>44833.645833333336</v>
      </c>
      <c r="C930" s="108">
        <v>2531.5</v>
      </c>
      <c r="D930" s="261">
        <f t="shared" si="18"/>
        <v>-1.7637129164322096E-2</v>
      </c>
      <c r="E930" s="259">
        <v>-5.2598061183574737E-3</v>
      </c>
    </row>
    <row r="931" spans="2:5" x14ac:dyDescent="0.3">
      <c r="B931" s="102">
        <v>44832.645833333336</v>
      </c>
      <c r="C931" s="108">
        <v>2576.9499999999998</v>
      </c>
      <c r="D931" s="261">
        <f t="shared" si="18"/>
        <v>-8.9987886246082616E-3</v>
      </c>
      <c r="E931" s="259">
        <v>-5.266715484706759E-3</v>
      </c>
    </row>
    <row r="932" spans="2:5" x14ac:dyDescent="0.3">
      <c r="B932" s="102">
        <v>44831.645833333336</v>
      </c>
      <c r="C932" s="108">
        <v>2600.35</v>
      </c>
      <c r="D932" s="261">
        <f t="shared" si="18"/>
        <v>-2.0768216908303556E-2</v>
      </c>
      <c r="E932" s="259">
        <v>-5.2928416485900744E-3</v>
      </c>
    </row>
    <row r="933" spans="2:5" x14ac:dyDescent="0.3">
      <c r="B933" s="102">
        <v>44830.645833333336</v>
      </c>
      <c r="C933" s="108">
        <v>2655.5</v>
      </c>
      <c r="D933" s="261">
        <f t="shared" si="18"/>
        <v>-6.34249471458767E-3</v>
      </c>
      <c r="E933" s="259">
        <v>-5.293891170431211E-3</v>
      </c>
    </row>
    <row r="934" spans="2:5" x14ac:dyDescent="0.3">
      <c r="B934" s="102">
        <v>44827.645833333336</v>
      </c>
      <c r="C934" s="108">
        <v>2672.45</v>
      </c>
      <c r="D934" s="261">
        <f t="shared" si="18"/>
        <v>-2.3798217416715405E-2</v>
      </c>
      <c r="E934" s="259">
        <v>-5.3262713125240687E-3</v>
      </c>
    </row>
    <row r="935" spans="2:5" x14ac:dyDescent="0.3">
      <c r="B935" s="102">
        <v>44826.645833333336</v>
      </c>
      <c r="C935" s="108">
        <v>2737.6</v>
      </c>
      <c r="D935" s="261">
        <f t="shared" si="18"/>
        <v>2.6606416290101745E-2</v>
      </c>
      <c r="E935" s="259">
        <v>-5.3823064070146883E-3</v>
      </c>
    </row>
    <row r="936" spans="2:5" x14ac:dyDescent="0.3">
      <c r="B936" s="102">
        <v>44825.645833333336</v>
      </c>
      <c r="C936" s="108">
        <v>2666.65</v>
      </c>
      <c r="D936" s="261">
        <f t="shared" si="18"/>
        <v>-6.464232488822619E-3</v>
      </c>
      <c r="E936" s="259">
        <v>-5.3901243874859336E-3</v>
      </c>
    </row>
    <row r="937" spans="2:5" x14ac:dyDescent="0.3">
      <c r="B937" s="102">
        <v>44824.645833333336</v>
      </c>
      <c r="C937" s="108">
        <v>2684</v>
      </c>
      <c r="D937" s="261">
        <f t="shared" si="18"/>
        <v>2.450568745705772E-2</v>
      </c>
      <c r="E937" s="259">
        <v>-5.4128003806805016E-3</v>
      </c>
    </row>
    <row r="938" spans="2:5" x14ac:dyDescent="0.3">
      <c r="B938" s="102">
        <v>44823.645833333336</v>
      </c>
      <c r="C938" s="108">
        <v>2619.8000000000002</v>
      </c>
      <c r="D938" s="261">
        <f t="shared" si="18"/>
        <v>3.0630216708783212E-3</v>
      </c>
      <c r="E938" s="259">
        <v>-5.4169007302784693E-3</v>
      </c>
    </row>
    <row r="939" spans="2:5" x14ac:dyDescent="0.3">
      <c r="B939" s="102">
        <v>44820.645833333336</v>
      </c>
      <c r="C939" s="108">
        <v>2611.8000000000002</v>
      </c>
      <c r="D939" s="261">
        <f t="shared" si="18"/>
        <v>-1.6697099184910455E-2</v>
      </c>
      <c r="E939" s="259">
        <v>-5.4468652734548434E-3</v>
      </c>
    </row>
    <row r="940" spans="2:5" x14ac:dyDescent="0.3">
      <c r="B940" s="102">
        <v>44819.645833333336</v>
      </c>
      <c r="C940" s="108">
        <v>2656.15</v>
      </c>
      <c r="D940" s="261">
        <f t="shared" si="18"/>
        <v>-1.6459305339554108E-2</v>
      </c>
      <c r="E940" s="259">
        <v>-5.4540905679259901E-3</v>
      </c>
    </row>
    <row r="941" spans="2:5" x14ac:dyDescent="0.3">
      <c r="B941" s="102">
        <v>44818.645833333336</v>
      </c>
      <c r="C941" s="108">
        <v>2700.6</v>
      </c>
      <c r="D941" s="261">
        <f t="shared" si="18"/>
        <v>-1.8295725453236025E-3</v>
      </c>
      <c r="E941" s="259">
        <v>-5.4557714706062284E-3</v>
      </c>
    </row>
    <row r="942" spans="2:5" x14ac:dyDescent="0.3">
      <c r="B942" s="102">
        <v>44817.645833333336</v>
      </c>
      <c r="C942" s="108">
        <v>2705.55</v>
      </c>
      <c r="D942" s="261">
        <f t="shared" si="18"/>
        <v>3.921719257139579E-2</v>
      </c>
      <c r="E942" s="259">
        <v>-5.4968825550324235E-3</v>
      </c>
    </row>
    <row r="943" spans="2:5" x14ac:dyDescent="0.3">
      <c r="B943" s="102">
        <v>44813.645833333336</v>
      </c>
      <c r="C943" s="108">
        <v>2603.4499999999998</v>
      </c>
      <c r="D943" s="261">
        <f t="shared" si="18"/>
        <v>-8.8514105150949863E-3</v>
      </c>
      <c r="E943" s="259">
        <v>-5.5833220766356387E-3</v>
      </c>
    </row>
    <row r="944" spans="2:5" x14ac:dyDescent="0.3">
      <c r="B944" s="102">
        <v>44812.645833333336</v>
      </c>
      <c r="C944" s="108">
        <v>2626.7</v>
      </c>
      <c r="D944" s="261">
        <f t="shared" si="18"/>
        <v>-4.1891763813857192E-3</v>
      </c>
      <c r="E944" s="259">
        <v>-5.6030537759223734E-3</v>
      </c>
    </row>
    <row r="945" spans="2:5" x14ac:dyDescent="0.3">
      <c r="B945" s="102">
        <v>44811.645833333336</v>
      </c>
      <c r="C945" s="108">
        <v>2637.75</v>
      </c>
      <c r="D945" s="261">
        <f t="shared" si="18"/>
        <v>2.3179374156897417E-3</v>
      </c>
      <c r="E945" s="259">
        <v>-5.6170368227970325E-3</v>
      </c>
    </row>
    <row r="946" spans="2:5" x14ac:dyDescent="0.3">
      <c r="B946" s="102">
        <v>44810.645833333336</v>
      </c>
      <c r="C946" s="108">
        <v>2631.65</v>
      </c>
      <c r="D946" s="261">
        <f t="shared" si="18"/>
        <v>1.6366300645137427E-3</v>
      </c>
      <c r="E946" s="259">
        <v>-5.64159592069223E-3</v>
      </c>
    </row>
    <row r="947" spans="2:5" x14ac:dyDescent="0.3">
      <c r="B947" s="102">
        <v>44809.645833333336</v>
      </c>
      <c r="C947" s="108">
        <v>2627.35</v>
      </c>
      <c r="D947" s="261">
        <f t="shared" si="18"/>
        <v>5.6457169103574989E-3</v>
      </c>
      <c r="E947" s="259">
        <v>-5.6475321058332044E-3</v>
      </c>
    </row>
    <row r="948" spans="2:5" x14ac:dyDescent="0.3">
      <c r="B948" s="102">
        <v>44806.645833333336</v>
      </c>
      <c r="C948" s="108">
        <v>2612.6</v>
      </c>
      <c r="D948" s="261">
        <f t="shared" si="18"/>
        <v>-3.585049580472956E-3</v>
      </c>
      <c r="E948" s="259">
        <v>-5.6632032200692262E-3</v>
      </c>
    </row>
    <row r="949" spans="2:5" x14ac:dyDescent="0.3">
      <c r="B949" s="102">
        <v>44805.645833333336</v>
      </c>
      <c r="C949" s="108">
        <v>2622</v>
      </c>
      <c r="D949" s="261">
        <f t="shared" si="18"/>
        <v>6.6611636880194681E-3</v>
      </c>
      <c r="E949" s="259">
        <v>-5.6700635966591556E-3</v>
      </c>
    </row>
    <row r="950" spans="2:5" x14ac:dyDescent="0.3">
      <c r="B950" s="102">
        <v>44803.645833333336</v>
      </c>
      <c r="C950" s="108">
        <v>2604.65</v>
      </c>
      <c r="D950" s="261">
        <f t="shared" si="18"/>
        <v>2.8814630485444671E-2</v>
      </c>
      <c r="E950" s="259">
        <v>-5.6740697447885567E-3</v>
      </c>
    </row>
    <row r="951" spans="2:5" x14ac:dyDescent="0.3">
      <c r="B951" s="102">
        <v>44802.645833333336</v>
      </c>
      <c r="C951" s="108">
        <v>2531.6999999999998</v>
      </c>
      <c r="D951" s="261">
        <f t="shared" si="18"/>
        <v>-4.7376524931907018E-4</v>
      </c>
      <c r="E951" s="259">
        <v>-5.6821410307403824E-3</v>
      </c>
    </row>
    <row r="952" spans="2:5" x14ac:dyDescent="0.3">
      <c r="B952" s="102">
        <v>44799.645833333336</v>
      </c>
      <c r="C952" s="108">
        <v>2532.9</v>
      </c>
      <c r="D952" s="261">
        <f t="shared" si="18"/>
        <v>2.6941555677187975E-2</v>
      </c>
      <c r="E952" s="259">
        <v>-5.7359183205231154E-3</v>
      </c>
    </row>
    <row r="953" spans="2:5" x14ac:dyDescent="0.3">
      <c r="B953" s="102">
        <v>44798.645833333336</v>
      </c>
      <c r="C953" s="108">
        <v>2466.4499999999998</v>
      </c>
      <c r="D953" s="261">
        <f t="shared" si="18"/>
        <v>2.3367334498313489E-3</v>
      </c>
      <c r="E953" s="259">
        <v>-5.7467824004788443E-3</v>
      </c>
    </row>
    <row r="954" spans="2:5" x14ac:dyDescent="0.3">
      <c r="B954" s="102">
        <v>44797.645833333336</v>
      </c>
      <c r="C954" s="108">
        <v>2460.6999999999998</v>
      </c>
      <c r="D954" s="261">
        <f t="shared" si="18"/>
        <v>-7.8622691718409805E-3</v>
      </c>
      <c r="E954" s="259">
        <v>-5.7650783002452773E-3</v>
      </c>
    </row>
    <row r="955" spans="2:5" x14ac:dyDescent="0.3">
      <c r="B955" s="102">
        <v>44796.645833333336</v>
      </c>
      <c r="C955" s="108">
        <v>2480.1999999999998</v>
      </c>
      <c r="D955" s="261">
        <f t="shared" si="18"/>
        <v>2.5893448047650525E-2</v>
      </c>
      <c r="E955" s="259">
        <v>-5.7717170473434712E-3</v>
      </c>
    </row>
    <row r="956" spans="2:5" x14ac:dyDescent="0.3">
      <c r="B956" s="102">
        <v>44795.645833333336</v>
      </c>
      <c r="C956" s="108">
        <v>2417.6</v>
      </c>
      <c r="D956" s="261">
        <f t="shared" si="18"/>
        <v>-9.4239121527493249E-3</v>
      </c>
      <c r="E956" s="259">
        <v>-5.7718343982328642E-3</v>
      </c>
    </row>
    <row r="957" spans="2:5" x14ac:dyDescent="0.3">
      <c r="B957" s="102">
        <v>44792.645833333336</v>
      </c>
      <c r="C957" s="108">
        <v>2440.6</v>
      </c>
      <c r="D957" s="261">
        <f t="shared" si="18"/>
        <v>-1.5370960584177154E-2</v>
      </c>
      <c r="E957" s="259">
        <v>-5.7889926044927265E-3</v>
      </c>
    </row>
    <row r="958" spans="2:5" x14ac:dyDescent="0.3">
      <c r="B958" s="102">
        <v>44791.645833333336</v>
      </c>
      <c r="C958" s="108">
        <v>2478.6999999999998</v>
      </c>
      <c r="D958" s="261">
        <f t="shared" si="18"/>
        <v>-5.4169007302784693E-3</v>
      </c>
      <c r="E958" s="259">
        <v>-5.7950825381347581E-3</v>
      </c>
    </row>
    <row r="959" spans="2:5" x14ac:dyDescent="0.3">
      <c r="B959" s="102">
        <v>44790.645833333336</v>
      </c>
      <c r="C959" s="108">
        <v>2492.1999999999998</v>
      </c>
      <c r="D959" s="261">
        <f t="shared" si="18"/>
        <v>-6.6162760390564427E-4</v>
      </c>
      <c r="E959" s="259">
        <v>-5.8273125666233241E-3</v>
      </c>
    </row>
    <row r="960" spans="2:5" x14ac:dyDescent="0.3">
      <c r="B960" s="102">
        <v>44789.645833333336</v>
      </c>
      <c r="C960" s="108">
        <v>2493.85</v>
      </c>
      <c r="D960" s="261">
        <f t="shared" si="18"/>
        <v>8.8594024960052149E-3</v>
      </c>
      <c r="E960" s="259">
        <v>-5.8666206539556807E-3</v>
      </c>
    </row>
    <row r="961" spans="2:5" x14ac:dyDescent="0.3">
      <c r="B961" s="102">
        <v>44785.645833333336</v>
      </c>
      <c r="C961" s="108">
        <v>2471.9499999999998</v>
      </c>
      <c r="D961" s="261">
        <f t="shared" si="18"/>
        <v>-1.6178939066074422E-4</v>
      </c>
      <c r="E961" s="259">
        <v>-5.8717253839206188E-3</v>
      </c>
    </row>
    <row r="962" spans="2:5" x14ac:dyDescent="0.3">
      <c r="B962" s="102">
        <v>44784.645833333336</v>
      </c>
      <c r="C962" s="108">
        <v>2472.35</v>
      </c>
      <c r="D962" s="261">
        <f t="shared" si="18"/>
        <v>1.5922912557527941E-2</v>
      </c>
      <c r="E962" s="259">
        <v>-5.9252141884858197E-3</v>
      </c>
    </row>
    <row r="963" spans="2:5" x14ac:dyDescent="0.3">
      <c r="B963" s="102">
        <v>44783.645833333336</v>
      </c>
      <c r="C963" s="108">
        <v>2433.6</v>
      </c>
      <c r="D963" s="261">
        <f t="shared" ref="D963:D1026" si="19">(C963-C964)/C964</f>
        <v>-5.4557714706062284E-3</v>
      </c>
      <c r="E963" s="259">
        <v>-5.9685753453548838E-3</v>
      </c>
    </row>
    <row r="964" spans="2:5" x14ac:dyDescent="0.3">
      <c r="B964" s="102">
        <v>44781.645833333336</v>
      </c>
      <c r="C964" s="108">
        <v>2446.9499999999998</v>
      </c>
      <c r="D964" s="261">
        <f t="shared" si="19"/>
        <v>5.8163433081221778E-3</v>
      </c>
      <c r="E964" s="259">
        <v>-6.0055347921599174E-3</v>
      </c>
    </row>
    <row r="965" spans="2:5" x14ac:dyDescent="0.3">
      <c r="B965" s="102">
        <v>44778.645833333336</v>
      </c>
      <c r="C965" s="108">
        <v>2432.8000000000002</v>
      </c>
      <c r="D965" s="261">
        <f t="shared" si="19"/>
        <v>3.77529758834819E-3</v>
      </c>
      <c r="E965" s="259">
        <v>-6.0327662007374095E-3</v>
      </c>
    </row>
    <row r="966" spans="2:5" x14ac:dyDescent="0.3">
      <c r="B966" s="102">
        <v>44777.645833333336</v>
      </c>
      <c r="C966" s="108">
        <v>2423.65</v>
      </c>
      <c r="D966" s="261">
        <f t="shared" si="19"/>
        <v>3.0003310710147325E-3</v>
      </c>
      <c r="E966" s="259">
        <v>-6.0769946499184806E-3</v>
      </c>
    </row>
    <row r="967" spans="2:5" x14ac:dyDescent="0.3">
      <c r="B967" s="102">
        <v>44776.645833333336</v>
      </c>
      <c r="C967" s="108">
        <v>2416.4</v>
      </c>
      <c r="D967" s="261">
        <f t="shared" si="19"/>
        <v>1.3186859263297039E-2</v>
      </c>
      <c r="E967" s="259">
        <v>-6.080464267083867E-3</v>
      </c>
    </row>
    <row r="968" spans="2:5" x14ac:dyDescent="0.3">
      <c r="B968" s="102">
        <v>44775.645833333336</v>
      </c>
      <c r="C968" s="108">
        <v>2384.9499999999998</v>
      </c>
      <c r="D968" s="261">
        <f t="shared" si="19"/>
        <v>3.6612309310888242E-3</v>
      </c>
      <c r="E968" s="259">
        <v>-6.0843767285161847E-3</v>
      </c>
    </row>
    <row r="969" spans="2:5" x14ac:dyDescent="0.3">
      <c r="B969" s="102">
        <v>44774.645833333336</v>
      </c>
      <c r="C969" s="108">
        <v>2376.25</v>
      </c>
      <c r="D969" s="261">
        <f t="shared" si="19"/>
        <v>1.0288896919708261E-2</v>
      </c>
      <c r="E969" s="259">
        <v>-6.096582704957533E-3</v>
      </c>
    </row>
    <row r="970" spans="2:5" x14ac:dyDescent="0.3">
      <c r="B970" s="102">
        <v>44771.645833333336</v>
      </c>
      <c r="C970" s="108">
        <v>2352.0500000000002</v>
      </c>
      <c r="D970" s="261">
        <f t="shared" si="19"/>
        <v>7.4529372711113397E-3</v>
      </c>
      <c r="E970" s="259">
        <v>-6.140955004591264E-3</v>
      </c>
    </row>
    <row r="971" spans="2:5" x14ac:dyDescent="0.3">
      <c r="B971" s="102">
        <v>44770.645833333336</v>
      </c>
      <c r="C971" s="108">
        <v>2334.65</v>
      </c>
      <c r="D971" s="261">
        <f t="shared" si="19"/>
        <v>1.350090078357314E-2</v>
      </c>
      <c r="E971" s="259">
        <v>-6.1643296045376123E-3</v>
      </c>
    </row>
    <row r="972" spans="2:5" x14ac:dyDescent="0.3">
      <c r="B972" s="102">
        <v>44769.645833333336</v>
      </c>
      <c r="C972" s="108">
        <v>2303.5500000000002</v>
      </c>
      <c r="D972" s="261">
        <f t="shared" si="19"/>
        <v>4.5133437990582436E-3</v>
      </c>
      <c r="E972" s="259">
        <v>-6.1663931572927995E-3</v>
      </c>
    </row>
    <row r="973" spans="2:5" x14ac:dyDescent="0.3">
      <c r="B973" s="102">
        <v>44768.645833333336</v>
      </c>
      <c r="C973" s="108">
        <v>2293.1999999999998</v>
      </c>
      <c r="D973" s="261">
        <f t="shared" si="19"/>
        <v>-1.530798462760594E-2</v>
      </c>
      <c r="E973" s="259">
        <v>-6.1874790963543768E-3</v>
      </c>
    </row>
    <row r="974" spans="2:5" x14ac:dyDescent="0.3">
      <c r="B974" s="102">
        <v>44767.645833333336</v>
      </c>
      <c r="C974" s="108">
        <v>2328.85</v>
      </c>
      <c r="D974" s="261">
        <f t="shared" si="19"/>
        <v>1.6559139784945846E-3</v>
      </c>
      <c r="E974" s="259">
        <v>-6.1889250814332244E-3</v>
      </c>
    </row>
    <row r="975" spans="2:5" x14ac:dyDescent="0.3">
      <c r="B975" s="102">
        <v>44764.645833333336</v>
      </c>
      <c r="C975" s="108">
        <v>2325</v>
      </c>
      <c r="D975" s="261">
        <f t="shared" si="19"/>
        <v>1.5904920038451495E-2</v>
      </c>
      <c r="E975" s="259">
        <v>-6.1990586614624928E-3</v>
      </c>
    </row>
    <row r="976" spans="2:5" x14ac:dyDescent="0.3">
      <c r="B976" s="102">
        <v>44763.645833333336</v>
      </c>
      <c r="C976" s="108">
        <v>2288.6</v>
      </c>
      <c r="D976" s="261">
        <f t="shared" si="19"/>
        <v>7.6611482916520311E-3</v>
      </c>
      <c r="E976" s="259">
        <v>-6.2123583250343391E-3</v>
      </c>
    </row>
    <row r="977" spans="2:5" x14ac:dyDescent="0.3">
      <c r="B977" s="102">
        <v>44762.645833333336</v>
      </c>
      <c r="C977" s="108">
        <v>2271.1999999999998</v>
      </c>
      <c r="D977" s="261">
        <f t="shared" si="19"/>
        <v>1.3385686239514546E-2</v>
      </c>
      <c r="E977" s="259">
        <v>-6.2539178098167027E-3</v>
      </c>
    </row>
    <row r="978" spans="2:5" x14ac:dyDescent="0.3">
      <c r="B978" s="102">
        <v>44761.645833333336</v>
      </c>
      <c r="C978" s="108">
        <v>2241.1999999999998</v>
      </c>
      <c r="D978" s="261">
        <f t="shared" si="19"/>
        <v>1.6760151064828266E-3</v>
      </c>
      <c r="E978" s="259">
        <v>-6.2586105097421525E-3</v>
      </c>
    </row>
    <row r="979" spans="2:5" x14ac:dyDescent="0.3">
      <c r="B979" s="102">
        <v>44760.645833333336</v>
      </c>
      <c r="C979" s="108">
        <v>2237.4499999999998</v>
      </c>
      <c r="D979" s="261">
        <f t="shared" si="19"/>
        <v>2.1806640179019957E-2</v>
      </c>
      <c r="E979" s="259">
        <v>-6.27420604182797E-3</v>
      </c>
    </row>
    <row r="980" spans="2:5" x14ac:dyDescent="0.3">
      <c r="B980" s="102">
        <v>44757.645833333336</v>
      </c>
      <c r="C980" s="108">
        <v>2189.6999999999998</v>
      </c>
      <c r="D980" s="261">
        <f t="shared" si="19"/>
        <v>2.9260382147641546E-2</v>
      </c>
      <c r="E980" s="259">
        <v>-6.3244545576228387E-3</v>
      </c>
    </row>
    <row r="981" spans="2:5" x14ac:dyDescent="0.3">
      <c r="B981" s="102">
        <v>44756.645833333336</v>
      </c>
      <c r="C981" s="108">
        <v>2127.4499999999998</v>
      </c>
      <c r="D981" s="261">
        <f t="shared" si="19"/>
        <v>7.6015913611820248E-3</v>
      </c>
      <c r="E981" s="259">
        <v>-6.34249471458767E-3</v>
      </c>
    </row>
    <row r="982" spans="2:5" x14ac:dyDescent="0.3">
      <c r="B982" s="102">
        <v>44755.645833333336</v>
      </c>
      <c r="C982" s="108">
        <v>2111.4</v>
      </c>
      <c r="D982" s="261">
        <f t="shared" si="19"/>
        <v>-8.7323943661971395E-3</v>
      </c>
      <c r="E982" s="259">
        <v>-6.3442749089009636E-3</v>
      </c>
    </row>
    <row r="983" spans="2:5" x14ac:dyDescent="0.3">
      <c r="B983" s="102">
        <v>44754.645833333336</v>
      </c>
      <c r="C983" s="108">
        <v>2130</v>
      </c>
      <c r="D983" s="261">
        <f t="shared" si="19"/>
        <v>-1.5529672767609498E-2</v>
      </c>
      <c r="E983" s="259">
        <v>-6.3996696944673822E-3</v>
      </c>
    </row>
    <row r="984" spans="2:5" x14ac:dyDescent="0.3">
      <c r="B984" s="102">
        <v>44753.645833333336</v>
      </c>
      <c r="C984" s="108">
        <v>2163.6</v>
      </c>
      <c r="D984" s="261">
        <f t="shared" si="19"/>
        <v>8.9770793014200111E-3</v>
      </c>
      <c r="E984" s="259">
        <v>-6.419163007836356E-3</v>
      </c>
    </row>
    <row r="985" spans="2:5" x14ac:dyDescent="0.3">
      <c r="B985" s="102">
        <v>44750.645833333336</v>
      </c>
      <c r="C985" s="108">
        <v>2144.35</v>
      </c>
      <c r="D985" s="261">
        <f t="shared" si="19"/>
        <v>7.920094007050486E-3</v>
      </c>
      <c r="E985" s="259">
        <v>-6.4348362642690556E-3</v>
      </c>
    </row>
    <row r="986" spans="2:5" x14ac:dyDescent="0.3">
      <c r="B986" s="102">
        <v>44749.645833333336</v>
      </c>
      <c r="C986" s="108">
        <v>2127.5</v>
      </c>
      <c r="D986" s="261">
        <f t="shared" si="19"/>
        <v>5.6591591964440933E-2</v>
      </c>
      <c r="E986" s="259">
        <v>-6.440749315933564E-3</v>
      </c>
    </row>
    <row r="987" spans="2:5" x14ac:dyDescent="0.3">
      <c r="B987" s="102">
        <v>44748.645833333336</v>
      </c>
      <c r="C987" s="108">
        <v>2013.55</v>
      </c>
      <c r="D987" s="261">
        <f t="shared" si="19"/>
        <v>3.0344121785851327E-2</v>
      </c>
      <c r="E987" s="259">
        <v>-6.464232488822619E-3</v>
      </c>
    </row>
    <row r="988" spans="2:5" x14ac:dyDescent="0.3">
      <c r="B988" s="102">
        <v>44747.645833333336</v>
      </c>
      <c r="C988" s="108">
        <v>1954.25</v>
      </c>
      <c r="D988" s="261">
        <f t="shared" si="19"/>
        <v>-4.2038216560509557E-3</v>
      </c>
      <c r="E988" s="259">
        <v>-6.5013170115257269E-3</v>
      </c>
    </row>
    <row r="989" spans="2:5" x14ac:dyDescent="0.3">
      <c r="B989" s="102">
        <v>44746.645833333336</v>
      </c>
      <c r="C989" s="108">
        <v>1962.5</v>
      </c>
      <c r="D989" s="261">
        <f t="shared" si="19"/>
        <v>8.3752954475387695E-3</v>
      </c>
      <c r="E989" s="259">
        <v>-6.5107406485859966E-3</v>
      </c>
    </row>
    <row r="990" spans="2:5" x14ac:dyDescent="0.3">
      <c r="B990" s="102">
        <v>44743.645833333336</v>
      </c>
      <c r="C990" s="108">
        <v>1946.2</v>
      </c>
      <c r="D990" s="261">
        <f t="shared" si="19"/>
        <v>2.5499034127495403E-3</v>
      </c>
      <c r="E990" s="259">
        <v>-6.5713626931057549E-3</v>
      </c>
    </row>
    <row r="991" spans="2:5" x14ac:dyDescent="0.3">
      <c r="B991" s="102">
        <v>44742.645833333336</v>
      </c>
      <c r="C991" s="108">
        <v>1941.25</v>
      </c>
      <c r="D991" s="261">
        <f t="shared" si="19"/>
        <v>2.6340934328434825E-3</v>
      </c>
      <c r="E991" s="259">
        <v>-6.6206507958868543E-3</v>
      </c>
    </row>
    <row r="992" spans="2:5" x14ac:dyDescent="0.3">
      <c r="B992" s="102">
        <v>44741.645833333336</v>
      </c>
      <c r="C992" s="108">
        <v>1936.15</v>
      </c>
      <c r="D992" s="261">
        <f t="shared" si="19"/>
        <v>-1.6208937781052243E-2</v>
      </c>
      <c r="E992" s="259">
        <v>-6.6718995290422677E-3</v>
      </c>
    </row>
    <row r="993" spans="2:5" x14ac:dyDescent="0.3">
      <c r="B993" s="102">
        <v>44740.645833333336</v>
      </c>
      <c r="C993" s="108">
        <v>1968.05</v>
      </c>
      <c r="D993" s="261">
        <f t="shared" si="19"/>
        <v>-3.5411459099152089E-2</v>
      </c>
      <c r="E993" s="259">
        <v>-6.6877859908482931E-3</v>
      </c>
    </row>
    <row r="994" spans="2:5" x14ac:dyDescent="0.3">
      <c r="B994" s="102">
        <v>44739.645833333336</v>
      </c>
      <c r="C994" s="108">
        <v>2040.3</v>
      </c>
      <c r="D994" s="261">
        <f t="shared" si="19"/>
        <v>-2.590926867422739E-3</v>
      </c>
      <c r="E994" s="259">
        <v>-6.7734360888674809E-3</v>
      </c>
    </row>
    <row r="995" spans="2:5" x14ac:dyDescent="0.3">
      <c r="B995" s="102">
        <v>44736.645833333336</v>
      </c>
      <c r="C995" s="108">
        <v>2045.6</v>
      </c>
      <c r="D995" s="261">
        <f t="shared" si="19"/>
        <v>2.0574115802879482E-3</v>
      </c>
      <c r="E995" s="259">
        <v>-6.8174314955431132E-3</v>
      </c>
    </row>
    <row r="996" spans="2:5" x14ac:dyDescent="0.3">
      <c r="B996" s="102">
        <v>44735.645833333336</v>
      </c>
      <c r="C996" s="108">
        <v>2041.4</v>
      </c>
      <c r="D996" s="261">
        <f t="shared" si="19"/>
        <v>5.0216620716817869E-3</v>
      </c>
      <c r="E996" s="259">
        <v>-6.8226419722801426E-3</v>
      </c>
    </row>
    <row r="997" spans="2:5" x14ac:dyDescent="0.3">
      <c r="B997" s="102">
        <v>44734.645833333336</v>
      </c>
      <c r="C997" s="108">
        <v>2031.2</v>
      </c>
      <c r="D997" s="261">
        <f t="shared" si="19"/>
        <v>-2.2568692555699852E-2</v>
      </c>
      <c r="E997" s="259">
        <v>-6.9181646168401398E-3</v>
      </c>
    </row>
    <row r="998" spans="2:5" x14ac:dyDescent="0.3">
      <c r="B998" s="102">
        <v>44733.645833333336</v>
      </c>
      <c r="C998" s="108">
        <v>2078.1</v>
      </c>
      <c r="D998" s="261">
        <f t="shared" si="19"/>
        <v>5.9336289952592068E-2</v>
      </c>
      <c r="E998" s="259">
        <v>-6.9341580532270471E-3</v>
      </c>
    </row>
    <row r="999" spans="2:5" x14ac:dyDescent="0.3">
      <c r="B999" s="102">
        <v>44732.645833333336</v>
      </c>
      <c r="C999" s="108">
        <v>1961.7</v>
      </c>
      <c r="D999" s="261">
        <f t="shared" si="19"/>
        <v>1.303932453716853E-2</v>
      </c>
      <c r="E999" s="259">
        <v>-6.9897862425834381E-3</v>
      </c>
    </row>
    <row r="1000" spans="2:5" x14ac:dyDescent="0.3">
      <c r="B1000" s="102">
        <v>44729.645833333336</v>
      </c>
      <c r="C1000" s="108">
        <v>1936.45</v>
      </c>
      <c r="D1000" s="261">
        <f t="shared" si="19"/>
        <v>-6.0409034668478023E-2</v>
      </c>
      <c r="E1000" s="259">
        <v>-6.9949561985664741E-3</v>
      </c>
    </row>
    <row r="1001" spans="2:5" x14ac:dyDescent="0.3">
      <c r="B1001" s="102">
        <v>44728.645833333336</v>
      </c>
      <c r="C1001" s="108">
        <v>2060.9499999999998</v>
      </c>
      <c r="D1001" s="261">
        <f t="shared" si="19"/>
        <v>-2.094962114914152E-2</v>
      </c>
      <c r="E1001" s="259">
        <v>-7.0566906073496081E-3</v>
      </c>
    </row>
    <row r="1002" spans="2:5" x14ac:dyDescent="0.3">
      <c r="B1002" s="102">
        <v>44727.645833333336</v>
      </c>
      <c r="C1002" s="108">
        <v>2105.0500000000002</v>
      </c>
      <c r="D1002" s="261">
        <f t="shared" si="19"/>
        <v>1.4509990485253007E-3</v>
      </c>
      <c r="E1002" s="259">
        <v>-7.0969857096021792E-3</v>
      </c>
    </row>
    <row r="1003" spans="2:5" x14ac:dyDescent="0.3">
      <c r="B1003" s="102">
        <v>44726.645833333336</v>
      </c>
      <c r="C1003" s="108">
        <v>2102</v>
      </c>
      <c r="D1003" s="261">
        <f t="shared" si="19"/>
        <v>-1.9025875190263077E-4</v>
      </c>
      <c r="E1003" s="259">
        <v>-7.1575598802393935E-3</v>
      </c>
    </row>
    <row r="1004" spans="2:5" x14ac:dyDescent="0.3">
      <c r="B1004" s="102">
        <v>44725.645833333336</v>
      </c>
      <c r="C1004" s="108">
        <v>2102.4</v>
      </c>
      <c r="D1004" s="261">
        <f t="shared" si="19"/>
        <v>-1.8601937215544363E-2</v>
      </c>
      <c r="E1004" s="259">
        <v>-7.2167249460605614E-3</v>
      </c>
    </row>
    <row r="1005" spans="2:5" x14ac:dyDescent="0.3">
      <c r="B1005" s="102">
        <v>44722.645833333336</v>
      </c>
      <c r="C1005" s="108">
        <v>2142.25</v>
      </c>
      <c r="D1005" s="261">
        <f t="shared" si="19"/>
        <v>1.1917558536244249E-3</v>
      </c>
      <c r="E1005" s="259">
        <v>-7.2199886332540856E-3</v>
      </c>
    </row>
    <row r="1006" spans="2:5" x14ac:dyDescent="0.3">
      <c r="B1006" s="102">
        <v>44721.645833333336</v>
      </c>
      <c r="C1006" s="108">
        <v>2139.6999999999998</v>
      </c>
      <c r="D1006" s="261">
        <f t="shared" si="19"/>
        <v>5.0966484252060549E-3</v>
      </c>
      <c r="E1006" s="259">
        <v>-7.2281583909490884E-3</v>
      </c>
    </row>
    <row r="1007" spans="2:5" x14ac:dyDescent="0.3">
      <c r="B1007" s="102">
        <v>44720.645833333336</v>
      </c>
      <c r="C1007" s="108">
        <v>2128.85</v>
      </c>
      <c r="D1007" s="261">
        <f t="shared" si="19"/>
        <v>1.3352056359481971E-2</v>
      </c>
      <c r="E1007" s="259">
        <v>-7.2327404231645248E-3</v>
      </c>
    </row>
    <row r="1008" spans="2:5" x14ac:dyDescent="0.3">
      <c r="B1008" s="102">
        <v>44719.645833333336</v>
      </c>
      <c r="C1008" s="108">
        <v>2100.8000000000002</v>
      </c>
      <c r="D1008" s="261">
        <f t="shared" si="19"/>
        <v>-4.4461122103204381E-2</v>
      </c>
      <c r="E1008" s="259">
        <v>-7.3035759431444702E-3</v>
      </c>
    </row>
    <row r="1009" spans="2:5" x14ac:dyDescent="0.3">
      <c r="B1009" s="102">
        <v>44718.645833333336</v>
      </c>
      <c r="C1009" s="108">
        <v>2198.5500000000002</v>
      </c>
      <c r="D1009" s="261">
        <f t="shared" si="19"/>
        <v>-2.6537833424060556E-3</v>
      </c>
      <c r="E1009" s="259">
        <v>-7.3465221537262872E-3</v>
      </c>
    </row>
    <row r="1010" spans="2:5" x14ac:dyDescent="0.3">
      <c r="B1010" s="102">
        <v>44715.645833333336</v>
      </c>
      <c r="C1010" s="108">
        <v>2204.4</v>
      </c>
      <c r="D1010" s="261">
        <f t="shared" si="19"/>
        <v>-7.4517661361128027E-3</v>
      </c>
      <c r="E1010" s="259">
        <v>-7.3568938242024361E-3</v>
      </c>
    </row>
    <row r="1011" spans="2:5" x14ac:dyDescent="0.3">
      <c r="B1011" s="102">
        <v>44714.645833333336</v>
      </c>
      <c r="C1011" s="108">
        <v>2220.9499999999998</v>
      </c>
      <c r="D1011" s="261">
        <f t="shared" si="19"/>
        <v>1.0625227520931885E-2</v>
      </c>
      <c r="E1011" s="259">
        <v>-7.3786838023488103E-3</v>
      </c>
    </row>
    <row r="1012" spans="2:5" x14ac:dyDescent="0.3">
      <c r="B1012" s="102">
        <v>44713.645833333336</v>
      </c>
      <c r="C1012" s="108">
        <v>2197.6</v>
      </c>
      <c r="D1012" s="261">
        <f t="shared" si="19"/>
        <v>-8.3032490974729659E-3</v>
      </c>
      <c r="E1012" s="259">
        <v>-7.3958894005542652E-3</v>
      </c>
    </row>
    <row r="1013" spans="2:5" x14ac:dyDescent="0.3">
      <c r="B1013" s="102">
        <v>44712.645833333336</v>
      </c>
      <c r="C1013" s="108">
        <v>2216</v>
      </c>
      <c r="D1013" s="261">
        <f t="shared" si="19"/>
        <v>-1.7686954208963202E-2</v>
      </c>
      <c r="E1013" s="259">
        <v>-7.4214229292576071E-3</v>
      </c>
    </row>
    <row r="1014" spans="2:5" x14ac:dyDescent="0.3">
      <c r="B1014" s="102">
        <v>44711.645833333336</v>
      </c>
      <c r="C1014" s="108">
        <v>2255.9</v>
      </c>
      <c r="D1014" s="261">
        <f t="shared" si="19"/>
        <v>4.9646380048390233E-2</v>
      </c>
      <c r="E1014" s="259">
        <v>-7.4517661361128027E-3</v>
      </c>
    </row>
    <row r="1015" spans="2:5" x14ac:dyDescent="0.3">
      <c r="B1015" s="102">
        <v>44708.645833333336</v>
      </c>
      <c r="C1015" s="108">
        <v>2149.1999999999998</v>
      </c>
      <c r="D1015" s="261">
        <f t="shared" si="19"/>
        <v>3.384766217698826E-3</v>
      </c>
      <c r="E1015" s="259">
        <v>-7.4729596853491259E-3</v>
      </c>
    </row>
    <row r="1016" spans="2:5" x14ac:dyDescent="0.3">
      <c r="B1016" s="102">
        <v>44707.645833333336</v>
      </c>
      <c r="C1016" s="108">
        <v>2141.9499999999998</v>
      </c>
      <c r="D1016" s="261">
        <f t="shared" si="19"/>
        <v>1.3509037569792621E-2</v>
      </c>
      <c r="E1016" s="259">
        <v>-7.481329720441526E-3</v>
      </c>
    </row>
    <row r="1017" spans="2:5" x14ac:dyDescent="0.3">
      <c r="B1017" s="102">
        <v>44706.645833333336</v>
      </c>
      <c r="C1017" s="108">
        <v>2113.4</v>
      </c>
      <c r="D1017" s="261">
        <f t="shared" si="19"/>
        <v>-1.2545263403807924E-2</v>
      </c>
      <c r="E1017" s="259">
        <v>-7.5165363800360789E-3</v>
      </c>
    </row>
    <row r="1018" spans="2:5" x14ac:dyDescent="0.3">
      <c r="B1018" s="102">
        <v>44705.645833333336</v>
      </c>
      <c r="C1018" s="108">
        <v>2140.25</v>
      </c>
      <c r="D1018" s="261">
        <f t="shared" si="19"/>
        <v>-5.1364291358714179E-3</v>
      </c>
      <c r="E1018" s="259">
        <v>-7.5599648373728262E-3</v>
      </c>
    </row>
    <row r="1019" spans="2:5" x14ac:dyDescent="0.3">
      <c r="B1019" s="102">
        <v>44704.645833333336</v>
      </c>
      <c r="C1019" s="108">
        <v>2151.3000000000002</v>
      </c>
      <c r="D1019" s="261">
        <f t="shared" si="19"/>
        <v>6.6680704709763455E-3</v>
      </c>
      <c r="E1019" s="259">
        <v>-7.5730256040390659E-3</v>
      </c>
    </row>
    <row r="1020" spans="2:5" x14ac:dyDescent="0.3">
      <c r="B1020" s="102">
        <v>44701.645833333336</v>
      </c>
      <c r="C1020" s="108">
        <v>2137.0500000000002</v>
      </c>
      <c r="D1020" s="261">
        <f t="shared" si="19"/>
        <v>1.1884751059447604E-2</v>
      </c>
      <c r="E1020" s="259">
        <v>-7.6248790561324218E-3</v>
      </c>
    </row>
    <row r="1021" spans="2:5" x14ac:dyDescent="0.3">
      <c r="B1021" s="102">
        <v>44700.645833333336</v>
      </c>
      <c r="C1021" s="108">
        <v>2111.9499999999998</v>
      </c>
      <c r="D1021" s="261">
        <f t="shared" si="19"/>
        <v>-2.5291334948655906E-2</v>
      </c>
      <c r="E1021" s="259">
        <v>-7.6271186440678212E-3</v>
      </c>
    </row>
    <row r="1022" spans="2:5" x14ac:dyDescent="0.3">
      <c r="B1022" s="102">
        <v>44699.645833333336</v>
      </c>
      <c r="C1022" s="108">
        <v>2166.75</v>
      </c>
      <c r="D1022" s="261">
        <f t="shared" si="19"/>
        <v>-4.4110552071127849E-3</v>
      </c>
      <c r="E1022" s="259">
        <v>-7.6584191383637203E-3</v>
      </c>
    </row>
    <row r="1023" spans="2:5" x14ac:dyDescent="0.3">
      <c r="B1023" s="102">
        <v>44698.645833333336</v>
      </c>
      <c r="C1023" s="108">
        <v>2176.35</v>
      </c>
      <c r="D1023" s="261">
        <f t="shared" si="19"/>
        <v>3.1641069397042094E-2</v>
      </c>
      <c r="E1023" s="259">
        <v>-7.661121207884829E-3</v>
      </c>
    </row>
    <row r="1024" spans="2:5" x14ac:dyDescent="0.3">
      <c r="B1024" s="102">
        <v>44697.645833333336</v>
      </c>
      <c r="C1024" s="108">
        <v>2109.6</v>
      </c>
      <c r="D1024" s="261">
        <f t="shared" si="19"/>
        <v>8.5576325476885273E-3</v>
      </c>
      <c r="E1024" s="259">
        <v>-7.6996560947650327E-3</v>
      </c>
    </row>
    <row r="1025" spans="2:5" x14ac:dyDescent="0.3">
      <c r="B1025" s="102">
        <v>44694.645833333336</v>
      </c>
      <c r="C1025" s="108">
        <v>2091.6999999999998</v>
      </c>
      <c r="D1025" s="261">
        <f t="shared" si="19"/>
        <v>2.1063679187717961E-2</v>
      </c>
      <c r="E1025" s="259">
        <v>-7.7137521314315106E-3</v>
      </c>
    </row>
    <row r="1026" spans="2:5" x14ac:dyDescent="0.3">
      <c r="B1026" s="102">
        <v>44693.645833333336</v>
      </c>
      <c r="C1026" s="108">
        <v>2048.5500000000002</v>
      </c>
      <c r="D1026" s="261">
        <f t="shared" si="19"/>
        <v>-3.1281032770605594E-2</v>
      </c>
      <c r="E1026" s="259">
        <v>-7.7206343892538059E-3</v>
      </c>
    </row>
    <row r="1027" spans="2:5" x14ac:dyDescent="0.3">
      <c r="B1027" s="102">
        <v>44692.645833333336</v>
      </c>
      <c r="C1027" s="108">
        <v>2114.6999999999998</v>
      </c>
      <c r="D1027" s="261">
        <f t="shared" ref="D1027:D1090" si="20">(C1027-C1028)/C1028</f>
        <v>-1.0597234893676793E-2</v>
      </c>
      <c r="E1027" s="259">
        <v>-7.7679880306487387E-3</v>
      </c>
    </row>
    <row r="1028" spans="2:5" x14ac:dyDescent="0.3">
      <c r="B1028" s="102">
        <v>44691.645833333336</v>
      </c>
      <c r="C1028" s="108">
        <v>2137.35</v>
      </c>
      <c r="D1028" s="261">
        <f t="shared" si="20"/>
        <v>-2.1001282521069951E-2</v>
      </c>
      <c r="E1028" s="259">
        <v>-7.7793253388591353E-3</v>
      </c>
    </row>
    <row r="1029" spans="2:5" x14ac:dyDescent="0.3">
      <c r="B1029" s="102">
        <v>44690.645833333336</v>
      </c>
      <c r="C1029" s="108">
        <v>2183.1999999999998</v>
      </c>
      <c r="D1029" s="261">
        <f t="shared" si="20"/>
        <v>-1.156762874929267E-2</v>
      </c>
      <c r="E1029" s="259">
        <v>-7.8055477867330653E-3</v>
      </c>
    </row>
    <row r="1030" spans="2:5" x14ac:dyDescent="0.3">
      <c r="B1030" s="102">
        <v>44687.645833333336</v>
      </c>
      <c r="C1030" s="108">
        <v>2208.75</v>
      </c>
      <c r="D1030" s="261">
        <f t="shared" si="20"/>
        <v>-2.3541114058355437E-2</v>
      </c>
      <c r="E1030" s="259">
        <v>-7.8622691718409805E-3</v>
      </c>
    </row>
    <row r="1031" spans="2:5" x14ac:dyDescent="0.3">
      <c r="B1031" s="102">
        <v>44686.645833333336</v>
      </c>
      <c r="C1031" s="108">
        <v>2262</v>
      </c>
      <c r="D1031" s="261">
        <f t="shared" si="20"/>
        <v>-1.2205506670451241E-2</v>
      </c>
      <c r="E1031" s="259">
        <v>-7.8700629928910928E-3</v>
      </c>
    </row>
    <row r="1032" spans="2:5" x14ac:dyDescent="0.3">
      <c r="B1032" s="102">
        <v>44685.645833333336</v>
      </c>
      <c r="C1032" s="108">
        <v>2289.9499999999998</v>
      </c>
      <c r="D1032" s="261">
        <f t="shared" si="20"/>
        <v>-4.0476838951624877E-2</v>
      </c>
      <c r="E1032" s="259">
        <v>-7.8748092482220228E-3</v>
      </c>
    </row>
    <row r="1033" spans="2:5" x14ac:dyDescent="0.3">
      <c r="B1033" s="102">
        <v>44683.645833333336</v>
      </c>
      <c r="C1033" s="108">
        <v>2386.5500000000002</v>
      </c>
      <c r="D1033" s="261">
        <f t="shared" si="20"/>
        <v>-2.9147343584736654E-2</v>
      </c>
      <c r="E1033" s="259">
        <v>-7.8826694963427934E-3</v>
      </c>
    </row>
    <row r="1034" spans="2:5" x14ac:dyDescent="0.3">
      <c r="B1034" s="102">
        <v>44680.645833333336</v>
      </c>
      <c r="C1034" s="108">
        <v>2458.1999999999998</v>
      </c>
      <c r="D1034" s="261">
        <f t="shared" si="20"/>
        <v>-2.1884450103453766E-2</v>
      </c>
      <c r="E1034" s="259">
        <v>-7.9018338727077087E-3</v>
      </c>
    </row>
    <row r="1035" spans="2:5" x14ac:dyDescent="0.3">
      <c r="B1035" s="102">
        <v>44679.645833333336</v>
      </c>
      <c r="C1035" s="108">
        <v>2513.1999999999998</v>
      </c>
      <c r="D1035" s="261">
        <f t="shared" si="20"/>
        <v>8.3655987321202517E-3</v>
      </c>
      <c r="E1035" s="259">
        <v>-8.0081276519452221E-3</v>
      </c>
    </row>
    <row r="1036" spans="2:5" x14ac:dyDescent="0.3">
      <c r="B1036" s="102">
        <v>44678.645833333336</v>
      </c>
      <c r="C1036" s="108">
        <v>2492.35</v>
      </c>
      <c r="D1036" s="261">
        <f t="shared" si="20"/>
        <v>-2.1917431912722673E-2</v>
      </c>
      <c r="E1036" s="259">
        <v>-8.0291303552929381E-3</v>
      </c>
    </row>
    <row r="1037" spans="2:5" x14ac:dyDescent="0.3">
      <c r="B1037" s="102">
        <v>44677.645833333336</v>
      </c>
      <c r="C1037" s="108">
        <v>2548.1999999999998</v>
      </c>
      <c r="D1037" s="261">
        <f t="shared" si="20"/>
        <v>3.8428623823301568E-2</v>
      </c>
      <c r="E1037" s="259">
        <v>-8.0614760040597887E-3</v>
      </c>
    </row>
    <row r="1038" spans="2:5" x14ac:dyDescent="0.3">
      <c r="B1038" s="102">
        <v>44676.645833333336</v>
      </c>
      <c r="C1038" s="108">
        <v>2453.9</v>
      </c>
      <c r="D1038" s="261">
        <f t="shared" si="20"/>
        <v>-2.3401122298722384E-2</v>
      </c>
      <c r="E1038" s="259">
        <v>-8.0792285639823044E-3</v>
      </c>
    </row>
    <row r="1039" spans="2:5" x14ac:dyDescent="0.3">
      <c r="B1039" s="102">
        <v>44673.645833333336</v>
      </c>
      <c r="C1039" s="108">
        <v>2512.6999999999998</v>
      </c>
      <c r="D1039" s="261">
        <f t="shared" si="20"/>
        <v>-3.2923443078144315E-3</v>
      </c>
      <c r="E1039" s="259">
        <v>-8.1097824250501837E-3</v>
      </c>
    </row>
    <row r="1040" spans="2:5" x14ac:dyDescent="0.3">
      <c r="B1040" s="102">
        <v>44672.645833333336</v>
      </c>
      <c r="C1040" s="108">
        <v>2521</v>
      </c>
      <c r="D1040" s="261">
        <f t="shared" si="20"/>
        <v>1.542675313167124E-2</v>
      </c>
      <c r="E1040" s="259">
        <v>-8.2225119513255427E-3</v>
      </c>
    </row>
    <row r="1041" spans="2:5" x14ac:dyDescent="0.3">
      <c r="B1041" s="102">
        <v>44671.645833333336</v>
      </c>
      <c r="C1041" s="108">
        <v>2482.6999999999998</v>
      </c>
      <c r="D1041" s="261">
        <f t="shared" si="20"/>
        <v>1.2272690206311632E-2</v>
      </c>
      <c r="E1041" s="259">
        <v>-8.2322944638836652E-3</v>
      </c>
    </row>
    <row r="1042" spans="2:5" x14ac:dyDescent="0.3">
      <c r="B1042" s="102">
        <v>44670.645833333336</v>
      </c>
      <c r="C1042" s="108">
        <v>2452.6</v>
      </c>
      <c r="D1042" s="261">
        <f t="shared" si="20"/>
        <v>-1.6382923258938382E-2</v>
      </c>
      <c r="E1042" s="259">
        <v>-8.2447783070721866E-3</v>
      </c>
    </row>
    <row r="1043" spans="2:5" x14ac:dyDescent="0.3">
      <c r="B1043" s="102">
        <v>44669.645833333336</v>
      </c>
      <c r="C1043" s="108">
        <v>2493.4499999999998</v>
      </c>
      <c r="D1043" s="261">
        <f t="shared" si="20"/>
        <v>1.3041623499299129E-2</v>
      </c>
      <c r="E1043" s="259">
        <v>-8.2491637166704854E-3</v>
      </c>
    </row>
    <row r="1044" spans="2:5" x14ac:dyDescent="0.3">
      <c r="B1044" s="102">
        <v>44664.645833333336</v>
      </c>
      <c r="C1044" s="108">
        <v>2461.35</v>
      </c>
      <c r="D1044" s="261">
        <f t="shared" si="20"/>
        <v>-1.0790933204726273E-2</v>
      </c>
      <c r="E1044" s="259">
        <v>-8.2962516026849689E-3</v>
      </c>
    </row>
    <row r="1045" spans="2:5" x14ac:dyDescent="0.3">
      <c r="B1045" s="102">
        <v>44663.645833333336</v>
      </c>
      <c r="C1045" s="108">
        <v>2488.1999999999998</v>
      </c>
      <c r="D1045" s="261">
        <f t="shared" si="20"/>
        <v>-6.6269052352555013E-4</v>
      </c>
      <c r="E1045" s="259">
        <v>-8.2981715893108293E-3</v>
      </c>
    </row>
    <row r="1046" spans="2:5" x14ac:dyDescent="0.3">
      <c r="B1046" s="102">
        <v>44662.645833333336</v>
      </c>
      <c r="C1046" s="108">
        <v>2489.85</v>
      </c>
      <c r="D1046" s="261">
        <f t="shared" si="20"/>
        <v>-8.0081276519452221E-3</v>
      </c>
      <c r="E1046" s="259">
        <v>-8.3032490974729659E-3</v>
      </c>
    </row>
    <row r="1047" spans="2:5" x14ac:dyDescent="0.3">
      <c r="B1047" s="102">
        <v>44659.645833333336</v>
      </c>
      <c r="C1047" s="108">
        <v>2509.9499999999998</v>
      </c>
      <c r="D1047" s="261">
        <f t="shared" si="20"/>
        <v>2.0989688205503655E-2</v>
      </c>
      <c r="E1047" s="259">
        <v>-8.3267364470635472E-3</v>
      </c>
    </row>
    <row r="1048" spans="2:5" x14ac:dyDescent="0.3">
      <c r="B1048" s="102">
        <v>44658.645833333336</v>
      </c>
      <c r="C1048" s="108">
        <v>2458.35</v>
      </c>
      <c r="D1048" s="261">
        <f t="shared" si="20"/>
        <v>-3.2164721166906267E-2</v>
      </c>
      <c r="E1048" s="259">
        <v>-8.3441187666540052E-3</v>
      </c>
    </row>
    <row r="1049" spans="2:5" x14ac:dyDescent="0.3">
      <c r="B1049" s="102">
        <v>44657.645833333336</v>
      </c>
      <c r="C1049" s="108">
        <v>2540.0500000000002</v>
      </c>
      <c r="D1049" s="261">
        <f t="shared" si="20"/>
        <v>-3.5893613682722566E-3</v>
      </c>
      <c r="E1049" s="259">
        <v>-8.3863238411206343E-3</v>
      </c>
    </row>
    <row r="1050" spans="2:5" x14ac:dyDescent="0.3">
      <c r="B1050" s="102">
        <v>44656.645833333336</v>
      </c>
      <c r="C1050" s="108">
        <v>2549.1999999999998</v>
      </c>
      <c r="D1050" s="261">
        <f t="shared" si="20"/>
        <v>1.2793007548668979E-2</v>
      </c>
      <c r="E1050" s="259">
        <v>-8.4622001720447686E-3</v>
      </c>
    </row>
    <row r="1051" spans="2:5" x14ac:dyDescent="0.3">
      <c r="B1051" s="102">
        <v>44655.645833333336</v>
      </c>
      <c r="C1051" s="108">
        <v>2517</v>
      </c>
      <c r="D1051" s="261">
        <f t="shared" si="20"/>
        <v>-1.5272626296685282E-3</v>
      </c>
      <c r="E1051" s="259">
        <v>-8.4846837870072352E-3</v>
      </c>
    </row>
    <row r="1052" spans="2:5" x14ac:dyDescent="0.3">
      <c r="B1052" s="102">
        <v>44652.645833333336</v>
      </c>
      <c r="C1052" s="108">
        <v>2520.85</v>
      </c>
      <c r="D1052" s="261">
        <f t="shared" si="20"/>
        <v>-6.0327662007374095E-3</v>
      </c>
      <c r="E1052" s="259">
        <v>-8.5058954654777964E-3</v>
      </c>
    </row>
    <row r="1053" spans="2:5" x14ac:dyDescent="0.3">
      <c r="B1053" s="102">
        <v>44651.645833333336</v>
      </c>
      <c r="C1053" s="108">
        <v>2536.15</v>
      </c>
      <c r="D1053" s="261">
        <f t="shared" si="20"/>
        <v>5.1522897964845528E-3</v>
      </c>
      <c r="E1053" s="259">
        <v>-8.5237759656364605E-3</v>
      </c>
    </row>
    <row r="1054" spans="2:5" x14ac:dyDescent="0.3">
      <c r="B1054" s="102">
        <v>44650.645833333336</v>
      </c>
      <c r="C1054" s="108">
        <v>2523.15</v>
      </c>
      <c r="D1054" s="261">
        <f t="shared" si="20"/>
        <v>-6.1643296045376123E-3</v>
      </c>
      <c r="E1054" s="259">
        <v>-8.5446078793702685E-3</v>
      </c>
    </row>
    <row r="1055" spans="2:5" x14ac:dyDescent="0.3">
      <c r="B1055" s="102">
        <v>44649.645833333336</v>
      </c>
      <c r="C1055" s="108">
        <v>2538.8000000000002</v>
      </c>
      <c r="D1055" s="261">
        <f t="shared" si="20"/>
        <v>1.1435782168066923E-3</v>
      </c>
      <c r="E1055" s="259">
        <v>-8.5535554704456503E-3</v>
      </c>
    </row>
    <row r="1056" spans="2:5" x14ac:dyDescent="0.3">
      <c r="B1056" s="102">
        <v>44648.645833333336</v>
      </c>
      <c r="C1056" s="108">
        <v>2535.9</v>
      </c>
      <c r="D1056" s="261">
        <f t="shared" si="20"/>
        <v>4.7545465351242124E-3</v>
      </c>
      <c r="E1056" s="259">
        <v>-8.5581800641085486E-3</v>
      </c>
    </row>
    <row r="1057" spans="2:5" x14ac:dyDescent="0.3">
      <c r="B1057" s="102">
        <v>44645.645833333336</v>
      </c>
      <c r="C1057" s="108">
        <v>2523.9</v>
      </c>
      <c r="D1057" s="261">
        <f t="shared" si="20"/>
        <v>-3.6127553943097156E-2</v>
      </c>
      <c r="E1057" s="259">
        <v>-8.6480082926106375E-3</v>
      </c>
    </row>
    <row r="1058" spans="2:5" x14ac:dyDescent="0.3">
      <c r="B1058" s="102">
        <v>44644.645833333336</v>
      </c>
      <c r="C1058" s="108">
        <v>2618.5</v>
      </c>
      <c r="D1058" s="261">
        <f t="shared" si="20"/>
        <v>-2.6579925650557622E-2</v>
      </c>
      <c r="E1058" s="259">
        <v>-8.6596600988039819E-3</v>
      </c>
    </row>
    <row r="1059" spans="2:5" x14ac:dyDescent="0.3">
      <c r="B1059" s="102">
        <v>44643.645833333336</v>
      </c>
      <c r="C1059" s="108">
        <v>2690</v>
      </c>
      <c r="D1059" s="261">
        <f t="shared" si="20"/>
        <v>-8.3863238411206343E-3</v>
      </c>
      <c r="E1059" s="259">
        <v>-8.6883313689173867E-3</v>
      </c>
    </row>
    <row r="1060" spans="2:5" x14ac:dyDescent="0.3">
      <c r="B1060" s="102">
        <v>44642.645833333336</v>
      </c>
      <c r="C1060" s="108">
        <v>2712.75</v>
      </c>
      <c r="D1060" s="261">
        <f t="shared" si="20"/>
        <v>2.0315818635146367E-3</v>
      </c>
      <c r="E1060" s="259">
        <v>-8.7087230387478537E-3</v>
      </c>
    </row>
    <row r="1061" spans="2:5" x14ac:dyDescent="0.3">
      <c r="B1061" s="102">
        <v>44641.645833333336</v>
      </c>
      <c r="C1061" s="108">
        <v>2707.25</v>
      </c>
      <c r="D1061" s="261">
        <f t="shared" si="20"/>
        <v>1.5723270440251573E-3</v>
      </c>
      <c r="E1061" s="259">
        <v>-8.7290040999867206E-3</v>
      </c>
    </row>
    <row r="1062" spans="2:5" x14ac:dyDescent="0.3">
      <c r="B1062" s="102">
        <v>44637.645833333336</v>
      </c>
      <c r="C1062" s="108">
        <v>2703</v>
      </c>
      <c r="D1062" s="261">
        <f t="shared" si="20"/>
        <v>4.4718432342596454E-2</v>
      </c>
      <c r="E1062" s="259">
        <v>-8.7323943661971395E-3</v>
      </c>
    </row>
    <row r="1063" spans="2:5" x14ac:dyDescent="0.3">
      <c r="B1063" s="102">
        <v>44636.645833333336</v>
      </c>
      <c r="C1063" s="108">
        <v>2587.3000000000002</v>
      </c>
      <c r="D1063" s="261">
        <f t="shared" si="20"/>
        <v>1.1869610277870262E-2</v>
      </c>
      <c r="E1063" s="259">
        <v>-8.7614969869964747E-3</v>
      </c>
    </row>
    <row r="1064" spans="2:5" x14ac:dyDescent="0.3">
      <c r="B1064" s="102">
        <v>44635.645833333336</v>
      </c>
      <c r="C1064" s="108">
        <v>2556.9499999999998</v>
      </c>
      <c r="D1064" s="261">
        <f t="shared" si="20"/>
        <v>7.0697124852303339E-3</v>
      </c>
      <c r="E1064" s="259">
        <v>-8.8477305571121011E-3</v>
      </c>
    </row>
    <row r="1065" spans="2:5" x14ac:dyDescent="0.3">
      <c r="B1065" s="102">
        <v>44634.645833333336</v>
      </c>
      <c r="C1065" s="108">
        <v>2539</v>
      </c>
      <c r="D1065" s="261">
        <f t="shared" si="20"/>
        <v>1.8206608918832249E-2</v>
      </c>
      <c r="E1065" s="259">
        <v>-8.8514105150949863E-3</v>
      </c>
    </row>
    <row r="1066" spans="2:5" x14ac:dyDescent="0.3">
      <c r="B1066" s="102">
        <v>44631.645833333336</v>
      </c>
      <c r="C1066" s="108">
        <v>2493.6</v>
      </c>
      <c r="D1066" s="261">
        <f t="shared" si="20"/>
        <v>1.0454655968879052E-2</v>
      </c>
      <c r="E1066" s="259">
        <v>-8.8544548976203907E-3</v>
      </c>
    </row>
    <row r="1067" spans="2:5" x14ac:dyDescent="0.3">
      <c r="B1067" s="102">
        <v>44630.645833333336</v>
      </c>
      <c r="C1067" s="108">
        <v>2467.8000000000002</v>
      </c>
      <c r="D1067" s="261">
        <f t="shared" si="20"/>
        <v>1.4032420438436131E-2</v>
      </c>
      <c r="E1067" s="259">
        <v>-8.8956159218247961E-3</v>
      </c>
    </row>
    <row r="1068" spans="2:5" x14ac:dyDescent="0.3">
      <c r="B1068" s="102">
        <v>44629.645833333336</v>
      </c>
      <c r="C1068" s="108">
        <v>2433.65</v>
      </c>
      <c r="D1068" s="261">
        <f t="shared" si="20"/>
        <v>2.6315234580917276E-2</v>
      </c>
      <c r="E1068" s="259">
        <v>-8.9205549280272616E-3</v>
      </c>
    </row>
    <row r="1069" spans="2:5" x14ac:dyDescent="0.3">
      <c r="B1069" s="102">
        <v>44628.645833333336</v>
      </c>
      <c r="C1069" s="108">
        <v>2371.25</v>
      </c>
      <c r="D1069" s="261">
        <f t="shared" si="20"/>
        <v>-7.7206343892538059E-3</v>
      </c>
      <c r="E1069" s="259">
        <v>-8.930368283356813E-3</v>
      </c>
    </row>
    <row r="1070" spans="2:5" x14ac:dyDescent="0.3">
      <c r="B1070" s="102">
        <v>44627.645833333336</v>
      </c>
      <c r="C1070" s="108">
        <v>2389.6999999999998</v>
      </c>
      <c r="D1070" s="261">
        <f t="shared" si="20"/>
        <v>-2.1015977058582623E-2</v>
      </c>
      <c r="E1070" s="259">
        <v>-8.9371701529335767E-3</v>
      </c>
    </row>
    <row r="1071" spans="2:5" x14ac:dyDescent="0.3">
      <c r="B1071" s="102">
        <v>44624.645833333336</v>
      </c>
      <c r="C1071" s="108">
        <v>2441</v>
      </c>
      <c r="D1071" s="261">
        <f t="shared" si="20"/>
        <v>-5.1762649315334565E-2</v>
      </c>
      <c r="E1071" s="259">
        <v>-8.9440060127771517E-3</v>
      </c>
    </row>
    <row r="1072" spans="2:5" x14ac:dyDescent="0.3">
      <c r="B1072" s="102">
        <v>44623.645833333336</v>
      </c>
      <c r="C1072" s="108">
        <v>2574.25</v>
      </c>
      <c r="D1072" s="261">
        <f t="shared" si="20"/>
        <v>-7.0969857096021792E-3</v>
      </c>
      <c r="E1072" s="259">
        <v>-8.9987886246082616E-3</v>
      </c>
    </row>
    <row r="1073" spans="2:5" x14ac:dyDescent="0.3">
      <c r="B1073" s="102">
        <v>44622.645833333336</v>
      </c>
      <c r="C1073" s="108">
        <v>2592.65</v>
      </c>
      <c r="D1073" s="261">
        <f t="shared" si="20"/>
        <v>1.8102923563252205E-2</v>
      </c>
      <c r="E1073" s="259">
        <v>-9.0106355042017701E-3</v>
      </c>
    </row>
    <row r="1074" spans="2:5" x14ac:dyDescent="0.3">
      <c r="B1074" s="102">
        <v>44620.645833333336</v>
      </c>
      <c r="C1074" s="108">
        <v>2546.5500000000002</v>
      </c>
      <c r="D1074" s="261">
        <f t="shared" si="20"/>
        <v>3.1639287812189984E-2</v>
      </c>
      <c r="E1074" s="259">
        <v>-9.0505158943161891E-3</v>
      </c>
    </row>
    <row r="1075" spans="2:5" x14ac:dyDescent="0.3">
      <c r="B1075" s="102">
        <v>44617.645833333336</v>
      </c>
      <c r="C1075" s="108">
        <v>2468.4499999999998</v>
      </c>
      <c r="D1075" s="261">
        <f t="shared" si="20"/>
        <v>2.5700157899110742E-2</v>
      </c>
      <c r="E1075" s="259">
        <v>-9.0785292782569228E-3</v>
      </c>
    </row>
    <row r="1076" spans="2:5" x14ac:dyDescent="0.3">
      <c r="B1076" s="102">
        <v>44616.645833333336</v>
      </c>
      <c r="C1076" s="108">
        <v>2406.6</v>
      </c>
      <c r="D1076" s="261">
        <f t="shared" si="20"/>
        <v>-3.5701406419040717E-2</v>
      </c>
      <c r="E1076" s="259">
        <v>-9.1425586103310915E-3</v>
      </c>
    </row>
    <row r="1077" spans="2:5" x14ac:dyDescent="0.3">
      <c r="B1077" s="102">
        <v>44615.645833333336</v>
      </c>
      <c r="C1077" s="108">
        <v>2495.6999999999998</v>
      </c>
      <c r="D1077" s="261">
        <f t="shared" si="20"/>
        <v>1.8611485245500149E-2</v>
      </c>
      <c r="E1077" s="259">
        <v>-9.1538426272597517E-3</v>
      </c>
    </row>
    <row r="1078" spans="2:5" x14ac:dyDescent="0.3">
      <c r="B1078" s="102">
        <v>44614.645833333336</v>
      </c>
      <c r="C1078" s="108">
        <v>2450.1</v>
      </c>
      <c r="D1078" s="261">
        <f t="shared" si="20"/>
        <v>-1.7316193696905494E-3</v>
      </c>
      <c r="E1078" s="259">
        <v>-9.2144184707206138E-3</v>
      </c>
    </row>
    <row r="1079" spans="2:5" x14ac:dyDescent="0.3">
      <c r="B1079" s="102">
        <v>44613.645833333336</v>
      </c>
      <c r="C1079" s="108">
        <v>2454.35</v>
      </c>
      <c r="D1079" s="261">
        <f t="shared" si="20"/>
        <v>-1.3901444384178032E-2</v>
      </c>
      <c r="E1079" s="259">
        <v>-9.2608525615955912E-3</v>
      </c>
    </row>
    <row r="1080" spans="2:5" x14ac:dyDescent="0.3">
      <c r="B1080" s="102">
        <v>44610.645833333336</v>
      </c>
      <c r="C1080" s="108">
        <v>2488.9499999999998</v>
      </c>
      <c r="D1080" s="261">
        <f t="shared" si="20"/>
        <v>-1.7046366115835072E-3</v>
      </c>
      <c r="E1080" s="259">
        <v>-9.2672193970478167E-3</v>
      </c>
    </row>
    <row r="1081" spans="2:5" x14ac:dyDescent="0.3">
      <c r="B1081" s="102">
        <v>44609.645833333336</v>
      </c>
      <c r="C1081" s="108">
        <v>2493.1999999999998</v>
      </c>
      <c r="D1081" s="261">
        <f t="shared" si="20"/>
        <v>2.0698940937680659E-3</v>
      </c>
      <c r="E1081" s="259">
        <v>-9.2801605216955609E-3</v>
      </c>
    </row>
    <row r="1082" spans="2:5" x14ac:dyDescent="0.3">
      <c r="B1082" s="102">
        <v>44608.645833333336</v>
      </c>
      <c r="C1082" s="108">
        <v>2488.0500000000002</v>
      </c>
      <c r="D1082" s="261">
        <f t="shared" si="20"/>
        <v>-3.1451580592170795E-3</v>
      </c>
      <c r="E1082" s="259">
        <v>-9.3362806119480866E-3</v>
      </c>
    </row>
    <row r="1083" spans="2:5" x14ac:dyDescent="0.3">
      <c r="B1083" s="102">
        <v>44607.645833333336</v>
      </c>
      <c r="C1083" s="108">
        <v>2495.9</v>
      </c>
      <c r="D1083" s="261">
        <f t="shared" si="20"/>
        <v>4.0825688073394532E-2</v>
      </c>
      <c r="E1083" s="259">
        <v>-9.3508200639321783E-3</v>
      </c>
    </row>
    <row r="1084" spans="2:5" x14ac:dyDescent="0.3">
      <c r="B1084" s="102">
        <v>44606.645833333336</v>
      </c>
      <c r="C1084" s="108">
        <v>2398</v>
      </c>
      <c r="D1084" s="261">
        <f t="shared" si="20"/>
        <v>-1.8118538233186612E-2</v>
      </c>
      <c r="E1084" s="259">
        <v>-9.3673158736973586E-3</v>
      </c>
    </row>
    <row r="1085" spans="2:5" x14ac:dyDescent="0.3">
      <c r="B1085" s="102">
        <v>44603.645833333336</v>
      </c>
      <c r="C1085" s="108">
        <v>2442.25</v>
      </c>
      <c r="D1085" s="261">
        <f t="shared" si="20"/>
        <v>-1.9904889941208304E-2</v>
      </c>
      <c r="E1085" s="259">
        <v>-9.4238096623135131E-3</v>
      </c>
    </row>
    <row r="1086" spans="2:5" x14ac:dyDescent="0.3">
      <c r="B1086" s="102">
        <v>44602.645833333336</v>
      </c>
      <c r="C1086" s="108">
        <v>2491.85</v>
      </c>
      <c r="D1086" s="261">
        <f t="shared" si="20"/>
        <v>2.8372504829361424E-3</v>
      </c>
      <c r="E1086" s="259">
        <v>-9.4239121527493249E-3</v>
      </c>
    </row>
    <row r="1087" spans="2:5" x14ac:dyDescent="0.3">
      <c r="B1087" s="102">
        <v>44601.645833333336</v>
      </c>
      <c r="C1087" s="108">
        <v>2484.8000000000002</v>
      </c>
      <c r="D1087" s="261">
        <f t="shared" si="20"/>
        <v>1.6839563767315324E-2</v>
      </c>
      <c r="E1087" s="259">
        <v>-9.4258949741516697E-3</v>
      </c>
    </row>
    <row r="1088" spans="2:5" x14ac:dyDescent="0.3">
      <c r="B1088" s="102">
        <v>44600.645833333336</v>
      </c>
      <c r="C1088" s="108">
        <v>2443.65</v>
      </c>
      <c r="D1088" s="261">
        <f t="shared" si="20"/>
        <v>1.4299352482151867E-2</v>
      </c>
      <c r="E1088" s="259">
        <v>-9.4659210632951837E-3</v>
      </c>
    </row>
    <row r="1089" spans="2:5" x14ac:dyDescent="0.3">
      <c r="B1089" s="102">
        <v>44599.645833333336</v>
      </c>
      <c r="C1089" s="108">
        <v>2409.1999999999998</v>
      </c>
      <c r="D1089" s="261">
        <f t="shared" si="20"/>
        <v>-2.5069299718754535E-2</v>
      </c>
      <c r="E1089" s="259">
        <v>-9.5021051411796169E-3</v>
      </c>
    </row>
    <row r="1090" spans="2:5" x14ac:dyDescent="0.3">
      <c r="B1090" s="102">
        <v>44596.645833333336</v>
      </c>
      <c r="C1090" s="108">
        <v>2471.15</v>
      </c>
      <c r="D1090" s="261">
        <f t="shared" si="20"/>
        <v>-1.5353845532231874E-3</v>
      </c>
      <c r="E1090" s="259">
        <v>-9.5029239766082386E-3</v>
      </c>
    </row>
    <row r="1091" spans="2:5" x14ac:dyDescent="0.3">
      <c r="B1091" s="102">
        <v>44595.645833333336</v>
      </c>
      <c r="C1091" s="108">
        <v>2474.9499999999998</v>
      </c>
      <c r="D1091" s="261">
        <f t="shared" ref="D1091:D1154" si="21">(C1091-C1092)/C1092</f>
        <v>4.4439935064934325E-3</v>
      </c>
      <c r="E1091" s="259">
        <v>-9.5205286398797693E-3</v>
      </c>
    </row>
    <row r="1092" spans="2:5" x14ac:dyDescent="0.3">
      <c r="B1092" s="102">
        <v>44594.645833333336</v>
      </c>
      <c r="C1092" s="108">
        <v>2464</v>
      </c>
      <c r="D1092" s="261">
        <f t="shared" si="21"/>
        <v>1.324122049510643E-2</v>
      </c>
      <c r="E1092" s="259">
        <v>-9.5438908001331951E-3</v>
      </c>
    </row>
    <row r="1093" spans="2:5" x14ac:dyDescent="0.3">
      <c r="B1093" s="102">
        <v>44593.645833333336</v>
      </c>
      <c r="C1093" s="108">
        <v>2431.8000000000002</v>
      </c>
      <c r="D1093" s="261">
        <f t="shared" si="21"/>
        <v>3.0292759394992159E-2</v>
      </c>
      <c r="E1093" s="259">
        <v>-9.6190493475380688E-3</v>
      </c>
    </row>
    <row r="1094" spans="2:5" x14ac:dyDescent="0.3">
      <c r="B1094" s="102">
        <v>44592.645833333336</v>
      </c>
      <c r="C1094" s="108">
        <v>2360.3000000000002</v>
      </c>
      <c r="D1094" s="261">
        <f t="shared" si="21"/>
        <v>1.9303852133356485E-2</v>
      </c>
      <c r="E1094" s="259">
        <v>-9.6820748504251788E-3</v>
      </c>
    </row>
    <row r="1095" spans="2:5" x14ac:dyDescent="0.3">
      <c r="B1095" s="102">
        <v>44589.645833333336</v>
      </c>
      <c r="C1095" s="108">
        <v>2315.6</v>
      </c>
      <c r="D1095" s="261">
        <f t="shared" si="21"/>
        <v>2.40254539945011E-3</v>
      </c>
      <c r="E1095" s="259">
        <v>-9.7045076447754095E-3</v>
      </c>
    </row>
    <row r="1096" spans="2:5" x14ac:dyDescent="0.3">
      <c r="B1096" s="102">
        <v>44588.645833333336</v>
      </c>
      <c r="C1096" s="108">
        <v>2310.0500000000002</v>
      </c>
      <c r="D1096" s="261">
        <f t="shared" si="21"/>
        <v>-2.7961287607826558E-2</v>
      </c>
      <c r="E1096" s="259">
        <v>-9.7171577806248518E-3</v>
      </c>
    </row>
    <row r="1097" spans="2:5" x14ac:dyDescent="0.3">
      <c r="B1097" s="102">
        <v>44586.645833333336</v>
      </c>
      <c r="C1097" s="108">
        <v>2376.5</v>
      </c>
      <c r="D1097" s="261">
        <f t="shared" si="21"/>
        <v>-1.1048459249703577E-2</v>
      </c>
      <c r="E1097" s="259">
        <v>-9.8368019164545312E-3</v>
      </c>
    </row>
    <row r="1098" spans="2:5" x14ac:dyDescent="0.3">
      <c r="B1098" s="102">
        <v>44585.645833333336</v>
      </c>
      <c r="C1098" s="108">
        <v>2403.0500000000002</v>
      </c>
      <c r="D1098" s="261">
        <f t="shared" si="21"/>
        <v>-4.9482823408421139E-2</v>
      </c>
      <c r="E1098" s="259">
        <v>-9.8430154466085766E-3</v>
      </c>
    </row>
    <row r="1099" spans="2:5" x14ac:dyDescent="0.3">
      <c r="B1099" s="102">
        <v>44582.645833333336</v>
      </c>
      <c r="C1099" s="108">
        <v>2528.15</v>
      </c>
      <c r="D1099" s="261">
        <f t="shared" si="21"/>
        <v>-1.4097414499083605E-2</v>
      </c>
      <c r="E1099" s="259">
        <v>-9.9076015218573146E-3</v>
      </c>
    </row>
    <row r="1100" spans="2:5" x14ac:dyDescent="0.3">
      <c r="B1100" s="102">
        <v>44581.645833333336</v>
      </c>
      <c r="C1100" s="108">
        <v>2564.3000000000002</v>
      </c>
      <c r="D1100" s="261">
        <f t="shared" si="21"/>
        <v>-9.5021051411796169E-3</v>
      </c>
      <c r="E1100" s="259">
        <v>-9.9457370103322139E-3</v>
      </c>
    </row>
    <row r="1101" spans="2:5" x14ac:dyDescent="0.3">
      <c r="B1101" s="102">
        <v>44580.645833333336</v>
      </c>
      <c r="C1101" s="108">
        <v>2588.9</v>
      </c>
      <c r="D1101" s="261">
        <f t="shared" si="21"/>
        <v>-4.4989617780511488E-3</v>
      </c>
      <c r="E1101" s="259">
        <v>-9.9811844816772369E-3</v>
      </c>
    </row>
    <row r="1102" spans="2:5" x14ac:dyDescent="0.3">
      <c r="B1102" s="102">
        <v>44579.645833333336</v>
      </c>
      <c r="C1102" s="108">
        <v>2600.6</v>
      </c>
      <c r="D1102" s="261">
        <f t="shared" si="21"/>
        <v>1.1741833650939259E-3</v>
      </c>
      <c r="E1102" s="259">
        <v>-1.0053582279180271E-2</v>
      </c>
    </row>
    <row r="1103" spans="2:5" x14ac:dyDescent="0.3">
      <c r="B1103" s="102">
        <v>44578.645833333336</v>
      </c>
      <c r="C1103" s="108">
        <v>2597.5500000000002</v>
      </c>
      <c r="D1103" s="261">
        <f t="shared" si="21"/>
        <v>1.8513161700897433E-3</v>
      </c>
      <c r="E1103" s="259">
        <v>-1.0054419962835057E-2</v>
      </c>
    </row>
    <row r="1104" spans="2:5" x14ac:dyDescent="0.3">
      <c r="B1104" s="102">
        <v>44575.645833333336</v>
      </c>
      <c r="C1104" s="108">
        <v>2592.75</v>
      </c>
      <c r="D1104" s="261">
        <f t="shared" si="21"/>
        <v>-1.0117400019089434E-2</v>
      </c>
      <c r="E1104" s="259">
        <v>-1.005527460896149E-2</v>
      </c>
    </row>
    <row r="1105" spans="2:5" x14ac:dyDescent="0.3">
      <c r="B1105" s="102">
        <v>44574.645833333336</v>
      </c>
      <c r="C1105" s="108">
        <v>2619.25</v>
      </c>
      <c r="D1105" s="261">
        <f t="shared" si="21"/>
        <v>2.4110679500182483E-3</v>
      </c>
      <c r="E1105" s="259">
        <v>-1.0117400019089434E-2</v>
      </c>
    </row>
    <row r="1106" spans="2:5" x14ac:dyDescent="0.3">
      <c r="B1106" s="102">
        <v>44573.645833333336</v>
      </c>
      <c r="C1106" s="108">
        <v>2612.9499999999998</v>
      </c>
      <c r="D1106" s="261">
        <f t="shared" si="21"/>
        <v>-1.5226035012342922E-2</v>
      </c>
      <c r="E1106" s="259">
        <v>-1.016355561974208E-2</v>
      </c>
    </row>
    <row r="1107" spans="2:5" x14ac:dyDescent="0.3">
      <c r="B1107" s="102">
        <v>44572.645833333336</v>
      </c>
      <c r="C1107" s="108">
        <v>2653.35</v>
      </c>
      <c r="D1107" s="261">
        <f t="shared" si="21"/>
        <v>-1.5616180620884631E-3</v>
      </c>
      <c r="E1107" s="259">
        <v>-1.020225878803528E-2</v>
      </c>
    </row>
    <row r="1108" spans="2:5" x14ac:dyDescent="0.3">
      <c r="B1108" s="102">
        <v>44571.645833333336</v>
      </c>
      <c r="C1108" s="108">
        <v>2657.5</v>
      </c>
      <c r="D1108" s="261">
        <f t="shared" si="21"/>
        <v>3.296148015703354E-2</v>
      </c>
      <c r="E1108" s="259">
        <v>-1.0225523656561552E-2</v>
      </c>
    </row>
    <row r="1109" spans="2:5" x14ac:dyDescent="0.3">
      <c r="B1109" s="102">
        <v>44568.645833333336</v>
      </c>
      <c r="C1109" s="108">
        <v>2572.6999999999998</v>
      </c>
      <c r="D1109" s="261">
        <f t="shared" si="21"/>
        <v>-8.9371701529335767E-3</v>
      </c>
      <c r="E1109" s="259">
        <v>-1.0253048380752566E-2</v>
      </c>
    </row>
    <row r="1110" spans="2:5" x14ac:dyDescent="0.3">
      <c r="B1110" s="102">
        <v>44567.645833333336</v>
      </c>
      <c r="C1110" s="108">
        <v>2595.9</v>
      </c>
      <c r="D1110" s="261">
        <f t="shared" si="21"/>
        <v>7.6664790481920696E-3</v>
      </c>
      <c r="E1110" s="259">
        <v>-1.0255134477706805E-2</v>
      </c>
    </row>
    <row r="1111" spans="2:5" x14ac:dyDescent="0.3">
      <c r="B1111" s="102">
        <v>44566.645833333336</v>
      </c>
      <c r="C1111" s="108">
        <v>2576.15</v>
      </c>
      <c r="D1111" s="261">
        <f t="shared" si="21"/>
        <v>-2.6519550909794459E-3</v>
      </c>
      <c r="E1111" s="259">
        <v>-1.0302894786631975E-2</v>
      </c>
    </row>
    <row r="1112" spans="2:5" x14ac:dyDescent="0.3">
      <c r="B1112" s="102">
        <v>44565.645833333336</v>
      </c>
      <c r="C1112" s="108">
        <v>2583</v>
      </c>
      <c r="D1112" s="261">
        <f t="shared" si="21"/>
        <v>2.3436416585771773E-2</v>
      </c>
      <c r="E1112" s="259">
        <v>-1.0425750440865876E-2</v>
      </c>
    </row>
    <row r="1113" spans="2:5" x14ac:dyDescent="0.3">
      <c r="B1113" s="102">
        <v>44564.645833333336</v>
      </c>
      <c r="C1113" s="108">
        <v>2523.85</v>
      </c>
      <c r="D1113" s="261">
        <f t="shared" si="21"/>
        <v>5.7484934982549084E-4</v>
      </c>
      <c r="E1113" s="259">
        <v>-1.0434197239986537E-2</v>
      </c>
    </row>
    <row r="1114" spans="2:5" x14ac:dyDescent="0.3">
      <c r="B1114" s="102">
        <v>44561.645833333336</v>
      </c>
      <c r="C1114" s="108">
        <v>2522.4</v>
      </c>
      <c r="D1114" s="261">
        <f t="shared" si="21"/>
        <v>3.4915685389570385E-2</v>
      </c>
      <c r="E1114" s="259">
        <v>-1.0458744950605963E-2</v>
      </c>
    </row>
    <row r="1115" spans="2:5" x14ac:dyDescent="0.3">
      <c r="B1115" s="102">
        <v>44560.645833333336</v>
      </c>
      <c r="C1115" s="108">
        <v>2437.3000000000002</v>
      </c>
      <c r="D1115" s="261">
        <f t="shared" si="21"/>
        <v>1.4632724850654659E-2</v>
      </c>
      <c r="E1115" s="259">
        <v>-1.0470499116235977E-2</v>
      </c>
    </row>
    <row r="1116" spans="2:5" x14ac:dyDescent="0.3">
      <c r="B1116" s="102">
        <v>44559.645833333336</v>
      </c>
      <c r="C1116" s="108">
        <v>2402.15</v>
      </c>
      <c r="D1116" s="261">
        <f t="shared" si="21"/>
        <v>9.3703384667101642E-3</v>
      </c>
      <c r="E1116" s="259">
        <v>-1.052596626377999E-2</v>
      </c>
    </row>
    <row r="1117" spans="2:5" x14ac:dyDescent="0.3">
      <c r="B1117" s="102">
        <v>44558.645833333336</v>
      </c>
      <c r="C1117" s="108">
        <v>2379.85</v>
      </c>
      <c r="D1117" s="261">
        <f t="shared" si="21"/>
        <v>2.0825290610388934E-2</v>
      </c>
      <c r="E1117" s="259">
        <v>-1.053041173180275E-2</v>
      </c>
    </row>
    <row r="1118" spans="2:5" x14ac:dyDescent="0.3">
      <c r="B1118" s="102">
        <v>44557.645833333336</v>
      </c>
      <c r="C1118" s="108">
        <v>2331.3000000000002</v>
      </c>
      <c r="D1118" s="261">
        <f t="shared" si="21"/>
        <v>5.1089697988748904E-3</v>
      </c>
      <c r="E1118" s="259">
        <v>-1.0535659715653551E-2</v>
      </c>
    </row>
    <row r="1119" spans="2:5" x14ac:dyDescent="0.3">
      <c r="B1119" s="102">
        <v>44554.645833333336</v>
      </c>
      <c r="C1119" s="108">
        <v>2319.4499999999998</v>
      </c>
      <c r="D1119" s="261">
        <f t="shared" si="21"/>
        <v>-4.4851710373836956E-3</v>
      </c>
      <c r="E1119" s="259">
        <v>-1.0582603096391327E-2</v>
      </c>
    </row>
    <row r="1120" spans="2:5" x14ac:dyDescent="0.3">
      <c r="B1120" s="102">
        <v>44553.645833333336</v>
      </c>
      <c r="C1120" s="108">
        <v>2329.9</v>
      </c>
      <c r="D1120" s="261">
        <f t="shared" si="21"/>
        <v>1.3110120665289745E-2</v>
      </c>
      <c r="E1120" s="259">
        <v>-1.0597234893676793E-2</v>
      </c>
    </row>
    <row r="1121" spans="2:5" x14ac:dyDescent="0.3">
      <c r="B1121" s="102">
        <v>44552.645833333336</v>
      </c>
      <c r="C1121" s="108">
        <v>2299.75</v>
      </c>
      <c r="D1121" s="261">
        <f t="shared" si="21"/>
        <v>5.2892706489191567E-3</v>
      </c>
      <c r="E1121" s="259">
        <v>-1.0672660224489271E-2</v>
      </c>
    </row>
    <row r="1122" spans="2:5" x14ac:dyDescent="0.3">
      <c r="B1122" s="102">
        <v>44551.645833333336</v>
      </c>
      <c r="C1122" s="108">
        <v>2287.65</v>
      </c>
      <c r="D1122" s="261">
        <f t="shared" si="21"/>
        <v>2.1568758791613719E-2</v>
      </c>
      <c r="E1122" s="259">
        <v>-1.0688328345446772E-2</v>
      </c>
    </row>
    <row r="1123" spans="2:5" x14ac:dyDescent="0.3">
      <c r="B1123" s="102">
        <v>44550.645833333336</v>
      </c>
      <c r="C1123" s="108">
        <v>2239.35</v>
      </c>
      <c r="D1123" s="261">
        <f t="shared" si="21"/>
        <v>-1.8001227854762401E-2</v>
      </c>
      <c r="E1123" s="259">
        <v>-1.0707112680933608E-2</v>
      </c>
    </row>
    <row r="1124" spans="2:5" x14ac:dyDescent="0.3">
      <c r="B1124" s="102">
        <v>44547.645833333336</v>
      </c>
      <c r="C1124" s="108">
        <v>2280.4</v>
      </c>
      <c r="D1124" s="261">
        <f t="shared" si="21"/>
        <v>-3.260154841446597E-2</v>
      </c>
      <c r="E1124" s="259">
        <v>-1.0707706478354348E-2</v>
      </c>
    </row>
    <row r="1125" spans="2:5" x14ac:dyDescent="0.3">
      <c r="B1125" s="102">
        <v>44546.645833333336</v>
      </c>
      <c r="C1125" s="108">
        <v>2357.25</v>
      </c>
      <c r="D1125" s="261">
        <f t="shared" si="21"/>
        <v>1.4678346210963523E-2</v>
      </c>
      <c r="E1125" s="259">
        <v>-1.0722253671206361E-2</v>
      </c>
    </row>
    <row r="1126" spans="2:5" x14ac:dyDescent="0.3">
      <c r="B1126" s="102">
        <v>44545.645833333336</v>
      </c>
      <c r="C1126" s="108">
        <v>2323.15</v>
      </c>
      <c r="D1126" s="261">
        <f t="shared" si="21"/>
        <v>-1.3461579293797829E-2</v>
      </c>
      <c r="E1126" s="259">
        <v>-1.072422452996666E-2</v>
      </c>
    </row>
    <row r="1127" spans="2:5" x14ac:dyDescent="0.3">
      <c r="B1127" s="102">
        <v>44544.645833333336</v>
      </c>
      <c r="C1127" s="108">
        <v>2354.85</v>
      </c>
      <c r="D1127" s="261">
        <f t="shared" si="21"/>
        <v>1.8506700701977916E-3</v>
      </c>
      <c r="E1127" s="259">
        <v>-1.0727912849532862E-2</v>
      </c>
    </row>
    <row r="1128" spans="2:5" x14ac:dyDescent="0.3">
      <c r="B1128" s="102">
        <v>44543.645833333336</v>
      </c>
      <c r="C1128" s="108">
        <v>2350.5</v>
      </c>
      <c r="D1128" s="261">
        <f t="shared" si="21"/>
        <v>4.7662812319661839E-3</v>
      </c>
      <c r="E1128" s="259">
        <v>-1.075702282950009E-2</v>
      </c>
    </row>
    <row r="1129" spans="2:5" x14ac:dyDescent="0.3">
      <c r="B1129" s="102">
        <v>44540.645833333336</v>
      </c>
      <c r="C1129" s="108">
        <v>2339.35</v>
      </c>
      <c r="D1129" s="261">
        <f t="shared" si="21"/>
        <v>-1.4242673240208238E-2</v>
      </c>
      <c r="E1129" s="259">
        <v>-1.0773854244928598E-2</v>
      </c>
    </row>
    <row r="1130" spans="2:5" x14ac:dyDescent="0.3">
      <c r="B1130" s="102">
        <v>44539.645833333336</v>
      </c>
      <c r="C1130" s="108">
        <v>2373.15</v>
      </c>
      <c r="D1130" s="261">
        <f t="shared" si="21"/>
        <v>-1.3468853276797442E-2</v>
      </c>
      <c r="E1130" s="259">
        <v>-1.0790933204726273E-2</v>
      </c>
    </row>
    <row r="1131" spans="2:5" x14ac:dyDescent="0.3">
      <c r="B1131" s="102">
        <v>44538.645833333336</v>
      </c>
      <c r="C1131" s="108">
        <v>2405.5500000000002</v>
      </c>
      <c r="D1131" s="261">
        <f t="shared" si="21"/>
        <v>1.050177479994119E-2</v>
      </c>
      <c r="E1131" s="259">
        <v>-1.0820134859651874E-2</v>
      </c>
    </row>
    <row r="1132" spans="2:5" x14ac:dyDescent="0.3">
      <c r="B1132" s="102">
        <v>44537.645833333336</v>
      </c>
      <c r="C1132" s="108">
        <v>2380.5500000000002</v>
      </c>
      <c r="D1132" s="261">
        <f t="shared" si="21"/>
        <v>2.3760375005375648E-2</v>
      </c>
      <c r="E1132" s="259">
        <v>-1.0869565217391304E-2</v>
      </c>
    </row>
    <row r="1133" spans="2:5" x14ac:dyDescent="0.3">
      <c r="B1133" s="102">
        <v>44536.645833333336</v>
      </c>
      <c r="C1133" s="108">
        <v>2325.3000000000002</v>
      </c>
      <c r="D1133" s="261">
        <f t="shared" si="21"/>
        <v>-1.8550174105729584E-2</v>
      </c>
      <c r="E1133" s="259">
        <v>-1.0947016440428328E-2</v>
      </c>
    </row>
    <row r="1134" spans="2:5" x14ac:dyDescent="0.3">
      <c r="B1134" s="102">
        <v>44533.645833333336</v>
      </c>
      <c r="C1134" s="108">
        <v>2369.25</v>
      </c>
      <c r="D1134" s="261">
        <f t="shared" si="21"/>
        <v>-7.2281583909490884E-3</v>
      </c>
      <c r="E1134" s="259">
        <v>-1.1003541194887249E-2</v>
      </c>
    </row>
    <row r="1135" spans="2:5" x14ac:dyDescent="0.3">
      <c r="B1135" s="102">
        <v>44532.645833333336</v>
      </c>
      <c r="C1135" s="108">
        <v>2386.5</v>
      </c>
      <c r="D1135" s="261">
        <f t="shared" si="21"/>
        <v>1.1143123464113289E-2</v>
      </c>
      <c r="E1135" s="259">
        <v>-1.1031978773914259E-2</v>
      </c>
    </row>
    <row r="1136" spans="2:5" x14ac:dyDescent="0.3">
      <c r="B1136" s="102">
        <v>44531.645833333336</v>
      </c>
      <c r="C1136" s="108">
        <v>2360.1999999999998</v>
      </c>
      <c r="D1136" s="261">
        <f t="shared" si="21"/>
        <v>-6.440749315933564E-3</v>
      </c>
      <c r="E1136" s="259">
        <v>-1.1048459249703577E-2</v>
      </c>
    </row>
    <row r="1137" spans="2:5" x14ac:dyDescent="0.3">
      <c r="B1137" s="102">
        <v>44530.645833333336</v>
      </c>
      <c r="C1137" s="108">
        <v>2375.5</v>
      </c>
      <c r="D1137" s="261">
        <f t="shared" si="21"/>
        <v>2.2072110833835378E-2</v>
      </c>
      <c r="E1137" s="259">
        <v>-1.1108496116733306E-2</v>
      </c>
    </row>
    <row r="1138" spans="2:5" x14ac:dyDescent="0.3">
      <c r="B1138" s="102">
        <v>44529.645833333336</v>
      </c>
      <c r="C1138" s="108">
        <v>2324.1999999999998</v>
      </c>
      <c r="D1138" s="261">
        <f t="shared" si="21"/>
        <v>1.3916154081053804E-2</v>
      </c>
      <c r="E1138" s="259">
        <v>-1.1161543770239471E-2</v>
      </c>
    </row>
    <row r="1139" spans="2:5" x14ac:dyDescent="0.3">
      <c r="B1139" s="102">
        <v>44526.645833333336</v>
      </c>
      <c r="C1139" s="108">
        <v>2292.3000000000002</v>
      </c>
      <c r="D1139" s="261">
        <f t="shared" si="21"/>
        <v>-4.3998665443323044E-2</v>
      </c>
      <c r="E1139" s="259">
        <v>-1.1196911196911109E-2</v>
      </c>
    </row>
    <row r="1140" spans="2:5" x14ac:dyDescent="0.3">
      <c r="B1140" s="102">
        <v>44525.645833333336</v>
      </c>
      <c r="C1140" s="108">
        <v>2397.8000000000002</v>
      </c>
      <c r="D1140" s="261">
        <f t="shared" si="21"/>
        <v>9.2387987457121755E-3</v>
      </c>
      <c r="E1140" s="259">
        <v>-1.1440829460135801E-2</v>
      </c>
    </row>
    <row r="1141" spans="2:5" x14ac:dyDescent="0.3">
      <c r="B1141" s="102">
        <v>44524.645833333336</v>
      </c>
      <c r="C1141" s="108">
        <v>2375.85</v>
      </c>
      <c r="D1141" s="261">
        <f t="shared" si="21"/>
        <v>-4.9629350420906772E-3</v>
      </c>
      <c r="E1141" s="259">
        <v>-1.1450720478148895E-2</v>
      </c>
    </row>
    <row r="1142" spans="2:5" x14ac:dyDescent="0.3">
      <c r="B1142" s="102">
        <v>44523.645833333336</v>
      </c>
      <c r="C1142" s="108">
        <v>2387.6999999999998</v>
      </c>
      <c r="D1142" s="261">
        <f t="shared" si="21"/>
        <v>-1.5054572826497569E-3</v>
      </c>
      <c r="E1142" s="259">
        <v>-1.1485928651091406E-2</v>
      </c>
    </row>
    <row r="1143" spans="2:5" x14ac:dyDescent="0.3">
      <c r="B1143" s="102">
        <v>44522.645833333336</v>
      </c>
      <c r="C1143" s="108">
        <v>2391.3000000000002</v>
      </c>
      <c r="D1143" s="261">
        <f t="shared" si="21"/>
        <v>-3.5065773545315003E-2</v>
      </c>
      <c r="E1143" s="259">
        <v>-1.156762874929267E-2</v>
      </c>
    </row>
    <row r="1144" spans="2:5" x14ac:dyDescent="0.3">
      <c r="B1144" s="102">
        <v>44518.645833333336</v>
      </c>
      <c r="C1144" s="108">
        <v>2478.1999999999998</v>
      </c>
      <c r="D1144" s="261">
        <f t="shared" si="21"/>
        <v>-8.4622001720447686E-3</v>
      </c>
      <c r="E1144" s="259">
        <v>-1.1568311612241861E-2</v>
      </c>
    </row>
    <row r="1145" spans="2:5" x14ac:dyDescent="0.3">
      <c r="B1145" s="102">
        <v>44517.645833333336</v>
      </c>
      <c r="C1145" s="108">
        <v>2499.35</v>
      </c>
      <c r="D1145" s="261">
        <f t="shared" si="21"/>
        <v>-1.2797472104275735E-2</v>
      </c>
      <c r="E1145" s="259">
        <v>-1.1589428323503917E-2</v>
      </c>
    </row>
    <row r="1146" spans="2:5" x14ac:dyDescent="0.3">
      <c r="B1146" s="102">
        <v>44516.645833333336</v>
      </c>
      <c r="C1146" s="108">
        <v>2531.75</v>
      </c>
      <c r="D1146" s="261">
        <f t="shared" si="21"/>
        <v>-3.0125226431440854E-3</v>
      </c>
      <c r="E1146" s="259">
        <v>-1.1643214463329778E-2</v>
      </c>
    </row>
    <row r="1147" spans="2:5" x14ac:dyDescent="0.3">
      <c r="B1147" s="102">
        <v>44515.645833333336</v>
      </c>
      <c r="C1147" s="108">
        <v>2539.4</v>
      </c>
      <c r="D1147" s="261">
        <f t="shared" si="21"/>
        <v>-3.9377830281515672E-5</v>
      </c>
      <c r="E1147" s="259">
        <v>-1.1730662214802408E-2</v>
      </c>
    </row>
    <row r="1148" spans="2:5" x14ac:dyDescent="0.3">
      <c r="B1148" s="102">
        <v>44512.645833333336</v>
      </c>
      <c r="C1148" s="108">
        <v>2539.5</v>
      </c>
      <c r="D1148" s="261">
        <f t="shared" si="21"/>
        <v>4.5093152960721848E-3</v>
      </c>
      <c r="E1148" s="259">
        <v>-1.174510620574753E-2</v>
      </c>
    </row>
    <row r="1149" spans="2:5" x14ac:dyDescent="0.3">
      <c r="B1149" s="102">
        <v>44511.645833333336</v>
      </c>
      <c r="C1149" s="108">
        <v>2528.1</v>
      </c>
      <c r="D1149" s="261">
        <f t="shared" si="21"/>
        <v>1.7507848345810192E-2</v>
      </c>
      <c r="E1149" s="259">
        <v>-1.1758973526067831E-2</v>
      </c>
    </row>
    <row r="1150" spans="2:5" x14ac:dyDescent="0.3">
      <c r="B1150" s="102">
        <v>44510.645833333336</v>
      </c>
      <c r="C1150" s="108">
        <v>2484.6</v>
      </c>
      <c r="D1150" s="261">
        <f t="shared" si="21"/>
        <v>-1.0947016440428328E-2</v>
      </c>
      <c r="E1150" s="259">
        <v>-1.1776176183830594E-2</v>
      </c>
    </row>
    <row r="1151" spans="2:5" x14ac:dyDescent="0.3">
      <c r="B1151" s="102">
        <v>44509.645833333336</v>
      </c>
      <c r="C1151" s="108">
        <v>2512.1</v>
      </c>
      <c r="D1151" s="261">
        <f t="shared" si="21"/>
        <v>-9.7171577806248518E-3</v>
      </c>
      <c r="E1151" s="259">
        <v>-1.18369285035952E-2</v>
      </c>
    </row>
    <row r="1152" spans="2:5" x14ac:dyDescent="0.3">
      <c r="B1152" s="102">
        <v>44508.645833333336</v>
      </c>
      <c r="C1152" s="108">
        <v>2536.75</v>
      </c>
      <c r="D1152" s="261">
        <f t="shared" si="21"/>
        <v>4.317878071347795E-2</v>
      </c>
      <c r="E1152" s="259">
        <v>-1.1862731252648058E-2</v>
      </c>
    </row>
    <row r="1153" spans="2:5" x14ac:dyDescent="0.3">
      <c r="B1153" s="102">
        <v>44504.802083333336</v>
      </c>
      <c r="C1153" s="108">
        <v>2431.75</v>
      </c>
      <c r="D1153" s="261">
        <f t="shared" si="21"/>
        <v>5.7073140470233806E-3</v>
      </c>
      <c r="E1153" s="259">
        <v>-1.1950637673181108E-2</v>
      </c>
    </row>
    <row r="1154" spans="2:5" x14ac:dyDescent="0.3">
      <c r="B1154" s="102">
        <v>44503.645833333336</v>
      </c>
      <c r="C1154" s="108">
        <v>2417.9499999999998</v>
      </c>
      <c r="D1154" s="261">
        <f t="shared" si="21"/>
        <v>-1.4670225554717906E-2</v>
      </c>
      <c r="E1154" s="259">
        <v>-1.1984709164169759E-2</v>
      </c>
    </row>
    <row r="1155" spans="2:5" x14ac:dyDescent="0.3">
      <c r="B1155" s="102">
        <v>44502.645833333336</v>
      </c>
      <c r="C1155" s="108">
        <v>2453.9499999999998</v>
      </c>
      <c r="D1155" s="261">
        <f t="shared" ref="D1155:D1218" si="22">(C1155-C1156)/C1156</f>
        <v>1.980218592860393E-2</v>
      </c>
      <c r="E1155" s="259">
        <v>-1.201667620371131E-2</v>
      </c>
    </row>
    <row r="1156" spans="2:5" x14ac:dyDescent="0.3">
      <c r="B1156" s="102">
        <v>44501.645833333336</v>
      </c>
      <c r="C1156" s="108">
        <v>2406.3000000000002</v>
      </c>
      <c r="D1156" s="261">
        <f t="shared" si="22"/>
        <v>9.5445868557403873E-3</v>
      </c>
      <c r="E1156" s="259">
        <v>-1.2035376079429273E-2</v>
      </c>
    </row>
    <row r="1157" spans="2:5" x14ac:dyDescent="0.3">
      <c r="B1157" s="102">
        <v>44498.645833333336</v>
      </c>
      <c r="C1157" s="108">
        <v>2383.5500000000002</v>
      </c>
      <c r="D1157" s="261">
        <f t="shared" si="22"/>
        <v>3.5366187398690992E-3</v>
      </c>
      <c r="E1157" s="259">
        <v>-1.2100297693982407E-2</v>
      </c>
    </row>
    <row r="1158" spans="2:5" x14ac:dyDescent="0.3">
      <c r="B1158" s="102">
        <v>44497.645833333336</v>
      </c>
      <c r="C1158" s="108">
        <v>2375.15</v>
      </c>
      <c r="D1158" s="261">
        <f t="shared" si="22"/>
        <v>-3.4531116621275483E-2</v>
      </c>
      <c r="E1158" s="259">
        <v>-1.2141714525476669E-2</v>
      </c>
    </row>
    <row r="1159" spans="2:5" x14ac:dyDescent="0.3">
      <c r="B1159" s="102">
        <v>44496.645833333336</v>
      </c>
      <c r="C1159" s="108">
        <v>2460.1</v>
      </c>
      <c r="D1159" s="261">
        <f t="shared" si="22"/>
        <v>2.1794480089621792E-3</v>
      </c>
      <c r="E1159" s="259">
        <v>-1.2197333069607214E-2</v>
      </c>
    </row>
    <row r="1160" spans="2:5" x14ac:dyDescent="0.3">
      <c r="B1160" s="102">
        <v>44495.645833333336</v>
      </c>
      <c r="C1160" s="108">
        <v>2454.75</v>
      </c>
      <c r="D1160" s="261">
        <f t="shared" si="22"/>
        <v>3.1776054473236198E-2</v>
      </c>
      <c r="E1160" s="259">
        <v>-1.2205506670451241E-2</v>
      </c>
    </row>
    <row r="1161" spans="2:5" x14ac:dyDescent="0.3">
      <c r="B1161" s="102">
        <v>44494.645833333336</v>
      </c>
      <c r="C1161" s="108">
        <v>2379.15</v>
      </c>
      <c r="D1161" s="261">
        <f t="shared" si="22"/>
        <v>-1.3619402985074589E-2</v>
      </c>
      <c r="E1161" s="259">
        <v>-1.2223291626564005E-2</v>
      </c>
    </row>
    <row r="1162" spans="2:5" x14ac:dyDescent="0.3">
      <c r="B1162" s="102">
        <v>44491.645833333336</v>
      </c>
      <c r="C1162" s="108">
        <v>2412</v>
      </c>
      <c r="D1162" s="261">
        <f t="shared" si="22"/>
        <v>6.8038569102976927E-3</v>
      </c>
      <c r="E1162" s="259">
        <v>-1.2297851254561098E-2</v>
      </c>
    </row>
    <row r="1163" spans="2:5" x14ac:dyDescent="0.3">
      <c r="B1163" s="102">
        <v>44490.645833333336</v>
      </c>
      <c r="C1163" s="108">
        <v>2395.6999999999998</v>
      </c>
      <c r="D1163" s="261">
        <f t="shared" si="22"/>
        <v>-6.5107406485859966E-3</v>
      </c>
      <c r="E1163" s="259">
        <v>-1.2343861199047873E-2</v>
      </c>
    </row>
    <row r="1164" spans="2:5" x14ac:dyDescent="0.3">
      <c r="B1164" s="102">
        <v>44489.645833333336</v>
      </c>
      <c r="C1164" s="108">
        <v>2411.4</v>
      </c>
      <c r="D1164" s="261">
        <f t="shared" si="22"/>
        <v>-2.9578655076663043E-2</v>
      </c>
      <c r="E1164" s="259">
        <v>-1.237311550243266E-2</v>
      </c>
    </row>
    <row r="1165" spans="2:5" x14ac:dyDescent="0.3">
      <c r="B1165" s="102">
        <v>44488.645833333336</v>
      </c>
      <c r="C1165" s="108">
        <v>2484.9</v>
      </c>
      <c r="D1165" s="261">
        <f t="shared" si="22"/>
        <v>-4.0134425216316473E-2</v>
      </c>
      <c r="E1165" s="259">
        <v>-1.2478729438457065E-2</v>
      </c>
    </row>
    <row r="1166" spans="2:5" x14ac:dyDescent="0.3">
      <c r="B1166" s="102">
        <v>44487.645833333336</v>
      </c>
      <c r="C1166" s="108">
        <v>2588.8000000000002</v>
      </c>
      <c r="D1166" s="261">
        <f t="shared" si="22"/>
        <v>9.6526978803065464E-3</v>
      </c>
      <c r="E1166" s="259">
        <v>-1.2513412625247362E-2</v>
      </c>
    </row>
    <row r="1167" spans="2:5" x14ac:dyDescent="0.3">
      <c r="B1167" s="102">
        <v>44483.645833333336</v>
      </c>
      <c r="C1167" s="108">
        <v>2564.0500000000002</v>
      </c>
      <c r="D1167" s="261">
        <f t="shared" si="22"/>
        <v>1.0582531924956789E-2</v>
      </c>
      <c r="E1167" s="259">
        <v>-1.2545263403807924E-2</v>
      </c>
    </row>
    <row r="1168" spans="2:5" x14ac:dyDescent="0.3">
      <c r="B1168" s="102">
        <v>44482.645833333336</v>
      </c>
      <c r="C1168" s="108">
        <v>2537.1999999999998</v>
      </c>
      <c r="D1168" s="261">
        <f t="shared" si="22"/>
        <v>1.7892963170986084E-2</v>
      </c>
      <c r="E1168" s="259">
        <v>-1.2552465382654062E-2</v>
      </c>
    </row>
    <row r="1169" spans="2:5" x14ac:dyDescent="0.3">
      <c r="B1169" s="102">
        <v>44481.645833333336</v>
      </c>
      <c r="C1169" s="108">
        <v>2492.6</v>
      </c>
      <c r="D1169" s="261">
        <f t="shared" si="22"/>
        <v>5.5113443955299615E-2</v>
      </c>
      <c r="E1169" s="259">
        <v>-1.2559450915615403E-2</v>
      </c>
    </row>
    <row r="1170" spans="2:5" x14ac:dyDescent="0.3">
      <c r="B1170" s="102">
        <v>44480.645833333336</v>
      </c>
      <c r="C1170" s="108">
        <v>2362.4</v>
      </c>
      <c r="D1170" s="261">
        <f t="shared" si="22"/>
        <v>1.7810194215928561E-3</v>
      </c>
      <c r="E1170" s="259">
        <v>-1.2562573121847371E-2</v>
      </c>
    </row>
    <row r="1171" spans="2:5" x14ac:dyDescent="0.3">
      <c r="B1171" s="102">
        <v>44477.645833333336</v>
      </c>
      <c r="C1171" s="108">
        <v>2358.1999999999998</v>
      </c>
      <c r="D1171" s="261">
        <f t="shared" si="22"/>
        <v>-7.2199886332540856E-3</v>
      </c>
      <c r="E1171" s="259">
        <v>-1.2580714336772207E-2</v>
      </c>
    </row>
    <row r="1172" spans="2:5" x14ac:dyDescent="0.3">
      <c r="B1172" s="102">
        <v>44476.645833333336</v>
      </c>
      <c r="C1172" s="108">
        <v>2375.35</v>
      </c>
      <c r="D1172" s="261">
        <f t="shared" si="22"/>
        <v>0.10602286219821656</v>
      </c>
      <c r="E1172" s="259">
        <v>-1.2589500383101294E-2</v>
      </c>
    </row>
    <row r="1173" spans="2:5" x14ac:dyDescent="0.3">
      <c r="B1173" s="102">
        <v>44475.645833333336</v>
      </c>
      <c r="C1173" s="108">
        <v>2147.65</v>
      </c>
      <c r="D1173" s="261">
        <f t="shared" si="22"/>
        <v>-2.0523111303673635E-2</v>
      </c>
      <c r="E1173" s="259">
        <v>-1.2765314600800664E-2</v>
      </c>
    </row>
    <row r="1174" spans="2:5" x14ac:dyDescent="0.3">
      <c r="B1174" s="102">
        <v>44474.645833333336</v>
      </c>
      <c r="C1174" s="108">
        <v>2192.65</v>
      </c>
      <c r="D1174" s="261">
        <f t="shared" si="22"/>
        <v>1.7329374101053174E-2</v>
      </c>
      <c r="E1174" s="259">
        <v>-1.2797472104275735E-2</v>
      </c>
    </row>
    <row r="1175" spans="2:5" x14ac:dyDescent="0.3">
      <c r="B1175" s="102">
        <v>44473.645833333336</v>
      </c>
      <c r="C1175" s="108">
        <v>2155.3000000000002</v>
      </c>
      <c r="D1175" s="261">
        <f t="shared" si="22"/>
        <v>-3.905257076834116E-3</v>
      </c>
      <c r="E1175" s="259">
        <v>-1.2814964416233936E-2</v>
      </c>
    </row>
    <row r="1176" spans="2:5" x14ac:dyDescent="0.3">
      <c r="B1176" s="102">
        <v>44470.645833333336</v>
      </c>
      <c r="C1176" s="108">
        <v>2163.75</v>
      </c>
      <c r="D1176" s="261">
        <f t="shared" si="22"/>
        <v>8.7887688785072556E-4</v>
      </c>
      <c r="E1176" s="259">
        <v>-1.2820324114278907E-2</v>
      </c>
    </row>
    <row r="1177" spans="2:5" x14ac:dyDescent="0.3">
      <c r="B1177" s="102">
        <v>44469.645833333336</v>
      </c>
      <c r="C1177" s="108">
        <v>2161.85</v>
      </c>
      <c r="D1177" s="261">
        <f t="shared" si="22"/>
        <v>6.6821885913852892E-3</v>
      </c>
      <c r="E1177" s="259">
        <v>-1.3009417113167611E-2</v>
      </c>
    </row>
    <row r="1178" spans="2:5" x14ac:dyDescent="0.3">
      <c r="B1178" s="102">
        <v>44468.645833333336</v>
      </c>
      <c r="C1178" s="108">
        <v>2147.5</v>
      </c>
      <c r="D1178" s="261">
        <f t="shared" si="22"/>
        <v>8.5474099469308295E-3</v>
      </c>
      <c r="E1178" s="259">
        <v>-1.3100584123982757E-2</v>
      </c>
    </row>
    <row r="1179" spans="2:5" x14ac:dyDescent="0.3">
      <c r="B1179" s="102">
        <v>44467.645833333336</v>
      </c>
      <c r="C1179" s="108">
        <v>2129.3000000000002</v>
      </c>
      <c r="D1179" s="261">
        <f t="shared" si="22"/>
        <v>1.8681975840210589E-2</v>
      </c>
      <c r="E1179" s="259">
        <v>-1.3145994152661801E-2</v>
      </c>
    </row>
    <row r="1180" spans="2:5" x14ac:dyDescent="0.3">
      <c r="B1180" s="102">
        <v>44466.645833333336</v>
      </c>
      <c r="C1180" s="108">
        <v>2090.25</v>
      </c>
      <c r="D1180" s="261">
        <f t="shared" si="22"/>
        <v>-1.2661856753787045E-3</v>
      </c>
      <c r="E1180" s="259">
        <v>-1.3217793183131096E-2</v>
      </c>
    </row>
    <row r="1181" spans="2:5" x14ac:dyDescent="0.3">
      <c r="B1181" s="102">
        <v>44463.645833333336</v>
      </c>
      <c r="C1181" s="108">
        <v>2092.9</v>
      </c>
      <c r="D1181" s="261">
        <f t="shared" si="22"/>
        <v>-5.7718343982328642E-3</v>
      </c>
      <c r="E1181" s="259">
        <v>-1.3224749173453126E-2</v>
      </c>
    </row>
    <row r="1182" spans="2:5" x14ac:dyDescent="0.3">
      <c r="B1182" s="102">
        <v>44462.645833333336</v>
      </c>
      <c r="C1182" s="108">
        <v>2105.0500000000002</v>
      </c>
      <c r="D1182" s="261">
        <f t="shared" si="22"/>
        <v>1.1532639773191416E-2</v>
      </c>
      <c r="E1182" s="259">
        <v>-1.3242599723683877E-2</v>
      </c>
    </row>
    <row r="1183" spans="2:5" x14ac:dyDescent="0.3">
      <c r="B1183" s="102">
        <v>44461.645833333336</v>
      </c>
      <c r="C1183" s="108">
        <v>2081.0500000000002</v>
      </c>
      <c r="D1183" s="261">
        <f t="shared" si="22"/>
        <v>-2.3012201260875554E-3</v>
      </c>
      <c r="E1183" s="259">
        <v>-1.337669411425459E-2</v>
      </c>
    </row>
    <row r="1184" spans="2:5" x14ac:dyDescent="0.3">
      <c r="B1184" s="102">
        <v>44460.645833333336</v>
      </c>
      <c r="C1184" s="108">
        <v>2085.85</v>
      </c>
      <c r="D1184" s="261">
        <f t="shared" si="22"/>
        <v>4.0917515103376899E-3</v>
      </c>
      <c r="E1184" s="259">
        <v>-1.342108659181835E-2</v>
      </c>
    </row>
    <row r="1185" spans="2:5" x14ac:dyDescent="0.3">
      <c r="B1185" s="102">
        <v>44459.645833333336</v>
      </c>
      <c r="C1185" s="108">
        <v>2077.35</v>
      </c>
      <c r="D1185" s="261">
        <f t="shared" si="22"/>
        <v>-8.7087230387478537E-3</v>
      </c>
      <c r="E1185" s="259">
        <v>-1.3444783512449734E-2</v>
      </c>
    </row>
    <row r="1186" spans="2:5" x14ac:dyDescent="0.3">
      <c r="B1186" s="102">
        <v>44456.645833333336</v>
      </c>
      <c r="C1186" s="108">
        <v>2095.6</v>
      </c>
      <c r="D1186" s="261">
        <f t="shared" si="22"/>
        <v>-6.2123583250343391E-3</v>
      </c>
      <c r="E1186" s="259">
        <v>-1.3461579293797829E-2</v>
      </c>
    </row>
    <row r="1187" spans="2:5" x14ac:dyDescent="0.3">
      <c r="B1187" s="102">
        <v>44455.645833333336</v>
      </c>
      <c r="C1187" s="108">
        <v>2108.6999999999998</v>
      </c>
      <c r="D1187" s="261">
        <f t="shared" si="22"/>
        <v>-5.2598061183574737E-3</v>
      </c>
      <c r="E1187" s="259">
        <v>-1.3468853276797442E-2</v>
      </c>
    </row>
    <row r="1188" spans="2:5" x14ac:dyDescent="0.3">
      <c r="B1188" s="102">
        <v>44454.645833333336</v>
      </c>
      <c r="C1188" s="108">
        <v>2119.85</v>
      </c>
      <c r="D1188" s="261">
        <f t="shared" si="22"/>
        <v>3.1205915260008803E-2</v>
      </c>
      <c r="E1188" s="259">
        <v>-1.3619402985074589E-2</v>
      </c>
    </row>
    <row r="1189" spans="2:5" x14ac:dyDescent="0.3">
      <c r="B1189" s="102">
        <v>44453.645833333336</v>
      </c>
      <c r="C1189" s="108">
        <v>2055.6999999999998</v>
      </c>
      <c r="D1189" s="261">
        <f t="shared" si="22"/>
        <v>1.2335951542609374E-2</v>
      </c>
      <c r="E1189" s="259">
        <v>-1.3647475505765151E-2</v>
      </c>
    </row>
    <row r="1190" spans="2:5" x14ac:dyDescent="0.3">
      <c r="B1190" s="102">
        <v>44452.645833333336</v>
      </c>
      <c r="C1190" s="108">
        <v>2030.65</v>
      </c>
      <c r="D1190" s="261">
        <f t="shared" si="22"/>
        <v>-1.7942289731110769E-3</v>
      </c>
      <c r="E1190" s="259">
        <v>-1.3657497094149686E-2</v>
      </c>
    </row>
    <row r="1191" spans="2:5" x14ac:dyDescent="0.3">
      <c r="B1191" s="102">
        <v>44448.645833333336</v>
      </c>
      <c r="C1191" s="108">
        <v>2034.3</v>
      </c>
      <c r="D1191" s="261">
        <f t="shared" si="22"/>
        <v>-1.053041173180275E-2</v>
      </c>
      <c r="E1191" s="259">
        <v>-1.3675566092842723E-2</v>
      </c>
    </row>
    <row r="1192" spans="2:5" x14ac:dyDescent="0.3">
      <c r="B1192" s="102">
        <v>44447.645833333336</v>
      </c>
      <c r="C1192" s="108">
        <v>2055.9499999999998</v>
      </c>
      <c r="D1192" s="261">
        <f t="shared" si="22"/>
        <v>1.0841240965632394E-2</v>
      </c>
      <c r="E1192" s="259">
        <v>-1.3719214413439613E-2</v>
      </c>
    </row>
    <row r="1193" spans="2:5" x14ac:dyDescent="0.3">
      <c r="B1193" s="102">
        <v>44446.645833333336</v>
      </c>
      <c r="C1193" s="108">
        <v>2033.9</v>
      </c>
      <c r="D1193" s="261">
        <f t="shared" si="22"/>
        <v>6.5572959196298214E-3</v>
      </c>
      <c r="E1193" s="259">
        <v>-1.3789198206332984E-2</v>
      </c>
    </row>
    <row r="1194" spans="2:5" x14ac:dyDescent="0.3">
      <c r="B1194" s="102">
        <v>44445.645833333336</v>
      </c>
      <c r="C1194" s="108">
        <v>2020.65</v>
      </c>
      <c r="D1194" s="261">
        <f t="shared" si="22"/>
        <v>6.6854850690840212E-4</v>
      </c>
      <c r="E1194" s="259">
        <v>-1.3901444384178032E-2</v>
      </c>
    </row>
    <row r="1195" spans="2:5" x14ac:dyDescent="0.3">
      <c r="B1195" s="102">
        <v>44442.645833333336</v>
      </c>
      <c r="C1195" s="108">
        <v>2019.3</v>
      </c>
      <c r="D1195" s="261">
        <f t="shared" si="22"/>
        <v>2.6536525850236414E-2</v>
      </c>
      <c r="E1195" s="259">
        <v>-1.3948006024490835E-2</v>
      </c>
    </row>
    <row r="1196" spans="2:5" x14ac:dyDescent="0.3">
      <c r="B1196" s="102">
        <v>44441.645833333336</v>
      </c>
      <c r="C1196" s="108">
        <v>1967.1</v>
      </c>
      <c r="D1196" s="261">
        <f t="shared" si="22"/>
        <v>1.4282767866350323E-2</v>
      </c>
      <c r="E1196" s="259">
        <v>-1.4097414499083605E-2</v>
      </c>
    </row>
    <row r="1197" spans="2:5" x14ac:dyDescent="0.3">
      <c r="B1197" s="102">
        <v>44440.645833333336</v>
      </c>
      <c r="C1197" s="108">
        <v>1939.4</v>
      </c>
      <c r="D1197" s="261">
        <f t="shared" si="22"/>
        <v>9.2631140716070894E-3</v>
      </c>
      <c r="E1197" s="259">
        <v>-1.4144840870540284E-2</v>
      </c>
    </row>
    <row r="1198" spans="2:5" x14ac:dyDescent="0.3">
      <c r="B1198" s="102">
        <v>44439.645833333336</v>
      </c>
      <c r="C1198" s="108">
        <v>1921.6</v>
      </c>
      <c r="D1198" s="261">
        <f t="shared" si="22"/>
        <v>2.2971066570842909E-2</v>
      </c>
      <c r="E1198" s="259">
        <v>-1.4221419386442906E-2</v>
      </c>
    </row>
    <row r="1199" spans="2:5" x14ac:dyDescent="0.3">
      <c r="B1199" s="102">
        <v>44438.645833333336</v>
      </c>
      <c r="C1199" s="108">
        <v>1878.45</v>
      </c>
      <c r="D1199" s="261">
        <f t="shared" si="22"/>
        <v>3.0671312172505606E-2</v>
      </c>
      <c r="E1199" s="259">
        <v>-1.4240117849251135E-2</v>
      </c>
    </row>
    <row r="1200" spans="2:5" x14ac:dyDescent="0.3">
      <c r="B1200" s="102">
        <v>44435.645833333336</v>
      </c>
      <c r="C1200" s="108">
        <v>1822.55</v>
      </c>
      <c r="D1200" s="261">
        <f t="shared" si="22"/>
        <v>3.9661773211777593E-3</v>
      </c>
      <c r="E1200" s="259">
        <v>-1.4242673240208238E-2</v>
      </c>
    </row>
    <row r="1201" spans="2:5" x14ac:dyDescent="0.3">
      <c r="B1201" s="102">
        <v>44434.645833333336</v>
      </c>
      <c r="C1201" s="108">
        <v>1815.35</v>
      </c>
      <c r="D1201" s="261">
        <f t="shared" si="22"/>
        <v>-4.0051573258717702E-3</v>
      </c>
      <c r="E1201" s="259">
        <v>-1.4309410046295195E-2</v>
      </c>
    </row>
    <row r="1202" spans="2:5" x14ac:dyDescent="0.3">
      <c r="B1202" s="102">
        <v>44433.645833333336</v>
      </c>
      <c r="C1202" s="108">
        <v>1822.65</v>
      </c>
      <c r="D1202" s="261">
        <f t="shared" si="22"/>
        <v>-2.5112323491655875E-2</v>
      </c>
      <c r="E1202" s="259">
        <v>-1.4342419449871307E-2</v>
      </c>
    </row>
    <row r="1203" spans="2:5" x14ac:dyDescent="0.3">
      <c r="B1203" s="102">
        <v>44432.645833333336</v>
      </c>
      <c r="C1203" s="108">
        <v>1869.6</v>
      </c>
      <c r="D1203" s="261">
        <f t="shared" si="22"/>
        <v>-4.0099446627636539E-4</v>
      </c>
      <c r="E1203" s="259">
        <v>-1.4583795782463889E-2</v>
      </c>
    </row>
    <row r="1204" spans="2:5" x14ac:dyDescent="0.3">
      <c r="B1204" s="102">
        <v>44431.645833333336</v>
      </c>
      <c r="C1204" s="108">
        <v>1870.35</v>
      </c>
      <c r="D1204" s="261">
        <f t="shared" si="22"/>
        <v>-3.4367007672634516E-3</v>
      </c>
      <c r="E1204" s="259">
        <v>-1.4670225554717906E-2</v>
      </c>
    </row>
    <row r="1205" spans="2:5" x14ac:dyDescent="0.3">
      <c r="B1205" s="102">
        <v>44428.645833333336</v>
      </c>
      <c r="C1205" s="108">
        <v>1876.8</v>
      </c>
      <c r="D1205" s="261">
        <f t="shared" si="22"/>
        <v>-1.86140509493166E-3</v>
      </c>
      <c r="E1205" s="259">
        <v>-1.4679264407761433E-2</v>
      </c>
    </row>
    <row r="1206" spans="2:5" x14ac:dyDescent="0.3">
      <c r="B1206" s="102">
        <v>44426.645833333336</v>
      </c>
      <c r="C1206" s="108">
        <v>1880.3</v>
      </c>
      <c r="D1206" s="261">
        <f t="shared" si="22"/>
        <v>3.1209154685373892E-3</v>
      </c>
      <c r="E1206" s="259">
        <v>-1.4710494055934062E-2</v>
      </c>
    </row>
    <row r="1207" spans="2:5" x14ac:dyDescent="0.3">
      <c r="B1207" s="102">
        <v>44425.645833333336</v>
      </c>
      <c r="C1207" s="108">
        <v>1874.45</v>
      </c>
      <c r="D1207" s="261">
        <f t="shared" si="22"/>
        <v>2.0275419116046158E-2</v>
      </c>
      <c r="E1207" s="259">
        <v>-1.4725311020587913E-2</v>
      </c>
    </row>
    <row r="1208" spans="2:5" x14ac:dyDescent="0.3">
      <c r="B1208" s="102">
        <v>44424.645833333336</v>
      </c>
      <c r="C1208" s="108">
        <v>1837.2</v>
      </c>
      <c r="D1208" s="261">
        <f t="shared" si="22"/>
        <v>-3.8086947059146059E-4</v>
      </c>
      <c r="E1208" s="259">
        <v>-1.4727517930484806E-2</v>
      </c>
    </row>
    <row r="1209" spans="2:5" x14ac:dyDescent="0.3">
      <c r="B1209" s="102">
        <v>44421.645833333336</v>
      </c>
      <c r="C1209" s="108">
        <v>1837.9</v>
      </c>
      <c r="D1209" s="261">
        <f t="shared" si="22"/>
        <v>7.8416319368283527E-3</v>
      </c>
      <c r="E1209" s="259">
        <v>-1.4782822430562838E-2</v>
      </c>
    </row>
    <row r="1210" spans="2:5" x14ac:dyDescent="0.3">
      <c r="B1210" s="102">
        <v>44420.645833333336</v>
      </c>
      <c r="C1210" s="108">
        <v>1823.6</v>
      </c>
      <c r="D1210" s="261">
        <f t="shared" si="22"/>
        <v>1.9112551693304915E-2</v>
      </c>
      <c r="E1210" s="259">
        <v>-1.4855854089037045E-2</v>
      </c>
    </row>
    <row r="1211" spans="2:5" x14ac:dyDescent="0.3">
      <c r="B1211" s="102">
        <v>44419.645833333336</v>
      </c>
      <c r="C1211" s="108">
        <v>1789.4</v>
      </c>
      <c r="D1211" s="261">
        <f t="shared" si="22"/>
        <v>-5.4468652734548434E-3</v>
      </c>
      <c r="E1211" s="259">
        <v>-1.5154654432440379E-2</v>
      </c>
    </row>
    <row r="1212" spans="2:5" x14ac:dyDescent="0.3">
      <c r="B1212" s="102">
        <v>44418.645833333336</v>
      </c>
      <c r="C1212" s="108">
        <v>1799.2</v>
      </c>
      <c r="D1212" s="261">
        <f t="shared" si="22"/>
        <v>2.779090125890255E-5</v>
      </c>
      <c r="E1212" s="259">
        <v>-1.5161299379509786E-2</v>
      </c>
    </row>
    <row r="1213" spans="2:5" x14ac:dyDescent="0.3">
      <c r="B1213" s="102">
        <v>44417.645833333336</v>
      </c>
      <c r="C1213" s="108">
        <v>1799.15</v>
      </c>
      <c r="D1213" s="261">
        <f t="shared" si="22"/>
        <v>6.3767305271990437E-3</v>
      </c>
      <c r="E1213" s="259">
        <v>-1.5216181109667866E-2</v>
      </c>
    </row>
    <row r="1214" spans="2:5" x14ac:dyDescent="0.3">
      <c r="B1214" s="102">
        <v>44414.645833333336</v>
      </c>
      <c r="C1214" s="108">
        <v>1787.75</v>
      </c>
      <c r="D1214" s="261">
        <f t="shared" si="22"/>
        <v>-6.419163007836356E-3</v>
      </c>
      <c r="E1214" s="259">
        <v>-1.5225114188356304E-2</v>
      </c>
    </row>
    <row r="1215" spans="2:5" x14ac:dyDescent="0.3">
      <c r="B1215" s="102">
        <v>44413.645833333336</v>
      </c>
      <c r="C1215" s="108">
        <v>1799.3</v>
      </c>
      <c r="D1215" s="261">
        <f t="shared" si="22"/>
        <v>-1.6670371193596052E-4</v>
      </c>
      <c r="E1215" s="259">
        <v>-1.5226035012342922E-2</v>
      </c>
    </row>
    <row r="1216" spans="2:5" x14ac:dyDescent="0.3">
      <c r="B1216" s="102">
        <v>44412.645833333336</v>
      </c>
      <c r="C1216" s="108">
        <v>1799.6</v>
      </c>
      <c r="D1216" s="261">
        <f t="shared" si="22"/>
        <v>-2.2062819258776293E-2</v>
      </c>
      <c r="E1216" s="259">
        <v>-1.5237194382184276E-2</v>
      </c>
    </row>
    <row r="1217" spans="2:5" x14ac:dyDescent="0.3">
      <c r="B1217" s="102">
        <v>44411.645833333336</v>
      </c>
      <c r="C1217" s="108">
        <v>1840.2</v>
      </c>
      <c r="D1217" s="261">
        <f t="shared" si="22"/>
        <v>3.8751375913747901E-2</v>
      </c>
      <c r="E1217" s="259">
        <v>-1.5298789251869652E-2</v>
      </c>
    </row>
    <row r="1218" spans="2:5" x14ac:dyDescent="0.3">
      <c r="B1218" s="102">
        <v>44410.645833333336</v>
      </c>
      <c r="C1218" s="108">
        <v>1771.55</v>
      </c>
      <c r="D1218" s="261">
        <f t="shared" si="22"/>
        <v>3.3244874748476275E-2</v>
      </c>
      <c r="E1218" s="259">
        <v>-1.530798462760594E-2</v>
      </c>
    </row>
    <row r="1219" spans="2:5" x14ac:dyDescent="0.3">
      <c r="B1219" s="102">
        <v>44407.645833333336</v>
      </c>
      <c r="C1219" s="108">
        <v>1714.55</v>
      </c>
      <c r="D1219" s="261">
        <f t="shared" ref="D1219:D1282" si="23">(C1219-C1220)/C1220</f>
        <v>-1.4144840870540284E-2</v>
      </c>
      <c r="E1219" s="259">
        <v>-1.536878216123495E-2</v>
      </c>
    </row>
    <row r="1220" spans="2:5" x14ac:dyDescent="0.3">
      <c r="B1220" s="102">
        <v>44406.645833333336</v>
      </c>
      <c r="C1220" s="108">
        <v>1739.15</v>
      </c>
      <c r="D1220" s="261">
        <f t="shared" si="23"/>
        <v>9.0510864204694595E-3</v>
      </c>
      <c r="E1220" s="259">
        <v>-1.5370960584177154E-2</v>
      </c>
    </row>
    <row r="1221" spans="2:5" x14ac:dyDescent="0.3">
      <c r="B1221" s="102">
        <v>44405.645833333336</v>
      </c>
      <c r="C1221" s="108">
        <v>1723.55</v>
      </c>
      <c r="D1221" s="261">
        <f t="shared" si="23"/>
        <v>-3.1809375090367542E-3</v>
      </c>
      <c r="E1221" s="259">
        <v>-1.5432171041847305E-2</v>
      </c>
    </row>
    <row r="1222" spans="2:5" x14ac:dyDescent="0.3">
      <c r="B1222" s="102">
        <v>44404.645833333336</v>
      </c>
      <c r="C1222" s="108">
        <v>1729.05</v>
      </c>
      <c r="D1222" s="261">
        <f t="shared" si="23"/>
        <v>3.5986882201004414E-3</v>
      </c>
      <c r="E1222" s="259">
        <v>-1.5529672767609498E-2</v>
      </c>
    </row>
    <row r="1223" spans="2:5" x14ac:dyDescent="0.3">
      <c r="B1223" s="102">
        <v>44403.645833333336</v>
      </c>
      <c r="C1223" s="108">
        <v>1722.85</v>
      </c>
      <c r="D1223" s="261">
        <f t="shared" si="23"/>
        <v>1.2875157999941128E-2</v>
      </c>
      <c r="E1223" s="259">
        <v>-1.5607472752703933E-2</v>
      </c>
    </row>
    <row r="1224" spans="2:5" x14ac:dyDescent="0.3">
      <c r="B1224" s="102">
        <v>44400.645833333336</v>
      </c>
      <c r="C1224" s="108">
        <v>1700.95</v>
      </c>
      <c r="D1224" s="261">
        <f t="shared" si="23"/>
        <v>-4.7010430439251038E-4</v>
      </c>
      <c r="E1224" s="259">
        <v>-1.5615480809311515E-2</v>
      </c>
    </row>
    <row r="1225" spans="2:5" x14ac:dyDescent="0.3">
      <c r="B1225" s="102">
        <v>44399.645833333336</v>
      </c>
      <c r="C1225" s="108">
        <v>1701.75</v>
      </c>
      <c r="D1225" s="261">
        <f t="shared" si="23"/>
        <v>1.8158430058633424E-2</v>
      </c>
      <c r="E1225" s="259">
        <v>-1.5668439501994414E-2</v>
      </c>
    </row>
    <row r="1226" spans="2:5" x14ac:dyDescent="0.3">
      <c r="B1226" s="102">
        <v>44397.645833333336</v>
      </c>
      <c r="C1226" s="108">
        <v>1671.4</v>
      </c>
      <c r="D1226" s="261">
        <f t="shared" si="23"/>
        <v>-5.3262713125240687E-3</v>
      </c>
      <c r="E1226" s="259">
        <v>-1.5719997809059562E-2</v>
      </c>
    </row>
    <row r="1227" spans="2:5" x14ac:dyDescent="0.3">
      <c r="B1227" s="102">
        <v>44396.645833333336</v>
      </c>
      <c r="C1227" s="108">
        <v>1680.35</v>
      </c>
      <c r="D1227" s="261">
        <f t="shared" si="23"/>
        <v>-8.8477305571121011E-3</v>
      </c>
      <c r="E1227" s="259">
        <v>-1.5796567170095498E-2</v>
      </c>
    </row>
    <row r="1228" spans="2:5" x14ac:dyDescent="0.3">
      <c r="B1228" s="102">
        <v>44393.645833333336</v>
      </c>
      <c r="C1228" s="108">
        <v>1695.35</v>
      </c>
      <c r="D1228" s="261">
        <f t="shared" si="23"/>
        <v>-3.6437365931063122E-3</v>
      </c>
      <c r="E1228" s="259">
        <v>-1.5914745786582835E-2</v>
      </c>
    </row>
    <row r="1229" spans="2:5" x14ac:dyDescent="0.3">
      <c r="B1229" s="102">
        <v>44392.645833333336</v>
      </c>
      <c r="C1229" s="108">
        <v>1701.55</v>
      </c>
      <c r="D1229" s="261">
        <f t="shared" si="23"/>
        <v>-5.1451457304060311E-3</v>
      </c>
      <c r="E1229" s="259">
        <v>-1.6109071407945104E-2</v>
      </c>
    </row>
    <row r="1230" spans="2:5" x14ac:dyDescent="0.3">
      <c r="B1230" s="102">
        <v>44391.645833333336</v>
      </c>
      <c r="C1230" s="108">
        <v>1710.35</v>
      </c>
      <c r="D1230" s="261">
        <f t="shared" si="23"/>
        <v>-8.0614760040597887E-3</v>
      </c>
      <c r="E1230" s="259">
        <v>-1.6113218807280866E-2</v>
      </c>
    </row>
    <row r="1231" spans="2:5" x14ac:dyDescent="0.3">
      <c r="B1231" s="102">
        <v>44390.645833333336</v>
      </c>
      <c r="C1231" s="108">
        <v>1724.25</v>
      </c>
      <c r="D1231" s="261">
        <f t="shared" si="23"/>
        <v>2.5583626479053936E-3</v>
      </c>
      <c r="E1231" s="259">
        <v>-1.618840401220633E-2</v>
      </c>
    </row>
    <row r="1232" spans="2:5" x14ac:dyDescent="0.3">
      <c r="B1232" s="102">
        <v>44389.645833333336</v>
      </c>
      <c r="C1232" s="108">
        <v>1719.85</v>
      </c>
      <c r="D1232" s="261">
        <f t="shared" si="23"/>
        <v>-4.3589445542252704E-4</v>
      </c>
      <c r="E1232" s="259">
        <v>-1.6208937781052243E-2</v>
      </c>
    </row>
    <row r="1233" spans="2:5" x14ac:dyDescent="0.3">
      <c r="B1233" s="102">
        <v>44386.645833333336</v>
      </c>
      <c r="C1233" s="108">
        <v>1720.6</v>
      </c>
      <c r="D1233" s="261">
        <f t="shared" si="23"/>
        <v>-3.3307266776725461E-3</v>
      </c>
      <c r="E1233" s="259">
        <v>-1.6236180060915612E-2</v>
      </c>
    </row>
    <row r="1234" spans="2:5" x14ac:dyDescent="0.3">
      <c r="B1234" s="102">
        <v>44385.645833333336</v>
      </c>
      <c r="C1234" s="108">
        <v>1726.35</v>
      </c>
      <c r="D1234" s="261">
        <f t="shared" si="23"/>
        <v>-5.2105948762488983E-4</v>
      </c>
      <c r="E1234" s="259">
        <v>-1.6278749483542188E-2</v>
      </c>
    </row>
    <row r="1235" spans="2:5" x14ac:dyDescent="0.3">
      <c r="B1235" s="102">
        <v>44384.645833333336</v>
      </c>
      <c r="C1235" s="108">
        <v>1727.25</v>
      </c>
      <c r="D1235" s="261">
        <f t="shared" si="23"/>
        <v>-2.0166780122532309E-2</v>
      </c>
      <c r="E1235" s="259">
        <v>-1.6382923258938382E-2</v>
      </c>
    </row>
    <row r="1236" spans="2:5" x14ac:dyDescent="0.3">
      <c r="B1236" s="102">
        <v>44383.645833333336</v>
      </c>
      <c r="C1236" s="108">
        <v>1762.8</v>
      </c>
      <c r="D1236" s="261">
        <f t="shared" si="23"/>
        <v>7.371849819989635E-3</v>
      </c>
      <c r="E1236" s="259">
        <v>-1.641860242042505E-2</v>
      </c>
    </row>
    <row r="1237" spans="2:5" x14ac:dyDescent="0.3">
      <c r="B1237" s="102">
        <v>44382.645833333336</v>
      </c>
      <c r="C1237" s="108">
        <v>1749.9</v>
      </c>
      <c r="D1237" s="261">
        <f t="shared" si="23"/>
        <v>-2.7639264852542581E-3</v>
      </c>
      <c r="E1237" s="259">
        <v>-1.6459305339554108E-2</v>
      </c>
    </row>
    <row r="1238" spans="2:5" x14ac:dyDescent="0.3">
      <c r="B1238" s="102">
        <v>44379.645833333336</v>
      </c>
      <c r="C1238" s="108">
        <v>1754.75</v>
      </c>
      <c r="D1238" s="261">
        <f t="shared" si="23"/>
        <v>8.3031661207837986E-3</v>
      </c>
      <c r="E1238" s="259">
        <v>-1.6469313520625282E-2</v>
      </c>
    </row>
    <row r="1239" spans="2:5" x14ac:dyDescent="0.3">
      <c r="B1239" s="102">
        <v>44378.645833333336</v>
      </c>
      <c r="C1239" s="108">
        <v>1740.3</v>
      </c>
      <c r="D1239" s="261">
        <f t="shared" si="23"/>
        <v>4.5021645021644761E-3</v>
      </c>
      <c r="E1239" s="259">
        <v>-1.6553654593277276E-2</v>
      </c>
    </row>
    <row r="1240" spans="2:5" x14ac:dyDescent="0.3">
      <c r="B1240" s="102">
        <v>44377.645833333336</v>
      </c>
      <c r="C1240" s="108">
        <v>1732.5</v>
      </c>
      <c r="D1240" s="261">
        <f t="shared" si="23"/>
        <v>5.1975051975057225E-4</v>
      </c>
      <c r="E1240" s="259">
        <v>-1.6676311221000602E-2</v>
      </c>
    </row>
    <row r="1241" spans="2:5" x14ac:dyDescent="0.3">
      <c r="B1241" s="102">
        <v>44376.645833333336</v>
      </c>
      <c r="C1241" s="108">
        <v>1731.6</v>
      </c>
      <c r="D1241" s="261">
        <f t="shared" si="23"/>
        <v>2.0543387054772458E-3</v>
      </c>
      <c r="E1241" s="259">
        <v>-1.6697099184910455E-2</v>
      </c>
    </row>
    <row r="1242" spans="2:5" x14ac:dyDescent="0.3">
      <c r="B1242" s="102">
        <v>44375.645833333336</v>
      </c>
      <c r="C1242" s="108">
        <v>1728.05</v>
      </c>
      <c r="D1242" s="261">
        <f t="shared" si="23"/>
        <v>-1.4710494055934062E-2</v>
      </c>
      <c r="E1242" s="259">
        <v>-1.6706344812313118E-2</v>
      </c>
    </row>
    <row r="1243" spans="2:5" x14ac:dyDescent="0.3">
      <c r="B1243" s="102">
        <v>44372.645833333336</v>
      </c>
      <c r="C1243" s="108">
        <v>1753.85</v>
      </c>
      <c r="D1243" s="261">
        <f t="shared" si="23"/>
        <v>-1.5161299379509786E-2</v>
      </c>
      <c r="E1243" s="259">
        <v>-1.6713901605987937E-2</v>
      </c>
    </row>
    <row r="1244" spans="2:5" x14ac:dyDescent="0.3">
      <c r="B1244" s="102">
        <v>44371.645833333336</v>
      </c>
      <c r="C1244" s="108">
        <v>1780.85</v>
      </c>
      <c r="D1244" s="261">
        <f t="shared" si="23"/>
        <v>-9.5368993857117366E-4</v>
      </c>
      <c r="E1244" s="259">
        <v>-1.7018539095853637E-2</v>
      </c>
    </row>
    <row r="1245" spans="2:5" x14ac:dyDescent="0.3">
      <c r="B1245" s="102">
        <v>44370.645833333336</v>
      </c>
      <c r="C1245" s="108">
        <v>1782.55</v>
      </c>
      <c r="D1245" s="261">
        <f t="shared" si="23"/>
        <v>1.4541832669322683E-2</v>
      </c>
      <c r="E1245" s="259">
        <v>-1.7065289752707463E-2</v>
      </c>
    </row>
    <row r="1246" spans="2:5" x14ac:dyDescent="0.3">
      <c r="B1246" s="102">
        <v>44369.645833333336</v>
      </c>
      <c r="C1246" s="108">
        <v>1757</v>
      </c>
      <c r="D1246" s="261">
        <f t="shared" si="23"/>
        <v>8.1188857331383028E-3</v>
      </c>
      <c r="E1246" s="259">
        <v>-1.7201608119686226E-2</v>
      </c>
    </row>
    <row r="1247" spans="2:5" x14ac:dyDescent="0.3">
      <c r="B1247" s="102">
        <v>44368.645833333336</v>
      </c>
      <c r="C1247" s="108">
        <v>1742.85</v>
      </c>
      <c r="D1247" s="261">
        <f t="shared" si="23"/>
        <v>1.8436276514930145E-2</v>
      </c>
      <c r="E1247" s="259">
        <v>-1.74996139791034E-2</v>
      </c>
    </row>
    <row r="1248" spans="2:5" x14ac:dyDescent="0.3">
      <c r="B1248" s="102">
        <v>44365.645833333336</v>
      </c>
      <c r="C1248" s="108">
        <v>1711.3</v>
      </c>
      <c r="D1248" s="261">
        <f t="shared" si="23"/>
        <v>-5.8431693350553007E-5</v>
      </c>
      <c r="E1248" s="259">
        <v>-1.7554125219426567E-2</v>
      </c>
    </row>
    <row r="1249" spans="2:5" x14ac:dyDescent="0.3">
      <c r="B1249" s="102">
        <v>44364.645833333336</v>
      </c>
      <c r="C1249" s="108">
        <v>1711.4</v>
      </c>
      <c r="D1249" s="261">
        <f t="shared" si="23"/>
        <v>-2.0700311962447617E-3</v>
      </c>
      <c r="E1249" s="259">
        <v>-1.7637129164322096E-2</v>
      </c>
    </row>
    <row r="1250" spans="2:5" x14ac:dyDescent="0.3">
      <c r="B1250" s="102">
        <v>44363.645833333336</v>
      </c>
      <c r="C1250" s="108">
        <v>1714.95</v>
      </c>
      <c r="D1250" s="261">
        <f t="shared" si="23"/>
        <v>-4.9030985261692269E-3</v>
      </c>
      <c r="E1250" s="259">
        <v>-1.7686954208963202E-2</v>
      </c>
    </row>
    <row r="1251" spans="2:5" x14ac:dyDescent="0.3">
      <c r="B1251" s="102">
        <v>44362.645833333336</v>
      </c>
      <c r="C1251" s="108">
        <v>1723.4</v>
      </c>
      <c r="D1251" s="261">
        <f t="shared" si="23"/>
        <v>-6.5713626931057549E-3</v>
      </c>
      <c r="E1251" s="259">
        <v>-1.7689365921216307E-2</v>
      </c>
    </row>
    <row r="1252" spans="2:5" x14ac:dyDescent="0.3">
      <c r="B1252" s="102">
        <v>44361.645833333336</v>
      </c>
      <c r="C1252" s="108">
        <v>1734.8</v>
      </c>
      <c r="D1252" s="261">
        <f t="shared" si="23"/>
        <v>3.6738117966964093E-3</v>
      </c>
      <c r="E1252" s="259">
        <v>-1.7810952627300272E-2</v>
      </c>
    </row>
    <row r="1253" spans="2:5" x14ac:dyDescent="0.3">
      <c r="B1253" s="102">
        <v>44358.645833333336</v>
      </c>
      <c r="C1253" s="108">
        <v>1728.45</v>
      </c>
      <c r="D1253" s="261">
        <f t="shared" si="23"/>
        <v>-5.8666206539556807E-3</v>
      </c>
      <c r="E1253" s="259">
        <v>-1.7825201039025736E-2</v>
      </c>
    </row>
    <row r="1254" spans="2:5" x14ac:dyDescent="0.3">
      <c r="B1254" s="102">
        <v>44357.645833333336</v>
      </c>
      <c r="C1254" s="108">
        <v>1738.65</v>
      </c>
      <c r="D1254" s="261">
        <f t="shared" si="23"/>
        <v>4.5644951610573975E-3</v>
      </c>
      <c r="E1254" s="259">
        <v>-1.8001227854762401E-2</v>
      </c>
    </row>
    <row r="1255" spans="2:5" x14ac:dyDescent="0.3">
      <c r="B1255" s="102">
        <v>44356.645833333336</v>
      </c>
      <c r="C1255" s="108">
        <v>1730.75</v>
      </c>
      <c r="D1255" s="261">
        <f t="shared" si="23"/>
        <v>1.0656934306569343E-2</v>
      </c>
      <c r="E1255" s="259">
        <v>-1.8118538233186612E-2</v>
      </c>
    </row>
    <row r="1256" spans="2:5" x14ac:dyDescent="0.3">
      <c r="B1256" s="102">
        <v>44355.645833333336</v>
      </c>
      <c r="C1256" s="108">
        <v>1712.5</v>
      </c>
      <c r="D1256" s="261">
        <f t="shared" si="23"/>
        <v>1.626016260162607E-2</v>
      </c>
      <c r="E1256" s="259">
        <v>-1.8311934329614817E-2</v>
      </c>
    </row>
    <row r="1257" spans="2:5" x14ac:dyDescent="0.3">
      <c r="B1257" s="102">
        <v>44354.645833333336</v>
      </c>
      <c r="C1257" s="108">
        <v>1685.1</v>
      </c>
      <c r="D1257" s="261">
        <f t="shared" si="23"/>
        <v>3.3343256921702347E-3</v>
      </c>
      <c r="E1257" s="259">
        <v>-1.8458157846548286E-2</v>
      </c>
    </row>
    <row r="1258" spans="2:5" x14ac:dyDescent="0.3">
      <c r="B1258" s="102">
        <v>44351.645833333336</v>
      </c>
      <c r="C1258" s="108">
        <v>1679.5</v>
      </c>
      <c r="D1258" s="261">
        <f t="shared" si="23"/>
        <v>-6.9181646168401398E-3</v>
      </c>
      <c r="E1258" s="259">
        <v>-1.8550174105729584E-2</v>
      </c>
    </row>
    <row r="1259" spans="2:5" x14ac:dyDescent="0.3">
      <c r="B1259" s="102">
        <v>44350.645833333336</v>
      </c>
      <c r="C1259" s="108">
        <v>1691.2</v>
      </c>
      <c r="D1259" s="261">
        <f t="shared" si="23"/>
        <v>6.6532130920098381E-2</v>
      </c>
      <c r="E1259" s="259">
        <v>-1.855210861852815E-2</v>
      </c>
    </row>
    <row r="1260" spans="2:5" x14ac:dyDescent="0.3">
      <c r="B1260" s="102">
        <v>44349.645833333336</v>
      </c>
      <c r="C1260" s="108">
        <v>1585.7</v>
      </c>
      <c r="D1260" s="261">
        <f t="shared" si="23"/>
        <v>-3.5817519165514925E-3</v>
      </c>
      <c r="E1260" s="259">
        <v>-1.8601937215544363E-2</v>
      </c>
    </row>
    <row r="1261" spans="2:5" x14ac:dyDescent="0.3">
      <c r="B1261" s="102">
        <v>44348.645833333336</v>
      </c>
      <c r="C1261" s="108">
        <v>1591.4</v>
      </c>
      <c r="D1261" s="261">
        <f t="shared" si="23"/>
        <v>-3.0383711824588312E-3</v>
      </c>
      <c r="E1261" s="259">
        <v>-1.8619115099984207E-2</v>
      </c>
    </row>
    <row r="1262" spans="2:5" x14ac:dyDescent="0.3">
      <c r="B1262" s="102">
        <v>44347.645833333336</v>
      </c>
      <c r="C1262" s="108">
        <v>1596.25</v>
      </c>
      <c r="D1262" s="261">
        <f t="shared" si="23"/>
        <v>1.2206721623335448E-2</v>
      </c>
      <c r="E1262" s="259">
        <v>-1.8761983018351198E-2</v>
      </c>
    </row>
    <row r="1263" spans="2:5" x14ac:dyDescent="0.3">
      <c r="B1263" s="102">
        <v>44344.645833333336</v>
      </c>
      <c r="C1263" s="108">
        <v>1577</v>
      </c>
      <c r="D1263" s="261">
        <f t="shared" si="23"/>
        <v>-1.0820134859651874E-2</v>
      </c>
      <c r="E1263" s="259">
        <v>-1.8811197334741753E-2</v>
      </c>
    </row>
    <row r="1264" spans="2:5" x14ac:dyDescent="0.3">
      <c r="B1264" s="102">
        <v>44343.645833333336</v>
      </c>
      <c r="C1264" s="108">
        <v>1594.25</v>
      </c>
      <c r="D1264" s="261">
        <f t="shared" si="23"/>
        <v>7.1385703907261471E-3</v>
      </c>
      <c r="E1264" s="259">
        <v>-1.8909504514111081E-2</v>
      </c>
    </row>
    <row r="1265" spans="2:5" x14ac:dyDescent="0.3">
      <c r="B1265" s="102">
        <v>44342.645833333336</v>
      </c>
      <c r="C1265" s="108">
        <v>1582.95</v>
      </c>
      <c r="D1265" s="261">
        <f t="shared" si="23"/>
        <v>8.7945703087658634E-3</v>
      </c>
      <c r="E1265" s="259">
        <v>-1.8921349811785931E-2</v>
      </c>
    </row>
    <row r="1266" spans="2:5" x14ac:dyDescent="0.3">
      <c r="B1266" s="102">
        <v>44341.645833333336</v>
      </c>
      <c r="C1266" s="108">
        <v>1569.15</v>
      </c>
      <c r="D1266" s="261">
        <f t="shared" si="23"/>
        <v>3.1826401446654669E-2</v>
      </c>
      <c r="E1266" s="259">
        <v>-1.8958499546997434E-2</v>
      </c>
    </row>
    <row r="1267" spans="2:5" x14ac:dyDescent="0.3">
      <c r="B1267" s="102">
        <v>44340.645833333336</v>
      </c>
      <c r="C1267" s="108">
        <v>1520.75</v>
      </c>
      <c r="D1267" s="261">
        <f t="shared" si="23"/>
        <v>-1.1440829460135801E-2</v>
      </c>
      <c r="E1267" s="259">
        <v>-1.920596744396804E-2</v>
      </c>
    </row>
    <row r="1268" spans="2:5" x14ac:dyDescent="0.3">
      <c r="B1268" s="102">
        <v>44337.645833333336</v>
      </c>
      <c r="C1268" s="108">
        <v>1538.35</v>
      </c>
      <c r="D1268" s="261">
        <f t="shared" si="23"/>
        <v>4.5711300486498841E-3</v>
      </c>
      <c r="E1268" s="259">
        <v>-1.9235660689304337E-2</v>
      </c>
    </row>
    <row r="1269" spans="2:5" x14ac:dyDescent="0.3">
      <c r="B1269" s="102">
        <v>44336.645833333336</v>
      </c>
      <c r="C1269" s="108">
        <v>1531.35</v>
      </c>
      <c r="D1269" s="261">
        <f t="shared" si="23"/>
        <v>6.7054531111329042E-3</v>
      </c>
      <c r="E1269" s="259">
        <v>-1.9319102945149932E-2</v>
      </c>
    </row>
    <row r="1270" spans="2:5" x14ac:dyDescent="0.3">
      <c r="B1270" s="102">
        <v>44335.645833333336</v>
      </c>
      <c r="C1270" s="108">
        <v>1521.15</v>
      </c>
      <c r="D1270" s="261">
        <f t="shared" si="23"/>
        <v>-1.1758973526067831E-2</v>
      </c>
      <c r="E1270" s="259">
        <v>-1.9490060501296484E-2</v>
      </c>
    </row>
    <row r="1271" spans="2:5" x14ac:dyDescent="0.3">
      <c r="B1271" s="102">
        <v>44334.645833333336</v>
      </c>
      <c r="C1271" s="108">
        <v>1539.25</v>
      </c>
      <c r="D1271" s="261">
        <f t="shared" si="23"/>
        <v>4.8321187768167302E-2</v>
      </c>
      <c r="E1271" s="259">
        <v>-1.9592653561860438E-2</v>
      </c>
    </row>
    <row r="1272" spans="2:5" x14ac:dyDescent="0.3">
      <c r="B1272" s="102">
        <v>44333.645833333336</v>
      </c>
      <c r="C1272" s="108">
        <v>1468.3</v>
      </c>
      <c r="D1272" s="261">
        <f t="shared" si="23"/>
        <v>8.5517051894082804E-3</v>
      </c>
      <c r="E1272" s="259">
        <v>-1.9904889941208304E-2</v>
      </c>
    </row>
    <row r="1273" spans="2:5" x14ac:dyDescent="0.3">
      <c r="B1273" s="102">
        <v>44330.645833333336</v>
      </c>
      <c r="C1273" s="108">
        <v>1455.85</v>
      </c>
      <c r="D1273" s="261">
        <f t="shared" si="23"/>
        <v>6.1857795800533591E-4</v>
      </c>
      <c r="E1273" s="259">
        <v>-1.9979016786570769E-2</v>
      </c>
    </row>
    <row r="1274" spans="2:5" x14ac:dyDescent="0.3">
      <c r="B1274" s="102">
        <v>44328.645833333336</v>
      </c>
      <c r="C1274" s="108">
        <v>1454.95</v>
      </c>
      <c r="D1274" s="261">
        <f t="shared" si="23"/>
        <v>1.3725831736631281E-2</v>
      </c>
      <c r="E1274" s="259">
        <v>-2.0003935200367286E-2</v>
      </c>
    </row>
    <row r="1275" spans="2:5" x14ac:dyDescent="0.3">
      <c r="B1275" s="102">
        <v>44327.645833333336</v>
      </c>
      <c r="C1275" s="108">
        <v>1435.25</v>
      </c>
      <c r="D1275" s="261">
        <f t="shared" si="23"/>
        <v>-1.3675566092842723E-2</v>
      </c>
      <c r="E1275" s="259">
        <v>-2.0119681477642308E-2</v>
      </c>
    </row>
    <row r="1276" spans="2:5" x14ac:dyDescent="0.3">
      <c r="B1276" s="102">
        <v>44326.645833333336</v>
      </c>
      <c r="C1276" s="108">
        <v>1455.15</v>
      </c>
      <c r="D1276" s="261">
        <f t="shared" si="23"/>
        <v>5.9799516073280956E-3</v>
      </c>
      <c r="E1276" s="259">
        <v>-2.0134802000655511E-2</v>
      </c>
    </row>
    <row r="1277" spans="2:5" x14ac:dyDescent="0.3">
      <c r="B1277" s="102">
        <v>44323.645833333336</v>
      </c>
      <c r="C1277" s="108">
        <v>1446.5</v>
      </c>
      <c r="D1277" s="261">
        <f t="shared" si="23"/>
        <v>1.4538908889503662E-3</v>
      </c>
      <c r="E1277" s="259">
        <v>-2.0157098301952229E-2</v>
      </c>
    </row>
    <row r="1278" spans="2:5" x14ac:dyDescent="0.3">
      <c r="B1278" s="102">
        <v>44322.645833333336</v>
      </c>
      <c r="C1278" s="108">
        <v>1444.4</v>
      </c>
      <c r="D1278" s="261">
        <f t="shared" si="23"/>
        <v>1.1201344161299356E-2</v>
      </c>
      <c r="E1278" s="259">
        <v>-2.0166780122532309E-2</v>
      </c>
    </row>
    <row r="1279" spans="2:5" x14ac:dyDescent="0.3">
      <c r="B1279" s="102">
        <v>44321.645833333336</v>
      </c>
      <c r="C1279" s="108">
        <v>1428.4</v>
      </c>
      <c r="D1279" s="261">
        <f t="shared" si="23"/>
        <v>1.8176634115047399E-2</v>
      </c>
      <c r="E1279" s="259">
        <v>-2.0523111303673635E-2</v>
      </c>
    </row>
    <row r="1280" spans="2:5" x14ac:dyDescent="0.3">
      <c r="B1280" s="102">
        <v>44320.645833333336</v>
      </c>
      <c r="C1280" s="108">
        <v>1402.9</v>
      </c>
      <c r="D1280" s="261">
        <f t="shared" si="23"/>
        <v>-1.4782822430562838E-2</v>
      </c>
      <c r="E1280" s="259">
        <v>-2.0550306875387874E-2</v>
      </c>
    </row>
    <row r="1281" spans="2:5" x14ac:dyDescent="0.3">
      <c r="B1281" s="102">
        <v>44319.645833333336</v>
      </c>
      <c r="C1281" s="108">
        <v>1423.95</v>
      </c>
      <c r="D1281" s="261">
        <f t="shared" si="23"/>
        <v>-4.5385981966278979E-2</v>
      </c>
      <c r="E1281" s="259">
        <v>-2.0745494571098061E-2</v>
      </c>
    </row>
    <row r="1282" spans="2:5" x14ac:dyDescent="0.3">
      <c r="B1282" s="102">
        <v>44316.645833333336</v>
      </c>
      <c r="C1282" s="108">
        <v>1491.65</v>
      </c>
      <c r="D1282" s="261">
        <f t="shared" si="23"/>
        <v>-1.0054419962835057E-2</v>
      </c>
      <c r="E1282" s="259">
        <v>-2.0768216908303556E-2</v>
      </c>
    </row>
    <row r="1283" spans="2:5" x14ac:dyDescent="0.3">
      <c r="B1283" s="102">
        <v>44315.645833333336</v>
      </c>
      <c r="C1283" s="108">
        <v>1506.8</v>
      </c>
      <c r="D1283" s="261">
        <f t="shared" ref="D1283:D1346" si="24">(C1283-C1284)/C1284</f>
        <v>-1.3586506279616626E-3</v>
      </c>
      <c r="E1283" s="259">
        <v>-2.0871100085869669E-2</v>
      </c>
    </row>
    <row r="1284" spans="2:5" x14ac:dyDescent="0.3">
      <c r="B1284" s="102">
        <v>44314.645833333336</v>
      </c>
      <c r="C1284" s="108">
        <v>1508.85</v>
      </c>
      <c r="D1284" s="261">
        <f t="shared" si="24"/>
        <v>9.1967092502173772E-3</v>
      </c>
      <c r="E1284" s="259">
        <v>-2.0871665133394637E-2</v>
      </c>
    </row>
    <row r="1285" spans="2:5" x14ac:dyDescent="0.3">
      <c r="B1285" s="102">
        <v>44313.645833333336</v>
      </c>
      <c r="C1285" s="108">
        <v>1495.1</v>
      </c>
      <c r="D1285" s="261">
        <f t="shared" si="24"/>
        <v>1.0305098489711796E-2</v>
      </c>
      <c r="E1285" s="259">
        <v>-2.094962114914152E-2</v>
      </c>
    </row>
    <row r="1286" spans="2:5" x14ac:dyDescent="0.3">
      <c r="B1286" s="102">
        <v>44312.645833333336</v>
      </c>
      <c r="C1286" s="108">
        <v>1479.85</v>
      </c>
      <c r="D1286" s="261">
        <f t="shared" si="24"/>
        <v>1.2590235724793775E-2</v>
      </c>
      <c r="E1286" s="259">
        <v>-2.1001282521069951E-2</v>
      </c>
    </row>
    <row r="1287" spans="2:5" x14ac:dyDescent="0.3">
      <c r="B1287" s="102">
        <v>44309.645833333336</v>
      </c>
      <c r="C1287" s="108">
        <v>1461.45</v>
      </c>
      <c r="D1287" s="261">
        <f t="shared" si="24"/>
        <v>-1.3100584123982757E-2</v>
      </c>
      <c r="E1287" s="259">
        <v>-2.1015977058582623E-2</v>
      </c>
    </row>
    <row r="1288" spans="2:5" x14ac:dyDescent="0.3">
      <c r="B1288" s="102">
        <v>44308.645833333336</v>
      </c>
      <c r="C1288" s="108">
        <v>1480.85</v>
      </c>
      <c r="D1288" s="261">
        <f t="shared" si="24"/>
        <v>-2.7611793289119561E-2</v>
      </c>
      <c r="E1288" s="259">
        <v>-2.1059059926716764E-2</v>
      </c>
    </row>
    <row r="1289" spans="2:5" x14ac:dyDescent="0.3">
      <c r="B1289" s="102">
        <v>44306.645833333336</v>
      </c>
      <c r="C1289" s="108">
        <v>1522.9</v>
      </c>
      <c r="D1289" s="261">
        <f t="shared" si="24"/>
        <v>2.7655231447949202E-3</v>
      </c>
      <c r="E1289" s="259">
        <v>-2.1748113051622452E-2</v>
      </c>
    </row>
    <row r="1290" spans="2:5" x14ac:dyDescent="0.3">
      <c r="B1290" s="102">
        <v>44305.645833333336</v>
      </c>
      <c r="C1290" s="108">
        <v>1518.7</v>
      </c>
      <c r="D1290" s="261">
        <f t="shared" si="24"/>
        <v>-1.9592653561860438E-2</v>
      </c>
      <c r="E1290" s="259">
        <v>-2.1884450103453766E-2</v>
      </c>
    </row>
    <row r="1291" spans="2:5" x14ac:dyDescent="0.3">
      <c r="B1291" s="102">
        <v>44302.645833333336</v>
      </c>
      <c r="C1291" s="108">
        <v>1549.05</v>
      </c>
      <c r="D1291" s="261">
        <f t="shared" si="24"/>
        <v>6.8246075850638592E-3</v>
      </c>
      <c r="E1291" s="259">
        <v>-2.1917431912722673E-2</v>
      </c>
    </row>
    <row r="1292" spans="2:5" x14ac:dyDescent="0.3">
      <c r="B1292" s="102">
        <v>44301.645833333336</v>
      </c>
      <c r="C1292" s="108">
        <v>1538.55</v>
      </c>
      <c r="D1292" s="261">
        <f t="shared" si="24"/>
        <v>5.1940415523324488E-3</v>
      </c>
      <c r="E1292" s="259">
        <v>-2.2029372496662192E-2</v>
      </c>
    </row>
    <row r="1293" spans="2:5" x14ac:dyDescent="0.3">
      <c r="B1293" s="102">
        <v>44299.645833333336</v>
      </c>
      <c r="C1293" s="108">
        <v>1530.6</v>
      </c>
      <c r="D1293" s="261">
        <f t="shared" si="24"/>
        <v>1.3340395246449643E-2</v>
      </c>
      <c r="E1293" s="259">
        <v>-2.2062819258776293E-2</v>
      </c>
    </row>
    <row r="1294" spans="2:5" x14ac:dyDescent="0.3">
      <c r="B1294" s="102">
        <v>44298.645833333336</v>
      </c>
      <c r="C1294" s="108">
        <v>1510.45</v>
      </c>
      <c r="D1294" s="261">
        <f t="shared" si="24"/>
        <v>-5.1224874371859269E-2</v>
      </c>
      <c r="E1294" s="259">
        <v>-2.2568692555699852E-2</v>
      </c>
    </row>
    <row r="1295" spans="2:5" x14ac:dyDescent="0.3">
      <c r="B1295" s="102">
        <v>44295.645833333336</v>
      </c>
      <c r="C1295" s="108">
        <v>1592</v>
      </c>
      <c r="D1295" s="261">
        <f t="shared" si="24"/>
        <v>1.3173805129510626E-2</v>
      </c>
      <c r="E1295" s="259">
        <v>-2.259226343608222E-2</v>
      </c>
    </row>
    <row r="1296" spans="2:5" x14ac:dyDescent="0.3">
      <c r="B1296" s="102">
        <v>44294.645833333336</v>
      </c>
      <c r="C1296" s="108">
        <v>1571.3</v>
      </c>
      <c r="D1296" s="261">
        <f t="shared" si="24"/>
        <v>3.7778218083349878E-2</v>
      </c>
      <c r="E1296" s="259">
        <v>-2.295969520753963E-2</v>
      </c>
    </row>
    <row r="1297" spans="2:5" x14ac:dyDescent="0.3">
      <c r="B1297" s="102">
        <v>44293.645833333336</v>
      </c>
      <c r="C1297" s="108">
        <v>1514.1</v>
      </c>
      <c r="D1297" s="261">
        <f t="shared" si="24"/>
        <v>-7.4729596853491259E-3</v>
      </c>
      <c r="E1297" s="259">
        <v>-2.3401122298722384E-2</v>
      </c>
    </row>
    <row r="1298" spans="2:5" x14ac:dyDescent="0.3">
      <c r="B1298" s="102">
        <v>44292.645833333336</v>
      </c>
      <c r="C1298" s="108">
        <v>1525.5</v>
      </c>
      <c r="D1298" s="261">
        <f t="shared" si="24"/>
        <v>-6.1889250814332244E-3</v>
      </c>
      <c r="E1298" s="259">
        <v>-2.3530916298996216E-2</v>
      </c>
    </row>
    <row r="1299" spans="2:5" x14ac:dyDescent="0.3">
      <c r="B1299" s="102">
        <v>44291.645833333336</v>
      </c>
      <c r="C1299" s="108">
        <v>1535</v>
      </c>
      <c r="D1299" s="261">
        <f t="shared" si="24"/>
        <v>-1.5615480809311515E-2</v>
      </c>
      <c r="E1299" s="259">
        <v>-2.3541114058355437E-2</v>
      </c>
    </row>
    <row r="1300" spans="2:5" x14ac:dyDescent="0.3">
      <c r="B1300" s="102">
        <v>44287.645833333336</v>
      </c>
      <c r="C1300" s="108">
        <v>1559.35</v>
      </c>
      <c r="D1300" s="261">
        <f t="shared" si="24"/>
        <v>8.3437630371294537E-4</v>
      </c>
      <c r="E1300" s="259">
        <v>-2.3560110426199817E-2</v>
      </c>
    </row>
    <row r="1301" spans="2:5" x14ac:dyDescent="0.3">
      <c r="B1301" s="102">
        <v>44286.645833333336</v>
      </c>
      <c r="C1301" s="108">
        <v>1558.05</v>
      </c>
      <c r="D1301" s="261">
        <f t="shared" si="24"/>
        <v>3.7688442211054689E-3</v>
      </c>
      <c r="E1301" s="259">
        <v>-2.3596582859923092E-2</v>
      </c>
    </row>
    <row r="1302" spans="2:5" x14ac:dyDescent="0.3">
      <c r="B1302" s="102">
        <v>44285.645833333336</v>
      </c>
      <c r="C1302" s="108">
        <v>1552.2</v>
      </c>
      <c r="D1302" s="261">
        <f t="shared" si="24"/>
        <v>3.0779958163163753E-2</v>
      </c>
      <c r="E1302" s="259">
        <v>-2.3798217416715405E-2</v>
      </c>
    </row>
    <row r="1303" spans="2:5" x14ac:dyDescent="0.3">
      <c r="B1303" s="102">
        <v>44281.645833333336</v>
      </c>
      <c r="C1303" s="108">
        <v>1505.85</v>
      </c>
      <c r="D1303" s="261">
        <f t="shared" si="24"/>
        <v>3.7908812075679775E-2</v>
      </c>
      <c r="E1303" s="259">
        <v>-2.4091261221575861E-2</v>
      </c>
    </row>
    <row r="1304" spans="2:5" x14ac:dyDescent="0.3">
      <c r="B1304" s="102">
        <v>44280.645833333336</v>
      </c>
      <c r="C1304" s="108">
        <v>1450.85</v>
      </c>
      <c r="D1304" s="261">
        <f t="shared" si="24"/>
        <v>-2.5064677619863709E-2</v>
      </c>
      <c r="E1304" s="259">
        <v>-2.4337551254353919E-2</v>
      </c>
    </row>
    <row r="1305" spans="2:5" x14ac:dyDescent="0.3">
      <c r="B1305" s="102">
        <v>44279.645833333336</v>
      </c>
      <c r="C1305" s="108">
        <v>1488.15</v>
      </c>
      <c r="D1305" s="261">
        <f t="shared" si="24"/>
        <v>-4.8149262714413475E-3</v>
      </c>
      <c r="E1305" s="259">
        <v>-2.4597767328791251E-2</v>
      </c>
    </row>
    <row r="1306" spans="2:5" x14ac:dyDescent="0.3">
      <c r="B1306" s="102">
        <v>44278.645833333336</v>
      </c>
      <c r="C1306" s="108">
        <v>1495.35</v>
      </c>
      <c r="D1306" s="261">
        <f t="shared" si="24"/>
        <v>2.4001917414229922E-2</v>
      </c>
      <c r="E1306" s="259">
        <v>-2.476287993101952E-2</v>
      </c>
    </row>
    <row r="1307" spans="2:5" x14ac:dyDescent="0.3">
      <c r="B1307" s="102">
        <v>44277.645833333336</v>
      </c>
      <c r="C1307" s="108">
        <v>1460.3</v>
      </c>
      <c r="D1307" s="261">
        <f t="shared" si="24"/>
        <v>-3.5142788904432704E-3</v>
      </c>
      <c r="E1307" s="259">
        <v>-2.4895236354616875E-2</v>
      </c>
    </row>
    <row r="1308" spans="2:5" x14ac:dyDescent="0.3">
      <c r="B1308" s="102">
        <v>44274.645833333336</v>
      </c>
      <c r="C1308" s="108">
        <v>1465.45</v>
      </c>
      <c r="D1308" s="261">
        <f t="shared" si="24"/>
        <v>-1.8730418199155428E-3</v>
      </c>
      <c r="E1308" s="259">
        <v>-2.4940016648440463E-2</v>
      </c>
    </row>
    <row r="1309" spans="2:5" x14ac:dyDescent="0.3">
      <c r="B1309" s="102">
        <v>44273.645833333336</v>
      </c>
      <c r="C1309" s="108">
        <v>1468.2</v>
      </c>
      <c r="D1309" s="261">
        <f t="shared" si="24"/>
        <v>-2.9540592849138631E-3</v>
      </c>
      <c r="E1309" s="259">
        <v>-2.4954149638251502E-2</v>
      </c>
    </row>
    <row r="1310" spans="2:5" x14ac:dyDescent="0.3">
      <c r="B1310" s="102">
        <v>44272.645833333336</v>
      </c>
      <c r="C1310" s="108">
        <v>1472.55</v>
      </c>
      <c r="D1310" s="261">
        <f t="shared" si="24"/>
        <v>-1.8921349811785931E-2</v>
      </c>
      <c r="E1310" s="259">
        <v>-2.5064677619863709E-2</v>
      </c>
    </row>
    <row r="1311" spans="2:5" x14ac:dyDescent="0.3">
      <c r="B1311" s="102">
        <v>44271.645833333336</v>
      </c>
      <c r="C1311" s="108">
        <v>1500.95</v>
      </c>
      <c r="D1311" s="261">
        <f t="shared" si="24"/>
        <v>5.863825224500737E-3</v>
      </c>
      <c r="E1311" s="259">
        <v>-2.5069299718754535E-2</v>
      </c>
    </row>
    <row r="1312" spans="2:5" x14ac:dyDescent="0.3">
      <c r="B1312" s="102">
        <v>44270.645833333336</v>
      </c>
      <c r="C1312" s="108">
        <v>1492.2</v>
      </c>
      <c r="D1312" s="261">
        <f t="shared" si="24"/>
        <v>6.5430016863406715E-3</v>
      </c>
      <c r="E1312" s="259">
        <v>-2.5101648972215975E-2</v>
      </c>
    </row>
    <row r="1313" spans="2:5" x14ac:dyDescent="0.3">
      <c r="B1313" s="102">
        <v>44267.645833333336</v>
      </c>
      <c r="C1313" s="108">
        <v>1482.5</v>
      </c>
      <c r="D1313" s="261">
        <f t="shared" si="24"/>
        <v>7.6465590484282074E-3</v>
      </c>
      <c r="E1313" s="259">
        <v>-2.5112323491655875E-2</v>
      </c>
    </row>
    <row r="1314" spans="2:5" x14ac:dyDescent="0.3">
      <c r="B1314" s="102">
        <v>44265.645833333336</v>
      </c>
      <c r="C1314" s="108">
        <v>1471.25</v>
      </c>
      <c r="D1314" s="261">
        <f t="shared" si="24"/>
        <v>9.8496808291577385E-3</v>
      </c>
      <c r="E1314" s="259">
        <v>-2.5208672723913871E-2</v>
      </c>
    </row>
    <row r="1315" spans="2:5" x14ac:dyDescent="0.3">
      <c r="B1315" s="102">
        <v>44264.645833333336</v>
      </c>
      <c r="C1315" s="108">
        <v>1456.9</v>
      </c>
      <c r="D1315" s="261">
        <f t="shared" si="24"/>
        <v>1.0296893770385512E-4</v>
      </c>
      <c r="E1315" s="259">
        <v>-2.5291334948655906E-2</v>
      </c>
    </row>
    <row r="1316" spans="2:5" x14ac:dyDescent="0.3">
      <c r="B1316" s="102">
        <v>44263.645833333336</v>
      </c>
      <c r="C1316" s="108">
        <v>1456.75</v>
      </c>
      <c r="D1316" s="261">
        <f t="shared" si="24"/>
        <v>-1.18369285035952E-2</v>
      </c>
      <c r="E1316" s="259">
        <v>-2.5955855747195732E-2</v>
      </c>
    </row>
    <row r="1317" spans="2:5" x14ac:dyDescent="0.3">
      <c r="B1317" s="102">
        <v>44260.645833333336</v>
      </c>
      <c r="C1317" s="108">
        <v>1474.2</v>
      </c>
      <c r="D1317" s="261">
        <f t="shared" si="24"/>
        <v>2.5161509690581744E-3</v>
      </c>
      <c r="E1317" s="259">
        <v>-2.639805488016676E-2</v>
      </c>
    </row>
    <row r="1318" spans="2:5" x14ac:dyDescent="0.3">
      <c r="B1318" s="102">
        <v>44259.645833333336</v>
      </c>
      <c r="C1318" s="108">
        <v>1470.5</v>
      </c>
      <c r="D1318" s="261">
        <f t="shared" si="24"/>
        <v>-2.7804150278040889E-3</v>
      </c>
      <c r="E1318" s="259">
        <v>-2.6433110949505144E-2</v>
      </c>
    </row>
    <row r="1319" spans="2:5" x14ac:dyDescent="0.3">
      <c r="B1319" s="102">
        <v>44258.645833333336</v>
      </c>
      <c r="C1319" s="108">
        <v>1474.6</v>
      </c>
      <c r="D1319" s="261">
        <f t="shared" si="24"/>
        <v>2.3451041702068571E-3</v>
      </c>
      <c r="E1319" s="259">
        <v>-2.6579925650557622E-2</v>
      </c>
    </row>
    <row r="1320" spans="2:5" x14ac:dyDescent="0.3">
      <c r="B1320" s="102">
        <v>44257.645833333336</v>
      </c>
      <c r="C1320" s="108">
        <v>1471.15</v>
      </c>
      <c r="D1320" s="261">
        <f t="shared" si="24"/>
        <v>1.3084047791206142E-2</v>
      </c>
      <c r="E1320" s="259">
        <v>-2.6718673817649953E-2</v>
      </c>
    </row>
    <row r="1321" spans="2:5" x14ac:dyDescent="0.3">
      <c r="B1321" s="102">
        <v>44256.645833333336</v>
      </c>
      <c r="C1321" s="108">
        <v>1452.15</v>
      </c>
      <c r="D1321" s="261">
        <f t="shared" si="24"/>
        <v>3.216291136541332E-2</v>
      </c>
      <c r="E1321" s="259">
        <v>-2.6748235543373192E-2</v>
      </c>
    </row>
    <row r="1322" spans="2:5" x14ac:dyDescent="0.3">
      <c r="B1322" s="102">
        <v>44253.645833333336</v>
      </c>
      <c r="C1322" s="108">
        <v>1406.9</v>
      </c>
      <c r="D1322" s="261">
        <f t="shared" si="24"/>
        <v>-1.920596744396804E-2</v>
      </c>
      <c r="E1322" s="259">
        <v>-2.730680552723614E-2</v>
      </c>
    </row>
    <row r="1323" spans="2:5" x14ac:dyDescent="0.3">
      <c r="B1323" s="102">
        <v>44252.645833333336</v>
      </c>
      <c r="C1323" s="108">
        <v>1434.45</v>
      </c>
      <c r="D1323" s="261">
        <f t="shared" si="24"/>
        <v>-1.1984709164169759E-2</v>
      </c>
      <c r="E1323" s="259">
        <v>-2.7611793289119561E-2</v>
      </c>
    </row>
    <row r="1324" spans="2:5" x14ac:dyDescent="0.3">
      <c r="B1324" s="102">
        <v>44251.645833333336</v>
      </c>
      <c r="C1324" s="108">
        <v>1451.85</v>
      </c>
      <c r="D1324" s="261">
        <f t="shared" si="24"/>
        <v>1.952178645412728E-2</v>
      </c>
      <c r="E1324" s="259">
        <v>-2.7961287607826558E-2</v>
      </c>
    </row>
    <row r="1325" spans="2:5" x14ac:dyDescent="0.3">
      <c r="B1325" s="102">
        <v>44250.645833333336</v>
      </c>
      <c r="C1325" s="108">
        <v>1424.05</v>
      </c>
      <c r="D1325" s="261">
        <f t="shared" si="24"/>
        <v>1.3378402419498277E-2</v>
      </c>
      <c r="E1325" s="259">
        <v>-2.8365402303079323E-2</v>
      </c>
    </row>
    <row r="1326" spans="2:5" x14ac:dyDescent="0.3">
      <c r="B1326" s="102">
        <v>44249.645833333336</v>
      </c>
      <c r="C1326" s="108">
        <v>1405.25</v>
      </c>
      <c r="D1326" s="261">
        <f t="shared" si="24"/>
        <v>-1.4240117849251135E-2</v>
      </c>
      <c r="E1326" s="259">
        <v>-2.8425017519271303E-2</v>
      </c>
    </row>
    <row r="1327" spans="2:5" x14ac:dyDescent="0.3">
      <c r="B1327" s="102">
        <v>44246.645833333336</v>
      </c>
      <c r="C1327" s="108">
        <v>1425.55</v>
      </c>
      <c r="D1327" s="261">
        <f t="shared" si="24"/>
        <v>-5.1988834612700947E-3</v>
      </c>
      <c r="E1327" s="259">
        <v>-2.9147343584736654E-2</v>
      </c>
    </row>
    <row r="1328" spans="2:5" x14ac:dyDescent="0.3">
      <c r="B1328" s="102">
        <v>44245.645833333336</v>
      </c>
      <c r="C1328" s="108">
        <v>1433</v>
      </c>
      <c r="D1328" s="261">
        <f t="shared" si="24"/>
        <v>-1.8761983018351198E-2</v>
      </c>
      <c r="E1328" s="259">
        <v>-2.9578655076663043E-2</v>
      </c>
    </row>
    <row r="1329" spans="2:5" x14ac:dyDescent="0.3">
      <c r="B1329" s="102">
        <v>44244.645833333336</v>
      </c>
      <c r="C1329" s="108">
        <v>1460.4</v>
      </c>
      <c r="D1329" s="261">
        <f t="shared" si="24"/>
        <v>-7.7793253388591353E-3</v>
      </c>
      <c r="E1329" s="259">
        <v>-2.9685632487422446E-2</v>
      </c>
    </row>
    <row r="1330" spans="2:5" x14ac:dyDescent="0.3">
      <c r="B1330" s="102">
        <v>44243.645833333336</v>
      </c>
      <c r="C1330" s="108">
        <v>1471.85</v>
      </c>
      <c r="D1330" s="261">
        <f t="shared" si="24"/>
        <v>-8.6883313689173867E-3</v>
      </c>
      <c r="E1330" s="259">
        <v>-3.1281032770605594E-2</v>
      </c>
    </row>
    <row r="1331" spans="2:5" x14ac:dyDescent="0.3">
      <c r="B1331" s="102">
        <v>44242.645833333336</v>
      </c>
      <c r="C1331" s="108">
        <v>1484.75</v>
      </c>
      <c r="D1331" s="261">
        <f t="shared" si="24"/>
        <v>-6.3244545576228387E-3</v>
      </c>
      <c r="E1331" s="259">
        <v>-3.1313613231552108E-2</v>
      </c>
    </row>
    <row r="1332" spans="2:5" x14ac:dyDescent="0.3">
      <c r="B1332" s="102">
        <v>44239.645833333336</v>
      </c>
      <c r="C1332" s="108">
        <v>1494.2</v>
      </c>
      <c r="D1332" s="261">
        <f t="shared" si="24"/>
        <v>-2.0003935200367286E-2</v>
      </c>
      <c r="E1332" s="259">
        <v>-3.2111584427878412E-2</v>
      </c>
    </row>
    <row r="1333" spans="2:5" x14ac:dyDescent="0.3">
      <c r="B1333" s="102">
        <v>44238.645833333336</v>
      </c>
      <c r="C1333" s="108">
        <v>1524.7</v>
      </c>
      <c r="D1333" s="261">
        <f t="shared" si="24"/>
        <v>-2.4597767328791251E-2</v>
      </c>
      <c r="E1333" s="259">
        <v>-3.2164721166906267E-2</v>
      </c>
    </row>
    <row r="1334" spans="2:5" x14ac:dyDescent="0.3">
      <c r="B1334" s="102">
        <v>44237.645833333336</v>
      </c>
      <c r="C1334" s="108">
        <v>1563.15</v>
      </c>
      <c r="D1334" s="261">
        <f t="shared" si="24"/>
        <v>2.0834668889031347E-3</v>
      </c>
      <c r="E1334" s="259">
        <v>-3.260154841446597E-2</v>
      </c>
    </row>
    <row r="1335" spans="2:5" x14ac:dyDescent="0.3">
      <c r="B1335" s="102">
        <v>44236.645833333336</v>
      </c>
      <c r="C1335" s="108">
        <v>1559.9</v>
      </c>
      <c r="D1335" s="261">
        <f t="shared" si="24"/>
        <v>1.1805150158915511E-2</v>
      </c>
      <c r="E1335" s="259">
        <v>-3.2837174562526772E-2</v>
      </c>
    </row>
    <row r="1336" spans="2:5" x14ac:dyDescent="0.3">
      <c r="B1336" s="102">
        <v>44235.645833333336</v>
      </c>
      <c r="C1336" s="108">
        <v>1541.7</v>
      </c>
      <c r="D1336" s="261">
        <f t="shared" si="24"/>
        <v>2.1365397992646327E-2</v>
      </c>
      <c r="E1336" s="259">
        <v>-3.3133108423160314E-2</v>
      </c>
    </row>
    <row r="1337" spans="2:5" x14ac:dyDescent="0.3">
      <c r="B1337" s="102">
        <v>44232.645833333336</v>
      </c>
      <c r="C1337" s="108">
        <v>1509.45</v>
      </c>
      <c r="D1337" s="261">
        <f t="shared" si="24"/>
        <v>-2.7418076109935676E-3</v>
      </c>
      <c r="E1337" s="259">
        <v>-3.3853594196526733E-2</v>
      </c>
    </row>
    <row r="1338" spans="2:5" x14ac:dyDescent="0.3">
      <c r="B1338" s="102">
        <v>44231.645833333336</v>
      </c>
      <c r="C1338" s="108">
        <v>1513.6</v>
      </c>
      <c r="D1338" s="261">
        <f t="shared" si="24"/>
        <v>-7.5730256040390659E-3</v>
      </c>
      <c r="E1338" s="259">
        <v>-3.4531116621275483E-2</v>
      </c>
    </row>
    <row r="1339" spans="2:5" x14ac:dyDescent="0.3">
      <c r="B1339" s="102">
        <v>44230.645833333336</v>
      </c>
      <c r="C1339" s="108">
        <v>1525.15</v>
      </c>
      <c r="D1339" s="261">
        <f t="shared" si="24"/>
        <v>2.6725907974014636E-2</v>
      </c>
      <c r="E1339" s="259">
        <v>-3.4609326012816029E-2</v>
      </c>
    </row>
    <row r="1340" spans="2:5" x14ac:dyDescent="0.3">
      <c r="B1340" s="102">
        <v>44229.645833333336</v>
      </c>
      <c r="C1340" s="108">
        <v>1485.45</v>
      </c>
      <c r="D1340" s="261">
        <f t="shared" si="24"/>
        <v>-1.0722253671206361E-2</v>
      </c>
      <c r="E1340" s="259">
        <v>-3.5065773545315003E-2</v>
      </c>
    </row>
    <row r="1341" spans="2:5" x14ac:dyDescent="0.3">
      <c r="B1341" s="102">
        <v>44228.645833333336</v>
      </c>
      <c r="C1341" s="108">
        <v>1501.55</v>
      </c>
      <c r="D1341" s="261">
        <f t="shared" si="24"/>
        <v>5.7206224037175249E-2</v>
      </c>
      <c r="E1341" s="259">
        <v>-3.5288381164669848E-2</v>
      </c>
    </row>
    <row r="1342" spans="2:5" x14ac:dyDescent="0.3">
      <c r="B1342" s="102">
        <v>44225.645833333336</v>
      </c>
      <c r="C1342" s="108">
        <v>1420.3</v>
      </c>
      <c r="D1342" s="261">
        <f t="shared" si="24"/>
        <v>-2.0550306875387874E-2</v>
      </c>
      <c r="E1342" s="259">
        <v>-3.5411459099152089E-2</v>
      </c>
    </row>
    <row r="1343" spans="2:5" x14ac:dyDescent="0.3">
      <c r="B1343" s="102">
        <v>44224.645833333336</v>
      </c>
      <c r="C1343" s="108">
        <v>1450.1</v>
      </c>
      <c r="D1343" s="261">
        <f t="shared" si="24"/>
        <v>6.5246060942596397E-3</v>
      </c>
      <c r="E1343" s="259">
        <v>-3.5701406419040717E-2</v>
      </c>
    </row>
    <row r="1344" spans="2:5" x14ac:dyDescent="0.3">
      <c r="B1344" s="102">
        <v>44223.645833333336</v>
      </c>
      <c r="C1344" s="108">
        <v>1440.7</v>
      </c>
      <c r="D1344" s="261">
        <f t="shared" si="24"/>
        <v>-3.9437277061039347E-2</v>
      </c>
      <c r="E1344" s="259">
        <v>-3.5738063534335215E-2</v>
      </c>
    </row>
    <row r="1345" spans="2:5" x14ac:dyDescent="0.3">
      <c r="B1345" s="102">
        <v>44221.645833333336</v>
      </c>
      <c r="C1345" s="108">
        <v>1499.85</v>
      </c>
      <c r="D1345" s="261">
        <f t="shared" si="24"/>
        <v>5.800697424892612E-3</v>
      </c>
      <c r="E1345" s="259">
        <v>-3.6127553943097156E-2</v>
      </c>
    </row>
    <row r="1346" spans="2:5" x14ac:dyDescent="0.3">
      <c r="B1346" s="102">
        <v>44218.645833333336</v>
      </c>
      <c r="C1346" s="108">
        <v>1491.2</v>
      </c>
      <c r="D1346" s="261">
        <f t="shared" si="24"/>
        <v>-1.7201608119686226E-2</v>
      </c>
      <c r="E1346" s="259">
        <v>-3.9437277061039347E-2</v>
      </c>
    </row>
    <row r="1347" spans="2:5" x14ac:dyDescent="0.3">
      <c r="B1347" s="102">
        <v>44217.645833333336</v>
      </c>
      <c r="C1347" s="108">
        <v>1517.3</v>
      </c>
      <c r="D1347" s="261">
        <f t="shared" ref="D1347:D1360" si="25">(C1347-C1348)/C1348</f>
        <v>-9.1425586103310915E-3</v>
      </c>
      <c r="E1347" s="259">
        <v>-4.0134425216316473E-2</v>
      </c>
    </row>
    <row r="1348" spans="2:5" x14ac:dyDescent="0.3">
      <c r="B1348" s="102">
        <v>44216.645833333336</v>
      </c>
      <c r="C1348" s="108">
        <v>1531.3</v>
      </c>
      <c r="D1348" s="261">
        <f t="shared" si="25"/>
        <v>7.5004934535165884E-3</v>
      </c>
      <c r="E1348" s="259">
        <v>-4.0476838951624877E-2</v>
      </c>
    </row>
    <row r="1349" spans="2:5" x14ac:dyDescent="0.3">
      <c r="B1349" s="102">
        <v>44215.645833333336</v>
      </c>
      <c r="C1349" s="108">
        <v>1519.9</v>
      </c>
      <c r="D1349" s="261">
        <f t="shared" si="25"/>
        <v>1.0874264241295692E-2</v>
      </c>
      <c r="E1349" s="259">
        <v>-4.3998665443323044E-2</v>
      </c>
    </row>
    <row r="1350" spans="2:5" x14ac:dyDescent="0.3">
      <c r="B1350" s="102">
        <v>44214.645833333336</v>
      </c>
      <c r="C1350" s="108">
        <v>1503.55</v>
      </c>
      <c r="D1350" s="261">
        <f t="shared" si="25"/>
        <v>1.7803350820781827E-2</v>
      </c>
      <c r="E1350" s="259">
        <v>-4.4461122103204381E-2</v>
      </c>
    </row>
    <row r="1351" spans="2:5" x14ac:dyDescent="0.3">
      <c r="B1351" s="102">
        <v>44211.645833333336</v>
      </c>
      <c r="C1351" s="108">
        <v>1477.25</v>
      </c>
      <c r="D1351" s="261">
        <f t="shared" si="25"/>
        <v>-8.5237759656364605E-3</v>
      </c>
      <c r="E1351" s="259">
        <v>-4.5251465979957155E-2</v>
      </c>
    </row>
    <row r="1352" spans="2:5" x14ac:dyDescent="0.3">
      <c r="B1352" s="102">
        <v>44210.645833333336</v>
      </c>
      <c r="C1352" s="108">
        <v>1489.95</v>
      </c>
      <c r="D1352" s="261">
        <f t="shared" si="25"/>
        <v>-1.052596626377999E-2</v>
      </c>
      <c r="E1352" s="259">
        <v>-4.5385981966278979E-2</v>
      </c>
    </row>
    <row r="1353" spans="2:5" x14ac:dyDescent="0.3">
      <c r="B1353" s="102">
        <v>44209.645833333336</v>
      </c>
      <c r="C1353" s="108">
        <v>1505.8</v>
      </c>
      <c r="D1353" s="261">
        <f t="shared" si="25"/>
        <v>-1.3948006024490835E-2</v>
      </c>
      <c r="E1353" s="259">
        <v>-4.9482823408421139E-2</v>
      </c>
    </row>
    <row r="1354" spans="2:5" x14ac:dyDescent="0.3">
      <c r="B1354" s="102">
        <v>44208.645833333336</v>
      </c>
      <c r="C1354" s="108">
        <v>1527.1</v>
      </c>
      <c r="D1354" s="261">
        <f t="shared" si="25"/>
        <v>-2.3530916298996216E-2</v>
      </c>
      <c r="E1354" s="259">
        <v>-5.1224874371859269E-2</v>
      </c>
    </row>
    <row r="1355" spans="2:5" x14ac:dyDescent="0.3">
      <c r="B1355" s="102">
        <v>44207.645833333336</v>
      </c>
      <c r="C1355" s="108">
        <v>1563.9</v>
      </c>
      <c r="D1355" s="261">
        <f t="shared" si="25"/>
        <v>9.8798915149168175E-3</v>
      </c>
      <c r="E1355" s="259">
        <v>-5.1762649315334565E-2</v>
      </c>
    </row>
    <row r="1356" spans="2:5" x14ac:dyDescent="0.3">
      <c r="B1356" s="102">
        <v>44204.645833333336</v>
      </c>
      <c r="C1356" s="108">
        <v>1548.6</v>
      </c>
      <c r="D1356" s="261">
        <f t="shared" si="25"/>
        <v>4.0522579181119719E-3</v>
      </c>
      <c r="E1356" s="259">
        <v>-6.0409034668478023E-2</v>
      </c>
    </row>
    <row r="1357" spans="2:5" x14ac:dyDescent="0.3">
      <c r="B1357" s="102">
        <v>44203.645833333336</v>
      </c>
      <c r="C1357" s="108">
        <v>1542.35</v>
      </c>
      <c r="D1357" s="261">
        <f t="shared" si="25"/>
        <v>-1.9235660689304337E-2</v>
      </c>
      <c r="E1357" s="259">
        <v>-6.1318567414964061E-2</v>
      </c>
    </row>
    <row r="1358" spans="2:5" x14ac:dyDescent="0.3">
      <c r="B1358" s="102">
        <v>44202.645833333336</v>
      </c>
      <c r="C1358" s="108">
        <v>1572.6</v>
      </c>
      <c r="D1358" s="261">
        <f t="shared" si="25"/>
        <v>1.0503198701421836E-3</v>
      </c>
      <c r="E1358" s="259">
        <v>-6.172989821263343E-2</v>
      </c>
    </row>
    <row r="1359" spans="2:5" x14ac:dyDescent="0.3">
      <c r="B1359" s="102">
        <v>44201.645833333336</v>
      </c>
      <c r="C1359" s="108">
        <v>1570.95</v>
      </c>
      <c r="D1359" s="261">
        <f t="shared" si="25"/>
        <v>1.2927977303501162E-2</v>
      </c>
      <c r="E1359" s="259">
        <v>-6.7287646928365405E-2</v>
      </c>
    </row>
    <row r="1360" spans="2:5" x14ac:dyDescent="0.3">
      <c r="B1360" s="102">
        <v>44200.645833333336</v>
      </c>
      <c r="C1360" s="108">
        <v>1550.9</v>
      </c>
      <c r="D1360" s="261">
        <f t="shared" si="25"/>
        <v>-4.9403310663414723E-3</v>
      </c>
      <c r="E1360" s="259">
        <v>-7.1804521916296438E-2</v>
      </c>
    </row>
    <row r="1361" spans="2:5" x14ac:dyDescent="0.3">
      <c r="B1361" s="105">
        <v>44197.645833333336</v>
      </c>
      <c r="C1361" s="109">
        <v>1558.6</v>
      </c>
      <c r="D1361" s="262" t="e">
        <f>(C1361-C1372)/C1372</f>
        <v>#DIV/0!</v>
      </c>
      <c r="E1361" s="260"/>
    </row>
    <row r="1362" spans="2:5" x14ac:dyDescent="0.3">
      <c r="B1362"/>
    </row>
    <row r="1363" spans="2:5" x14ac:dyDescent="0.3">
      <c r="B1363"/>
    </row>
    <row r="1364" spans="2:5" x14ac:dyDescent="0.3">
      <c r="B1364"/>
    </row>
    <row r="1365" spans="2:5" x14ac:dyDescent="0.3">
      <c r="B1365"/>
    </row>
    <row r="1366" spans="2:5" x14ac:dyDescent="0.3">
      <c r="B1366"/>
    </row>
    <row r="1367" spans="2:5" x14ac:dyDescent="0.3">
      <c r="B1367"/>
    </row>
    <row r="1368" spans="2:5" x14ac:dyDescent="0.3">
      <c r="B1368"/>
    </row>
    <row r="1369" spans="2:5" x14ac:dyDescent="0.3">
      <c r="B1369"/>
    </row>
    <row r="1370" spans="2:5" x14ac:dyDescent="0.3">
      <c r="B1370"/>
    </row>
    <row r="1371" spans="2:5" x14ac:dyDescent="0.3">
      <c r="B1371"/>
    </row>
    <row r="1372" spans="2:5" x14ac:dyDescent="0.3">
      <c r="B1372" s="274"/>
      <c r="C1372" s="108"/>
      <c r="D1372" s="261"/>
      <c r="E1372" s="261"/>
    </row>
    <row r="1373" spans="2:5" x14ac:dyDescent="0.3">
      <c r="B1373" s="274"/>
      <c r="C1373" s="108"/>
      <c r="D1373" s="261"/>
      <c r="E1373" s="261"/>
    </row>
    <row r="1374" spans="2:5" x14ac:dyDescent="0.3">
      <c r="B1374" s="274"/>
      <c r="C1374" s="108"/>
      <c r="D1374" s="261"/>
      <c r="E1374" s="261"/>
    </row>
    <row r="1375" spans="2:5" x14ac:dyDescent="0.3">
      <c r="B1375" s="274"/>
      <c r="C1375" s="108"/>
      <c r="D1375" s="261"/>
      <c r="E1375" s="261"/>
    </row>
    <row r="1376" spans="2:5" x14ac:dyDescent="0.3">
      <c r="B1376" s="274"/>
      <c r="C1376" s="108"/>
      <c r="D1376" s="261"/>
      <c r="E1376" s="261"/>
    </row>
    <row r="1377" spans="2:5" x14ac:dyDescent="0.3">
      <c r="B1377" s="274"/>
      <c r="C1377" s="108"/>
      <c r="D1377" s="261"/>
      <c r="E1377" s="261"/>
    </row>
    <row r="1378" spans="2:5" x14ac:dyDescent="0.3">
      <c r="B1378" s="274"/>
      <c r="C1378" s="108"/>
      <c r="D1378" s="261"/>
      <c r="E1378" s="261"/>
    </row>
    <row r="1379" spans="2:5" x14ac:dyDescent="0.3">
      <c r="B1379" s="274"/>
      <c r="C1379" s="108"/>
      <c r="D1379" s="261"/>
      <c r="E1379" s="261"/>
    </row>
    <row r="1380" spans="2:5" x14ac:dyDescent="0.3">
      <c r="B1380" s="274"/>
      <c r="C1380" s="108"/>
      <c r="D1380" s="261"/>
      <c r="E1380" s="261"/>
    </row>
    <row r="1381" spans="2:5" x14ac:dyDescent="0.3">
      <c r="B1381" s="274"/>
      <c r="C1381" s="108"/>
      <c r="D1381" s="261"/>
      <c r="E1381" s="261"/>
    </row>
    <row r="1382" spans="2:5" x14ac:dyDescent="0.3">
      <c r="B1382" s="274"/>
      <c r="C1382" s="108"/>
      <c r="D1382" s="261"/>
      <c r="E1382" s="261"/>
    </row>
    <row r="1383" spans="2:5" x14ac:dyDescent="0.3">
      <c r="B1383" s="274"/>
      <c r="C1383" s="108"/>
      <c r="D1383" s="261"/>
      <c r="E1383" s="261"/>
    </row>
    <row r="1384" spans="2:5" x14ac:dyDescent="0.3">
      <c r="B1384" s="274"/>
      <c r="C1384" s="108"/>
      <c r="D1384" s="261"/>
      <c r="E1384" s="261"/>
    </row>
    <row r="1385" spans="2:5" x14ac:dyDescent="0.3">
      <c r="B1385" s="274"/>
      <c r="C1385" s="108"/>
      <c r="D1385" s="261"/>
      <c r="E1385" s="261"/>
    </row>
    <row r="1386" spans="2:5" x14ac:dyDescent="0.3">
      <c r="B1386" s="274"/>
      <c r="C1386" s="108"/>
      <c r="D1386" s="261"/>
      <c r="E1386" s="261"/>
    </row>
    <row r="1387" spans="2:5" x14ac:dyDescent="0.3">
      <c r="B1387" s="274"/>
      <c r="C1387" s="108"/>
      <c r="D1387" s="261"/>
      <c r="E1387" s="261"/>
    </row>
    <row r="1388" spans="2:5" x14ac:dyDescent="0.3">
      <c r="B1388" s="274"/>
      <c r="C1388" s="108"/>
      <c r="D1388" s="261"/>
      <c r="E1388" s="261"/>
    </row>
    <row r="1389" spans="2:5" x14ac:dyDescent="0.3">
      <c r="B1389" s="274"/>
      <c r="C1389" s="108"/>
      <c r="D1389" s="261"/>
      <c r="E1389" s="261"/>
    </row>
    <row r="1390" spans="2:5" x14ac:dyDescent="0.3">
      <c r="B1390" s="274"/>
      <c r="C1390" s="108"/>
      <c r="D1390" s="261"/>
      <c r="E1390" s="261"/>
    </row>
    <row r="1391" spans="2:5" x14ac:dyDescent="0.3">
      <c r="B1391" s="274"/>
      <c r="C1391" s="108"/>
      <c r="D1391" s="261"/>
      <c r="E1391" s="261"/>
    </row>
    <row r="1392" spans="2:5" x14ac:dyDescent="0.3">
      <c r="B1392" s="274"/>
      <c r="C1392" s="108"/>
      <c r="D1392" s="261"/>
      <c r="E1392" s="261"/>
    </row>
    <row r="1393" spans="2:5" x14ac:dyDescent="0.3">
      <c r="B1393" s="274"/>
      <c r="C1393" s="108"/>
      <c r="D1393" s="261"/>
      <c r="E1393" s="261"/>
    </row>
    <row r="1394" spans="2:5" x14ac:dyDescent="0.3">
      <c r="B1394" s="274"/>
      <c r="C1394" s="108"/>
      <c r="D1394" s="261"/>
      <c r="E1394" s="261"/>
    </row>
    <row r="1395" spans="2:5" x14ac:dyDescent="0.3">
      <c r="B1395" s="274"/>
      <c r="C1395" s="108"/>
      <c r="D1395" s="261"/>
      <c r="E1395" s="261"/>
    </row>
    <row r="1396" spans="2:5" x14ac:dyDescent="0.3">
      <c r="B1396" s="274"/>
      <c r="C1396" s="108"/>
      <c r="D1396" s="261"/>
      <c r="E1396" s="261"/>
    </row>
    <row r="1397" spans="2:5" x14ac:dyDescent="0.3">
      <c r="B1397" s="274"/>
      <c r="C1397" s="108"/>
      <c r="D1397" s="261"/>
      <c r="E1397" s="261"/>
    </row>
    <row r="1398" spans="2:5" x14ac:dyDescent="0.3">
      <c r="B1398" s="274"/>
      <c r="C1398" s="108"/>
      <c r="D1398" s="261"/>
      <c r="E1398" s="261"/>
    </row>
    <row r="1399" spans="2:5" x14ac:dyDescent="0.3">
      <c r="B1399" s="274"/>
      <c r="C1399" s="108"/>
      <c r="D1399" s="261"/>
      <c r="E1399" s="261"/>
    </row>
    <row r="1400" spans="2:5" x14ac:dyDescent="0.3">
      <c r="B1400" s="274"/>
      <c r="C1400" s="108"/>
      <c r="D1400" s="261"/>
      <c r="E1400" s="261"/>
    </row>
    <row r="1401" spans="2:5" x14ac:dyDescent="0.3">
      <c r="B1401" s="274"/>
      <c r="C1401" s="108"/>
      <c r="D1401" s="261"/>
      <c r="E1401" s="261"/>
    </row>
    <row r="1402" spans="2:5" x14ac:dyDescent="0.3">
      <c r="B1402" s="274"/>
      <c r="C1402" s="108"/>
      <c r="D1402" s="261"/>
      <c r="E1402" s="261"/>
    </row>
    <row r="1403" spans="2:5" x14ac:dyDescent="0.3">
      <c r="B1403" s="274"/>
      <c r="C1403" s="108"/>
      <c r="D1403" s="261"/>
      <c r="E1403" s="261"/>
    </row>
    <row r="1404" spans="2:5" x14ac:dyDescent="0.3">
      <c r="B1404" s="274"/>
      <c r="C1404" s="108"/>
      <c r="D1404" s="261"/>
      <c r="E1404" s="261"/>
    </row>
    <row r="1405" spans="2:5" x14ac:dyDescent="0.3">
      <c r="B1405" s="274"/>
      <c r="C1405" s="108"/>
      <c r="D1405" s="261"/>
      <c r="E1405" s="261"/>
    </row>
    <row r="1406" spans="2:5" x14ac:dyDescent="0.3">
      <c r="B1406" s="274"/>
      <c r="C1406" s="108"/>
      <c r="D1406" s="261"/>
      <c r="E1406" s="261"/>
    </row>
    <row r="1407" spans="2:5" x14ac:dyDescent="0.3">
      <c r="B1407" s="274"/>
      <c r="C1407" s="108"/>
      <c r="D1407" s="261"/>
      <c r="E1407" s="261"/>
    </row>
    <row r="1408" spans="2:5" x14ac:dyDescent="0.3">
      <c r="B1408" s="274"/>
      <c r="C1408" s="108"/>
      <c r="D1408" s="261"/>
      <c r="E1408" s="261"/>
    </row>
    <row r="1409" spans="2:5" x14ac:dyDescent="0.3">
      <c r="B1409" s="274"/>
      <c r="C1409" s="108"/>
      <c r="D1409" s="261"/>
      <c r="E1409" s="261"/>
    </row>
    <row r="1410" spans="2:5" x14ac:dyDescent="0.3">
      <c r="B1410" s="274"/>
      <c r="C1410" s="108"/>
      <c r="D1410" s="261"/>
      <c r="E1410" s="261"/>
    </row>
    <row r="1411" spans="2:5" x14ac:dyDescent="0.3">
      <c r="B1411" s="274"/>
      <c r="C1411" s="108"/>
      <c r="D1411" s="261"/>
      <c r="E1411" s="261"/>
    </row>
    <row r="1412" spans="2:5" x14ac:dyDescent="0.3">
      <c r="B1412" s="274"/>
      <c r="C1412" s="108"/>
      <c r="D1412" s="261"/>
      <c r="E1412" s="261"/>
    </row>
    <row r="1413" spans="2:5" x14ac:dyDescent="0.3">
      <c r="B1413" s="274"/>
      <c r="C1413" s="108"/>
      <c r="D1413" s="261"/>
      <c r="E1413" s="261"/>
    </row>
    <row r="1414" spans="2:5" x14ac:dyDescent="0.3">
      <c r="B1414" s="274"/>
      <c r="C1414" s="108"/>
      <c r="D1414" s="261"/>
      <c r="E1414" s="261"/>
    </row>
    <row r="1415" spans="2:5" x14ac:dyDescent="0.3">
      <c r="B1415" s="274"/>
      <c r="C1415" s="108"/>
      <c r="D1415" s="261"/>
      <c r="E1415" s="261"/>
    </row>
    <row r="1416" spans="2:5" x14ac:dyDescent="0.3">
      <c r="B1416" s="274"/>
      <c r="C1416" s="108"/>
      <c r="D1416" s="261"/>
      <c r="E1416" s="261"/>
    </row>
    <row r="1417" spans="2:5" x14ac:dyDescent="0.3">
      <c r="B1417" s="274"/>
      <c r="C1417" s="108"/>
      <c r="D1417" s="261"/>
      <c r="E1417" s="261"/>
    </row>
    <row r="1418" spans="2:5" x14ac:dyDescent="0.3">
      <c r="B1418" s="274"/>
      <c r="C1418" s="108"/>
      <c r="D1418" s="261"/>
      <c r="E1418" s="261"/>
    </row>
    <row r="1419" spans="2:5" x14ac:dyDescent="0.3">
      <c r="B1419" s="274"/>
      <c r="C1419" s="108"/>
      <c r="D1419" s="261"/>
      <c r="E1419" s="261"/>
    </row>
    <row r="1420" spans="2:5" x14ac:dyDescent="0.3">
      <c r="B1420" s="274"/>
      <c r="C1420" s="108"/>
      <c r="D1420" s="261"/>
      <c r="E1420" s="261"/>
    </row>
    <row r="1421" spans="2:5" x14ac:dyDescent="0.3">
      <c r="B1421" s="274"/>
      <c r="C1421" s="108"/>
      <c r="D1421" s="261"/>
      <c r="E1421" s="261"/>
    </row>
    <row r="1422" spans="2:5" x14ac:dyDescent="0.3">
      <c r="B1422" s="274"/>
      <c r="C1422" s="108"/>
      <c r="D1422" s="261"/>
      <c r="E1422" s="261"/>
    </row>
    <row r="1423" spans="2:5" x14ac:dyDescent="0.3">
      <c r="B1423" s="274"/>
      <c r="C1423" s="108"/>
      <c r="D1423" s="261"/>
      <c r="E1423" s="261"/>
    </row>
    <row r="1424" spans="2:5" x14ac:dyDescent="0.3">
      <c r="B1424" s="274"/>
      <c r="C1424" s="108"/>
      <c r="D1424" s="261"/>
      <c r="E1424" s="261"/>
    </row>
    <row r="1425" spans="2:5" x14ac:dyDescent="0.3">
      <c r="B1425" s="274"/>
      <c r="C1425" s="108"/>
      <c r="D1425" s="261"/>
      <c r="E1425" s="261"/>
    </row>
    <row r="1426" spans="2:5" x14ac:dyDescent="0.3">
      <c r="B1426" s="274"/>
      <c r="C1426" s="108"/>
      <c r="D1426" s="261"/>
      <c r="E1426" s="261"/>
    </row>
    <row r="1427" spans="2:5" x14ac:dyDescent="0.3">
      <c r="B1427" s="274"/>
      <c r="C1427" s="108"/>
      <c r="D1427" s="261"/>
      <c r="E1427" s="261"/>
    </row>
    <row r="1428" spans="2:5" x14ac:dyDescent="0.3">
      <c r="B1428" s="274"/>
      <c r="C1428" s="108"/>
      <c r="D1428" s="261"/>
      <c r="E1428" s="261"/>
    </row>
    <row r="1429" spans="2:5" x14ac:dyDescent="0.3">
      <c r="B1429" s="274"/>
      <c r="C1429" s="108"/>
      <c r="D1429" s="261"/>
      <c r="E1429" s="261"/>
    </row>
    <row r="1430" spans="2:5" x14ac:dyDescent="0.3">
      <c r="B1430" s="274"/>
      <c r="C1430" s="108"/>
      <c r="D1430" s="261"/>
      <c r="E1430" s="261"/>
    </row>
    <row r="1431" spans="2:5" x14ac:dyDescent="0.3">
      <c r="B1431" s="274"/>
      <c r="C1431" s="108"/>
      <c r="D1431" s="261"/>
      <c r="E1431" s="261"/>
    </row>
    <row r="1432" spans="2:5" x14ac:dyDescent="0.3">
      <c r="B1432" s="274"/>
      <c r="C1432" s="108"/>
      <c r="D1432" s="261"/>
      <c r="E1432" s="261"/>
    </row>
    <row r="1433" spans="2:5" x14ac:dyDescent="0.3">
      <c r="B1433" s="274"/>
      <c r="C1433" s="108"/>
      <c r="D1433" s="261"/>
      <c r="E1433" s="261"/>
    </row>
    <row r="1434" spans="2:5" x14ac:dyDescent="0.3">
      <c r="B1434" s="274"/>
      <c r="C1434" s="108"/>
      <c r="D1434" s="261"/>
      <c r="E1434" s="261"/>
    </row>
    <row r="1435" spans="2:5" x14ac:dyDescent="0.3">
      <c r="B1435" s="274"/>
      <c r="C1435" s="108"/>
      <c r="D1435" s="261"/>
      <c r="E1435" s="261"/>
    </row>
    <row r="1436" spans="2:5" x14ac:dyDescent="0.3">
      <c r="B1436" s="274"/>
      <c r="C1436" s="108"/>
      <c r="D1436" s="261"/>
      <c r="E1436" s="261"/>
    </row>
    <row r="1437" spans="2:5" x14ac:dyDescent="0.3">
      <c r="B1437" s="274"/>
      <c r="C1437" s="108"/>
      <c r="D1437" s="261"/>
      <c r="E1437" s="261"/>
    </row>
    <row r="1438" spans="2:5" x14ac:dyDescent="0.3">
      <c r="B1438" s="274"/>
      <c r="C1438" s="108"/>
      <c r="D1438" s="261"/>
      <c r="E1438" s="261"/>
    </row>
    <row r="1439" spans="2:5" x14ac:dyDescent="0.3">
      <c r="B1439" s="274"/>
      <c r="C1439" s="108"/>
      <c r="D1439" s="261"/>
      <c r="E1439" s="261"/>
    </row>
    <row r="1440" spans="2:5" x14ac:dyDescent="0.3">
      <c r="B1440" s="274"/>
      <c r="C1440" s="108"/>
      <c r="D1440" s="261"/>
      <c r="E1440" s="261"/>
    </row>
    <row r="1441" spans="2:5" x14ac:dyDescent="0.3">
      <c r="B1441" s="274"/>
      <c r="C1441" s="108"/>
      <c r="D1441" s="261"/>
      <c r="E1441" s="261"/>
    </row>
    <row r="1442" spans="2:5" x14ac:dyDescent="0.3">
      <c r="B1442" s="274"/>
      <c r="C1442" s="108"/>
      <c r="D1442" s="261"/>
      <c r="E1442" s="261"/>
    </row>
    <row r="1443" spans="2:5" x14ac:dyDescent="0.3">
      <c r="B1443" s="274"/>
      <c r="C1443" s="108"/>
      <c r="D1443" s="261"/>
      <c r="E1443" s="261"/>
    </row>
    <row r="1444" spans="2:5" x14ac:dyDescent="0.3">
      <c r="B1444" s="274"/>
      <c r="C1444" s="108"/>
      <c r="D1444" s="261"/>
      <c r="E1444" s="261"/>
    </row>
    <row r="1445" spans="2:5" x14ac:dyDescent="0.3">
      <c r="B1445" s="274"/>
      <c r="C1445" s="108"/>
      <c r="D1445" s="261"/>
      <c r="E1445" s="261"/>
    </row>
    <row r="1446" spans="2:5" x14ac:dyDescent="0.3">
      <c r="B1446" s="274"/>
      <c r="C1446" s="108"/>
      <c r="D1446" s="261"/>
      <c r="E1446" s="261"/>
    </row>
    <row r="1447" spans="2:5" x14ac:dyDescent="0.3">
      <c r="B1447" s="274"/>
      <c r="C1447" s="108"/>
      <c r="D1447" s="261"/>
      <c r="E1447" s="261"/>
    </row>
    <row r="1448" spans="2:5" x14ac:dyDescent="0.3">
      <c r="B1448" s="274"/>
      <c r="C1448" s="108"/>
      <c r="D1448" s="261"/>
      <c r="E1448" s="261"/>
    </row>
    <row r="1449" spans="2:5" x14ac:dyDescent="0.3">
      <c r="B1449" s="274"/>
      <c r="C1449" s="108"/>
      <c r="D1449" s="261"/>
      <c r="E1449" s="261"/>
    </row>
    <row r="1450" spans="2:5" x14ac:dyDescent="0.3">
      <c r="B1450" s="274"/>
      <c r="C1450" s="108"/>
      <c r="D1450" s="261"/>
      <c r="E1450" s="261"/>
    </row>
    <row r="1451" spans="2:5" x14ac:dyDescent="0.3">
      <c r="B1451" s="274"/>
      <c r="C1451" s="108"/>
      <c r="D1451" s="261"/>
      <c r="E1451" s="261"/>
    </row>
    <row r="1452" spans="2:5" x14ac:dyDescent="0.3">
      <c r="B1452" s="274"/>
      <c r="C1452" s="108"/>
      <c r="D1452" s="261"/>
      <c r="E1452" s="261"/>
    </row>
    <row r="1453" spans="2:5" x14ac:dyDescent="0.3">
      <c r="B1453" s="274"/>
      <c r="C1453" s="108"/>
      <c r="D1453" s="261"/>
      <c r="E1453" s="261"/>
    </row>
    <row r="1454" spans="2:5" x14ac:dyDescent="0.3">
      <c r="B1454" s="274"/>
      <c r="C1454" s="108"/>
      <c r="D1454" s="261"/>
      <c r="E1454" s="261"/>
    </row>
    <row r="1455" spans="2:5" x14ac:dyDescent="0.3">
      <c r="B1455" s="274"/>
      <c r="C1455" s="108"/>
      <c r="D1455" s="261"/>
      <c r="E1455" s="261"/>
    </row>
    <row r="1456" spans="2:5" x14ac:dyDescent="0.3">
      <c r="B1456" s="274"/>
      <c r="C1456" s="108"/>
      <c r="D1456" s="261"/>
      <c r="E1456" s="261"/>
    </row>
    <row r="1457" spans="2:5" x14ac:dyDescent="0.3">
      <c r="B1457" s="274"/>
      <c r="C1457" s="108"/>
      <c r="D1457" s="261"/>
      <c r="E1457" s="261"/>
    </row>
    <row r="1458" spans="2:5" x14ac:dyDescent="0.3">
      <c r="B1458" s="274"/>
      <c r="C1458" s="108"/>
      <c r="D1458" s="261"/>
      <c r="E1458" s="261"/>
    </row>
    <row r="1459" spans="2:5" x14ac:dyDescent="0.3">
      <c r="B1459" s="274"/>
      <c r="C1459" s="108"/>
      <c r="D1459" s="261"/>
      <c r="E1459" s="261"/>
    </row>
    <row r="1460" spans="2:5" x14ac:dyDescent="0.3">
      <c r="B1460" s="274"/>
      <c r="C1460" s="108"/>
      <c r="D1460" s="261"/>
      <c r="E1460" s="261"/>
    </row>
    <row r="1461" spans="2:5" x14ac:dyDescent="0.3">
      <c r="B1461" s="274"/>
      <c r="C1461" s="108"/>
      <c r="D1461" s="261"/>
      <c r="E1461" s="261"/>
    </row>
    <row r="1462" spans="2:5" x14ac:dyDescent="0.3">
      <c r="B1462" s="274"/>
      <c r="C1462" s="108"/>
      <c r="D1462" s="261"/>
      <c r="E1462" s="261"/>
    </row>
    <row r="1463" spans="2:5" x14ac:dyDescent="0.3">
      <c r="B1463" s="274"/>
      <c r="C1463" s="108"/>
      <c r="D1463" s="261"/>
      <c r="E1463" s="261"/>
    </row>
    <row r="1464" spans="2:5" x14ac:dyDescent="0.3">
      <c r="B1464" s="274"/>
      <c r="C1464" s="108"/>
      <c r="D1464" s="261"/>
      <c r="E1464" s="261"/>
    </row>
    <row r="1465" spans="2:5" x14ac:dyDescent="0.3">
      <c r="B1465" s="274"/>
      <c r="C1465" s="108"/>
      <c r="D1465" s="261"/>
      <c r="E1465" s="261"/>
    </row>
    <row r="1466" spans="2:5" x14ac:dyDescent="0.3">
      <c r="B1466" s="274"/>
      <c r="C1466" s="108"/>
      <c r="D1466" s="261"/>
      <c r="E1466" s="261"/>
    </row>
    <row r="1467" spans="2:5" x14ac:dyDescent="0.3">
      <c r="B1467" s="274"/>
      <c r="C1467" s="108"/>
      <c r="D1467" s="261"/>
      <c r="E1467" s="261"/>
    </row>
    <row r="1468" spans="2:5" x14ac:dyDescent="0.3">
      <c r="B1468" s="274"/>
      <c r="C1468" s="108"/>
      <c r="D1468" s="261"/>
      <c r="E1468" s="261"/>
    </row>
    <row r="1469" spans="2:5" x14ac:dyDescent="0.3">
      <c r="B1469" s="274"/>
      <c r="C1469" s="108"/>
      <c r="D1469" s="261"/>
      <c r="E1469" s="261"/>
    </row>
    <row r="1470" spans="2:5" x14ac:dyDescent="0.3">
      <c r="B1470" s="274"/>
      <c r="C1470" s="108"/>
      <c r="D1470" s="261"/>
      <c r="E1470" s="261"/>
    </row>
    <row r="1471" spans="2:5" x14ac:dyDescent="0.3">
      <c r="B1471" s="274"/>
      <c r="C1471" s="108"/>
      <c r="D1471" s="261"/>
      <c r="E1471" s="261"/>
    </row>
    <row r="1472" spans="2:5" x14ac:dyDescent="0.3">
      <c r="B1472" s="274"/>
      <c r="C1472" s="108"/>
      <c r="D1472" s="261"/>
      <c r="E1472" s="261"/>
    </row>
    <row r="1473" spans="2:5" x14ac:dyDescent="0.3">
      <c r="B1473" s="274"/>
      <c r="C1473" s="108"/>
      <c r="D1473" s="261"/>
      <c r="E1473" s="261"/>
    </row>
    <row r="1474" spans="2:5" x14ac:dyDescent="0.3">
      <c r="B1474" s="274"/>
      <c r="C1474" s="108"/>
      <c r="D1474" s="261"/>
      <c r="E1474" s="261"/>
    </row>
    <row r="1475" spans="2:5" x14ac:dyDescent="0.3">
      <c r="B1475" s="274"/>
      <c r="C1475" s="108"/>
      <c r="D1475" s="261"/>
      <c r="E1475" s="261"/>
    </row>
    <row r="1476" spans="2:5" x14ac:dyDescent="0.3">
      <c r="B1476" s="274"/>
      <c r="C1476" s="108"/>
      <c r="D1476" s="261"/>
      <c r="E1476" s="261"/>
    </row>
    <row r="1477" spans="2:5" x14ac:dyDescent="0.3">
      <c r="B1477" s="274"/>
      <c r="C1477" s="108"/>
      <c r="D1477" s="261"/>
      <c r="E1477" s="261"/>
    </row>
    <row r="1478" spans="2:5" x14ac:dyDescent="0.3">
      <c r="B1478" s="274"/>
      <c r="C1478" s="108"/>
      <c r="D1478" s="261"/>
      <c r="E1478" s="261"/>
    </row>
    <row r="1479" spans="2:5" x14ac:dyDescent="0.3">
      <c r="B1479" s="274"/>
      <c r="C1479" s="108"/>
      <c r="D1479" s="261"/>
      <c r="E1479" s="261"/>
    </row>
    <row r="1480" spans="2:5" x14ac:dyDescent="0.3">
      <c r="B1480" s="274"/>
      <c r="C1480" s="108"/>
      <c r="D1480" s="261"/>
      <c r="E1480" s="261"/>
    </row>
    <row r="1481" spans="2:5" x14ac:dyDescent="0.3">
      <c r="B1481" s="274"/>
      <c r="C1481" s="108"/>
      <c r="D1481" s="261"/>
      <c r="E1481" s="261"/>
    </row>
    <row r="1482" spans="2:5" x14ac:dyDescent="0.3">
      <c r="B1482" s="274"/>
      <c r="C1482" s="108"/>
      <c r="D1482" s="261"/>
      <c r="E1482" s="261"/>
    </row>
    <row r="1483" spans="2:5" x14ac:dyDescent="0.3">
      <c r="B1483" s="274"/>
      <c r="C1483" s="108"/>
      <c r="D1483" s="261"/>
      <c r="E1483" s="261"/>
    </row>
    <row r="1484" spans="2:5" x14ac:dyDescent="0.3">
      <c r="B1484" s="274"/>
      <c r="C1484" s="108"/>
      <c r="D1484" s="261"/>
      <c r="E1484" s="261"/>
    </row>
    <row r="1485" spans="2:5" x14ac:dyDescent="0.3">
      <c r="B1485" s="274"/>
      <c r="C1485" s="108"/>
      <c r="D1485" s="261"/>
      <c r="E1485" s="261"/>
    </row>
    <row r="1486" spans="2:5" x14ac:dyDescent="0.3">
      <c r="B1486" s="274"/>
      <c r="C1486" s="108"/>
      <c r="D1486" s="261"/>
      <c r="E1486" s="261"/>
    </row>
    <row r="1487" spans="2:5" x14ac:dyDescent="0.3">
      <c r="B1487" s="274"/>
      <c r="C1487" s="108"/>
      <c r="D1487" s="261"/>
      <c r="E1487" s="261"/>
    </row>
    <row r="1488" spans="2:5" x14ac:dyDescent="0.3">
      <c r="B1488" s="274"/>
      <c r="C1488" s="108"/>
      <c r="D1488" s="261"/>
      <c r="E1488" s="261"/>
    </row>
    <row r="1489" spans="2:5" x14ac:dyDescent="0.3">
      <c r="B1489" s="274"/>
      <c r="C1489" s="108"/>
      <c r="D1489" s="261"/>
      <c r="E1489" s="261"/>
    </row>
    <row r="1490" spans="2:5" x14ac:dyDescent="0.3">
      <c r="B1490" s="274"/>
      <c r="C1490" s="108"/>
      <c r="D1490" s="261"/>
      <c r="E1490" s="261"/>
    </row>
    <row r="1491" spans="2:5" x14ac:dyDescent="0.3">
      <c r="B1491" s="274"/>
      <c r="C1491" s="108"/>
      <c r="D1491" s="261"/>
      <c r="E1491" s="261"/>
    </row>
    <row r="1492" spans="2:5" x14ac:dyDescent="0.3">
      <c r="B1492" s="274"/>
      <c r="C1492" s="108"/>
      <c r="D1492" s="261"/>
      <c r="E1492" s="261"/>
    </row>
    <row r="1493" spans="2:5" x14ac:dyDescent="0.3">
      <c r="B1493" s="274"/>
      <c r="C1493" s="108"/>
      <c r="D1493" s="261"/>
      <c r="E1493" s="261"/>
    </row>
    <row r="1494" spans="2:5" x14ac:dyDescent="0.3">
      <c r="B1494" s="274"/>
      <c r="C1494" s="108"/>
      <c r="D1494" s="261"/>
      <c r="E1494" s="261"/>
    </row>
    <row r="1495" spans="2:5" x14ac:dyDescent="0.3">
      <c r="B1495" s="274"/>
      <c r="C1495" s="108"/>
      <c r="D1495" s="261"/>
      <c r="E1495" s="261"/>
    </row>
    <row r="1496" spans="2:5" x14ac:dyDescent="0.3">
      <c r="B1496" s="274"/>
      <c r="C1496" s="108"/>
      <c r="D1496" s="261"/>
      <c r="E1496" s="261"/>
    </row>
    <row r="1497" spans="2:5" x14ac:dyDescent="0.3">
      <c r="B1497" s="274"/>
      <c r="C1497" s="108"/>
      <c r="D1497" s="261"/>
      <c r="E1497" s="261"/>
    </row>
    <row r="1498" spans="2:5" x14ac:dyDescent="0.3">
      <c r="B1498" s="274"/>
      <c r="C1498" s="108"/>
      <c r="D1498" s="261"/>
      <c r="E1498" s="261"/>
    </row>
    <row r="1499" spans="2:5" x14ac:dyDescent="0.3">
      <c r="B1499" s="274"/>
      <c r="C1499" s="108"/>
      <c r="D1499" s="261"/>
      <c r="E1499" s="261"/>
    </row>
    <row r="1500" spans="2:5" x14ac:dyDescent="0.3">
      <c r="B1500" s="274"/>
      <c r="C1500" s="108"/>
      <c r="D1500" s="261"/>
      <c r="E1500" s="261"/>
    </row>
    <row r="1501" spans="2:5" x14ac:dyDescent="0.3">
      <c r="B1501" s="274"/>
      <c r="C1501" s="108"/>
      <c r="D1501" s="261"/>
      <c r="E1501" s="261"/>
    </row>
    <row r="1502" spans="2:5" x14ac:dyDescent="0.3">
      <c r="B1502" s="274"/>
      <c r="C1502" s="108"/>
      <c r="D1502" s="261"/>
      <c r="E1502" s="261"/>
    </row>
    <row r="1503" spans="2:5" x14ac:dyDescent="0.3">
      <c r="B1503" s="274"/>
      <c r="C1503" s="108"/>
      <c r="D1503" s="261"/>
      <c r="E1503" s="261"/>
    </row>
    <row r="1504" spans="2:5" x14ac:dyDescent="0.3">
      <c r="B1504" s="274"/>
      <c r="C1504" s="108"/>
      <c r="D1504" s="261"/>
      <c r="E1504" s="261"/>
    </row>
    <row r="1505" spans="2:5" x14ac:dyDescent="0.3">
      <c r="B1505" s="274"/>
      <c r="C1505" s="108"/>
      <c r="D1505" s="261"/>
      <c r="E1505" s="261"/>
    </row>
    <row r="1506" spans="2:5" x14ac:dyDescent="0.3">
      <c r="B1506" s="274"/>
      <c r="C1506" s="108"/>
      <c r="D1506" s="261"/>
      <c r="E1506" s="261"/>
    </row>
    <row r="1507" spans="2:5" x14ac:dyDescent="0.3">
      <c r="B1507" s="274"/>
      <c r="C1507" s="108"/>
      <c r="D1507" s="261"/>
      <c r="E1507" s="261"/>
    </row>
    <row r="1508" spans="2:5" x14ac:dyDescent="0.3">
      <c r="B1508" s="274"/>
      <c r="C1508" s="108"/>
      <c r="D1508" s="261"/>
      <c r="E1508" s="261"/>
    </row>
    <row r="1509" spans="2:5" x14ac:dyDescent="0.3">
      <c r="B1509" s="274"/>
      <c r="C1509" s="108"/>
      <c r="D1509" s="261"/>
      <c r="E1509" s="261"/>
    </row>
    <row r="1510" spans="2:5" x14ac:dyDescent="0.3">
      <c r="B1510" s="274"/>
      <c r="C1510" s="108"/>
      <c r="D1510" s="261"/>
      <c r="E1510" s="261"/>
    </row>
    <row r="1511" spans="2:5" x14ac:dyDescent="0.3">
      <c r="B1511" s="274"/>
      <c r="C1511" s="108"/>
      <c r="D1511" s="261"/>
      <c r="E1511" s="261"/>
    </row>
    <row r="1512" spans="2:5" x14ac:dyDescent="0.3">
      <c r="B1512" s="274"/>
      <c r="C1512" s="108"/>
      <c r="D1512" s="261"/>
      <c r="E1512" s="261"/>
    </row>
    <row r="1513" spans="2:5" x14ac:dyDescent="0.3">
      <c r="B1513" s="274"/>
      <c r="C1513" s="108"/>
      <c r="D1513" s="261"/>
      <c r="E1513" s="261"/>
    </row>
    <row r="1514" spans="2:5" x14ac:dyDescent="0.3">
      <c r="B1514" s="274"/>
      <c r="C1514" s="108"/>
      <c r="D1514" s="261"/>
      <c r="E1514" s="261"/>
    </row>
    <row r="1515" spans="2:5" x14ac:dyDescent="0.3">
      <c r="B1515" s="274"/>
      <c r="C1515" s="108"/>
      <c r="D1515" s="261"/>
      <c r="E1515" s="261"/>
    </row>
    <row r="1516" spans="2:5" x14ac:dyDescent="0.3">
      <c r="B1516" s="274"/>
      <c r="C1516" s="108"/>
      <c r="D1516" s="261"/>
      <c r="E1516" s="261"/>
    </row>
    <row r="1517" spans="2:5" x14ac:dyDescent="0.3">
      <c r="B1517" s="274"/>
      <c r="C1517" s="108"/>
      <c r="D1517" s="261"/>
      <c r="E1517" s="261"/>
    </row>
    <row r="1518" spans="2:5" x14ac:dyDescent="0.3">
      <c r="B1518" s="274"/>
      <c r="C1518" s="108"/>
      <c r="D1518" s="261"/>
      <c r="E1518" s="261"/>
    </row>
    <row r="1519" spans="2:5" x14ac:dyDescent="0.3">
      <c r="B1519" s="274"/>
      <c r="C1519" s="108"/>
      <c r="D1519" s="261"/>
      <c r="E1519" s="261"/>
    </row>
    <row r="1520" spans="2:5" x14ac:dyDescent="0.3">
      <c r="B1520" s="274"/>
      <c r="C1520" s="108"/>
      <c r="D1520" s="261"/>
      <c r="E1520" s="261"/>
    </row>
    <row r="1521" spans="2:5" x14ac:dyDescent="0.3">
      <c r="B1521" s="274"/>
      <c r="C1521" s="108"/>
      <c r="D1521" s="261"/>
      <c r="E1521" s="261"/>
    </row>
    <row r="1522" spans="2:5" x14ac:dyDescent="0.3">
      <c r="B1522" s="274"/>
      <c r="C1522" s="108"/>
      <c r="D1522" s="261"/>
      <c r="E1522" s="261"/>
    </row>
    <row r="1523" spans="2:5" x14ac:dyDescent="0.3">
      <c r="B1523" s="274"/>
      <c r="C1523" s="108"/>
      <c r="D1523" s="261"/>
      <c r="E1523" s="261"/>
    </row>
    <row r="1524" spans="2:5" x14ac:dyDescent="0.3">
      <c r="B1524" s="274"/>
      <c r="C1524" s="108"/>
      <c r="D1524" s="261"/>
      <c r="E1524" s="261"/>
    </row>
    <row r="1525" spans="2:5" x14ac:dyDescent="0.3">
      <c r="B1525" s="274"/>
      <c r="C1525" s="108"/>
      <c r="D1525" s="261"/>
      <c r="E1525" s="261"/>
    </row>
    <row r="1526" spans="2:5" x14ac:dyDescent="0.3">
      <c r="B1526" s="274"/>
      <c r="C1526" s="108"/>
      <c r="D1526" s="261"/>
      <c r="E1526" s="261"/>
    </row>
    <row r="1527" spans="2:5" x14ac:dyDescent="0.3">
      <c r="B1527" s="274"/>
      <c r="C1527" s="108"/>
      <c r="D1527" s="261"/>
      <c r="E1527" s="261"/>
    </row>
    <row r="1528" spans="2:5" x14ac:dyDescent="0.3">
      <c r="B1528" s="274"/>
      <c r="C1528" s="108"/>
      <c r="D1528" s="261"/>
      <c r="E1528" s="261"/>
    </row>
    <row r="1529" spans="2:5" x14ac:dyDescent="0.3">
      <c r="B1529" s="274"/>
      <c r="C1529" s="108"/>
      <c r="D1529" s="261"/>
      <c r="E1529" s="261"/>
    </row>
    <row r="1530" spans="2:5" x14ac:dyDescent="0.3">
      <c r="B1530" s="274"/>
      <c r="C1530" s="108"/>
      <c r="D1530" s="261"/>
      <c r="E1530" s="261"/>
    </row>
    <row r="1531" spans="2:5" x14ac:dyDescent="0.3">
      <c r="B1531" s="274"/>
      <c r="C1531" s="108"/>
      <c r="D1531" s="261"/>
      <c r="E1531" s="261"/>
    </row>
    <row r="1532" spans="2:5" x14ac:dyDescent="0.3">
      <c r="B1532" s="274"/>
      <c r="C1532" s="108"/>
      <c r="D1532" s="261"/>
      <c r="E1532" s="261"/>
    </row>
    <row r="1533" spans="2:5" x14ac:dyDescent="0.3">
      <c r="B1533" s="274"/>
      <c r="C1533" s="108"/>
      <c r="D1533" s="261"/>
      <c r="E1533" s="261"/>
    </row>
    <row r="1534" spans="2:5" x14ac:dyDescent="0.3">
      <c r="B1534" s="274"/>
      <c r="C1534" s="108"/>
      <c r="D1534" s="261"/>
      <c r="E1534" s="261"/>
    </row>
    <row r="1535" spans="2:5" x14ac:dyDescent="0.3">
      <c r="B1535" s="274"/>
      <c r="C1535" s="108"/>
      <c r="D1535" s="261"/>
      <c r="E1535" s="261"/>
    </row>
    <row r="1536" spans="2:5" x14ac:dyDescent="0.3">
      <c r="B1536" s="274"/>
      <c r="C1536" s="108"/>
      <c r="D1536" s="261"/>
      <c r="E1536" s="261"/>
    </row>
    <row r="1537" spans="2:5" x14ac:dyDescent="0.3">
      <c r="B1537" s="274"/>
      <c r="C1537" s="108"/>
      <c r="D1537" s="261"/>
      <c r="E1537" s="261"/>
    </row>
    <row r="1538" spans="2:5" x14ac:dyDescent="0.3">
      <c r="B1538" s="274"/>
      <c r="C1538" s="108"/>
      <c r="D1538" s="261"/>
      <c r="E1538" s="261"/>
    </row>
    <row r="1539" spans="2:5" x14ac:dyDescent="0.3">
      <c r="B1539" s="274"/>
      <c r="C1539" s="108"/>
      <c r="D1539" s="261"/>
      <c r="E1539" s="261"/>
    </row>
    <row r="1540" spans="2:5" x14ac:dyDescent="0.3">
      <c r="B1540" s="274"/>
      <c r="C1540" s="108"/>
      <c r="D1540" s="261"/>
      <c r="E1540" s="261"/>
    </row>
    <row r="1541" spans="2:5" x14ac:dyDescent="0.3">
      <c r="B1541" s="274"/>
      <c r="C1541" s="108"/>
      <c r="D1541" s="261"/>
      <c r="E1541" s="261"/>
    </row>
    <row r="1542" spans="2:5" x14ac:dyDescent="0.3">
      <c r="B1542" s="274"/>
      <c r="C1542" s="108"/>
      <c r="D1542" s="261"/>
      <c r="E1542" s="261"/>
    </row>
    <row r="1543" spans="2:5" x14ac:dyDescent="0.3">
      <c r="B1543" s="274"/>
      <c r="C1543" s="108"/>
      <c r="D1543" s="261"/>
      <c r="E1543" s="261"/>
    </row>
    <row r="1544" spans="2:5" x14ac:dyDescent="0.3">
      <c r="B1544" s="274"/>
      <c r="C1544" s="108"/>
      <c r="D1544" s="261"/>
      <c r="E1544" s="261"/>
    </row>
    <row r="1545" spans="2:5" x14ac:dyDescent="0.3">
      <c r="B1545" s="274"/>
      <c r="C1545" s="108"/>
      <c r="D1545" s="261"/>
      <c r="E1545" s="261"/>
    </row>
    <row r="1546" spans="2:5" x14ac:dyDescent="0.3">
      <c r="B1546" s="274"/>
      <c r="C1546" s="108"/>
      <c r="D1546" s="261"/>
      <c r="E1546" s="261"/>
    </row>
    <row r="1547" spans="2:5" x14ac:dyDescent="0.3">
      <c r="B1547" s="274"/>
      <c r="C1547" s="108"/>
      <c r="D1547" s="261"/>
      <c r="E1547" s="261"/>
    </row>
    <row r="1548" spans="2:5" x14ac:dyDescent="0.3">
      <c r="B1548" s="274"/>
      <c r="C1548" s="108"/>
      <c r="D1548" s="261"/>
      <c r="E1548" s="261"/>
    </row>
    <row r="1549" spans="2:5" x14ac:dyDescent="0.3">
      <c r="B1549" s="274"/>
      <c r="C1549" s="108"/>
      <c r="D1549" s="261"/>
      <c r="E1549" s="261"/>
    </row>
    <row r="1550" spans="2:5" x14ac:dyDescent="0.3">
      <c r="B1550" s="274"/>
      <c r="C1550" s="108"/>
      <c r="D1550" s="261"/>
      <c r="E1550" s="261"/>
    </row>
    <row r="1551" spans="2:5" x14ac:dyDescent="0.3">
      <c r="B1551" s="274"/>
      <c r="C1551" s="108"/>
      <c r="D1551" s="261"/>
      <c r="E1551" s="261"/>
    </row>
    <row r="1552" spans="2:5" x14ac:dyDescent="0.3">
      <c r="B1552" s="274"/>
      <c r="C1552" s="108"/>
      <c r="D1552" s="261"/>
      <c r="E1552" s="261"/>
    </row>
    <row r="1553" spans="2:5" x14ac:dyDescent="0.3">
      <c r="B1553" s="274"/>
      <c r="C1553" s="108"/>
      <c r="D1553" s="261"/>
      <c r="E1553" s="261"/>
    </row>
    <row r="1554" spans="2:5" x14ac:dyDescent="0.3">
      <c r="B1554" s="274"/>
      <c r="C1554" s="108"/>
      <c r="D1554" s="261"/>
      <c r="E1554" s="261"/>
    </row>
    <row r="1555" spans="2:5" x14ac:dyDescent="0.3">
      <c r="B1555" s="274"/>
      <c r="C1555" s="108"/>
      <c r="D1555" s="261"/>
      <c r="E1555" s="261"/>
    </row>
    <row r="1556" spans="2:5" x14ac:dyDescent="0.3">
      <c r="B1556" s="274"/>
      <c r="C1556" s="108"/>
      <c r="D1556" s="261"/>
      <c r="E1556" s="261"/>
    </row>
    <row r="1557" spans="2:5" x14ac:dyDescent="0.3">
      <c r="B1557" s="274"/>
      <c r="C1557" s="108"/>
      <c r="D1557" s="261"/>
      <c r="E1557" s="261"/>
    </row>
    <row r="1558" spans="2:5" x14ac:dyDescent="0.3">
      <c r="B1558" s="274"/>
      <c r="C1558" s="108"/>
      <c r="D1558" s="261"/>
      <c r="E1558" s="261"/>
    </row>
    <row r="1559" spans="2:5" x14ac:dyDescent="0.3">
      <c r="B1559" s="274"/>
      <c r="C1559" s="108"/>
      <c r="D1559" s="261"/>
      <c r="E1559" s="261"/>
    </row>
    <row r="1560" spans="2:5" x14ac:dyDescent="0.3">
      <c r="B1560" s="274"/>
      <c r="C1560" s="108"/>
      <c r="D1560" s="261"/>
      <c r="E1560" s="261"/>
    </row>
    <row r="1561" spans="2:5" x14ac:dyDescent="0.3">
      <c r="B1561" s="274"/>
      <c r="C1561" s="108"/>
      <c r="D1561" s="261"/>
      <c r="E1561" s="261"/>
    </row>
    <row r="1562" spans="2:5" x14ac:dyDescent="0.3">
      <c r="B1562" s="274"/>
      <c r="C1562" s="108"/>
      <c r="D1562" s="261"/>
      <c r="E1562" s="261"/>
    </row>
    <row r="1563" spans="2:5" x14ac:dyDescent="0.3">
      <c r="B1563" s="274"/>
      <c r="C1563" s="108"/>
      <c r="D1563" s="261"/>
      <c r="E1563" s="261"/>
    </row>
    <row r="1564" spans="2:5" x14ac:dyDescent="0.3">
      <c r="B1564" s="274"/>
      <c r="C1564" s="108"/>
      <c r="D1564" s="261"/>
      <c r="E1564" s="261"/>
    </row>
    <row r="1565" spans="2:5" x14ac:dyDescent="0.3">
      <c r="B1565" s="274"/>
      <c r="C1565" s="108"/>
      <c r="D1565" s="261"/>
      <c r="E1565" s="261"/>
    </row>
    <row r="1566" spans="2:5" x14ac:dyDescent="0.3">
      <c r="B1566" s="274"/>
      <c r="C1566" s="108"/>
      <c r="D1566" s="261"/>
      <c r="E1566" s="261"/>
    </row>
    <row r="1567" spans="2:5" x14ac:dyDescent="0.3">
      <c r="B1567" s="274"/>
      <c r="C1567" s="108"/>
      <c r="D1567" s="261"/>
      <c r="E1567" s="261"/>
    </row>
    <row r="1568" spans="2:5" x14ac:dyDescent="0.3">
      <c r="B1568" s="274"/>
      <c r="C1568" s="108"/>
      <c r="D1568" s="261"/>
      <c r="E1568" s="261"/>
    </row>
    <row r="1569" spans="2:5" x14ac:dyDescent="0.3">
      <c r="B1569" s="274"/>
      <c r="C1569" s="108"/>
      <c r="D1569" s="261"/>
      <c r="E1569" s="261"/>
    </row>
    <row r="1570" spans="2:5" x14ac:dyDescent="0.3">
      <c r="B1570" s="274"/>
      <c r="C1570" s="108"/>
      <c r="D1570" s="261"/>
      <c r="E1570" s="261"/>
    </row>
    <row r="1571" spans="2:5" x14ac:dyDescent="0.3">
      <c r="B1571" s="274"/>
      <c r="C1571" s="108"/>
      <c r="D1571" s="261"/>
      <c r="E1571" s="261"/>
    </row>
    <row r="1572" spans="2:5" x14ac:dyDescent="0.3">
      <c r="B1572" s="274"/>
      <c r="C1572" s="108"/>
      <c r="D1572" s="261"/>
      <c r="E1572" s="261"/>
    </row>
    <row r="1573" spans="2:5" x14ac:dyDescent="0.3">
      <c r="B1573" s="274"/>
      <c r="C1573" s="108"/>
      <c r="D1573" s="261"/>
      <c r="E1573" s="261"/>
    </row>
    <row r="1574" spans="2:5" x14ac:dyDescent="0.3">
      <c r="B1574" s="274"/>
      <c r="C1574" s="108"/>
      <c r="D1574" s="261"/>
      <c r="E1574" s="261"/>
    </row>
    <row r="1575" spans="2:5" x14ac:dyDescent="0.3">
      <c r="B1575" s="274"/>
      <c r="C1575" s="108"/>
      <c r="D1575" s="261"/>
      <c r="E1575" s="261"/>
    </row>
    <row r="1576" spans="2:5" x14ac:dyDescent="0.3">
      <c r="B1576" s="274"/>
      <c r="C1576" s="108"/>
      <c r="D1576" s="261"/>
      <c r="E1576" s="261"/>
    </row>
    <row r="1577" spans="2:5" x14ac:dyDescent="0.3">
      <c r="B1577" s="274"/>
      <c r="C1577" s="108"/>
      <c r="D1577" s="261"/>
      <c r="E1577" s="261"/>
    </row>
    <row r="1578" spans="2:5" x14ac:dyDescent="0.3">
      <c r="B1578" s="274"/>
      <c r="C1578" s="108"/>
      <c r="D1578" s="261"/>
      <c r="E1578" s="261"/>
    </row>
    <row r="1579" spans="2:5" x14ac:dyDescent="0.3">
      <c r="B1579" s="274"/>
      <c r="C1579" s="108"/>
      <c r="D1579" s="261"/>
      <c r="E1579" s="261"/>
    </row>
    <row r="1580" spans="2:5" x14ac:dyDescent="0.3">
      <c r="B1580" s="274"/>
      <c r="C1580" s="108"/>
      <c r="D1580" s="261"/>
      <c r="E1580" s="261"/>
    </row>
    <row r="1581" spans="2:5" x14ac:dyDescent="0.3">
      <c r="B1581" s="274"/>
      <c r="C1581" s="108"/>
      <c r="D1581" s="261"/>
      <c r="E1581" s="261"/>
    </row>
    <row r="1582" spans="2:5" x14ac:dyDescent="0.3">
      <c r="B1582" s="274"/>
      <c r="C1582" s="108"/>
      <c r="D1582" s="261"/>
      <c r="E1582" s="261"/>
    </row>
    <row r="1583" spans="2:5" x14ac:dyDescent="0.3">
      <c r="B1583" s="274"/>
      <c r="C1583" s="108"/>
      <c r="D1583" s="261"/>
      <c r="E1583" s="261"/>
    </row>
    <row r="1584" spans="2:5" x14ac:dyDescent="0.3">
      <c r="B1584" s="274"/>
      <c r="C1584" s="108"/>
      <c r="D1584" s="261"/>
      <c r="E1584" s="261"/>
    </row>
    <row r="1585" spans="2:5" x14ac:dyDescent="0.3">
      <c r="B1585" s="274"/>
      <c r="C1585" s="108"/>
      <c r="D1585" s="261"/>
      <c r="E1585" s="261"/>
    </row>
    <row r="1586" spans="2:5" x14ac:dyDescent="0.3">
      <c r="B1586" s="274"/>
      <c r="C1586" s="108"/>
      <c r="D1586" s="261"/>
      <c r="E1586" s="261"/>
    </row>
    <row r="1587" spans="2:5" x14ac:dyDescent="0.3">
      <c r="B1587" s="274"/>
      <c r="C1587" s="108"/>
      <c r="D1587" s="261"/>
      <c r="E1587" s="261"/>
    </row>
    <row r="1588" spans="2:5" x14ac:dyDescent="0.3">
      <c r="B1588" s="274"/>
      <c r="C1588" s="108"/>
      <c r="D1588" s="261"/>
      <c r="E1588" s="261"/>
    </row>
    <row r="1589" spans="2:5" x14ac:dyDescent="0.3">
      <c r="B1589" s="274"/>
      <c r="C1589" s="108"/>
      <c r="D1589" s="261"/>
      <c r="E1589" s="261"/>
    </row>
    <row r="1590" spans="2:5" x14ac:dyDescent="0.3">
      <c r="B1590" s="274"/>
      <c r="C1590" s="108"/>
      <c r="D1590" s="261"/>
      <c r="E1590" s="261"/>
    </row>
    <row r="1591" spans="2:5" x14ac:dyDescent="0.3">
      <c r="B1591" s="274"/>
      <c r="C1591" s="108"/>
      <c r="D1591" s="261"/>
      <c r="E1591" s="261"/>
    </row>
    <row r="1592" spans="2:5" x14ac:dyDescent="0.3">
      <c r="B1592" s="274"/>
      <c r="C1592" s="108"/>
      <c r="D1592" s="261"/>
      <c r="E1592" s="261"/>
    </row>
    <row r="1593" spans="2:5" x14ac:dyDescent="0.3">
      <c r="B1593" s="274"/>
      <c r="C1593" s="108"/>
      <c r="D1593" s="261"/>
      <c r="E1593" s="261"/>
    </row>
    <row r="1594" spans="2:5" x14ac:dyDescent="0.3">
      <c r="B1594" s="274"/>
      <c r="C1594" s="108"/>
      <c r="D1594" s="261"/>
      <c r="E1594" s="261"/>
    </row>
    <row r="1595" spans="2:5" x14ac:dyDescent="0.3">
      <c r="B1595" s="274"/>
      <c r="C1595" s="108"/>
      <c r="D1595" s="261"/>
      <c r="E1595" s="261"/>
    </row>
    <row r="1596" spans="2:5" x14ac:dyDescent="0.3">
      <c r="B1596" s="274"/>
      <c r="C1596" s="108"/>
      <c r="D1596" s="261"/>
      <c r="E1596" s="261"/>
    </row>
    <row r="1597" spans="2:5" x14ac:dyDescent="0.3">
      <c r="B1597" s="274"/>
      <c r="C1597" s="108"/>
      <c r="D1597" s="261"/>
      <c r="E1597" s="261"/>
    </row>
    <row r="1598" spans="2:5" x14ac:dyDescent="0.3">
      <c r="B1598" s="274"/>
      <c r="C1598" s="108"/>
      <c r="D1598" s="261"/>
      <c r="E1598" s="261"/>
    </row>
    <row r="1599" spans="2:5" x14ac:dyDescent="0.3">
      <c r="B1599" s="274"/>
      <c r="C1599" s="108"/>
      <c r="D1599" s="261"/>
      <c r="E1599" s="261"/>
    </row>
    <row r="1600" spans="2:5" x14ac:dyDescent="0.3">
      <c r="B1600" s="274"/>
      <c r="C1600" s="108"/>
      <c r="D1600" s="261"/>
      <c r="E1600" s="261"/>
    </row>
    <row r="1601" spans="2:5" x14ac:dyDescent="0.3">
      <c r="B1601" s="274"/>
      <c r="C1601" s="108"/>
      <c r="D1601" s="261"/>
      <c r="E1601" s="261"/>
    </row>
    <row r="1602" spans="2:5" x14ac:dyDescent="0.3">
      <c r="B1602" s="274"/>
      <c r="C1602" s="108"/>
      <c r="D1602" s="261"/>
      <c r="E1602" s="261"/>
    </row>
    <row r="1603" spans="2:5" x14ac:dyDescent="0.3">
      <c r="B1603" s="274"/>
      <c r="C1603" s="108"/>
      <c r="D1603" s="261"/>
      <c r="E1603" s="261"/>
    </row>
    <row r="1604" spans="2:5" x14ac:dyDescent="0.3">
      <c r="B1604" s="274"/>
      <c r="C1604" s="108"/>
      <c r="D1604" s="261"/>
      <c r="E1604" s="261"/>
    </row>
    <row r="1605" spans="2:5" x14ac:dyDescent="0.3">
      <c r="B1605" s="274"/>
      <c r="C1605" s="108"/>
      <c r="D1605" s="261"/>
      <c r="E1605" s="261"/>
    </row>
    <row r="1606" spans="2:5" x14ac:dyDescent="0.3">
      <c r="B1606" s="274"/>
      <c r="C1606" s="108"/>
      <c r="D1606" s="261"/>
      <c r="E1606" s="261"/>
    </row>
    <row r="1607" spans="2:5" x14ac:dyDescent="0.3">
      <c r="B1607" s="274"/>
      <c r="C1607" s="108"/>
      <c r="D1607" s="261"/>
      <c r="E1607" s="261"/>
    </row>
    <row r="1608" spans="2:5" x14ac:dyDescent="0.3">
      <c r="B1608" s="274"/>
      <c r="C1608" s="108"/>
      <c r="D1608" s="261"/>
      <c r="E1608" s="261"/>
    </row>
    <row r="1609" spans="2:5" x14ac:dyDescent="0.3">
      <c r="B1609" s="274"/>
      <c r="C1609" s="108"/>
      <c r="D1609" s="261"/>
      <c r="E1609" s="261"/>
    </row>
    <row r="1610" spans="2:5" x14ac:dyDescent="0.3">
      <c r="B1610" s="274"/>
      <c r="C1610" s="108"/>
      <c r="D1610" s="261"/>
      <c r="E1610" s="261"/>
    </row>
    <row r="1611" spans="2:5" x14ac:dyDescent="0.3">
      <c r="B1611" s="274"/>
      <c r="C1611" s="108"/>
      <c r="D1611" s="261"/>
      <c r="E1611" s="261"/>
    </row>
    <row r="1612" spans="2:5" x14ac:dyDescent="0.3">
      <c r="B1612" s="274"/>
      <c r="C1612" s="108"/>
      <c r="D1612" s="261"/>
      <c r="E1612" s="261"/>
    </row>
    <row r="1613" spans="2:5" x14ac:dyDescent="0.3">
      <c r="B1613" s="274"/>
      <c r="C1613" s="108"/>
      <c r="D1613" s="261"/>
      <c r="E1613" s="261"/>
    </row>
    <row r="1614" spans="2:5" x14ac:dyDescent="0.3">
      <c r="B1614" s="274"/>
      <c r="C1614" s="108"/>
      <c r="D1614" s="261"/>
      <c r="E1614" s="261"/>
    </row>
    <row r="1615" spans="2:5" x14ac:dyDescent="0.3">
      <c r="B1615" s="274"/>
      <c r="C1615" s="108"/>
      <c r="D1615" s="261"/>
      <c r="E1615" s="261"/>
    </row>
    <row r="1616" spans="2:5" x14ac:dyDescent="0.3">
      <c r="B1616" s="274"/>
      <c r="C1616" s="108"/>
      <c r="D1616" s="261"/>
      <c r="E1616" s="261"/>
    </row>
    <row r="1617" spans="2:5" x14ac:dyDescent="0.3">
      <c r="B1617" s="274"/>
      <c r="C1617" s="108"/>
      <c r="D1617" s="261"/>
      <c r="E1617" s="261"/>
    </row>
    <row r="1618" spans="2:5" x14ac:dyDescent="0.3">
      <c r="B1618" s="274"/>
      <c r="C1618" s="108"/>
      <c r="D1618" s="261"/>
      <c r="E1618" s="261"/>
    </row>
    <row r="1619" spans="2:5" x14ac:dyDescent="0.3">
      <c r="B1619" s="274"/>
      <c r="C1619" s="108"/>
      <c r="D1619" s="261"/>
      <c r="E1619" s="261"/>
    </row>
    <row r="1620" spans="2:5" x14ac:dyDescent="0.3">
      <c r="B1620" s="274"/>
      <c r="C1620" s="108"/>
      <c r="D1620" s="261"/>
      <c r="E1620" s="261"/>
    </row>
    <row r="1621" spans="2:5" x14ac:dyDescent="0.3">
      <c r="B1621" s="274"/>
      <c r="C1621" s="108"/>
      <c r="D1621" s="261"/>
      <c r="E1621" s="261"/>
    </row>
    <row r="1622" spans="2:5" x14ac:dyDescent="0.3">
      <c r="B1622" s="274"/>
      <c r="C1622" s="108"/>
      <c r="D1622" s="261"/>
      <c r="E1622" s="261"/>
    </row>
    <row r="1623" spans="2:5" x14ac:dyDescent="0.3">
      <c r="B1623" s="274"/>
      <c r="C1623" s="108"/>
      <c r="D1623" s="261"/>
      <c r="E1623" s="261"/>
    </row>
    <row r="1624" spans="2:5" x14ac:dyDescent="0.3">
      <c r="B1624" s="274"/>
      <c r="C1624" s="108"/>
      <c r="D1624" s="261"/>
      <c r="E1624" s="261"/>
    </row>
    <row r="1625" spans="2:5" x14ac:dyDescent="0.3">
      <c r="B1625" s="274"/>
      <c r="C1625" s="108"/>
      <c r="D1625" s="261"/>
      <c r="E1625" s="261"/>
    </row>
    <row r="1626" spans="2:5" x14ac:dyDescent="0.3">
      <c r="B1626" s="274"/>
      <c r="C1626" s="108"/>
      <c r="D1626" s="261"/>
      <c r="E1626" s="261"/>
    </row>
    <row r="1627" spans="2:5" x14ac:dyDescent="0.3">
      <c r="B1627" s="274"/>
      <c r="C1627" s="108"/>
      <c r="D1627" s="261"/>
      <c r="E1627" s="261"/>
    </row>
    <row r="1628" spans="2:5" x14ac:dyDescent="0.3">
      <c r="B1628" s="274"/>
      <c r="C1628" s="108"/>
      <c r="D1628" s="261"/>
      <c r="E1628" s="261"/>
    </row>
    <row r="1629" spans="2:5" x14ac:dyDescent="0.3">
      <c r="B1629" s="274"/>
      <c r="C1629" s="108"/>
      <c r="D1629" s="261"/>
      <c r="E1629" s="261"/>
    </row>
    <row r="1630" spans="2:5" x14ac:dyDescent="0.3">
      <c r="B1630" s="274"/>
      <c r="C1630" s="108"/>
      <c r="D1630" s="261"/>
      <c r="E1630" s="261"/>
    </row>
    <row r="1631" spans="2:5" x14ac:dyDescent="0.3">
      <c r="B1631" s="274"/>
      <c r="C1631" s="108"/>
      <c r="D1631" s="261"/>
      <c r="E1631" s="261"/>
    </row>
    <row r="1632" spans="2:5" x14ac:dyDescent="0.3">
      <c r="B1632" s="274"/>
      <c r="C1632" s="108"/>
      <c r="D1632" s="261"/>
      <c r="E1632" s="261"/>
    </row>
    <row r="1633" spans="2:5" x14ac:dyDescent="0.3">
      <c r="B1633" s="274"/>
      <c r="C1633" s="108"/>
      <c r="D1633" s="261"/>
      <c r="E1633" s="261"/>
    </row>
    <row r="1634" spans="2:5" x14ac:dyDescent="0.3">
      <c r="B1634" s="274"/>
      <c r="C1634" s="108"/>
      <c r="D1634" s="261"/>
      <c r="E1634" s="261"/>
    </row>
    <row r="1635" spans="2:5" x14ac:dyDescent="0.3">
      <c r="B1635" s="274"/>
      <c r="C1635" s="108"/>
      <c r="D1635" s="261"/>
      <c r="E1635" s="261"/>
    </row>
    <row r="1636" spans="2:5" x14ac:dyDescent="0.3">
      <c r="B1636" s="274"/>
      <c r="C1636" s="108"/>
      <c r="D1636" s="261"/>
      <c r="E1636" s="261"/>
    </row>
    <row r="1637" spans="2:5" x14ac:dyDescent="0.3">
      <c r="B1637" s="274"/>
      <c r="C1637" s="108"/>
      <c r="D1637" s="261"/>
      <c r="E1637" s="261"/>
    </row>
    <row r="1638" spans="2:5" x14ac:dyDescent="0.3">
      <c r="B1638" s="274"/>
      <c r="C1638" s="108"/>
      <c r="D1638" s="261"/>
      <c r="E1638" s="261"/>
    </row>
    <row r="1639" spans="2:5" x14ac:dyDescent="0.3">
      <c r="B1639" s="274"/>
      <c r="C1639" s="108"/>
      <c r="D1639" s="261"/>
      <c r="E1639" s="261"/>
    </row>
    <row r="1640" spans="2:5" x14ac:dyDescent="0.3">
      <c r="B1640" s="274"/>
      <c r="C1640" s="108"/>
      <c r="D1640" s="261"/>
      <c r="E1640" s="261"/>
    </row>
    <row r="1641" spans="2:5" x14ac:dyDescent="0.3">
      <c r="B1641" s="274"/>
      <c r="C1641" s="108"/>
      <c r="D1641" s="261"/>
      <c r="E1641" s="261"/>
    </row>
    <row r="1642" spans="2:5" x14ac:dyDescent="0.3">
      <c r="B1642" s="274"/>
      <c r="C1642" s="108"/>
      <c r="D1642" s="261"/>
      <c r="E1642" s="261"/>
    </row>
    <row r="1643" spans="2:5" x14ac:dyDescent="0.3">
      <c r="B1643" s="274"/>
      <c r="C1643" s="108"/>
      <c r="D1643" s="261"/>
      <c r="E1643" s="261"/>
    </row>
    <row r="1644" spans="2:5" x14ac:dyDescent="0.3">
      <c r="B1644" s="274"/>
      <c r="C1644" s="108"/>
      <c r="D1644" s="261"/>
      <c r="E1644" s="261"/>
    </row>
    <row r="1645" spans="2:5" x14ac:dyDescent="0.3">
      <c r="B1645" s="274"/>
      <c r="C1645" s="108"/>
      <c r="D1645" s="261"/>
      <c r="E1645" s="261"/>
    </row>
    <row r="1646" spans="2:5" x14ac:dyDescent="0.3">
      <c r="B1646" s="274"/>
      <c r="C1646" s="108"/>
      <c r="D1646" s="261"/>
      <c r="E1646" s="261"/>
    </row>
    <row r="1647" spans="2:5" x14ac:dyDescent="0.3">
      <c r="B1647" s="274"/>
      <c r="C1647" s="108"/>
      <c r="D1647" s="261"/>
      <c r="E1647" s="261"/>
    </row>
    <row r="1648" spans="2:5" x14ac:dyDescent="0.3">
      <c r="B1648" s="274"/>
      <c r="C1648" s="108"/>
      <c r="D1648" s="261"/>
      <c r="E1648" s="261"/>
    </row>
    <row r="1649" spans="2:5" x14ac:dyDescent="0.3">
      <c r="B1649" s="274"/>
      <c r="C1649" s="108"/>
      <c r="D1649" s="261"/>
      <c r="E1649" s="261"/>
    </row>
    <row r="1650" spans="2:5" x14ac:dyDescent="0.3">
      <c r="B1650" s="274"/>
      <c r="C1650" s="108"/>
      <c r="D1650" s="261"/>
      <c r="E1650" s="261"/>
    </row>
    <row r="1651" spans="2:5" x14ac:dyDescent="0.3">
      <c r="B1651" s="274"/>
      <c r="C1651" s="108"/>
      <c r="D1651" s="261"/>
      <c r="E1651" s="261"/>
    </row>
    <row r="1652" spans="2:5" x14ac:dyDescent="0.3">
      <c r="B1652" s="274"/>
      <c r="C1652" s="108"/>
      <c r="D1652" s="261"/>
      <c r="E1652" s="261"/>
    </row>
    <row r="1653" spans="2:5" x14ac:dyDescent="0.3">
      <c r="B1653" s="274"/>
      <c r="C1653" s="108"/>
      <c r="D1653" s="261"/>
      <c r="E1653" s="261"/>
    </row>
    <row r="1654" spans="2:5" x14ac:dyDescent="0.3">
      <c r="B1654" s="274"/>
      <c r="C1654" s="108"/>
      <c r="D1654" s="261"/>
      <c r="E1654" s="261"/>
    </row>
    <row r="1655" spans="2:5" x14ac:dyDescent="0.3">
      <c r="B1655" s="274"/>
      <c r="C1655" s="108"/>
      <c r="D1655" s="261"/>
      <c r="E1655" s="261"/>
    </row>
    <row r="1656" spans="2:5" x14ac:dyDescent="0.3">
      <c r="B1656" s="274"/>
      <c r="C1656" s="108"/>
      <c r="D1656" s="261"/>
      <c r="E1656" s="261"/>
    </row>
    <row r="1657" spans="2:5" x14ac:dyDescent="0.3">
      <c r="B1657" s="274"/>
      <c r="C1657" s="108"/>
      <c r="D1657" s="261"/>
      <c r="E1657" s="261"/>
    </row>
    <row r="1658" spans="2:5" x14ac:dyDescent="0.3">
      <c r="B1658" s="274"/>
      <c r="C1658" s="108"/>
      <c r="D1658" s="261"/>
      <c r="E1658" s="261"/>
    </row>
    <row r="1659" spans="2:5" x14ac:dyDescent="0.3">
      <c r="B1659" s="274"/>
      <c r="C1659" s="108"/>
      <c r="D1659" s="261"/>
      <c r="E1659" s="261"/>
    </row>
    <row r="1660" spans="2:5" x14ac:dyDescent="0.3">
      <c r="B1660" s="274"/>
      <c r="C1660" s="108"/>
      <c r="D1660" s="261"/>
      <c r="E1660" s="261"/>
    </row>
    <row r="1661" spans="2:5" x14ac:dyDescent="0.3">
      <c r="B1661" s="274"/>
      <c r="C1661" s="108"/>
      <c r="D1661" s="261"/>
      <c r="E1661" s="261"/>
    </row>
    <row r="1662" spans="2:5" x14ac:dyDescent="0.3">
      <c r="B1662" s="274"/>
      <c r="C1662" s="108"/>
      <c r="D1662" s="261"/>
      <c r="E1662" s="261"/>
    </row>
    <row r="1663" spans="2:5" x14ac:dyDescent="0.3">
      <c r="B1663" s="274"/>
      <c r="C1663" s="108"/>
      <c r="D1663" s="261"/>
      <c r="E1663" s="261"/>
    </row>
    <row r="1664" spans="2:5" x14ac:dyDescent="0.3">
      <c r="B1664" s="274"/>
      <c r="C1664" s="108"/>
      <c r="D1664" s="261"/>
      <c r="E1664" s="261"/>
    </row>
    <row r="1665" spans="2:5" x14ac:dyDescent="0.3">
      <c r="B1665" s="274"/>
      <c r="C1665" s="108"/>
      <c r="D1665" s="261"/>
      <c r="E1665" s="261"/>
    </row>
    <row r="1666" spans="2:5" x14ac:dyDescent="0.3">
      <c r="B1666" s="274"/>
      <c r="C1666" s="108"/>
      <c r="D1666" s="261"/>
      <c r="E1666" s="261"/>
    </row>
    <row r="1667" spans="2:5" x14ac:dyDescent="0.3">
      <c r="B1667" s="274"/>
      <c r="C1667" s="108"/>
      <c r="D1667" s="261"/>
      <c r="E1667" s="261"/>
    </row>
    <row r="1668" spans="2:5" x14ac:dyDescent="0.3">
      <c r="B1668" s="274"/>
      <c r="C1668" s="108"/>
      <c r="D1668" s="261"/>
      <c r="E1668" s="261"/>
    </row>
    <row r="1669" spans="2:5" x14ac:dyDescent="0.3">
      <c r="B1669" s="274"/>
      <c r="C1669" s="108"/>
      <c r="D1669" s="261"/>
      <c r="E1669" s="261"/>
    </row>
    <row r="1670" spans="2:5" x14ac:dyDescent="0.3">
      <c r="B1670" s="274"/>
      <c r="C1670" s="108"/>
      <c r="D1670" s="261"/>
      <c r="E1670" s="261"/>
    </row>
    <row r="1671" spans="2:5" x14ac:dyDescent="0.3">
      <c r="B1671" s="274"/>
      <c r="C1671" s="108"/>
      <c r="D1671" s="261"/>
      <c r="E1671" s="261"/>
    </row>
    <row r="1672" spans="2:5" x14ac:dyDescent="0.3">
      <c r="B1672" s="274"/>
      <c r="C1672" s="108"/>
      <c r="D1672" s="261"/>
      <c r="E1672" s="261"/>
    </row>
    <row r="1673" spans="2:5" x14ac:dyDescent="0.3">
      <c r="B1673" s="274"/>
      <c r="C1673" s="108"/>
      <c r="D1673" s="261"/>
      <c r="E1673" s="261"/>
    </row>
    <row r="1674" spans="2:5" x14ac:dyDescent="0.3">
      <c r="B1674" s="274"/>
      <c r="C1674" s="108"/>
      <c r="D1674" s="261"/>
      <c r="E1674" s="261"/>
    </row>
    <row r="1675" spans="2:5" x14ac:dyDescent="0.3">
      <c r="B1675" s="274"/>
      <c r="C1675" s="108"/>
      <c r="D1675" s="261"/>
      <c r="E1675" s="261"/>
    </row>
    <row r="1676" spans="2:5" x14ac:dyDescent="0.3">
      <c r="B1676" s="274"/>
      <c r="C1676" s="108"/>
      <c r="D1676" s="261"/>
      <c r="E1676" s="261"/>
    </row>
    <row r="1677" spans="2:5" x14ac:dyDescent="0.3">
      <c r="B1677" s="274"/>
      <c r="C1677" s="108"/>
      <c r="D1677" s="261"/>
      <c r="E1677" s="261"/>
    </row>
    <row r="1678" spans="2:5" x14ac:dyDescent="0.3">
      <c r="B1678" s="274"/>
      <c r="C1678" s="108"/>
      <c r="D1678" s="261"/>
      <c r="E1678" s="261"/>
    </row>
    <row r="1679" spans="2:5" x14ac:dyDescent="0.3">
      <c r="B1679" s="274"/>
      <c r="C1679" s="108"/>
      <c r="D1679" s="261"/>
      <c r="E1679" s="261"/>
    </row>
    <row r="1680" spans="2:5" x14ac:dyDescent="0.3">
      <c r="B1680" s="274"/>
      <c r="C1680" s="108"/>
      <c r="D1680" s="261"/>
      <c r="E1680" s="261"/>
    </row>
    <row r="1681" spans="2:5" x14ac:dyDescent="0.3">
      <c r="B1681" s="274"/>
      <c r="C1681" s="108"/>
      <c r="D1681" s="261"/>
      <c r="E1681" s="261"/>
    </row>
    <row r="1682" spans="2:5" x14ac:dyDescent="0.3">
      <c r="B1682" s="274"/>
      <c r="C1682" s="108"/>
      <c r="D1682" s="261"/>
      <c r="E1682" s="261"/>
    </row>
    <row r="1683" spans="2:5" x14ac:dyDescent="0.3">
      <c r="B1683" s="274"/>
      <c r="C1683" s="108"/>
      <c r="D1683" s="261"/>
      <c r="E1683" s="261"/>
    </row>
    <row r="1684" spans="2:5" x14ac:dyDescent="0.3">
      <c r="B1684" s="274"/>
      <c r="C1684" s="108"/>
      <c r="D1684" s="261"/>
      <c r="E1684" s="261"/>
    </row>
    <row r="1685" spans="2:5" x14ac:dyDescent="0.3">
      <c r="B1685" s="274"/>
      <c r="C1685" s="108"/>
      <c r="D1685" s="261"/>
      <c r="E1685" s="261"/>
    </row>
    <row r="1686" spans="2:5" x14ac:dyDescent="0.3">
      <c r="B1686" s="274"/>
      <c r="C1686" s="108"/>
      <c r="D1686" s="261"/>
      <c r="E1686" s="261"/>
    </row>
    <row r="1687" spans="2:5" x14ac:dyDescent="0.3">
      <c r="B1687" s="274"/>
      <c r="C1687" s="108"/>
      <c r="D1687" s="261"/>
      <c r="E1687" s="261"/>
    </row>
    <row r="1688" spans="2:5" x14ac:dyDescent="0.3">
      <c r="B1688" s="274"/>
      <c r="C1688" s="108"/>
      <c r="D1688" s="261"/>
      <c r="E1688" s="261"/>
    </row>
    <row r="1689" spans="2:5" x14ac:dyDescent="0.3">
      <c r="B1689" s="274"/>
      <c r="C1689" s="108"/>
      <c r="D1689" s="261"/>
      <c r="E1689" s="261"/>
    </row>
    <row r="1690" spans="2:5" x14ac:dyDescent="0.3">
      <c r="B1690" s="274"/>
      <c r="C1690" s="108"/>
      <c r="D1690" s="261"/>
      <c r="E1690" s="261"/>
    </row>
    <row r="1691" spans="2:5" x14ac:dyDescent="0.3">
      <c r="B1691" s="274"/>
      <c r="C1691" s="108"/>
      <c r="D1691" s="261"/>
      <c r="E1691" s="261"/>
    </row>
    <row r="1692" spans="2:5" x14ac:dyDescent="0.3">
      <c r="B1692" s="274"/>
      <c r="C1692" s="108"/>
      <c r="D1692" s="261"/>
      <c r="E1692" s="261"/>
    </row>
    <row r="1693" spans="2:5" x14ac:dyDescent="0.3">
      <c r="B1693" s="274"/>
      <c r="C1693" s="108"/>
      <c r="D1693" s="261"/>
      <c r="E1693" s="261"/>
    </row>
    <row r="1694" spans="2:5" x14ac:dyDescent="0.3">
      <c r="B1694" s="274"/>
      <c r="C1694" s="108"/>
      <c r="D1694" s="261"/>
      <c r="E1694" s="261"/>
    </row>
    <row r="1695" spans="2:5" x14ac:dyDescent="0.3">
      <c r="B1695" s="274"/>
      <c r="C1695" s="108"/>
      <c r="D1695" s="261"/>
      <c r="E1695" s="261"/>
    </row>
    <row r="1696" spans="2:5" x14ac:dyDescent="0.3">
      <c r="B1696" s="274"/>
      <c r="C1696" s="108"/>
      <c r="D1696" s="261"/>
      <c r="E1696" s="261"/>
    </row>
    <row r="1697" spans="2:5" x14ac:dyDescent="0.3">
      <c r="B1697" s="274"/>
      <c r="C1697" s="108"/>
      <c r="D1697" s="261"/>
      <c r="E1697" s="261"/>
    </row>
    <row r="1698" spans="2:5" x14ac:dyDescent="0.3">
      <c r="B1698" s="274"/>
      <c r="C1698" s="108"/>
      <c r="D1698" s="261"/>
      <c r="E1698" s="261"/>
    </row>
    <row r="1699" spans="2:5" x14ac:dyDescent="0.3">
      <c r="B1699" s="274"/>
      <c r="C1699" s="108"/>
      <c r="D1699" s="261"/>
      <c r="E1699" s="261"/>
    </row>
    <row r="1700" spans="2:5" x14ac:dyDescent="0.3">
      <c r="B1700" s="274"/>
      <c r="C1700" s="108"/>
      <c r="D1700" s="261"/>
      <c r="E1700" s="261"/>
    </row>
    <row r="1701" spans="2:5" x14ac:dyDescent="0.3">
      <c r="B1701" s="274"/>
      <c r="C1701" s="108"/>
      <c r="D1701" s="261"/>
      <c r="E1701" s="261"/>
    </row>
    <row r="1702" spans="2:5" x14ac:dyDescent="0.3">
      <c r="B1702" s="274"/>
      <c r="C1702" s="108"/>
      <c r="D1702" s="261"/>
      <c r="E1702" s="261"/>
    </row>
    <row r="1703" spans="2:5" x14ac:dyDescent="0.3">
      <c r="B1703" s="274"/>
      <c r="C1703" s="108"/>
      <c r="D1703" s="261"/>
      <c r="E1703" s="261"/>
    </row>
    <row r="1704" spans="2:5" x14ac:dyDescent="0.3">
      <c r="B1704" s="274"/>
      <c r="C1704" s="108"/>
      <c r="D1704" s="261"/>
      <c r="E1704" s="261"/>
    </row>
    <row r="1705" spans="2:5" x14ac:dyDescent="0.3">
      <c r="B1705" s="274"/>
      <c r="C1705" s="108"/>
      <c r="D1705" s="261"/>
      <c r="E1705" s="261"/>
    </row>
    <row r="1706" spans="2:5" x14ac:dyDescent="0.3">
      <c r="B1706" s="274"/>
      <c r="C1706" s="108"/>
      <c r="D1706" s="261"/>
      <c r="E1706" s="261"/>
    </row>
    <row r="1707" spans="2:5" x14ac:dyDescent="0.3">
      <c r="B1707" s="274"/>
      <c r="C1707" s="108"/>
      <c r="D1707" s="261"/>
      <c r="E1707" s="261"/>
    </row>
    <row r="1708" spans="2:5" x14ac:dyDescent="0.3">
      <c r="B1708" s="274"/>
      <c r="C1708" s="108"/>
      <c r="D1708" s="261"/>
      <c r="E1708" s="261"/>
    </row>
    <row r="1709" spans="2:5" x14ac:dyDescent="0.3">
      <c r="B1709" s="274"/>
      <c r="C1709" s="108"/>
      <c r="D1709" s="261"/>
      <c r="E1709" s="261"/>
    </row>
    <row r="1710" spans="2:5" x14ac:dyDescent="0.3">
      <c r="B1710" s="274"/>
      <c r="C1710" s="108"/>
      <c r="D1710" s="261"/>
      <c r="E1710" s="261"/>
    </row>
    <row r="1711" spans="2:5" x14ac:dyDescent="0.3">
      <c r="B1711" s="274"/>
      <c r="C1711" s="108"/>
      <c r="D1711" s="261"/>
      <c r="E1711" s="261"/>
    </row>
    <row r="1712" spans="2:5" x14ac:dyDescent="0.3">
      <c r="B1712" s="274"/>
      <c r="C1712" s="108"/>
      <c r="D1712" s="261"/>
      <c r="E1712" s="261"/>
    </row>
    <row r="1713" spans="2:5" x14ac:dyDescent="0.3">
      <c r="B1713" s="274"/>
      <c r="C1713" s="108"/>
      <c r="D1713" s="261"/>
      <c r="E1713" s="261"/>
    </row>
    <row r="1714" spans="2:5" x14ac:dyDescent="0.3">
      <c r="B1714" s="274"/>
      <c r="C1714" s="108"/>
      <c r="D1714" s="261"/>
      <c r="E1714" s="261"/>
    </row>
    <row r="1715" spans="2:5" x14ac:dyDescent="0.3">
      <c r="B1715" s="274"/>
      <c r="C1715" s="108"/>
      <c r="D1715" s="261"/>
      <c r="E1715" s="261"/>
    </row>
    <row r="1716" spans="2:5" x14ac:dyDescent="0.3">
      <c r="B1716" s="274"/>
      <c r="C1716" s="108"/>
      <c r="D1716" s="261"/>
      <c r="E1716" s="261"/>
    </row>
    <row r="1717" spans="2:5" x14ac:dyDescent="0.3">
      <c r="B1717" s="274"/>
      <c r="C1717" s="108"/>
      <c r="D1717" s="261"/>
      <c r="E1717" s="261"/>
    </row>
    <row r="1718" spans="2:5" x14ac:dyDescent="0.3">
      <c r="B1718" s="274"/>
      <c r="C1718" s="108"/>
      <c r="D1718" s="261"/>
      <c r="E1718" s="261"/>
    </row>
    <row r="1719" spans="2:5" x14ac:dyDescent="0.3">
      <c r="B1719" s="274"/>
      <c r="C1719" s="108"/>
      <c r="D1719" s="261"/>
      <c r="E1719" s="261"/>
    </row>
    <row r="1720" spans="2:5" x14ac:dyDescent="0.3">
      <c r="B1720" s="274"/>
      <c r="C1720" s="108"/>
      <c r="D1720" s="261"/>
      <c r="E1720" s="261"/>
    </row>
    <row r="1721" spans="2:5" x14ac:dyDescent="0.3">
      <c r="B1721" s="274"/>
      <c r="C1721" s="108"/>
      <c r="D1721" s="261"/>
      <c r="E1721" s="261"/>
    </row>
    <row r="1722" spans="2:5" x14ac:dyDescent="0.3">
      <c r="B1722" s="274"/>
      <c r="C1722" s="108"/>
      <c r="D1722" s="261"/>
      <c r="E1722" s="261"/>
    </row>
    <row r="1723" spans="2:5" x14ac:dyDescent="0.3">
      <c r="B1723" s="274"/>
      <c r="C1723" s="108"/>
      <c r="D1723" s="261"/>
      <c r="E1723" s="261"/>
    </row>
    <row r="1724" spans="2:5" x14ac:dyDescent="0.3">
      <c r="B1724" s="274"/>
      <c r="C1724" s="108"/>
      <c r="D1724" s="261"/>
      <c r="E1724" s="261"/>
    </row>
    <row r="1725" spans="2:5" x14ac:dyDescent="0.3">
      <c r="B1725" s="274"/>
      <c r="C1725" s="108"/>
      <c r="D1725" s="261"/>
      <c r="E1725" s="261"/>
    </row>
    <row r="1726" spans="2:5" x14ac:dyDescent="0.3">
      <c r="B1726" s="274"/>
      <c r="C1726" s="108"/>
      <c r="D1726" s="261"/>
      <c r="E1726" s="261"/>
    </row>
    <row r="1727" spans="2:5" x14ac:dyDescent="0.3">
      <c r="B1727" s="274"/>
      <c r="C1727" s="108"/>
      <c r="D1727" s="261"/>
      <c r="E1727" s="261"/>
    </row>
    <row r="1728" spans="2:5" x14ac:dyDescent="0.3">
      <c r="B1728" s="274"/>
      <c r="C1728" s="108"/>
      <c r="D1728" s="261"/>
      <c r="E1728" s="261"/>
    </row>
    <row r="1729" spans="2:5" x14ac:dyDescent="0.3">
      <c r="B1729" s="274"/>
      <c r="C1729" s="108"/>
      <c r="D1729" s="261"/>
      <c r="E1729" s="261"/>
    </row>
    <row r="1730" spans="2:5" x14ac:dyDescent="0.3">
      <c r="B1730" s="274"/>
      <c r="C1730" s="108"/>
      <c r="D1730" s="261"/>
      <c r="E1730" s="261"/>
    </row>
    <row r="1731" spans="2:5" x14ac:dyDescent="0.3">
      <c r="B1731" s="274"/>
      <c r="C1731" s="108"/>
      <c r="D1731" s="261"/>
      <c r="E1731" s="261"/>
    </row>
    <row r="1732" spans="2:5" x14ac:dyDescent="0.3">
      <c r="B1732" s="274"/>
      <c r="C1732" s="108"/>
      <c r="D1732" s="261"/>
      <c r="E1732" s="261"/>
    </row>
    <row r="1733" spans="2:5" x14ac:dyDescent="0.3">
      <c r="B1733" s="274"/>
      <c r="C1733" s="108"/>
      <c r="D1733" s="261"/>
      <c r="E1733" s="261"/>
    </row>
    <row r="1734" spans="2:5" x14ac:dyDescent="0.3">
      <c r="B1734" s="274"/>
      <c r="C1734" s="108"/>
      <c r="D1734" s="261"/>
      <c r="E1734" s="261"/>
    </row>
    <row r="1735" spans="2:5" x14ac:dyDescent="0.3">
      <c r="B1735" s="274"/>
      <c r="C1735" s="108"/>
      <c r="D1735" s="261"/>
      <c r="E1735" s="261"/>
    </row>
    <row r="1736" spans="2:5" x14ac:dyDescent="0.3">
      <c r="B1736" s="274"/>
      <c r="C1736" s="108"/>
      <c r="D1736" s="261"/>
      <c r="E1736" s="261"/>
    </row>
    <row r="1737" spans="2:5" x14ac:dyDescent="0.3">
      <c r="B1737" s="274"/>
      <c r="C1737" s="108"/>
      <c r="D1737" s="261"/>
      <c r="E1737" s="261"/>
    </row>
    <row r="1738" spans="2:5" x14ac:dyDescent="0.3">
      <c r="B1738" s="274"/>
      <c r="C1738" s="108"/>
      <c r="D1738" s="261"/>
      <c r="E1738" s="261"/>
    </row>
    <row r="1739" spans="2:5" x14ac:dyDescent="0.3">
      <c r="B1739" s="274"/>
      <c r="C1739" s="108"/>
      <c r="D1739" s="261"/>
      <c r="E1739" s="261"/>
    </row>
    <row r="1740" spans="2:5" x14ac:dyDescent="0.3">
      <c r="B1740" s="274"/>
      <c r="C1740" s="108"/>
      <c r="D1740" s="261"/>
      <c r="E1740" s="261"/>
    </row>
    <row r="1741" spans="2:5" x14ac:dyDescent="0.3">
      <c r="B1741" s="274"/>
      <c r="C1741" s="108"/>
      <c r="D1741" s="261"/>
      <c r="E1741" s="261"/>
    </row>
    <row r="1742" spans="2:5" x14ac:dyDescent="0.3">
      <c r="B1742" s="274"/>
      <c r="C1742" s="108"/>
      <c r="D1742" s="261"/>
      <c r="E1742" s="261"/>
    </row>
    <row r="1743" spans="2:5" x14ac:dyDescent="0.3">
      <c r="B1743" s="274"/>
      <c r="C1743" s="108"/>
      <c r="D1743" s="261"/>
      <c r="E1743" s="261"/>
    </row>
    <row r="1744" spans="2:5" x14ac:dyDescent="0.3">
      <c r="B1744" s="274"/>
      <c r="C1744" s="108"/>
      <c r="D1744" s="261"/>
      <c r="E1744" s="261"/>
    </row>
    <row r="1745" spans="2:5" x14ac:dyDescent="0.3">
      <c r="B1745" s="274"/>
      <c r="C1745" s="108"/>
      <c r="D1745" s="261"/>
      <c r="E1745" s="261"/>
    </row>
    <row r="1746" spans="2:5" x14ac:dyDescent="0.3">
      <c r="B1746" s="274"/>
      <c r="C1746" s="108"/>
      <c r="D1746" s="261"/>
      <c r="E1746" s="261"/>
    </row>
    <row r="1747" spans="2:5" x14ac:dyDescent="0.3">
      <c r="B1747" s="274"/>
      <c r="C1747" s="108"/>
      <c r="D1747" s="261"/>
      <c r="E1747" s="261"/>
    </row>
    <row r="1748" spans="2:5" x14ac:dyDescent="0.3">
      <c r="B1748" s="274"/>
      <c r="C1748" s="108"/>
      <c r="D1748" s="261"/>
      <c r="E1748" s="261"/>
    </row>
    <row r="1749" spans="2:5" x14ac:dyDescent="0.3">
      <c r="B1749" s="274"/>
      <c r="C1749" s="108"/>
      <c r="D1749" s="261"/>
      <c r="E1749" s="261"/>
    </row>
    <row r="1750" spans="2:5" x14ac:dyDescent="0.3">
      <c r="B1750" s="274"/>
      <c r="C1750" s="108"/>
      <c r="D1750" s="261"/>
      <c r="E1750" s="261"/>
    </row>
    <row r="1751" spans="2:5" x14ac:dyDescent="0.3">
      <c r="B1751" s="274"/>
      <c r="C1751" s="108"/>
      <c r="D1751" s="261"/>
      <c r="E1751" s="261"/>
    </row>
    <row r="1752" spans="2:5" x14ac:dyDescent="0.3">
      <c r="B1752" s="274"/>
      <c r="C1752" s="108"/>
      <c r="D1752" s="261"/>
      <c r="E1752" s="261"/>
    </row>
    <row r="1753" spans="2:5" x14ac:dyDescent="0.3">
      <c r="B1753" s="274"/>
      <c r="C1753" s="108"/>
      <c r="D1753" s="261"/>
      <c r="E1753" s="261"/>
    </row>
    <row r="1754" spans="2:5" x14ac:dyDescent="0.3">
      <c r="B1754" s="274"/>
      <c r="C1754" s="108"/>
      <c r="D1754" s="261"/>
      <c r="E1754" s="261"/>
    </row>
    <row r="1755" spans="2:5" x14ac:dyDescent="0.3">
      <c r="B1755" s="274"/>
      <c r="C1755" s="108"/>
      <c r="D1755" s="261"/>
      <c r="E1755" s="261"/>
    </row>
    <row r="1756" spans="2:5" x14ac:dyDescent="0.3">
      <c r="B1756" s="274"/>
      <c r="C1756" s="108"/>
      <c r="D1756" s="261"/>
      <c r="E1756" s="261"/>
    </row>
    <row r="1757" spans="2:5" x14ac:dyDescent="0.3">
      <c r="B1757" s="274"/>
      <c r="C1757" s="108"/>
      <c r="D1757" s="261"/>
      <c r="E1757" s="261"/>
    </row>
    <row r="1758" spans="2:5" x14ac:dyDescent="0.3">
      <c r="B1758" s="274"/>
      <c r="C1758" s="108"/>
      <c r="D1758" s="261"/>
      <c r="E1758" s="261"/>
    </row>
    <row r="1759" spans="2:5" x14ac:dyDescent="0.3">
      <c r="B1759" s="274"/>
      <c r="C1759" s="108"/>
      <c r="D1759" s="261"/>
      <c r="E1759" s="261"/>
    </row>
    <row r="1760" spans="2:5" x14ac:dyDescent="0.3">
      <c r="B1760" s="274"/>
      <c r="C1760" s="108"/>
      <c r="D1760" s="261"/>
      <c r="E1760" s="261"/>
    </row>
    <row r="1761" spans="2:5" x14ac:dyDescent="0.3">
      <c r="B1761" s="274"/>
      <c r="C1761" s="108"/>
      <c r="D1761" s="261"/>
      <c r="E1761" s="261"/>
    </row>
    <row r="1762" spans="2:5" x14ac:dyDescent="0.3">
      <c r="B1762" s="274"/>
      <c r="C1762" s="108"/>
      <c r="D1762" s="261"/>
      <c r="E1762" s="261"/>
    </row>
    <row r="1763" spans="2:5" x14ac:dyDescent="0.3">
      <c r="B1763" s="274"/>
      <c r="C1763" s="108"/>
      <c r="D1763" s="261"/>
      <c r="E1763" s="261"/>
    </row>
    <row r="1764" spans="2:5" x14ac:dyDescent="0.3">
      <c r="B1764" s="274"/>
      <c r="C1764" s="108"/>
      <c r="D1764" s="261"/>
      <c r="E1764" s="261"/>
    </row>
    <row r="1765" spans="2:5" x14ac:dyDescent="0.3">
      <c r="B1765" s="274"/>
      <c r="C1765" s="108"/>
      <c r="D1765" s="261"/>
      <c r="E1765" s="261"/>
    </row>
    <row r="1766" spans="2:5" x14ac:dyDescent="0.3">
      <c r="B1766" s="274"/>
      <c r="C1766" s="108"/>
      <c r="D1766" s="261"/>
      <c r="E1766" s="261"/>
    </row>
    <row r="1767" spans="2:5" x14ac:dyDescent="0.3">
      <c r="B1767" s="274"/>
      <c r="C1767" s="108"/>
      <c r="D1767" s="261"/>
      <c r="E1767" s="261"/>
    </row>
    <row r="1768" spans="2:5" x14ac:dyDescent="0.3">
      <c r="B1768" s="274"/>
      <c r="C1768" s="108"/>
      <c r="D1768" s="261"/>
      <c r="E1768" s="261"/>
    </row>
    <row r="1769" spans="2:5" x14ac:dyDescent="0.3">
      <c r="B1769" s="274"/>
      <c r="C1769" s="108"/>
      <c r="D1769" s="261"/>
      <c r="E1769" s="261"/>
    </row>
    <row r="1770" spans="2:5" x14ac:dyDescent="0.3">
      <c r="B1770" s="274"/>
      <c r="C1770" s="108"/>
      <c r="D1770" s="261"/>
      <c r="E1770" s="261"/>
    </row>
    <row r="1771" spans="2:5" x14ac:dyDescent="0.3">
      <c r="B1771" s="274"/>
      <c r="C1771" s="108"/>
      <c r="D1771" s="261"/>
      <c r="E1771" s="261"/>
    </row>
    <row r="1772" spans="2:5" x14ac:dyDescent="0.3">
      <c r="B1772" s="274"/>
      <c r="C1772" s="108"/>
      <c r="D1772" s="261"/>
      <c r="E1772" s="261"/>
    </row>
    <row r="1773" spans="2:5" x14ac:dyDescent="0.3">
      <c r="B1773" s="274"/>
      <c r="C1773" s="108"/>
      <c r="D1773" s="261"/>
      <c r="E1773" s="261"/>
    </row>
    <row r="1774" spans="2:5" x14ac:dyDescent="0.3">
      <c r="B1774" s="274"/>
      <c r="C1774" s="108"/>
      <c r="D1774" s="261"/>
      <c r="E1774" s="261"/>
    </row>
    <row r="1775" spans="2:5" x14ac:dyDescent="0.3">
      <c r="B1775" s="274"/>
      <c r="C1775" s="108"/>
      <c r="D1775" s="261"/>
      <c r="E1775" s="261"/>
    </row>
    <row r="1776" spans="2:5" x14ac:dyDescent="0.3">
      <c r="B1776" s="274"/>
      <c r="C1776" s="108"/>
      <c r="D1776" s="261"/>
      <c r="E1776" s="261"/>
    </row>
    <row r="1777" spans="2:5" x14ac:dyDescent="0.3">
      <c r="B1777" s="274"/>
      <c r="C1777" s="108"/>
      <c r="D1777" s="261"/>
      <c r="E1777" s="261"/>
    </row>
    <row r="1778" spans="2:5" x14ac:dyDescent="0.3">
      <c r="B1778" s="274"/>
      <c r="C1778" s="108"/>
      <c r="D1778" s="261"/>
      <c r="E1778" s="261"/>
    </row>
    <row r="1779" spans="2:5" x14ac:dyDescent="0.3">
      <c r="B1779" s="274"/>
      <c r="C1779" s="108"/>
      <c r="D1779" s="261"/>
      <c r="E1779" s="261"/>
    </row>
    <row r="1780" spans="2:5" x14ac:dyDescent="0.3">
      <c r="B1780" s="274"/>
      <c r="C1780" s="108"/>
      <c r="D1780" s="261"/>
      <c r="E1780" s="261"/>
    </row>
    <row r="1781" spans="2:5" x14ac:dyDescent="0.3">
      <c r="B1781" s="274"/>
      <c r="C1781" s="108"/>
      <c r="D1781" s="261"/>
      <c r="E1781" s="261"/>
    </row>
    <row r="1782" spans="2:5" x14ac:dyDescent="0.3">
      <c r="B1782" s="274"/>
      <c r="C1782" s="108"/>
      <c r="D1782" s="261"/>
      <c r="E1782" s="261"/>
    </row>
    <row r="1783" spans="2:5" x14ac:dyDescent="0.3">
      <c r="B1783" s="274"/>
      <c r="C1783" s="108"/>
      <c r="D1783" s="261"/>
      <c r="E1783" s="261"/>
    </row>
    <row r="1784" spans="2:5" x14ac:dyDescent="0.3">
      <c r="B1784" s="274"/>
      <c r="C1784" s="108"/>
      <c r="D1784" s="261"/>
      <c r="E1784" s="261"/>
    </row>
    <row r="1785" spans="2:5" x14ac:dyDescent="0.3">
      <c r="B1785" s="274"/>
      <c r="C1785" s="108"/>
      <c r="D1785" s="261"/>
      <c r="E1785" s="261"/>
    </row>
    <row r="1786" spans="2:5" x14ac:dyDescent="0.3">
      <c r="B1786" s="274"/>
      <c r="C1786" s="108"/>
      <c r="D1786" s="261"/>
      <c r="E1786" s="261"/>
    </row>
    <row r="1787" spans="2:5" x14ac:dyDescent="0.3">
      <c r="B1787" s="274"/>
      <c r="C1787" s="108"/>
      <c r="D1787" s="261"/>
      <c r="E1787" s="261"/>
    </row>
    <row r="1788" spans="2:5" x14ac:dyDescent="0.3">
      <c r="B1788" s="274"/>
      <c r="C1788" s="108"/>
      <c r="D1788" s="261"/>
      <c r="E1788" s="261"/>
    </row>
    <row r="1789" spans="2:5" x14ac:dyDescent="0.3">
      <c r="B1789" s="274"/>
      <c r="C1789" s="108"/>
      <c r="D1789" s="261"/>
      <c r="E1789" s="261"/>
    </row>
    <row r="1790" spans="2:5" x14ac:dyDescent="0.3">
      <c r="B1790" s="274"/>
      <c r="C1790" s="108"/>
      <c r="D1790" s="261"/>
      <c r="E1790" s="261"/>
    </row>
    <row r="1791" spans="2:5" x14ac:dyDescent="0.3">
      <c r="B1791" s="274"/>
      <c r="C1791" s="108"/>
      <c r="D1791" s="261"/>
      <c r="E1791" s="261"/>
    </row>
    <row r="1792" spans="2:5" x14ac:dyDescent="0.3">
      <c r="B1792" s="274"/>
      <c r="C1792" s="108"/>
      <c r="D1792" s="261"/>
      <c r="E1792" s="261"/>
    </row>
    <row r="1793" spans="2:5" x14ac:dyDescent="0.3">
      <c r="B1793" s="274"/>
      <c r="C1793" s="108"/>
      <c r="D1793" s="261"/>
      <c r="E1793" s="261"/>
    </row>
    <row r="1794" spans="2:5" x14ac:dyDescent="0.3">
      <c r="B1794" s="274"/>
      <c r="C1794" s="108"/>
      <c r="D1794" s="261"/>
      <c r="E1794" s="261"/>
    </row>
    <row r="1795" spans="2:5" x14ac:dyDescent="0.3">
      <c r="B1795" s="274"/>
      <c r="C1795" s="108"/>
      <c r="D1795" s="261"/>
      <c r="E1795" s="261"/>
    </row>
    <row r="1796" spans="2:5" x14ac:dyDescent="0.3">
      <c r="B1796" s="274"/>
      <c r="C1796" s="108"/>
      <c r="D1796" s="261"/>
      <c r="E1796" s="261"/>
    </row>
    <row r="1797" spans="2:5" x14ac:dyDescent="0.3">
      <c r="B1797" s="274"/>
      <c r="C1797" s="108"/>
      <c r="D1797" s="261"/>
      <c r="E1797" s="261"/>
    </row>
    <row r="1798" spans="2:5" x14ac:dyDescent="0.3">
      <c r="B1798" s="274"/>
      <c r="C1798" s="108"/>
      <c r="D1798" s="261"/>
      <c r="E1798" s="261"/>
    </row>
    <row r="1799" spans="2:5" x14ac:dyDescent="0.3">
      <c r="B1799" s="274"/>
      <c r="C1799" s="108"/>
      <c r="D1799" s="261"/>
      <c r="E1799" s="261"/>
    </row>
    <row r="1800" spans="2:5" x14ac:dyDescent="0.3">
      <c r="B1800" s="274"/>
      <c r="C1800" s="108"/>
      <c r="D1800" s="261"/>
      <c r="E1800" s="261"/>
    </row>
    <row r="1801" spans="2:5" x14ac:dyDescent="0.3">
      <c r="B1801" s="274"/>
      <c r="C1801" s="108"/>
      <c r="D1801" s="261"/>
      <c r="E1801" s="261"/>
    </row>
    <row r="1802" spans="2:5" x14ac:dyDescent="0.3">
      <c r="B1802" s="274"/>
      <c r="C1802" s="108"/>
      <c r="D1802" s="261"/>
      <c r="E1802" s="261"/>
    </row>
    <row r="1803" spans="2:5" x14ac:dyDescent="0.3">
      <c r="B1803" s="274"/>
      <c r="C1803" s="108"/>
      <c r="D1803" s="261"/>
      <c r="E1803" s="261"/>
    </row>
    <row r="1804" spans="2:5" x14ac:dyDescent="0.3">
      <c r="B1804" s="274"/>
      <c r="C1804" s="108"/>
      <c r="D1804" s="261"/>
      <c r="E1804" s="261"/>
    </row>
    <row r="1805" spans="2:5" x14ac:dyDescent="0.3">
      <c r="B1805" s="274"/>
      <c r="C1805" s="108"/>
      <c r="D1805" s="261"/>
      <c r="E1805" s="261"/>
    </row>
    <row r="1806" spans="2:5" x14ac:dyDescent="0.3">
      <c r="B1806" s="274"/>
      <c r="C1806" s="108"/>
      <c r="D1806" s="261"/>
      <c r="E1806" s="261"/>
    </row>
    <row r="1807" spans="2:5" x14ac:dyDescent="0.3">
      <c r="B1807" s="274"/>
      <c r="C1807" s="108"/>
      <c r="D1807" s="261"/>
      <c r="E1807" s="261"/>
    </row>
    <row r="1808" spans="2:5" x14ac:dyDescent="0.3">
      <c r="B1808" s="274"/>
      <c r="C1808" s="108"/>
      <c r="D1808" s="261"/>
      <c r="E1808" s="261"/>
    </row>
    <row r="1809" spans="2:5" x14ac:dyDescent="0.3">
      <c r="B1809" s="274"/>
      <c r="C1809" s="108"/>
      <c r="D1809" s="261"/>
      <c r="E1809" s="261"/>
    </row>
    <row r="1810" spans="2:5" x14ac:dyDescent="0.3">
      <c r="B1810" s="274"/>
      <c r="C1810" s="108"/>
      <c r="D1810" s="261"/>
      <c r="E1810" s="261"/>
    </row>
    <row r="1811" spans="2:5" x14ac:dyDescent="0.3">
      <c r="B1811" s="274"/>
      <c r="C1811" s="108"/>
      <c r="D1811" s="261"/>
      <c r="E1811" s="261"/>
    </row>
    <row r="1812" spans="2:5" x14ac:dyDescent="0.3">
      <c r="B1812" s="274"/>
      <c r="C1812" s="108"/>
      <c r="D1812" s="261"/>
      <c r="E1812" s="261"/>
    </row>
    <row r="1813" spans="2:5" x14ac:dyDescent="0.3">
      <c r="B1813" s="274"/>
      <c r="C1813" s="108"/>
      <c r="D1813" s="261"/>
      <c r="E1813" s="261"/>
    </row>
    <row r="1814" spans="2:5" x14ac:dyDescent="0.3">
      <c r="B1814" s="274"/>
      <c r="C1814" s="108"/>
      <c r="D1814" s="261"/>
      <c r="E1814" s="261"/>
    </row>
    <row r="1815" spans="2:5" x14ac:dyDescent="0.3">
      <c r="B1815" s="274"/>
      <c r="C1815" s="108"/>
      <c r="D1815" s="261"/>
      <c r="E1815" s="261"/>
    </row>
    <row r="1816" spans="2:5" x14ac:dyDescent="0.3">
      <c r="B1816" s="274"/>
      <c r="C1816" s="108"/>
      <c r="D1816" s="261"/>
      <c r="E1816" s="261"/>
    </row>
    <row r="1817" spans="2:5" x14ac:dyDescent="0.3">
      <c r="B1817" s="274"/>
      <c r="C1817" s="108"/>
      <c r="D1817" s="261"/>
      <c r="E1817" s="261"/>
    </row>
    <row r="1818" spans="2:5" x14ac:dyDescent="0.3">
      <c r="B1818" s="274"/>
      <c r="C1818" s="108"/>
      <c r="D1818" s="261"/>
      <c r="E1818" s="261"/>
    </row>
    <row r="1819" spans="2:5" x14ac:dyDescent="0.3">
      <c r="B1819" s="274"/>
      <c r="C1819" s="108"/>
      <c r="D1819" s="261"/>
      <c r="E1819" s="261"/>
    </row>
    <row r="1820" spans="2:5" x14ac:dyDescent="0.3">
      <c r="B1820" s="274"/>
      <c r="C1820" s="108"/>
      <c r="D1820" s="261"/>
      <c r="E1820" s="261"/>
    </row>
    <row r="1821" spans="2:5" x14ac:dyDescent="0.3">
      <c r="B1821" s="274"/>
      <c r="C1821" s="108"/>
      <c r="D1821" s="261"/>
      <c r="E1821" s="261"/>
    </row>
    <row r="1822" spans="2:5" x14ac:dyDescent="0.3">
      <c r="B1822" s="274"/>
      <c r="C1822" s="108"/>
      <c r="D1822" s="261"/>
      <c r="E1822" s="261"/>
    </row>
    <row r="1823" spans="2:5" x14ac:dyDescent="0.3">
      <c r="B1823" s="274"/>
      <c r="C1823" s="108"/>
      <c r="D1823" s="261"/>
      <c r="E1823" s="261"/>
    </row>
    <row r="1824" spans="2:5" x14ac:dyDescent="0.3">
      <c r="B1824" s="274"/>
      <c r="C1824" s="108"/>
      <c r="D1824" s="261"/>
      <c r="E1824" s="261"/>
    </row>
    <row r="1825" spans="2:5" x14ac:dyDescent="0.3">
      <c r="B1825" s="274"/>
      <c r="C1825" s="108"/>
      <c r="D1825" s="261"/>
      <c r="E1825" s="261"/>
    </row>
    <row r="1826" spans="2:5" x14ac:dyDescent="0.3">
      <c r="B1826" s="274"/>
      <c r="C1826" s="108"/>
      <c r="D1826" s="261"/>
      <c r="E1826" s="261"/>
    </row>
    <row r="1827" spans="2:5" x14ac:dyDescent="0.3">
      <c r="B1827" s="274"/>
      <c r="C1827" s="108"/>
      <c r="D1827" s="261"/>
      <c r="E1827" s="261"/>
    </row>
    <row r="1828" spans="2:5" x14ac:dyDescent="0.3">
      <c r="B1828" s="274"/>
      <c r="C1828" s="108"/>
      <c r="D1828" s="261"/>
      <c r="E1828" s="261"/>
    </row>
    <row r="1829" spans="2:5" x14ac:dyDescent="0.3">
      <c r="B1829" s="274"/>
      <c r="C1829" s="108"/>
      <c r="D1829" s="261"/>
      <c r="E1829" s="261"/>
    </row>
    <row r="1830" spans="2:5" x14ac:dyDescent="0.3">
      <c r="B1830" s="274"/>
      <c r="C1830" s="108"/>
      <c r="D1830" s="261"/>
      <c r="E1830" s="261"/>
    </row>
    <row r="1831" spans="2:5" x14ac:dyDescent="0.3">
      <c r="B1831" s="274"/>
      <c r="C1831" s="108"/>
      <c r="D1831" s="261"/>
      <c r="E1831" s="261"/>
    </row>
    <row r="1832" spans="2:5" x14ac:dyDescent="0.3">
      <c r="B1832" s="274"/>
      <c r="C1832" s="108"/>
      <c r="D1832" s="261"/>
      <c r="E1832" s="261"/>
    </row>
    <row r="1833" spans="2:5" x14ac:dyDescent="0.3">
      <c r="B1833" s="274"/>
      <c r="C1833" s="108"/>
      <c r="D1833" s="261"/>
      <c r="E1833" s="261"/>
    </row>
    <row r="1834" spans="2:5" x14ac:dyDescent="0.3">
      <c r="B1834" s="274"/>
      <c r="C1834" s="108"/>
      <c r="D1834" s="261"/>
      <c r="E1834" s="261"/>
    </row>
    <row r="1835" spans="2:5" x14ac:dyDescent="0.3">
      <c r="B1835" s="274"/>
      <c r="C1835" s="108"/>
      <c r="D1835" s="261"/>
      <c r="E1835" s="261"/>
    </row>
    <row r="1836" spans="2:5" x14ac:dyDescent="0.3">
      <c r="B1836" s="274"/>
      <c r="C1836" s="108"/>
      <c r="D1836" s="261"/>
      <c r="E1836" s="261"/>
    </row>
    <row r="1837" spans="2:5" x14ac:dyDescent="0.3">
      <c r="B1837" s="274"/>
      <c r="C1837" s="108"/>
      <c r="D1837" s="261"/>
      <c r="E1837" s="261"/>
    </row>
    <row r="1838" spans="2:5" x14ac:dyDescent="0.3">
      <c r="B1838" s="274"/>
      <c r="C1838" s="108"/>
      <c r="D1838" s="261"/>
      <c r="E1838" s="261"/>
    </row>
    <row r="1839" spans="2:5" x14ac:dyDescent="0.3">
      <c r="B1839" s="274"/>
      <c r="C1839" s="108"/>
      <c r="D1839" s="261"/>
      <c r="E1839" s="261"/>
    </row>
    <row r="1840" spans="2:5" x14ac:dyDescent="0.3">
      <c r="B1840" s="274"/>
      <c r="C1840" s="108"/>
      <c r="D1840" s="261"/>
      <c r="E1840" s="261"/>
    </row>
    <row r="1841" spans="2:5" x14ac:dyDescent="0.3">
      <c r="B1841" s="274"/>
      <c r="C1841" s="108"/>
      <c r="D1841" s="261"/>
      <c r="E1841" s="261"/>
    </row>
    <row r="1842" spans="2:5" x14ac:dyDescent="0.3">
      <c r="B1842" s="274"/>
      <c r="C1842" s="108"/>
      <c r="D1842" s="261"/>
      <c r="E1842" s="261"/>
    </row>
    <row r="1843" spans="2:5" x14ac:dyDescent="0.3">
      <c r="B1843" s="274"/>
      <c r="C1843" s="108"/>
      <c r="D1843" s="261"/>
      <c r="E1843" s="261"/>
    </row>
    <row r="1844" spans="2:5" x14ac:dyDescent="0.3">
      <c r="B1844" s="274"/>
      <c r="C1844" s="108"/>
      <c r="D1844" s="261"/>
      <c r="E1844" s="261"/>
    </row>
    <row r="1845" spans="2:5" x14ac:dyDescent="0.3">
      <c r="B1845" s="274"/>
      <c r="C1845" s="108"/>
      <c r="D1845" s="261"/>
      <c r="E1845" s="261"/>
    </row>
    <row r="1846" spans="2:5" x14ac:dyDescent="0.3">
      <c r="B1846" s="274"/>
      <c r="C1846" s="108"/>
      <c r="D1846" s="261"/>
      <c r="E1846" s="261"/>
    </row>
    <row r="1847" spans="2:5" x14ac:dyDescent="0.3">
      <c r="B1847" s="274"/>
      <c r="C1847" s="108"/>
      <c r="D1847" s="261"/>
      <c r="E1847" s="261"/>
    </row>
    <row r="1848" spans="2:5" x14ac:dyDescent="0.3">
      <c r="B1848" s="274"/>
      <c r="C1848" s="108"/>
      <c r="D1848" s="261"/>
      <c r="E1848" s="261"/>
    </row>
    <row r="1849" spans="2:5" x14ac:dyDescent="0.3">
      <c r="B1849" s="274"/>
      <c r="C1849" s="108"/>
      <c r="D1849" s="261"/>
      <c r="E1849" s="261"/>
    </row>
    <row r="1850" spans="2:5" x14ac:dyDescent="0.3">
      <c r="B1850" s="274"/>
      <c r="C1850" s="108"/>
      <c r="D1850" s="261"/>
      <c r="E1850" s="261"/>
    </row>
    <row r="1851" spans="2:5" x14ac:dyDescent="0.3">
      <c r="B1851" s="274"/>
      <c r="C1851" s="108"/>
      <c r="D1851" s="261"/>
      <c r="E1851" s="261"/>
    </row>
    <row r="1852" spans="2:5" x14ac:dyDescent="0.3">
      <c r="B1852" s="274"/>
      <c r="C1852" s="108"/>
      <c r="D1852" s="261"/>
      <c r="E1852" s="261"/>
    </row>
    <row r="1853" spans="2:5" x14ac:dyDescent="0.3">
      <c r="B1853" s="274"/>
      <c r="C1853" s="108"/>
      <c r="D1853" s="261"/>
      <c r="E1853" s="261"/>
    </row>
    <row r="1854" spans="2:5" x14ac:dyDescent="0.3">
      <c r="B1854" s="274"/>
      <c r="C1854" s="108"/>
      <c r="D1854" s="261"/>
      <c r="E1854" s="261"/>
    </row>
    <row r="1855" spans="2:5" x14ac:dyDescent="0.3">
      <c r="B1855" s="274"/>
      <c r="C1855" s="108"/>
      <c r="D1855" s="261"/>
      <c r="E1855" s="261"/>
    </row>
    <row r="1856" spans="2:5" x14ac:dyDescent="0.3">
      <c r="B1856" s="274"/>
      <c r="C1856" s="108"/>
      <c r="D1856" s="261"/>
      <c r="E1856" s="261"/>
    </row>
    <row r="1857" spans="2:5" x14ac:dyDescent="0.3">
      <c r="B1857" s="274"/>
      <c r="C1857" s="108"/>
      <c r="D1857" s="261"/>
      <c r="E1857" s="261"/>
    </row>
    <row r="1858" spans="2:5" x14ac:dyDescent="0.3">
      <c r="B1858" s="274"/>
      <c r="C1858" s="108"/>
      <c r="D1858" s="261"/>
      <c r="E1858" s="261"/>
    </row>
    <row r="1859" spans="2:5" x14ac:dyDescent="0.3">
      <c r="B1859" s="274"/>
      <c r="C1859" s="108"/>
      <c r="D1859" s="261"/>
      <c r="E1859" s="261"/>
    </row>
    <row r="1860" spans="2:5" x14ac:dyDescent="0.3">
      <c r="B1860" s="274"/>
      <c r="C1860" s="108"/>
      <c r="D1860" s="261"/>
      <c r="E1860" s="261"/>
    </row>
    <row r="1861" spans="2:5" x14ac:dyDescent="0.3">
      <c r="B1861" s="274"/>
      <c r="C1861" s="108"/>
      <c r="D1861" s="261"/>
      <c r="E1861" s="261"/>
    </row>
    <row r="1862" spans="2:5" x14ac:dyDescent="0.3">
      <c r="B1862" s="274"/>
      <c r="C1862" s="108"/>
      <c r="D1862" s="261"/>
      <c r="E1862" s="261"/>
    </row>
    <row r="1863" spans="2:5" x14ac:dyDescent="0.3">
      <c r="B1863" s="274"/>
      <c r="C1863" s="108"/>
      <c r="D1863" s="261"/>
      <c r="E1863" s="261"/>
    </row>
    <row r="1864" spans="2:5" x14ac:dyDescent="0.3">
      <c r="B1864" s="274"/>
      <c r="C1864" s="108"/>
      <c r="D1864" s="261"/>
      <c r="E1864" s="261"/>
    </row>
    <row r="1865" spans="2:5" x14ac:dyDescent="0.3">
      <c r="B1865" s="274"/>
      <c r="C1865" s="108"/>
      <c r="D1865" s="261"/>
      <c r="E1865" s="261"/>
    </row>
    <row r="1866" spans="2:5" x14ac:dyDescent="0.3">
      <c r="B1866" s="274"/>
      <c r="C1866" s="108"/>
      <c r="D1866" s="261"/>
      <c r="E1866" s="261"/>
    </row>
    <row r="1867" spans="2:5" x14ac:dyDescent="0.3">
      <c r="B1867" s="274"/>
      <c r="C1867" s="108"/>
      <c r="D1867" s="261"/>
      <c r="E1867" s="261"/>
    </row>
    <row r="1868" spans="2:5" x14ac:dyDescent="0.3">
      <c r="B1868" s="274"/>
      <c r="C1868" s="108"/>
      <c r="D1868" s="261"/>
      <c r="E1868" s="261"/>
    </row>
    <row r="1869" spans="2:5" x14ac:dyDescent="0.3">
      <c r="B1869" s="274"/>
      <c r="C1869" s="108"/>
      <c r="D1869" s="261"/>
      <c r="E1869" s="261"/>
    </row>
    <row r="1870" spans="2:5" x14ac:dyDescent="0.3">
      <c r="B1870" s="274"/>
      <c r="C1870" s="108"/>
      <c r="D1870" s="261"/>
      <c r="E1870" s="261"/>
    </row>
    <row r="1871" spans="2:5" x14ac:dyDescent="0.3">
      <c r="B1871" s="274"/>
      <c r="C1871" s="108"/>
      <c r="D1871" s="261"/>
      <c r="E1871" s="261"/>
    </row>
    <row r="1872" spans="2:5" x14ac:dyDescent="0.3">
      <c r="B1872" s="274"/>
      <c r="C1872" s="108"/>
      <c r="D1872" s="261"/>
      <c r="E1872" s="261"/>
    </row>
    <row r="1873" spans="2:5" x14ac:dyDescent="0.3">
      <c r="B1873" s="274"/>
      <c r="C1873" s="108"/>
      <c r="D1873" s="261"/>
      <c r="E1873" s="261"/>
    </row>
    <row r="1874" spans="2:5" x14ac:dyDescent="0.3">
      <c r="B1874" s="274"/>
      <c r="C1874" s="108"/>
      <c r="D1874" s="261"/>
      <c r="E1874" s="261"/>
    </row>
    <row r="1875" spans="2:5" x14ac:dyDescent="0.3">
      <c r="B1875" s="274"/>
      <c r="C1875" s="108"/>
      <c r="D1875" s="261"/>
      <c r="E1875" s="261"/>
    </row>
    <row r="1876" spans="2:5" x14ac:dyDescent="0.3">
      <c r="B1876" s="274"/>
      <c r="C1876" s="108"/>
      <c r="D1876" s="261"/>
      <c r="E1876" s="261"/>
    </row>
    <row r="1877" spans="2:5" x14ac:dyDescent="0.3">
      <c r="B1877" s="274"/>
      <c r="C1877" s="108"/>
      <c r="D1877" s="261"/>
      <c r="E1877" s="261"/>
    </row>
    <row r="1878" spans="2:5" x14ac:dyDescent="0.3">
      <c r="B1878" s="274"/>
      <c r="C1878" s="108"/>
      <c r="D1878" s="261"/>
      <c r="E1878" s="261"/>
    </row>
    <row r="1879" spans="2:5" x14ac:dyDescent="0.3">
      <c r="B1879" s="274"/>
      <c r="C1879" s="108"/>
      <c r="D1879" s="261"/>
      <c r="E1879" s="261"/>
    </row>
    <row r="1880" spans="2:5" x14ac:dyDescent="0.3">
      <c r="B1880" s="274"/>
      <c r="C1880" s="108"/>
      <c r="D1880" s="261"/>
      <c r="E1880" s="261"/>
    </row>
    <row r="1881" spans="2:5" x14ac:dyDescent="0.3">
      <c r="B1881" s="274"/>
      <c r="C1881" s="108"/>
      <c r="D1881" s="261"/>
      <c r="E1881" s="261"/>
    </row>
    <row r="1882" spans="2:5" x14ac:dyDescent="0.3">
      <c r="B1882" s="274"/>
      <c r="C1882" s="108"/>
      <c r="D1882" s="261"/>
      <c r="E1882" s="261"/>
    </row>
    <row r="1883" spans="2:5" x14ac:dyDescent="0.3">
      <c r="B1883" s="274"/>
      <c r="C1883" s="108"/>
      <c r="D1883" s="261"/>
      <c r="E1883" s="261"/>
    </row>
    <row r="1884" spans="2:5" x14ac:dyDescent="0.3">
      <c r="B1884" s="274"/>
      <c r="C1884" s="108"/>
      <c r="D1884" s="261"/>
      <c r="E1884" s="261"/>
    </row>
    <row r="1885" spans="2:5" x14ac:dyDescent="0.3">
      <c r="B1885" s="274"/>
      <c r="C1885" s="108"/>
      <c r="D1885" s="261"/>
      <c r="E1885" s="261"/>
    </row>
    <row r="1886" spans="2:5" x14ac:dyDescent="0.3">
      <c r="B1886" s="274"/>
      <c r="C1886" s="108"/>
      <c r="D1886" s="261"/>
      <c r="E1886" s="261"/>
    </row>
    <row r="1887" spans="2:5" x14ac:dyDescent="0.3">
      <c r="B1887" s="274"/>
      <c r="C1887" s="108"/>
      <c r="D1887" s="261"/>
      <c r="E1887" s="261"/>
    </row>
    <row r="1888" spans="2:5" x14ac:dyDescent="0.3">
      <c r="B1888" s="274"/>
      <c r="C1888" s="108"/>
      <c r="D1888" s="261"/>
      <c r="E1888" s="261"/>
    </row>
    <row r="1889" spans="2:5" x14ac:dyDescent="0.3">
      <c r="B1889" s="274"/>
      <c r="C1889" s="108"/>
      <c r="D1889" s="261"/>
      <c r="E1889" s="261"/>
    </row>
    <row r="1890" spans="2:5" x14ac:dyDescent="0.3">
      <c r="B1890" s="274"/>
      <c r="C1890" s="108"/>
      <c r="D1890" s="261"/>
      <c r="E1890" s="261"/>
    </row>
    <row r="1891" spans="2:5" x14ac:dyDescent="0.3">
      <c r="B1891" s="274"/>
      <c r="C1891" s="108"/>
      <c r="D1891" s="261"/>
      <c r="E1891" s="261"/>
    </row>
    <row r="1892" spans="2:5" x14ac:dyDescent="0.3">
      <c r="B1892" s="274"/>
      <c r="C1892" s="108"/>
      <c r="D1892" s="261"/>
      <c r="E1892" s="261"/>
    </row>
    <row r="1893" spans="2:5" x14ac:dyDescent="0.3">
      <c r="B1893" s="274"/>
      <c r="C1893" s="108"/>
      <c r="D1893" s="261"/>
      <c r="E1893" s="261"/>
    </row>
    <row r="1894" spans="2:5" x14ac:dyDescent="0.3">
      <c r="B1894" s="274"/>
      <c r="C1894" s="108"/>
      <c r="D1894" s="261"/>
      <c r="E1894" s="261"/>
    </row>
    <row r="1895" spans="2:5" x14ac:dyDescent="0.3">
      <c r="B1895" s="274"/>
      <c r="C1895" s="108"/>
      <c r="D1895" s="261"/>
      <c r="E1895" s="261"/>
    </row>
    <row r="1896" spans="2:5" x14ac:dyDescent="0.3">
      <c r="B1896" s="274"/>
      <c r="C1896" s="108"/>
      <c r="D1896" s="261"/>
      <c r="E1896" s="261"/>
    </row>
    <row r="1897" spans="2:5" x14ac:dyDescent="0.3">
      <c r="B1897" s="274"/>
      <c r="C1897" s="108"/>
      <c r="D1897" s="261"/>
      <c r="E1897" s="261"/>
    </row>
    <row r="1898" spans="2:5" x14ac:dyDescent="0.3">
      <c r="B1898" s="274"/>
      <c r="C1898" s="108"/>
      <c r="D1898" s="261"/>
      <c r="E1898" s="261"/>
    </row>
    <row r="1899" spans="2:5" x14ac:dyDescent="0.3">
      <c r="B1899" s="274"/>
      <c r="C1899" s="108"/>
      <c r="D1899" s="261"/>
      <c r="E1899" s="261"/>
    </row>
    <row r="1900" spans="2:5" x14ac:dyDescent="0.3">
      <c r="B1900" s="274"/>
      <c r="C1900" s="108"/>
      <c r="D1900" s="261"/>
      <c r="E1900" s="261"/>
    </row>
    <row r="1901" spans="2:5" x14ac:dyDescent="0.3">
      <c r="B1901" s="274"/>
      <c r="C1901" s="108"/>
      <c r="D1901" s="261"/>
      <c r="E1901" s="261"/>
    </row>
    <row r="1902" spans="2:5" x14ac:dyDescent="0.3">
      <c r="B1902" s="274"/>
      <c r="C1902" s="108"/>
      <c r="D1902" s="261"/>
      <c r="E1902" s="261"/>
    </row>
    <row r="1903" spans="2:5" x14ac:dyDescent="0.3">
      <c r="B1903" s="274"/>
      <c r="C1903" s="108"/>
      <c r="D1903" s="261"/>
      <c r="E1903" s="261"/>
    </row>
    <row r="1904" spans="2:5" x14ac:dyDescent="0.3">
      <c r="B1904" s="274"/>
      <c r="C1904" s="108"/>
      <c r="D1904" s="261"/>
      <c r="E1904" s="261"/>
    </row>
    <row r="1905" spans="2:5" x14ac:dyDescent="0.3">
      <c r="B1905" s="274"/>
      <c r="C1905" s="108"/>
      <c r="D1905" s="261"/>
      <c r="E1905" s="261"/>
    </row>
    <row r="1906" spans="2:5" x14ac:dyDescent="0.3">
      <c r="B1906" s="274"/>
      <c r="C1906" s="108"/>
      <c r="D1906" s="261"/>
      <c r="E1906" s="261"/>
    </row>
    <row r="1907" spans="2:5" x14ac:dyDescent="0.3">
      <c r="B1907" s="274"/>
      <c r="C1907" s="108"/>
      <c r="D1907" s="261"/>
      <c r="E1907" s="261"/>
    </row>
    <row r="1908" spans="2:5" x14ac:dyDescent="0.3">
      <c r="B1908" s="274"/>
      <c r="C1908" s="108"/>
      <c r="D1908" s="261"/>
      <c r="E1908" s="261"/>
    </row>
    <row r="1909" spans="2:5" x14ac:dyDescent="0.3">
      <c r="B1909" s="274"/>
      <c r="C1909" s="108"/>
      <c r="D1909" s="261"/>
      <c r="E1909" s="261"/>
    </row>
    <row r="1910" spans="2:5" x14ac:dyDescent="0.3">
      <c r="B1910" s="274"/>
      <c r="C1910" s="108"/>
      <c r="D1910" s="261"/>
      <c r="E1910" s="261"/>
    </row>
    <row r="1911" spans="2:5" x14ac:dyDescent="0.3">
      <c r="B1911" s="274"/>
      <c r="C1911" s="108"/>
      <c r="D1911" s="261"/>
      <c r="E1911" s="261"/>
    </row>
    <row r="1912" spans="2:5" x14ac:dyDescent="0.3">
      <c r="B1912" s="274"/>
      <c r="C1912" s="108"/>
      <c r="D1912" s="261"/>
      <c r="E1912" s="261"/>
    </row>
    <row r="1913" spans="2:5" x14ac:dyDescent="0.3">
      <c r="B1913" s="274"/>
      <c r="C1913" s="108"/>
      <c r="D1913" s="261"/>
      <c r="E1913" s="261"/>
    </row>
    <row r="1914" spans="2:5" x14ac:dyDescent="0.3">
      <c r="B1914" s="274"/>
      <c r="C1914" s="108"/>
      <c r="D1914" s="261"/>
      <c r="E1914" s="261"/>
    </row>
    <row r="1915" spans="2:5" x14ac:dyDescent="0.3">
      <c r="B1915" s="274"/>
      <c r="C1915" s="108"/>
      <c r="D1915" s="261"/>
      <c r="E1915" s="261"/>
    </row>
    <row r="1916" spans="2:5" x14ac:dyDescent="0.3">
      <c r="B1916" s="274"/>
      <c r="C1916" s="108"/>
      <c r="D1916" s="261"/>
      <c r="E1916" s="261"/>
    </row>
    <row r="1917" spans="2:5" x14ac:dyDescent="0.3">
      <c r="B1917" s="274"/>
      <c r="C1917" s="108"/>
      <c r="D1917" s="261"/>
      <c r="E1917" s="261"/>
    </row>
    <row r="1918" spans="2:5" x14ac:dyDescent="0.3">
      <c r="B1918" s="274"/>
      <c r="C1918" s="108"/>
      <c r="D1918" s="261"/>
      <c r="E1918" s="261"/>
    </row>
    <row r="1919" spans="2:5" x14ac:dyDescent="0.3">
      <c r="B1919" s="274"/>
      <c r="C1919" s="108"/>
      <c r="D1919" s="261"/>
      <c r="E1919" s="261"/>
    </row>
    <row r="1920" spans="2:5" x14ac:dyDescent="0.3">
      <c r="B1920" s="274"/>
      <c r="C1920" s="108"/>
      <c r="D1920" s="261"/>
      <c r="E1920" s="261"/>
    </row>
    <row r="1921" spans="2:5" x14ac:dyDescent="0.3">
      <c r="B1921" s="274"/>
      <c r="C1921" s="108"/>
      <c r="D1921" s="261"/>
      <c r="E1921" s="261"/>
    </row>
    <row r="1922" spans="2:5" x14ac:dyDescent="0.3">
      <c r="B1922" s="274"/>
      <c r="C1922" s="108"/>
      <c r="D1922" s="261"/>
      <c r="E1922" s="261"/>
    </row>
    <row r="1923" spans="2:5" x14ac:dyDescent="0.3">
      <c r="B1923" s="274"/>
      <c r="C1923" s="108"/>
      <c r="D1923" s="261"/>
      <c r="E1923" s="261"/>
    </row>
    <row r="1924" spans="2:5" x14ac:dyDescent="0.3">
      <c r="B1924" s="274"/>
      <c r="C1924" s="108"/>
      <c r="D1924" s="261"/>
      <c r="E1924" s="261"/>
    </row>
    <row r="1925" spans="2:5" x14ac:dyDescent="0.3">
      <c r="B1925" s="274"/>
      <c r="C1925" s="108"/>
      <c r="D1925" s="261"/>
      <c r="E1925" s="261"/>
    </row>
    <row r="1926" spans="2:5" x14ac:dyDescent="0.3">
      <c r="B1926" s="274"/>
      <c r="C1926" s="108"/>
      <c r="D1926" s="261"/>
      <c r="E1926" s="261"/>
    </row>
    <row r="1927" spans="2:5" x14ac:dyDescent="0.3">
      <c r="B1927" s="274"/>
      <c r="C1927" s="108"/>
      <c r="D1927" s="261"/>
      <c r="E1927" s="261"/>
    </row>
    <row r="1928" spans="2:5" x14ac:dyDescent="0.3">
      <c r="B1928" s="274"/>
      <c r="C1928" s="108"/>
      <c r="D1928" s="261"/>
      <c r="E1928" s="261"/>
    </row>
    <row r="1929" spans="2:5" x14ac:dyDescent="0.3">
      <c r="B1929" s="274"/>
      <c r="C1929" s="108"/>
      <c r="D1929" s="261"/>
      <c r="E1929" s="261"/>
    </row>
    <row r="1930" spans="2:5" x14ac:dyDescent="0.3">
      <c r="B1930" s="274"/>
      <c r="C1930" s="108"/>
      <c r="D1930" s="261"/>
      <c r="E1930" s="261"/>
    </row>
    <row r="1931" spans="2:5" x14ac:dyDescent="0.3">
      <c r="B1931" s="274"/>
      <c r="C1931" s="108"/>
      <c r="D1931" s="261"/>
      <c r="E1931" s="261"/>
    </row>
    <row r="1932" spans="2:5" x14ac:dyDescent="0.3">
      <c r="B1932" s="274"/>
      <c r="C1932" s="108"/>
      <c r="D1932" s="261"/>
      <c r="E1932" s="261"/>
    </row>
    <row r="1933" spans="2:5" x14ac:dyDescent="0.3">
      <c r="B1933" s="274"/>
      <c r="C1933" s="108"/>
      <c r="D1933" s="261"/>
      <c r="E1933" s="261"/>
    </row>
    <row r="1934" spans="2:5" x14ac:dyDescent="0.3">
      <c r="B1934" s="274"/>
      <c r="C1934" s="108"/>
      <c r="D1934" s="261"/>
      <c r="E1934" s="261"/>
    </row>
    <row r="1935" spans="2:5" x14ac:dyDescent="0.3">
      <c r="B1935" s="274"/>
      <c r="C1935" s="108"/>
      <c r="D1935" s="261"/>
      <c r="E1935" s="261"/>
    </row>
    <row r="1936" spans="2:5" x14ac:dyDescent="0.3">
      <c r="B1936" s="274"/>
      <c r="C1936" s="108"/>
      <c r="D1936" s="261"/>
      <c r="E1936" s="261"/>
    </row>
    <row r="1937" spans="2:5" x14ac:dyDescent="0.3">
      <c r="B1937" s="274"/>
      <c r="C1937" s="108"/>
      <c r="D1937" s="261"/>
      <c r="E1937" s="261"/>
    </row>
    <row r="1938" spans="2:5" x14ac:dyDescent="0.3">
      <c r="B1938" s="274"/>
      <c r="C1938" s="108"/>
      <c r="D1938" s="261"/>
      <c r="E1938" s="261"/>
    </row>
    <row r="1939" spans="2:5" x14ac:dyDescent="0.3">
      <c r="B1939" s="274"/>
      <c r="C1939" s="108"/>
      <c r="D1939" s="261"/>
      <c r="E1939" s="261"/>
    </row>
    <row r="1940" spans="2:5" x14ac:dyDescent="0.3">
      <c r="B1940" s="274"/>
      <c r="C1940" s="108"/>
      <c r="D1940" s="261"/>
      <c r="E1940" s="261"/>
    </row>
    <row r="1941" spans="2:5" x14ac:dyDescent="0.3">
      <c r="B1941" s="274"/>
      <c r="C1941" s="108"/>
      <c r="D1941" s="261"/>
      <c r="E1941" s="261"/>
    </row>
    <row r="1942" spans="2:5" x14ac:dyDescent="0.3">
      <c r="B1942" s="274"/>
      <c r="C1942" s="108"/>
      <c r="D1942" s="261"/>
      <c r="E1942" s="261"/>
    </row>
    <row r="1943" spans="2:5" x14ac:dyDescent="0.3">
      <c r="B1943" s="274"/>
      <c r="C1943" s="108"/>
      <c r="D1943" s="261"/>
      <c r="E1943" s="261"/>
    </row>
    <row r="1944" spans="2:5" x14ac:dyDescent="0.3">
      <c r="B1944" s="274"/>
      <c r="C1944" s="108"/>
      <c r="D1944" s="261"/>
      <c r="E1944" s="261"/>
    </row>
    <row r="1945" spans="2:5" x14ac:dyDescent="0.3">
      <c r="B1945" s="274"/>
      <c r="C1945" s="108"/>
      <c r="D1945" s="261"/>
      <c r="E1945" s="261"/>
    </row>
    <row r="1946" spans="2:5" x14ac:dyDescent="0.3">
      <c r="B1946" s="274"/>
      <c r="C1946" s="108"/>
      <c r="D1946" s="261"/>
      <c r="E1946" s="261"/>
    </row>
    <row r="1947" spans="2:5" x14ac:dyDescent="0.3">
      <c r="B1947" s="274"/>
      <c r="C1947" s="108"/>
      <c r="D1947" s="261"/>
      <c r="E1947" s="261"/>
    </row>
    <row r="1948" spans="2:5" x14ac:dyDescent="0.3">
      <c r="B1948" s="274"/>
      <c r="C1948" s="108"/>
      <c r="D1948" s="261"/>
      <c r="E1948" s="261"/>
    </row>
    <row r="1949" spans="2:5" x14ac:dyDescent="0.3">
      <c r="B1949" s="274"/>
      <c r="C1949" s="108"/>
      <c r="D1949" s="261"/>
      <c r="E1949" s="261"/>
    </row>
    <row r="1950" spans="2:5" x14ac:dyDescent="0.3">
      <c r="B1950" s="274"/>
      <c r="C1950" s="108"/>
      <c r="D1950" s="261"/>
      <c r="E1950" s="261"/>
    </row>
    <row r="1951" spans="2:5" x14ac:dyDescent="0.3">
      <c r="B1951" s="274"/>
      <c r="C1951" s="108"/>
      <c r="D1951" s="261"/>
      <c r="E1951" s="261"/>
    </row>
    <row r="1952" spans="2:5" x14ac:dyDescent="0.3">
      <c r="B1952" s="274"/>
      <c r="C1952" s="108"/>
      <c r="D1952" s="261"/>
      <c r="E1952" s="261"/>
    </row>
    <row r="1953" spans="2:5" x14ac:dyDescent="0.3">
      <c r="B1953" s="274"/>
      <c r="C1953" s="108"/>
      <c r="D1953" s="261"/>
      <c r="E1953" s="261"/>
    </row>
    <row r="1954" spans="2:5" x14ac:dyDescent="0.3">
      <c r="B1954" s="274"/>
      <c r="C1954" s="108"/>
      <c r="D1954" s="261"/>
      <c r="E1954" s="261"/>
    </row>
    <row r="1955" spans="2:5" x14ac:dyDescent="0.3">
      <c r="B1955" s="274"/>
      <c r="C1955" s="108"/>
      <c r="D1955" s="261"/>
      <c r="E1955" s="261"/>
    </row>
    <row r="1956" spans="2:5" x14ac:dyDescent="0.3">
      <c r="B1956" s="274"/>
      <c r="C1956" s="108"/>
      <c r="D1956" s="261"/>
      <c r="E1956" s="261"/>
    </row>
    <row r="1957" spans="2:5" x14ac:dyDescent="0.3">
      <c r="B1957" s="274"/>
      <c r="C1957" s="108"/>
      <c r="D1957" s="261"/>
      <c r="E1957" s="261"/>
    </row>
    <row r="1958" spans="2:5" x14ac:dyDescent="0.3">
      <c r="B1958" s="274"/>
      <c r="C1958" s="108"/>
      <c r="D1958" s="261"/>
      <c r="E1958" s="261"/>
    </row>
    <row r="1959" spans="2:5" x14ac:dyDescent="0.3">
      <c r="B1959" s="274"/>
      <c r="C1959" s="108"/>
      <c r="D1959" s="261"/>
      <c r="E1959" s="261"/>
    </row>
    <row r="1960" spans="2:5" x14ac:dyDescent="0.3">
      <c r="B1960" s="274"/>
      <c r="C1960" s="108"/>
      <c r="D1960" s="261"/>
      <c r="E1960" s="261"/>
    </row>
    <row r="1961" spans="2:5" x14ac:dyDescent="0.3">
      <c r="B1961" s="274"/>
      <c r="C1961" s="108"/>
      <c r="D1961" s="261"/>
      <c r="E1961" s="261"/>
    </row>
    <row r="1962" spans="2:5" x14ac:dyDescent="0.3">
      <c r="B1962" s="274"/>
      <c r="C1962" s="108"/>
      <c r="D1962" s="261"/>
      <c r="E1962" s="261"/>
    </row>
    <row r="1963" spans="2:5" x14ac:dyDescent="0.3">
      <c r="B1963" s="274"/>
      <c r="C1963" s="108"/>
      <c r="D1963" s="261"/>
      <c r="E1963" s="261"/>
    </row>
    <row r="1964" spans="2:5" x14ac:dyDescent="0.3">
      <c r="B1964" s="274"/>
      <c r="C1964" s="108"/>
      <c r="D1964" s="261"/>
      <c r="E1964" s="261"/>
    </row>
    <row r="1965" spans="2:5" x14ac:dyDescent="0.3">
      <c r="B1965" s="274"/>
      <c r="C1965" s="108"/>
      <c r="D1965" s="261"/>
      <c r="E1965" s="261"/>
    </row>
    <row r="1966" spans="2:5" x14ac:dyDescent="0.3">
      <c r="B1966" s="274"/>
      <c r="C1966" s="108"/>
      <c r="D1966" s="261"/>
      <c r="E1966" s="261"/>
    </row>
    <row r="1967" spans="2:5" x14ac:dyDescent="0.3">
      <c r="B1967" s="274"/>
      <c r="C1967" s="108"/>
      <c r="D1967" s="261"/>
      <c r="E1967" s="261"/>
    </row>
    <row r="1968" spans="2:5" x14ac:dyDescent="0.3">
      <c r="B1968" s="274"/>
      <c r="C1968" s="108"/>
      <c r="D1968" s="261"/>
      <c r="E1968" s="261"/>
    </row>
    <row r="1969" spans="2:5" x14ac:dyDescent="0.3">
      <c r="B1969" s="274"/>
      <c r="C1969" s="108"/>
      <c r="D1969" s="261"/>
      <c r="E1969" s="261"/>
    </row>
    <row r="1970" spans="2:5" x14ac:dyDescent="0.3">
      <c r="B1970" s="274"/>
      <c r="C1970" s="108"/>
      <c r="D1970" s="261"/>
      <c r="E1970" s="261"/>
    </row>
    <row r="1971" spans="2:5" x14ac:dyDescent="0.3">
      <c r="B1971" s="274"/>
      <c r="C1971" s="108"/>
      <c r="D1971" s="261"/>
      <c r="E1971" s="261"/>
    </row>
    <row r="1972" spans="2:5" x14ac:dyDescent="0.3">
      <c r="B1972" s="274"/>
      <c r="C1972" s="108"/>
      <c r="D1972" s="261"/>
      <c r="E1972" s="261"/>
    </row>
    <row r="1973" spans="2:5" x14ac:dyDescent="0.3">
      <c r="B1973" s="274"/>
      <c r="C1973" s="108"/>
      <c r="D1973" s="261"/>
      <c r="E1973" s="261"/>
    </row>
    <row r="1974" spans="2:5" x14ac:dyDescent="0.3">
      <c r="B1974" s="274"/>
      <c r="C1974" s="108"/>
      <c r="D1974" s="261"/>
      <c r="E1974" s="261"/>
    </row>
    <row r="1975" spans="2:5" x14ac:dyDescent="0.3">
      <c r="B1975" s="274"/>
      <c r="C1975" s="108"/>
      <c r="D1975" s="261"/>
      <c r="E1975" s="261"/>
    </row>
    <row r="1976" spans="2:5" x14ac:dyDescent="0.3">
      <c r="B1976" s="274"/>
      <c r="C1976" s="108"/>
      <c r="D1976" s="261"/>
      <c r="E1976" s="261"/>
    </row>
    <row r="1977" spans="2:5" x14ac:dyDescent="0.3">
      <c r="B1977" s="274"/>
      <c r="C1977" s="108"/>
      <c r="D1977" s="261"/>
      <c r="E1977" s="261"/>
    </row>
    <row r="1978" spans="2:5" x14ac:dyDescent="0.3">
      <c r="B1978" s="274"/>
      <c r="C1978" s="108"/>
      <c r="D1978" s="261"/>
      <c r="E1978" s="261"/>
    </row>
    <row r="1979" spans="2:5" x14ac:dyDescent="0.3">
      <c r="B1979" s="274"/>
      <c r="C1979" s="108"/>
      <c r="D1979" s="261"/>
      <c r="E1979" s="261"/>
    </row>
    <row r="1980" spans="2:5" x14ac:dyDescent="0.3">
      <c r="B1980" s="274"/>
      <c r="C1980" s="108"/>
      <c r="D1980" s="261"/>
      <c r="E1980" s="261"/>
    </row>
    <row r="1981" spans="2:5" x14ac:dyDescent="0.3">
      <c r="B1981" s="274"/>
      <c r="C1981" s="108"/>
      <c r="D1981" s="261"/>
      <c r="E1981" s="261"/>
    </row>
    <row r="1982" spans="2:5" x14ac:dyDescent="0.3">
      <c r="B1982" s="274"/>
      <c r="C1982" s="108"/>
      <c r="D1982" s="261"/>
      <c r="E1982" s="261"/>
    </row>
    <row r="1983" spans="2:5" x14ac:dyDescent="0.3">
      <c r="B1983" s="274"/>
      <c r="C1983" s="108"/>
      <c r="D1983" s="261"/>
      <c r="E1983" s="261"/>
    </row>
    <row r="1984" spans="2:5" x14ac:dyDescent="0.3">
      <c r="B1984" s="274"/>
      <c r="C1984" s="108"/>
      <c r="D1984" s="261"/>
      <c r="E1984" s="261"/>
    </row>
    <row r="1985" spans="2:5" x14ac:dyDescent="0.3">
      <c r="B1985" s="274"/>
      <c r="C1985" s="108"/>
      <c r="D1985" s="261"/>
      <c r="E1985" s="261"/>
    </row>
    <row r="1986" spans="2:5" x14ac:dyDescent="0.3">
      <c r="B1986" s="274"/>
      <c r="C1986" s="108"/>
      <c r="D1986" s="261"/>
      <c r="E1986" s="261"/>
    </row>
    <row r="1987" spans="2:5" x14ac:dyDescent="0.3">
      <c r="B1987" s="274"/>
      <c r="C1987" s="108"/>
      <c r="D1987" s="261"/>
      <c r="E1987" s="261"/>
    </row>
    <row r="1988" spans="2:5" x14ac:dyDescent="0.3">
      <c r="B1988" s="274"/>
      <c r="C1988" s="108"/>
      <c r="D1988" s="261"/>
      <c r="E1988" s="261"/>
    </row>
    <row r="1989" spans="2:5" x14ac:dyDescent="0.3">
      <c r="B1989" s="274"/>
      <c r="C1989" s="108"/>
      <c r="D1989" s="261"/>
      <c r="E1989" s="261"/>
    </row>
    <row r="1990" spans="2:5" x14ac:dyDescent="0.3">
      <c r="B1990" s="274"/>
      <c r="C1990" s="108"/>
      <c r="D1990" s="261"/>
      <c r="E1990" s="261"/>
    </row>
    <row r="1991" spans="2:5" x14ac:dyDescent="0.3">
      <c r="B1991" s="274"/>
      <c r="C1991" s="108"/>
      <c r="D1991" s="261"/>
      <c r="E1991" s="261"/>
    </row>
    <row r="1992" spans="2:5" x14ac:dyDescent="0.3">
      <c r="B1992" s="274"/>
      <c r="C1992" s="108"/>
      <c r="D1992" s="261"/>
      <c r="E1992" s="261"/>
    </row>
    <row r="1993" spans="2:5" x14ac:dyDescent="0.3">
      <c r="B1993" s="274"/>
      <c r="C1993" s="108"/>
      <c r="D1993" s="261"/>
      <c r="E1993" s="261"/>
    </row>
    <row r="1994" spans="2:5" x14ac:dyDescent="0.3">
      <c r="B1994" s="274"/>
      <c r="C1994" s="108"/>
      <c r="D1994" s="261"/>
      <c r="E1994" s="261"/>
    </row>
    <row r="1995" spans="2:5" x14ac:dyDescent="0.3">
      <c r="B1995" s="274"/>
      <c r="C1995" s="108"/>
      <c r="D1995" s="261"/>
      <c r="E1995" s="261"/>
    </row>
    <row r="1996" spans="2:5" x14ac:dyDescent="0.3">
      <c r="B1996" s="274"/>
      <c r="C1996" s="108"/>
      <c r="D1996" s="261"/>
      <c r="E1996" s="261"/>
    </row>
    <row r="1997" spans="2:5" x14ac:dyDescent="0.3">
      <c r="B1997" s="274"/>
      <c r="C1997" s="108"/>
      <c r="D1997" s="261"/>
      <c r="E1997" s="261"/>
    </row>
    <row r="1998" spans="2:5" x14ac:dyDescent="0.3">
      <c r="B1998" s="274"/>
      <c r="C1998" s="108"/>
      <c r="D1998" s="261"/>
      <c r="E1998" s="261"/>
    </row>
    <row r="1999" spans="2:5" x14ac:dyDescent="0.3">
      <c r="B1999" s="274"/>
      <c r="C1999" s="108"/>
      <c r="D1999" s="261"/>
      <c r="E1999" s="261"/>
    </row>
    <row r="2000" spans="2:5" x14ac:dyDescent="0.3">
      <c r="B2000" s="274"/>
      <c r="C2000" s="108"/>
      <c r="D2000" s="261"/>
      <c r="E2000" s="261"/>
    </row>
    <row r="2001" spans="2:5" x14ac:dyDescent="0.3">
      <c r="B2001" s="274"/>
      <c r="C2001" s="108"/>
      <c r="D2001" s="261"/>
      <c r="E2001" s="261"/>
    </row>
    <row r="2002" spans="2:5" x14ac:dyDescent="0.3">
      <c r="B2002" s="274"/>
      <c r="C2002" s="108"/>
      <c r="D2002" s="261"/>
      <c r="E2002" s="261"/>
    </row>
    <row r="2003" spans="2:5" x14ac:dyDescent="0.3">
      <c r="B2003" s="274"/>
      <c r="C2003" s="108"/>
      <c r="D2003" s="261"/>
      <c r="E2003" s="261"/>
    </row>
    <row r="2004" spans="2:5" x14ac:dyDescent="0.3">
      <c r="B2004" s="274"/>
      <c r="C2004" s="108"/>
      <c r="D2004" s="261"/>
      <c r="E2004" s="261"/>
    </row>
    <row r="2005" spans="2:5" x14ac:dyDescent="0.3">
      <c r="B2005" s="274"/>
      <c r="C2005" s="108"/>
      <c r="D2005" s="261"/>
      <c r="E2005" s="261"/>
    </row>
    <row r="2006" spans="2:5" x14ac:dyDescent="0.3">
      <c r="B2006" s="274"/>
      <c r="C2006" s="108"/>
      <c r="D2006" s="261"/>
      <c r="E2006" s="261"/>
    </row>
    <row r="2007" spans="2:5" x14ac:dyDescent="0.3">
      <c r="B2007" s="274"/>
      <c r="C2007" s="108"/>
      <c r="D2007" s="261"/>
      <c r="E2007" s="261"/>
    </row>
    <row r="2008" spans="2:5" x14ac:dyDescent="0.3">
      <c r="B2008" s="274"/>
      <c r="C2008" s="108"/>
      <c r="D2008" s="261"/>
      <c r="E2008" s="261"/>
    </row>
    <row r="2009" spans="2:5" x14ac:dyDescent="0.3">
      <c r="B2009" s="274"/>
      <c r="C2009" s="108"/>
      <c r="D2009" s="261"/>
      <c r="E2009" s="261"/>
    </row>
    <row r="2010" spans="2:5" x14ac:dyDescent="0.3">
      <c r="B2010" s="274"/>
      <c r="C2010" s="108"/>
      <c r="D2010" s="261"/>
      <c r="E2010" s="261"/>
    </row>
    <row r="2011" spans="2:5" x14ac:dyDescent="0.3">
      <c r="B2011" s="274"/>
      <c r="C2011" s="108"/>
      <c r="D2011" s="261"/>
      <c r="E2011" s="261"/>
    </row>
    <row r="2012" spans="2:5" x14ac:dyDescent="0.3">
      <c r="B2012" s="274"/>
      <c r="C2012" s="108"/>
      <c r="D2012" s="261"/>
      <c r="E2012" s="261"/>
    </row>
    <row r="2013" spans="2:5" x14ac:dyDescent="0.3">
      <c r="B2013" s="274"/>
      <c r="C2013" s="108"/>
      <c r="D2013" s="261"/>
      <c r="E2013" s="261"/>
    </row>
    <row r="2014" spans="2:5" x14ac:dyDescent="0.3">
      <c r="B2014" s="274"/>
      <c r="C2014" s="108"/>
      <c r="D2014" s="261"/>
      <c r="E2014" s="261"/>
    </row>
    <row r="2015" spans="2:5" x14ac:dyDescent="0.3">
      <c r="B2015" s="274"/>
      <c r="C2015" s="108"/>
      <c r="D2015" s="261"/>
      <c r="E2015" s="261"/>
    </row>
    <row r="2016" spans="2:5" x14ac:dyDescent="0.3">
      <c r="B2016" s="274"/>
      <c r="C2016" s="108"/>
      <c r="D2016" s="261"/>
      <c r="E2016" s="261"/>
    </row>
    <row r="2017" spans="2:5" x14ac:dyDescent="0.3">
      <c r="B2017" s="274"/>
      <c r="C2017" s="108"/>
      <c r="D2017" s="261"/>
      <c r="E2017" s="261"/>
    </row>
    <row r="2018" spans="2:5" x14ac:dyDescent="0.3">
      <c r="B2018" s="274"/>
      <c r="C2018" s="108"/>
      <c r="D2018" s="261"/>
      <c r="E2018" s="261"/>
    </row>
    <row r="2019" spans="2:5" x14ac:dyDescent="0.3">
      <c r="B2019" s="274"/>
      <c r="C2019" s="108"/>
      <c r="D2019" s="261"/>
      <c r="E2019" s="261"/>
    </row>
    <row r="2020" spans="2:5" x14ac:dyDescent="0.3">
      <c r="B2020" s="274"/>
      <c r="C2020" s="108"/>
      <c r="D2020" s="261"/>
      <c r="E2020" s="261"/>
    </row>
    <row r="2021" spans="2:5" x14ac:dyDescent="0.3">
      <c r="B2021" s="274"/>
      <c r="C2021" s="108"/>
      <c r="D2021" s="261"/>
      <c r="E2021" s="261"/>
    </row>
    <row r="2022" spans="2:5" x14ac:dyDescent="0.3">
      <c r="B2022" s="274"/>
      <c r="C2022" s="108"/>
      <c r="D2022" s="261"/>
      <c r="E2022" s="261"/>
    </row>
    <row r="2023" spans="2:5" x14ac:dyDescent="0.3">
      <c r="B2023" s="274"/>
      <c r="C2023" s="108"/>
      <c r="D2023" s="261"/>
      <c r="E2023" s="261"/>
    </row>
    <row r="2024" spans="2:5" x14ac:dyDescent="0.3">
      <c r="B2024" s="274"/>
      <c r="C2024" s="108"/>
      <c r="D2024" s="261"/>
      <c r="E2024" s="261"/>
    </row>
    <row r="2025" spans="2:5" x14ac:dyDescent="0.3">
      <c r="B2025" s="274"/>
      <c r="C2025" s="108"/>
      <c r="D2025" s="261"/>
      <c r="E2025" s="261"/>
    </row>
    <row r="2026" spans="2:5" x14ac:dyDescent="0.3">
      <c r="B2026" s="274"/>
      <c r="C2026" s="108"/>
      <c r="D2026" s="261"/>
      <c r="E2026" s="261"/>
    </row>
    <row r="2027" spans="2:5" x14ac:dyDescent="0.3">
      <c r="B2027" s="274"/>
      <c r="C2027" s="108"/>
      <c r="D2027" s="261"/>
      <c r="E2027" s="261"/>
    </row>
    <row r="2028" spans="2:5" x14ac:dyDescent="0.3">
      <c r="B2028" s="274"/>
      <c r="C2028" s="108"/>
      <c r="D2028" s="261"/>
      <c r="E2028" s="261"/>
    </row>
    <row r="2029" spans="2:5" x14ac:dyDescent="0.3">
      <c r="B2029" s="274"/>
      <c r="C2029" s="108"/>
      <c r="D2029" s="261"/>
      <c r="E2029" s="261"/>
    </row>
    <row r="2030" spans="2:5" x14ac:dyDescent="0.3">
      <c r="B2030" s="274"/>
      <c r="C2030" s="108"/>
      <c r="D2030" s="261"/>
      <c r="E2030" s="261"/>
    </row>
    <row r="2031" spans="2:5" x14ac:dyDescent="0.3">
      <c r="B2031" s="274"/>
      <c r="C2031" s="108"/>
      <c r="D2031" s="261"/>
      <c r="E2031" s="261"/>
    </row>
    <row r="2032" spans="2:5" x14ac:dyDescent="0.3">
      <c r="B2032" s="274"/>
      <c r="C2032" s="108"/>
      <c r="D2032" s="261"/>
      <c r="E2032" s="261"/>
    </row>
    <row r="2033" spans="2:5" x14ac:dyDescent="0.3">
      <c r="B2033" s="274"/>
      <c r="C2033" s="108"/>
      <c r="D2033" s="261"/>
      <c r="E2033" s="261"/>
    </row>
    <row r="2034" spans="2:5" x14ac:dyDescent="0.3">
      <c r="B2034" s="274"/>
      <c r="C2034" s="108"/>
      <c r="D2034" s="261"/>
      <c r="E2034" s="261"/>
    </row>
    <row r="2035" spans="2:5" x14ac:dyDescent="0.3">
      <c r="B2035" s="274"/>
      <c r="C2035" s="108"/>
      <c r="D2035" s="261"/>
      <c r="E2035" s="261"/>
    </row>
    <row r="2036" spans="2:5" x14ac:dyDescent="0.3">
      <c r="B2036" s="274"/>
      <c r="C2036" s="108"/>
      <c r="D2036" s="261"/>
      <c r="E2036" s="261"/>
    </row>
    <row r="2037" spans="2:5" x14ac:dyDescent="0.3">
      <c r="B2037" s="274"/>
      <c r="C2037" s="108"/>
      <c r="D2037" s="261"/>
      <c r="E2037" s="261"/>
    </row>
    <row r="2038" spans="2:5" x14ac:dyDescent="0.3">
      <c r="B2038" s="274"/>
      <c r="C2038" s="108"/>
      <c r="D2038" s="261"/>
      <c r="E2038" s="261"/>
    </row>
    <row r="2039" spans="2:5" x14ac:dyDescent="0.3">
      <c r="B2039" s="274"/>
      <c r="C2039" s="108"/>
      <c r="D2039" s="261"/>
      <c r="E2039" s="261"/>
    </row>
    <row r="2040" spans="2:5" x14ac:dyDescent="0.3">
      <c r="B2040" s="274"/>
      <c r="C2040" s="108"/>
      <c r="D2040" s="261"/>
      <c r="E2040" s="261"/>
    </row>
    <row r="2041" spans="2:5" x14ac:dyDescent="0.3">
      <c r="B2041" s="274"/>
      <c r="C2041" s="108"/>
      <c r="D2041" s="261"/>
      <c r="E2041" s="261"/>
    </row>
    <row r="2042" spans="2:5" x14ac:dyDescent="0.3">
      <c r="B2042" s="274"/>
      <c r="C2042" s="108"/>
      <c r="D2042" s="261"/>
      <c r="E2042" s="261"/>
    </row>
    <row r="2043" spans="2:5" x14ac:dyDescent="0.3">
      <c r="B2043" s="274"/>
      <c r="C2043" s="108"/>
      <c r="D2043" s="261"/>
      <c r="E2043" s="261"/>
    </row>
    <row r="2044" spans="2:5" x14ac:dyDescent="0.3">
      <c r="B2044" s="274"/>
      <c r="C2044" s="108"/>
      <c r="D2044" s="261"/>
      <c r="E2044" s="261"/>
    </row>
    <row r="2045" spans="2:5" x14ac:dyDescent="0.3">
      <c r="B2045" s="274"/>
      <c r="C2045" s="108"/>
      <c r="D2045" s="261"/>
      <c r="E2045" s="261"/>
    </row>
    <row r="2046" spans="2:5" x14ac:dyDescent="0.3">
      <c r="B2046" s="274"/>
      <c r="C2046" s="108"/>
      <c r="D2046" s="261"/>
      <c r="E2046" s="261"/>
    </row>
    <row r="2047" spans="2:5" x14ac:dyDescent="0.3">
      <c r="B2047" s="274"/>
      <c r="C2047" s="108"/>
      <c r="D2047" s="261"/>
      <c r="E2047" s="261"/>
    </row>
    <row r="2048" spans="2:5" x14ac:dyDescent="0.3">
      <c r="B2048" s="274"/>
      <c r="C2048" s="108"/>
      <c r="D2048" s="261"/>
      <c r="E2048" s="261"/>
    </row>
    <row r="2049" spans="2:5" x14ac:dyDescent="0.3">
      <c r="B2049" s="274"/>
      <c r="C2049" s="108"/>
      <c r="D2049" s="261"/>
      <c r="E2049" s="261"/>
    </row>
    <row r="2050" spans="2:5" x14ac:dyDescent="0.3">
      <c r="B2050" s="274"/>
      <c r="C2050" s="108"/>
      <c r="D2050" s="261"/>
      <c r="E2050" s="261"/>
    </row>
    <row r="2051" spans="2:5" x14ac:dyDescent="0.3">
      <c r="B2051" s="274"/>
      <c r="C2051" s="108"/>
      <c r="D2051" s="261"/>
      <c r="E2051" s="261"/>
    </row>
    <row r="2052" spans="2:5" x14ac:dyDescent="0.3">
      <c r="B2052" s="274"/>
      <c r="C2052" s="108"/>
      <c r="D2052" s="261"/>
      <c r="E2052" s="261"/>
    </row>
    <row r="2053" spans="2:5" x14ac:dyDescent="0.3">
      <c r="B2053" s="274"/>
      <c r="C2053" s="108"/>
      <c r="D2053" s="261"/>
      <c r="E2053" s="261"/>
    </row>
    <row r="2054" spans="2:5" x14ac:dyDescent="0.3">
      <c r="B2054" s="274"/>
      <c r="C2054" s="108"/>
      <c r="D2054" s="261"/>
      <c r="E2054" s="261"/>
    </row>
    <row r="2055" spans="2:5" x14ac:dyDescent="0.3">
      <c r="B2055" s="274"/>
      <c r="C2055" s="108"/>
      <c r="D2055" s="261"/>
      <c r="E2055" s="261"/>
    </row>
    <row r="2056" spans="2:5" x14ac:dyDescent="0.3">
      <c r="B2056" s="274"/>
      <c r="C2056" s="108"/>
      <c r="D2056" s="261"/>
      <c r="E2056" s="261"/>
    </row>
    <row r="2057" spans="2:5" x14ac:dyDescent="0.3">
      <c r="B2057" s="274"/>
      <c r="C2057" s="108"/>
      <c r="D2057" s="261"/>
      <c r="E2057" s="261"/>
    </row>
    <row r="2058" spans="2:5" x14ac:dyDescent="0.3">
      <c r="B2058" s="274"/>
      <c r="C2058" s="108"/>
      <c r="D2058" s="261"/>
      <c r="E2058" s="261"/>
    </row>
    <row r="2059" spans="2:5" x14ac:dyDescent="0.3">
      <c r="B2059" s="274"/>
      <c r="C2059" s="108"/>
      <c r="D2059" s="261"/>
      <c r="E2059" s="261"/>
    </row>
    <row r="2060" spans="2:5" x14ac:dyDescent="0.3">
      <c r="B2060" s="274"/>
      <c r="C2060" s="108"/>
      <c r="D2060" s="261"/>
      <c r="E2060" s="261"/>
    </row>
    <row r="2061" spans="2:5" x14ac:dyDescent="0.3">
      <c r="B2061" s="274"/>
      <c r="C2061" s="108"/>
      <c r="D2061" s="261"/>
      <c r="E2061" s="261"/>
    </row>
    <row r="2062" spans="2:5" x14ac:dyDescent="0.3">
      <c r="B2062" s="274"/>
      <c r="C2062" s="108"/>
      <c r="D2062" s="261"/>
      <c r="E2062" s="261"/>
    </row>
    <row r="2063" spans="2:5" x14ac:dyDescent="0.3">
      <c r="B2063" s="274"/>
      <c r="C2063" s="108"/>
      <c r="D2063" s="261"/>
      <c r="E2063" s="261"/>
    </row>
    <row r="2064" spans="2:5" x14ac:dyDescent="0.3">
      <c r="B2064" s="274"/>
      <c r="C2064" s="108"/>
      <c r="D2064" s="261"/>
      <c r="E2064" s="261"/>
    </row>
    <row r="2065" spans="2:5" x14ac:dyDescent="0.3">
      <c r="B2065" s="274"/>
      <c r="C2065" s="108"/>
      <c r="D2065" s="261"/>
      <c r="E2065" s="261"/>
    </row>
    <row r="2066" spans="2:5" x14ac:dyDescent="0.3">
      <c r="B2066" s="274"/>
      <c r="C2066" s="108"/>
      <c r="D2066" s="261"/>
      <c r="E2066" s="261"/>
    </row>
    <row r="2067" spans="2:5" x14ac:dyDescent="0.3">
      <c r="B2067" s="274"/>
      <c r="C2067" s="108"/>
      <c r="D2067" s="261"/>
      <c r="E2067" s="261"/>
    </row>
    <row r="2068" spans="2:5" x14ac:dyDescent="0.3">
      <c r="B2068" s="274"/>
      <c r="C2068" s="108"/>
      <c r="D2068" s="261"/>
      <c r="E2068" s="261"/>
    </row>
    <row r="2069" spans="2:5" x14ac:dyDescent="0.3">
      <c r="B2069" s="274"/>
      <c r="C2069" s="108"/>
      <c r="D2069" s="261"/>
      <c r="E2069" s="261"/>
    </row>
    <row r="2070" spans="2:5" x14ac:dyDescent="0.3">
      <c r="B2070" s="274"/>
      <c r="C2070" s="108"/>
      <c r="D2070" s="261"/>
      <c r="E2070" s="261"/>
    </row>
    <row r="2071" spans="2:5" x14ac:dyDescent="0.3">
      <c r="B2071" s="274"/>
      <c r="C2071" s="108"/>
      <c r="D2071" s="261"/>
      <c r="E2071" s="261"/>
    </row>
    <row r="2072" spans="2:5" x14ac:dyDescent="0.3">
      <c r="B2072" s="274"/>
      <c r="C2072" s="108"/>
      <c r="D2072" s="261"/>
      <c r="E2072" s="261"/>
    </row>
    <row r="2073" spans="2:5" x14ac:dyDescent="0.3">
      <c r="B2073" s="274"/>
      <c r="C2073" s="108"/>
      <c r="D2073" s="261"/>
      <c r="E2073" s="261"/>
    </row>
    <row r="2074" spans="2:5" x14ac:dyDescent="0.3">
      <c r="B2074" s="274"/>
      <c r="C2074" s="108"/>
      <c r="D2074" s="261"/>
      <c r="E2074" s="261"/>
    </row>
    <row r="2075" spans="2:5" x14ac:dyDescent="0.3">
      <c r="B2075" s="274"/>
      <c r="C2075" s="108"/>
      <c r="D2075" s="261"/>
      <c r="E2075" s="261"/>
    </row>
    <row r="2076" spans="2:5" x14ac:dyDescent="0.3">
      <c r="B2076" s="274"/>
      <c r="C2076" s="108"/>
      <c r="D2076" s="261"/>
      <c r="E2076" s="261"/>
    </row>
    <row r="2077" spans="2:5" x14ac:dyDescent="0.3">
      <c r="B2077" s="274"/>
      <c r="C2077" s="108"/>
      <c r="D2077" s="261"/>
      <c r="E2077" s="261"/>
    </row>
    <row r="2078" spans="2:5" x14ac:dyDescent="0.3">
      <c r="B2078" s="274"/>
      <c r="C2078" s="108"/>
      <c r="D2078" s="261"/>
      <c r="E2078" s="261"/>
    </row>
    <row r="2079" spans="2:5" x14ac:dyDescent="0.3">
      <c r="B2079" s="274"/>
      <c r="C2079" s="108"/>
      <c r="D2079" s="261"/>
      <c r="E2079" s="261"/>
    </row>
    <row r="2080" spans="2:5" x14ac:dyDescent="0.3">
      <c r="B2080" s="274"/>
      <c r="C2080" s="108"/>
      <c r="D2080" s="261"/>
      <c r="E2080" s="261"/>
    </row>
    <row r="2081" spans="2:5" x14ac:dyDescent="0.3">
      <c r="B2081" s="274"/>
      <c r="C2081" s="108"/>
      <c r="D2081" s="261"/>
      <c r="E2081" s="261"/>
    </row>
    <row r="2082" spans="2:5" x14ac:dyDescent="0.3">
      <c r="B2082" s="274"/>
      <c r="C2082" s="108"/>
      <c r="D2082" s="261"/>
      <c r="E2082" s="261"/>
    </row>
    <row r="2083" spans="2:5" x14ac:dyDescent="0.3">
      <c r="B2083" s="274"/>
      <c r="C2083" s="108"/>
      <c r="D2083" s="261"/>
      <c r="E2083" s="261"/>
    </row>
    <row r="2084" spans="2:5" x14ac:dyDescent="0.3">
      <c r="B2084" s="274"/>
      <c r="C2084" s="108"/>
      <c r="D2084" s="261"/>
      <c r="E2084" s="261"/>
    </row>
    <row r="2085" spans="2:5" x14ac:dyDescent="0.3">
      <c r="B2085" s="274"/>
      <c r="C2085" s="108"/>
      <c r="D2085" s="261"/>
      <c r="E2085" s="261"/>
    </row>
    <row r="2086" spans="2:5" x14ac:dyDescent="0.3">
      <c r="B2086" s="274"/>
      <c r="C2086" s="108"/>
      <c r="D2086" s="261"/>
      <c r="E2086" s="261"/>
    </row>
    <row r="2087" spans="2:5" x14ac:dyDescent="0.3">
      <c r="B2087" s="274"/>
      <c r="C2087" s="108"/>
      <c r="D2087" s="261"/>
      <c r="E2087" s="261"/>
    </row>
    <row r="2088" spans="2:5" x14ac:dyDescent="0.3">
      <c r="B2088" s="274"/>
      <c r="C2088" s="108"/>
      <c r="D2088" s="261"/>
      <c r="E2088" s="261"/>
    </row>
    <row r="2089" spans="2:5" x14ac:dyDescent="0.3">
      <c r="B2089" s="274"/>
      <c r="C2089" s="108"/>
      <c r="D2089" s="261"/>
      <c r="E2089" s="261"/>
    </row>
    <row r="2090" spans="2:5" x14ac:dyDescent="0.3">
      <c r="B2090" s="274"/>
      <c r="C2090" s="108"/>
      <c r="D2090" s="261"/>
      <c r="E2090" s="261"/>
    </row>
    <row r="2091" spans="2:5" x14ac:dyDescent="0.3">
      <c r="B2091" s="274"/>
      <c r="C2091" s="108"/>
      <c r="D2091" s="261"/>
      <c r="E2091" s="261"/>
    </row>
    <row r="2092" spans="2:5" x14ac:dyDescent="0.3">
      <c r="B2092" s="274"/>
      <c r="C2092" s="108"/>
      <c r="D2092" s="261"/>
      <c r="E2092" s="261"/>
    </row>
    <row r="2093" spans="2:5" x14ac:dyDescent="0.3">
      <c r="B2093" s="274"/>
      <c r="C2093" s="108"/>
      <c r="D2093" s="261"/>
      <c r="E2093" s="261"/>
    </row>
    <row r="2094" spans="2:5" x14ac:dyDescent="0.3">
      <c r="B2094" s="274"/>
      <c r="C2094" s="108"/>
      <c r="D2094" s="261"/>
      <c r="E2094" s="261"/>
    </row>
    <row r="2095" spans="2:5" x14ac:dyDescent="0.3">
      <c r="B2095" s="274"/>
      <c r="C2095" s="108"/>
      <c r="D2095" s="261"/>
      <c r="E2095" s="261"/>
    </row>
    <row r="2096" spans="2:5" x14ac:dyDescent="0.3">
      <c r="B2096" s="274"/>
      <c r="C2096" s="108"/>
      <c r="D2096" s="261"/>
      <c r="E2096" s="261"/>
    </row>
    <row r="2097" spans="2:5" x14ac:dyDescent="0.3">
      <c r="B2097" s="274"/>
      <c r="C2097" s="108"/>
      <c r="D2097" s="261"/>
      <c r="E2097" s="261"/>
    </row>
    <row r="2098" spans="2:5" x14ac:dyDescent="0.3">
      <c r="B2098" s="274"/>
      <c r="C2098" s="108"/>
      <c r="D2098" s="261"/>
      <c r="E2098" s="261"/>
    </row>
    <row r="2099" spans="2:5" x14ac:dyDescent="0.3">
      <c r="B2099" s="274"/>
      <c r="C2099" s="108"/>
      <c r="D2099" s="261"/>
      <c r="E2099" s="261"/>
    </row>
    <row r="2100" spans="2:5" x14ac:dyDescent="0.3">
      <c r="B2100" s="274"/>
      <c r="C2100" s="108"/>
      <c r="D2100" s="261"/>
      <c r="E2100" s="261"/>
    </row>
    <row r="2101" spans="2:5" x14ac:dyDescent="0.3">
      <c r="B2101" s="274"/>
      <c r="C2101" s="108"/>
      <c r="D2101" s="261"/>
      <c r="E2101" s="261"/>
    </row>
    <row r="2102" spans="2:5" x14ac:dyDescent="0.3">
      <c r="B2102" s="274"/>
      <c r="C2102" s="108"/>
      <c r="D2102" s="261"/>
      <c r="E2102" s="261"/>
    </row>
    <row r="2103" spans="2:5" x14ac:dyDescent="0.3">
      <c r="B2103" s="274"/>
      <c r="C2103" s="108"/>
      <c r="D2103" s="261"/>
      <c r="E2103" s="261"/>
    </row>
    <row r="2104" spans="2:5" x14ac:dyDescent="0.3">
      <c r="B2104" s="274"/>
      <c r="C2104" s="108"/>
      <c r="D2104" s="261"/>
      <c r="E2104" s="261"/>
    </row>
    <row r="2105" spans="2:5" x14ac:dyDescent="0.3">
      <c r="B2105" s="274"/>
      <c r="C2105" s="108"/>
      <c r="D2105" s="261"/>
      <c r="E2105" s="261"/>
    </row>
    <row r="2106" spans="2:5" x14ac:dyDescent="0.3">
      <c r="B2106" s="274"/>
      <c r="C2106" s="108"/>
      <c r="D2106" s="261"/>
      <c r="E2106" s="261"/>
    </row>
    <row r="2107" spans="2:5" x14ac:dyDescent="0.3">
      <c r="B2107" s="274"/>
      <c r="C2107" s="108"/>
      <c r="D2107" s="261"/>
      <c r="E2107" s="261"/>
    </row>
    <row r="2108" spans="2:5" x14ac:dyDescent="0.3">
      <c r="B2108" s="274"/>
      <c r="C2108" s="108"/>
      <c r="D2108" s="261"/>
      <c r="E2108" s="261"/>
    </row>
    <row r="2109" spans="2:5" x14ac:dyDescent="0.3">
      <c r="B2109" s="274"/>
      <c r="C2109" s="108"/>
      <c r="D2109" s="261"/>
      <c r="E2109" s="261"/>
    </row>
    <row r="2110" spans="2:5" x14ac:dyDescent="0.3">
      <c r="B2110" s="274"/>
      <c r="C2110" s="108"/>
      <c r="D2110" s="261"/>
      <c r="E2110" s="261"/>
    </row>
    <row r="2111" spans="2:5" x14ac:dyDescent="0.3">
      <c r="B2111" s="274"/>
      <c r="C2111" s="108"/>
      <c r="D2111" s="261"/>
      <c r="E2111" s="261"/>
    </row>
    <row r="2112" spans="2:5" x14ac:dyDescent="0.3">
      <c r="B2112" s="274"/>
      <c r="C2112" s="108"/>
      <c r="D2112" s="261"/>
      <c r="E2112" s="261"/>
    </row>
    <row r="2113" spans="2:5" x14ac:dyDescent="0.3">
      <c r="B2113" s="274"/>
      <c r="C2113" s="108"/>
      <c r="D2113" s="261"/>
      <c r="E2113" s="261"/>
    </row>
    <row r="2114" spans="2:5" x14ac:dyDescent="0.3">
      <c r="B2114" s="274"/>
      <c r="C2114" s="108"/>
      <c r="D2114" s="261"/>
      <c r="E2114" s="261"/>
    </row>
    <row r="2115" spans="2:5" x14ac:dyDescent="0.3">
      <c r="B2115" s="274"/>
      <c r="C2115" s="108"/>
      <c r="D2115" s="261"/>
      <c r="E2115" s="261"/>
    </row>
    <row r="2116" spans="2:5" x14ac:dyDescent="0.3">
      <c r="B2116" s="274"/>
      <c r="C2116" s="108"/>
      <c r="D2116" s="261"/>
      <c r="E2116" s="261"/>
    </row>
    <row r="2117" spans="2:5" x14ac:dyDescent="0.3">
      <c r="B2117" s="274"/>
      <c r="C2117" s="108"/>
      <c r="D2117" s="261"/>
      <c r="E2117" s="261"/>
    </row>
    <row r="2118" spans="2:5" x14ac:dyDescent="0.3">
      <c r="B2118" s="274"/>
      <c r="C2118" s="108"/>
      <c r="D2118" s="261"/>
      <c r="E2118" s="261"/>
    </row>
    <row r="2119" spans="2:5" x14ac:dyDescent="0.3">
      <c r="B2119" s="274"/>
      <c r="C2119" s="108"/>
      <c r="D2119" s="261"/>
      <c r="E2119" s="261"/>
    </row>
    <row r="2120" spans="2:5" x14ac:dyDescent="0.3">
      <c r="B2120" s="274"/>
      <c r="C2120" s="108"/>
      <c r="D2120" s="261"/>
      <c r="E2120" s="261"/>
    </row>
    <row r="2121" spans="2:5" x14ac:dyDescent="0.3">
      <c r="B2121" s="274"/>
      <c r="C2121" s="108"/>
      <c r="D2121" s="261"/>
      <c r="E2121" s="261"/>
    </row>
    <row r="2122" spans="2:5" x14ac:dyDescent="0.3">
      <c r="B2122" s="274"/>
      <c r="C2122" s="108"/>
      <c r="D2122" s="261"/>
      <c r="E2122" s="261"/>
    </row>
    <row r="2123" spans="2:5" x14ac:dyDescent="0.3">
      <c r="B2123" s="274"/>
      <c r="C2123" s="108"/>
      <c r="D2123" s="261"/>
      <c r="E2123" s="261"/>
    </row>
    <row r="2124" spans="2:5" x14ac:dyDescent="0.3">
      <c r="B2124" s="274"/>
      <c r="C2124" s="108"/>
      <c r="D2124" s="261"/>
      <c r="E2124" s="261"/>
    </row>
    <row r="2125" spans="2:5" x14ac:dyDescent="0.3">
      <c r="B2125" s="274"/>
      <c r="C2125" s="108"/>
      <c r="D2125" s="261"/>
      <c r="E2125" s="261"/>
    </row>
    <row r="2126" spans="2:5" x14ac:dyDescent="0.3">
      <c r="B2126" s="274"/>
      <c r="C2126" s="108"/>
      <c r="D2126" s="261"/>
      <c r="E2126" s="261"/>
    </row>
    <row r="2127" spans="2:5" x14ac:dyDescent="0.3">
      <c r="B2127" s="274"/>
      <c r="C2127" s="108"/>
      <c r="D2127" s="261"/>
      <c r="E2127" s="261"/>
    </row>
    <row r="2128" spans="2:5" x14ac:dyDescent="0.3">
      <c r="B2128" s="274"/>
      <c r="C2128" s="108"/>
      <c r="D2128" s="261"/>
      <c r="E2128" s="261"/>
    </row>
    <row r="2129" spans="2:5" x14ac:dyDescent="0.3">
      <c r="B2129" s="274"/>
      <c r="C2129" s="108"/>
      <c r="D2129" s="261"/>
      <c r="E2129" s="261"/>
    </row>
    <row r="2130" spans="2:5" x14ac:dyDescent="0.3">
      <c r="B2130" s="274"/>
      <c r="C2130" s="108"/>
      <c r="D2130" s="261"/>
      <c r="E2130" s="261"/>
    </row>
    <row r="2131" spans="2:5" x14ac:dyDescent="0.3">
      <c r="B2131" s="274"/>
      <c r="C2131" s="108"/>
      <c r="D2131" s="261"/>
      <c r="E2131" s="261"/>
    </row>
    <row r="2132" spans="2:5" x14ac:dyDescent="0.3">
      <c r="B2132" s="274"/>
      <c r="C2132" s="108"/>
      <c r="D2132" s="261"/>
      <c r="E2132" s="261"/>
    </row>
    <row r="2133" spans="2:5" x14ac:dyDescent="0.3">
      <c r="B2133" s="274"/>
      <c r="C2133" s="108"/>
      <c r="D2133" s="261"/>
      <c r="E2133" s="261"/>
    </row>
    <row r="2134" spans="2:5" x14ac:dyDescent="0.3">
      <c r="B2134" s="274"/>
      <c r="C2134" s="108"/>
      <c r="D2134" s="261"/>
      <c r="E2134" s="261"/>
    </row>
    <row r="2135" spans="2:5" x14ac:dyDescent="0.3">
      <c r="B2135" s="274"/>
      <c r="C2135" s="108"/>
      <c r="D2135" s="261"/>
      <c r="E2135" s="261"/>
    </row>
    <row r="2136" spans="2:5" x14ac:dyDescent="0.3">
      <c r="B2136" s="274"/>
      <c r="C2136" s="108"/>
      <c r="D2136" s="261"/>
      <c r="E2136" s="261"/>
    </row>
    <row r="2137" spans="2:5" x14ac:dyDescent="0.3">
      <c r="B2137" s="274"/>
      <c r="C2137" s="108"/>
      <c r="D2137" s="261"/>
      <c r="E2137" s="261"/>
    </row>
    <row r="2138" spans="2:5" x14ac:dyDescent="0.3">
      <c r="B2138" s="274"/>
      <c r="C2138" s="108"/>
      <c r="D2138" s="261"/>
      <c r="E2138" s="261"/>
    </row>
    <row r="2139" spans="2:5" x14ac:dyDescent="0.3">
      <c r="B2139" s="274"/>
      <c r="C2139" s="108"/>
      <c r="D2139" s="261"/>
      <c r="E2139" s="261"/>
    </row>
    <row r="2140" spans="2:5" x14ac:dyDescent="0.3">
      <c r="B2140" s="274"/>
      <c r="C2140" s="108"/>
      <c r="D2140" s="261"/>
      <c r="E2140" s="261"/>
    </row>
    <row r="2141" spans="2:5" x14ac:dyDescent="0.3">
      <c r="B2141" s="274"/>
      <c r="C2141" s="108"/>
      <c r="D2141" s="261"/>
      <c r="E2141" s="261"/>
    </row>
    <row r="2142" spans="2:5" x14ac:dyDescent="0.3">
      <c r="B2142" s="274"/>
      <c r="C2142" s="108"/>
      <c r="D2142" s="261"/>
      <c r="E2142" s="261"/>
    </row>
    <row r="2143" spans="2:5" x14ac:dyDescent="0.3">
      <c r="B2143" s="274"/>
      <c r="C2143" s="108"/>
      <c r="D2143" s="261"/>
      <c r="E2143" s="261"/>
    </row>
    <row r="2144" spans="2:5" x14ac:dyDescent="0.3">
      <c r="B2144" s="274"/>
      <c r="C2144" s="108"/>
      <c r="D2144" s="261"/>
      <c r="E2144" s="261"/>
    </row>
    <row r="2145" spans="2:5" x14ac:dyDescent="0.3">
      <c r="B2145" s="274"/>
      <c r="C2145" s="108"/>
      <c r="D2145" s="261"/>
      <c r="E2145" s="261"/>
    </row>
    <row r="2146" spans="2:5" x14ac:dyDescent="0.3">
      <c r="B2146" s="274"/>
      <c r="C2146" s="108"/>
      <c r="D2146" s="261"/>
      <c r="E2146" s="261"/>
    </row>
    <row r="2147" spans="2:5" x14ac:dyDescent="0.3">
      <c r="B2147" s="274"/>
      <c r="C2147" s="108"/>
      <c r="D2147" s="261"/>
      <c r="E2147" s="261"/>
    </row>
    <row r="2148" spans="2:5" x14ac:dyDescent="0.3">
      <c r="B2148" s="274"/>
      <c r="C2148" s="108"/>
      <c r="D2148" s="261"/>
      <c r="E2148" s="261"/>
    </row>
    <row r="2149" spans="2:5" x14ac:dyDescent="0.3">
      <c r="B2149" s="274"/>
      <c r="C2149" s="108"/>
      <c r="D2149" s="261"/>
      <c r="E2149" s="261"/>
    </row>
    <row r="2150" spans="2:5" x14ac:dyDescent="0.3">
      <c r="B2150" s="274"/>
      <c r="C2150" s="108"/>
      <c r="D2150" s="261"/>
      <c r="E2150" s="261"/>
    </row>
    <row r="2151" spans="2:5" x14ac:dyDescent="0.3">
      <c r="B2151" s="274"/>
      <c r="C2151" s="108"/>
      <c r="D2151" s="261"/>
      <c r="E2151" s="261"/>
    </row>
    <row r="2152" spans="2:5" x14ac:dyDescent="0.3">
      <c r="B2152" s="274"/>
      <c r="C2152" s="108"/>
      <c r="D2152" s="261"/>
      <c r="E2152" s="261"/>
    </row>
    <row r="2153" spans="2:5" x14ac:dyDescent="0.3">
      <c r="B2153" s="274"/>
      <c r="C2153" s="108"/>
      <c r="D2153" s="261"/>
      <c r="E2153" s="261"/>
    </row>
    <row r="2154" spans="2:5" x14ac:dyDescent="0.3">
      <c r="B2154" s="274"/>
      <c r="C2154" s="108"/>
      <c r="D2154" s="261"/>
      <c r="E2154" s="261"/>
    </row>
    <row r="2155" spans="2:5" x14ac:dyDescent="0.3">
      <c r="B2155" s="274"/>
      <c r="C2155" s="108"/>
      <c r="D2155" s="261"/>
      <c r="E2155" s="261"/>
    </row>
    <row r="2156" spans="2:5" x14ac:dyDescent="0.3">
      <c r="B2156" s="274"/>
      <c r="C2156" s="108"/>
      <c r="D2156" s="261"/>
      <c r="E2156" s="261"/>
    </row>
    <row r="2157" spans="2:5" x14ac:dyDescent="0.3">
      <c r="B2157" s="274"/>
      <c r="C2157" s="108"/>
      <c r="D2157" s="261"/>
      <c r="E2157" s="261"/>
    </row>
    <row r="2158" spans="2:5" x14ac:dyDescent="0.3">
      <c r="B2158" s="274"/>
      <c r="C2158" s="108"/>
      <c r="D2158" s="261"/>
      <c r="E2158" s="261"/>
    </row>
    <row r="2159" spans="2:5" x14ac:dyDescent="0.3">
      <c r="B2159" s="274"/>
      <c r="C2159" s="108"/>
      <c r="D2159" s="261"/>
      <c r="E2159" s="261"/>
    </row>
    <row r="2160" spans="2:5" x14ac:dyDescent="0.3">
      <c r="B2160" s="274"/>
      <c r="C2160" s="108"/>
      <c r="D2160" s="261"/>
      <c r="E2160" s="261"/>
    </row>
    <row r="2161" spans="2:5" x14ac:dyDescent="0.3">
      <c r="B2161" s="274"/>
      <c r="C2161" s="108"/>
      <c r="D2161" s="261"/>
      <c r="E2161" s="261"/>
    </row>
    <row r="2162" spans="2:5" x14ac:dyDescent="0.3">
      <c r="B2162" s="274"/>
      <c r="C2162" s="108"/>
      <c r="D2162" s="261"/>
      <c r="E2162" s="261"/>
    </row>
    <row r="2163" spans="2:5" x14ac:dyDescent="0.3">
      <c r="B2163" s="274"/>
      <c r="C2163" s="108"/>
      <c r="D2163" s="261"/>
      <c r="E2163" s="261"/>
    </row>
    <row r="2164" spans="2:5" x14ac:dyDescent="0.3">
      <c r="B2164" s="274"/>
      <c r="C2164" s="108"/>
      <c r="D2164" s="261"/>
      <c r="E2164" s="261"/>
    </row>
    <row r="2165" spans="2:5" x14ac:dyDescent="0.3">
      <c r="B2165" s="274"/>
      <c r="C2165" s="108"/>
      <c r="D2165" s="261"/>
      <c r="E2165" s="261"/>
    </row>
    <row r="2166" spans="2:5" x14ac:dyDescent="0.3">
      <c r="B2166" s="274"/>
      <c r="C2166" s="108"/>
      <c r="D2166" s="261"/>
      <c r="E2166" s="261"/>
    </row>
    <row r="2167" spans="2:5" x14ac:dyDescent="0.3">
      <c r="B2167" s="274"/>
      <c r="C2167" s="108"/>
      <c r="D2167" s="261"/>
      <c r="E2167" s="261"/>
    </row>
    <row r="2168" spans="2:5" x14ac:dyDescent="0.3">
      <c r="B2168" s="274"/>
      <c r="C2168" s="108"/>
      <c r="D2168" s="261"/>
      <c r="E2168" s="261"/>
    </row>
    <row r="2169" spans="2:5" x14ac:dyDescent="0.3">
      <c r="B2169" s="274"/>
      <c r="C2169" s="108"/>
      <c r="D2169" s="261"/>
      <c r="E2169" s="261"/>
    </row>
    <row r="2170" spans="2:5" x14ac:dyDescent="0.3">
      <c r="B2170" s="274"/>
      <c r="C2170" s="108"/>
      <c r="D2170" s="261"/>
      <c r="E2170" s="261"/>
    </row>
    <row r="2171" spans="2:5" x14ac:dyDescent="0.3">
      <c r="B2171" s="274"/>
      <c r="C2171" s="108"/>
      <c r="D2171" s="261"/>
      <c r="E2171" s="261"/>
    </row>
    <row r="2172" spans="2:5" x14ac:dyDescent="0.3">
      <c r="B2172" s="274"/>
      <c r="C2172" s="108"/>
      <c r="D2172" s="261"/>
      <c r="E2172" s="261"/>
    </row>
    <row r="2173" spans="2:5" x14ac:dyDescent="0.3">
      <c r="B2173" s="274"/>
      <c r="C2173" s="108"/>
      <c r="D2173" s="261"/>
      <c r="E2173" s="261"/>
    </row>
    <row r="2174" spans="2:5" x14ac:dyDescent="0.3">
      <c r="B2174" s="274"/>
      <c r="C2174" s="108"/>
      <c r="D2174" s="261"/>
      <c r="E2174" s="261"/>
    </row>
    <row r="2175" spans="2:5" x14ac:dyDescent="0.3">
      <c r="B2175" s="274"/>
      <c r="C2175" s="108"/>
      <c r="D2175" s="261"/>
      <c r="E2175" s="261"/>
    </row>
    <row r="2176" spans="2:5" x14ac:dyDescent="0.3">
      <c r="B2176" s="274"/>
      <c r="C2176" s="108"/>
      <c r="D2176" s="261"/>
      <c r="E2176" s="261"/>
    </row>
    <row r="2177" spans="2:5" x14ac:dyDescent="0.3">
      <c r="B2177" s="274"/>
      <c r="C2177" s="108"/>
      <c r="D2177" s="261"/>
      <c r="E2177" s="261"/>
    </row>
    <row r="2178" spans="2:5" x14ac:dyDescent="0.3">
      <c r="B2178" s="274"/>
      <c r="C2178" s="108"/>
      <c r="D2178" s="261"/>
      <c r="E2178" s="261"/>
    </row>
    <row r="2179" spans="2:5" x14ac:dyDescent="0.3">
      <c r="B2179" s="274"/>
      <c r="C2179" s="108"/>
      <c r="D2179" s="261"/>
      <c r="E2179" s="261"/>
    </row>
    <row r="2180" spans="2:5" x14ac:dyDescent="0.3">
      <c r="B2180" s="274"/>
      <c r="C2180" s="108"/>
      <c r="D2180" s="261"/>
      <c r="E2180" s="261"/>
    </row>
    <row r="2181" spans="2:5" x14ac:dyDescent="0.3">
      <c r="B2181" s="274"/>
      <c r="C2181" s="108"/>
      <c r="D2181" s="261"/>
      <c r="E2181" s="261"/>
    </row>
    <row r="2182" spans="2:5" x14ac:dyDescent="0.3">
      <c r="B2182" s="274"/>
      <c r="C2182" s="108"/>
      <c r="D2182" s="261"/>
      <c r="E2182" s="261"/>
    </row>
    <row r="2183" spans="2:5" x14ac:dyDescent="0.3">
      <c r="B2183" s="274"/>
      <c r="C2183" s="108"/>
      <c r="D2183" s="261"/>
      <c r="E2183" s="261"/>
    </row>
    <row r="2184" spans="2:5" x14ac:dyDescent="0.3">
      <c r="B2184" s="274"/>
      <c r="C2184" s="108"/>
      <c r="D2184" s="261"/>
      <c r="E2184" s="261"/>
    </row>
    <row r="2185" spans="2:5" x14ac:dyDescent="0.3">
      <c r="B2185" s="274"/>
      <c r="C2185" s="108"/>
      <c r="D2185" s="261"/>
      <c r="E2185" s="261"/>
    </row>
    <row r="2186" spans="2:5" x14ac:dyDescent="0.3">
      <c r="B2186" s="274"/>
      <c r="C2186" s="108"/>
      <c r="D2186" s="261"/>
      <c r="E2186" s="261"/>
    </row>
    <row r="2187" spans="2:5" x14ac:dyDescent="0.3">
      <c r="B2187" s="274"/>
      <c r="C2187" s="108"/>
      <c r="D2187" s="261"/>
      <c r="E2187" s="261"/>
    </row>
    <row r="2188" spans="2:5" x14ac:dyDescent="0.3">
      <c r="B2188" s="274"/>
      <c r="C2188" s="108"/>
      <c r="D2188" s="261"/>
      <c r="E2188" s="261"/>
    </row>
    <row r="2189" spans="2:5" x14ac:dyDescent="0.3">
      <c r="B2189" s="274"/>
      <c r="C2189" s="108"/>
      <c r="D2189" s="261"/>
      <c r="E2189" s="261"/>
    </row>
    <row r="2190" spans="2:5" x14ac:dyDescent="0.3">
      <c r="B2190" s="274"/>
      <c r="C2190" s="108"/>
      <c r="D2190" s="261"/>
      <c r="E2190" s="261"/>
    </row>
    <row r="2191" spans="2:5" x14ac:dyDescent="0.3">
      <c r="B2191" s="274"/>
      <c r="C2191" s="108"/>
      <c r="D2191" s="261"/>
      <c r="E2191" s="261"/>
    </row>
    <row r="2192" spans="2:5" x14ac:dyDescent="0.3">
      <c r="B2192" s="274"/>
      <c r="C2192" s="108"/>
      <c r="D2192" s="261"/>
      <c r="E2192" s="261"/>
    </row>
    <row r="2193" spans="2:5" x14ac:dyDescent="0.3">
      <c r="B2193" s="274"/>
      <c r="C2193" s="108"/>
      <c r="D2193" s="261"/>
      <c r="E2193" s="261"/>
    </row>
    <row r="2194" spans="2:5" x14ac:dyDescent="0.3">
      <c r="B2194" s="274"/>
      <c r="C2194" s="108"/>
      <c r="D2194" s="261"/>
      <c r="E2194" s="261"/>
    </row>
    <row r="2195" spans="2:5" x14ac:dyDescent="0.3">
      <c r="B2195" s="274"/>
      <c r="C2195" s="108"/>
      <c r="D2195" s="261"/>
      <c r="E2195" s="261"/>
    </row>
    <row r="2196" spans="2:5" x14ac:dyDescent="0.3">
      <c r="B2196" s="274"/>
      <c r="C2196" s="108"/>
      <c r="D2196" s="261"/>
      <c r="E2196" s="261"/>
    </row>
    <row r="2197" spans="2:5" x14ac:dyDescent="0.3">
      <c r="B2197" s="274"/>
      <c r="C2197" s="108"/>
      <c r="D2197" s="261"/>
      <c r="E2197" s="261"/>
    </row>
    <row r="2198" spans="2:5" x14ac:dyDescent="0.3">
      <c r="B2198" s="274"/>
      <c r="C2198" s="108"/>
      <c r="D2198" s="261"/>
      <c r="E2198" s="261"/>
    </row>
    <row r="2199" spans="2:5" x14ac:dyDescent="0.3">
      <c r="B2199" s="274"/>
      <c r="C2199" s="108"/>
      <c r="D2199" s="261"/>
      <c r="E2199" s="261"/>
    </row>
    <row r="2200" spans="2:5" x14ac:dyDescent="0.3">
      <c r="B2200" s="274"/>
      <c r="C2200" s="108"/>
      <c r="D2200" s="261"/>
      <c r="E2200" s="261"/>
    </row>
    <row r="2201" spans="2:5" x14ac:dyDescent="0.3">
      <c r="B2201" s="274"/>
      <c r="C2201" s="108"/>
      <c r="D2201" s="261"/>
      <c r="E2201" s="261"/>
    </row>
    <row r="2202" spans="2:5" x14ac:dyDescent="0.3">
      <c r="B2202" s="274"/>
      <c r="C2202" s="108"/>
      <c r="D2202" s="261"/>
      <c r="E2202" s="261"/>
    </row>
    <row r="2203" spans="2:5" x14ac:dyDescent="0.3">
      <c r="B2203" s="274"/>
      <c r="C2203" s="108"/>
      <c r="D2203" s="261"/>
      <c r="E2203" s="261"/>
    </row>
    <row r="2204" spans="2:5" x14ac:dyDescent="0.3">
      <c r="B2204" s="274"/>
      <c r="C2204" s="108"/>
      <c r="D2204" s="261"/>
      <c r="E2204" s="261"/>
    </row>
    <row r="2205" spans="2:5" x14ac:dyDescent="0.3">
      <c r="B2205" s="274"/>
      <c r="C2205" s="108"/>
      <c r="D2205" s="261"/>
      <c r="E2205" s="261"/>
    </row>
    <row r="2206" spans="2:5" x14ac:dyDescent="0.3">
      <c r="B2206" s="274"/>
      <c r="C2206" s="108"/>
      <c r="D2206" s="261"/>
      <c r="E2206" s="261"/>
    </row>
    <row r="2207" spans="2:5" x14ac:dyDescent="0.3">
      <c r="B2207" s="274"/>
      <c r="C2207" s="108"/>
      <c r="D2207" s="261"/>
      <c r="E2207" s="261"/>
    </row>
    <row r="2208" spans="2:5" x14ac:dyDescent="0.3">
      <c r="B2208" s="274"/>
      <c r="C2208" s="108"/>
      <c r="D2208" s="261"/>
      <c r="E2208" s="261"/>
    </row>
    <row r="2209" spans="2:5" x14ac:dyDescent="0.3">
      <c r="B2209" s="274"/>
      <c r="C2209" s="108"/>
      <c r="D2209" s="261"/>
      <c r="E2209" s="261"/>
    </row>
    <row r="2210" spans="2:5" x14ac:dyDescent="0.3">
      <c r="B2210" s="274"/>
      <c r="C2210" s="108"/>
      <c r="D2210" s="261"/>
      <c r="E2210" s="261"/>
    </row>
    <row r="2211" spans="2:5" x14ac:dyDescent="0.3">
      <c r="B2211" s="274"/>
      <c r="C2211" s="108"/>
      <c r="D2211" s="261"/>
      <c r="E2211" s="261"/>
    </row>
    <row r="2212" spans="2:5" x14ac:dyDescent="0.3">
      <c r="B2212" s="274"/>
      <c r="C2212" s="108"/>
      <c r="D2212" s="261"/>
      <c r="E2212" s="261"/>
    </row>
    <row r="2213" spans="2:5" x14ac:dyDescent="0.3">
      <c r="B2213" s="274"/>
      <c r="C2213" s="108"/>
      <c r="D2213" s="261"/>
      <c r="E2213" s="261"/>
    </row>
    <row r="2214" spans="2:5" x14ac:dyDescent="0.3">
      <c r="B2214" s="274"/>
      <c r="C2214" s="108"/>
      <c r="D2214" s="261"/>
      <c r="E2214" s="261"/>
    </row>
    <row r="2215" spans="2:5" x14ac:dyDescent="0.3">
      <c r="B2215" s="274"/>
      <c r="C2215" s="108"/>
      <c r="D2215" s="261"/>
      <c r="E2215" s="261"/>
    </row>
    <row r="2216" spans="2:5" x14ac:dyDescent="0.3">
      <c r="B2216" s="274"/>
      <c r="C2216" s="108"/>
      <c r="D2216" s="261"/>
      <c r="E2216" s="261"/>
    </row>
    <row r="2217" spans="2:5" x14ac:dyDescent="0.3">
      <c r="B2217" s="274"/>
      <c r="C2217" s="108"/>
      <c r="D2217" s="261"/>
      <c r="E2217" s="261"/>
    </row>
    <row r="2218" spans="2:5" x14ac:dyDescent="0.3">
      <c r="B2218" s="274"/>
      <c r="C2218" s="108"/>
      <c r="D2218" s="261"/>
      <c r="E2218" s="261"/>
    </row>
    <row r="2219" spans="2:5" x14ac:dyDescent="0.3">
      <c r="B2219" s="274"/>
      <c r="C2219" s="108"/>
      <c r="D2219" s="261"/>
      <c r="E2219" s="261"/>
    </row>
    <row r="2220" spans="2:5" x14ac:dyDescent="0.3">
      <c r="B2220" s="274"/>
      <c r="C2220" s="108"/>
      <c r="D2220" s="261"/>
      <c r="E2220" s="261"/>
    </row>
    <row r="2221" spans="2:5" x14ac:dyDescent="0.3">
      <c r="B2221" s="274"/>
      <c r="C2221" s="108"/>
      <c r="D2221" s="261"/>
      <c r="E2221" s="261"/>
    </row>
    <row r="2222" spans="2:5" x14ac:dyDescent="0.3">
      <c r="B2222" s="274"/>
      <c r="C2222" s="108"/>
      <c r="D2222" s="261"/>
      <c r="E2222" s="261"/>
    </row>
    <row r="2223" spans="2:5" x14ac:dyDescent="0.3">
      <c r="B2223" s="274"/>
      <c r="C2223" s="108"/>
      <c r="D2223" s="261"/>
      <c r="E2223" s="261"/>
    </row>
    <row r="2224" spans="2:5" x14ac:dyDescent="0.3">
      <c r="B2224" s="274"/>
      <c r="C2224" s="108"/>
      <c r="D2224" s="261"/>
      <c r="E2224" s="261"/>
    </row>
    <row r="2225" spans="2:5" x14ac:dyDescent="0.3">
      <c r="B2225" s="274"/>
      <c r="C2225" s="108"/>
      <c r="D2225" s="261"/>
      <c r="E2225" s="261"/>
    </row>
    <row r="2226" spans="2:5" x14ac:dyDescent="0.3">
      <c r="B2226" s="274"/>
      <c r="C2226" s="108"/>
      <c r="D2226" s="261"/>
      <c r="E2226" s="261"/>
    </row>
    <row r="2227" spans="2:5" x14ac:dyDescent="0.3">
      <c r="B2227" s="274"/>
      <c r="C2227" s="108"/>
      <c r="D2227" s="261"/>
      <c r="E2227" s="261"/>
    </row>
    <row r="2228" spans="2:5" x14ac:dyDescent="0.3">
      <c r="B2228" s="274"/>
      <c r="C2228" s="108"/>
      <c r="D2228" s="261"/>
      <c r="E2228" s="261"/>
    </row>
    <row r="2229" spans="2:5" x14ac:dyDescent="0.3">
      <c r="B2229" s="274"/>
      <c r="C2229" s="108"/>
      <c r="D2229" s="261"/>
      <c r="E2229" s="261"/>
    </row>
    <row r="2230" spans="2:5" x14ac:dyDescent="0.3">
      <c r="B2230" s="274"/>
      <c r="C2230" s="108"/>
      <c r="D2230" s="261"/>
      <c r="E2230" s="261"/>
    </row>
    <row r="2231" spans="2:5" x14ac:dyDescent="0.3">
      <c r="B2231" s="274"/>
      <c r="C2231" s="108"/>
      <c r="D2231" s="261"/>
      <c r="E2231" s="261"/>
    </row>
    <row r="2232" spans="2:5" x14ac:dyDescent="0.3">
      <c r="B2232" s="274"/>
      <c r="C2232" s="108"/>
      <c r="D2232" s="261"/>
      <c r="E2232" s="261"/>
    </row>
    <row r="2233" spans="2:5" x14ac:dyDescent="0.3">
      <c r="B2233" s="274"/>
      <c r="C2233" s="108"/>
      <c r="D2233" s="261"/>
      <c r="E2233" s="261"/>
    </row>
    <row r="2234" spans="2:5" x14ac:dyDescent="0.3">
      <c r="B2234" s="274"/>
      <c r="C2234" s="108"/>
      <c r="D2234" s="261"/>
      <c r="E2234" s="261"/>
    </row>
    <row r="2235" spans="2:5" x14ac:dyDescent="0.3">
      <c r="B2235" s="274"/>
      <c r="C2235" s="108"/>
      <c r="D2235" s="261"/>
      <c r="E2235" s="261"/>
    </row>
    <row r="2236" spans="2:5" x14ac:dyDescent="0.3">
      <c r="B2236" s="274"/>
      <c r="C2236" s="108"/>
      <c r="D2236" s="261"/>
      <c r="E2236" s="261"/>
    </row>
    <row r="2237" spans="2:5" x14ac:dyDescent="0.3">
      <c r="B2237" s="274"/>
      <c r="C2237" s="108"/>
      <c r="D2237" s="261"/>
      <c r="E2237" s="261"/>
    </row>
    <row r="2238" spans="2:5" x14ac:dyDescent="0.3">
      <c r="B2238" s="274"/>
      <c r="C2238" s="108"/>
      <c r="D2238" s="261"/>
      <c r="E2238" s="261"/>
    </row>
    <row r="2239" spans="2:5" x14ac:dyDescent="0.3">
      <c r="B2239" s="274"/>
      <c r="C2239" s="108"/>
      <c r="D2239" s="261"/>
      <c r="E2239" s="261"/>
    </row>
    <row r="2240" spans="2:5" x14ac:dyDescent="0.3">
      <c r="B2240" s="274"/>
      <c r="C2240" s="108"/>
      <c r="D2240" s="261"/>
      <c r="E2240" s="261"/>
    </row>
    <row r="2241" spans="2:5" x14ac:dyDescent="0.3">
      <c r="B2241" s="274"/>
      <c r="C2241" s="108"/>
      <c r="D2241" s="261"/>
      <c r="E2241" s="261"/>
    </row>
    <row r="2242" spans="2:5" x14ac:dyDescent="0.3">
      <c r="B2242" s="274"/>
      <c r="C2242" s="108"/>
      <c r="D2242" s="261"/>
      <c r="E2242" s="261"/>
    </row>
    <row r="2243" spans="2:5" x14ac:dyDescent="0.3">
      <c r="B2243" s="274"/>
      <c r="C2243" s="108"/>
      <c r="D2243" s="261"/>
      <c r="E2243" s="261"/>
    </row>
    <row r="2244" spans="2:5" x14ac:dyDescent="0.3">
      <c r="B2244" s="274"/>
      <c r="C2244" s="108"/>
      <c r="D2244" s="261"/>
      <c r="E2244" s="261"/>
    </row>
    <row r="2245" spans="2:5" x14ac:dyDescent="0.3">
      <c r="B2245" s="274"/>
      <c r="C2245" s="108"/>
      <c r="D2245" s="261"/>
      <c r="E2245" s="261"/>
    </row>
    <row r="2246" spans="2:5" x14ac:dyDescent="0.3">
      <c r="B2246" s="274"/>
      <c r="C2246" s="108"/>
      <c r="D2246" s="261"/>
      <c r="E2246" s="261"/>
    </row>
    <row r="2247" spans="2:5" x14ac:dyDescent="0.3">
      <c r="B2247" s="274"/>
      <c r="C2247" s="108"/>
      <c r="D2247" s="261"/>
      <c r="E2247" s="261"/>
    </row>
    <row r="2248" spans="2:5" x14ac:dyDescent="0.3">
      <c r="B2248" s="274"/>
      <c r="C2248" s="108"/>
      <c r="D2248" s="261"/>
      <c r="E2248" s="261"/>
    </row>
    <row r="2249" spans="2:5" x14ac:dyDescent="0.3">
      <c r="B2249" s="274"/>
      <c r="C2249" s="108"/>
      <c r="D2249" s="261"/>
      <c r="E2249" s="261"/>
    </row>
    <row r="2250" spans="2:5" x14ac:dyDescent="0.3">
      <c r="B2250" s="274"/>
      <c r="C2250" s="108"/>
      <c r="D2250" s="261"/>
      <c r="E2250" s="261"/>
    </row>
    <row r="2251" spans="2:5" x14ac:dyDescent="0.3">
      <c r="B2251" s="274"/>
      <c r="C2251" s="108"/>
      <c r="D2251" s="261"/>
      <c r="E2251" s="261"/>
    </row>
    <row r="2252" spans="2:5" x14ac:dyDescent="0.3">
      <c r="B2252" s="274"/>
      <c r="C2252" s="108"/>
      <c r="D2252" s="261"/>
      <c r="E2252" s="261"/>
    </row>
    <row r="2253" spans="2:5" x14ac:dyDescent="0.3">
      <c r="B2253" s="274"/>
      <c r="C2253" s="108"/>
      <c r="D2253" s="261"/>
      <c r="E2253" s="261"/>
    </row>
    <row r="2254" spans="2:5" x14ac:dyDescent="0.3">
      <c r="B2254" s="274"/>
      <c r="C2254" s="108"/>
      <c r="D2254" s="261"/>
      <c r="E2254" s="261"/>
    </row>
    <row r="2255" spans="2:5" x14ac:dyDescent="0.3">
      <c r="B2255" s="274"/>
      <c r="C2255" s="108"/>
      <c r="D2255" s="261"/>
      <c r="E2255" s="261"/>
    </row>
    <row r="2256" spans="2:5" x14ac:dyDescent="0.3">
      <c r="B2256" s="274"/>
      <c r="C2256" s="108"/>
      <c r="D2256" s="261"/>
      <c r="E2256" s="261"/>
    </row>
    <row r="2257" spans="2:5" x14ac:dyDescent="0.3">
      <c r="B2257" s="274"/>
      <c r="C2257" s="108"/>
      <c r="D2257" s="261"/>
      <c r="E2257" s="261"/>
    </row>
    <row r="2258" spans="2:5" x14ac:dyDescent="0.3">
      <c r="B2258" s="274"/>
      <c r="C2258" s="108"/>
      <c r="D2258" s="261"/>
      <c r="E2258" s="261"/>
    </row>
    <row r="2259" spans="2:5" x14ac:dyDescent="0.3">
      <c r="B2259" s="274"/>
      <c r="C2259" s="108"/>
      <c r="D2259" s="261"/>
      <c r="E2259" s="261"/>
    </row>
    <row r="2260" spans="2:5" x14ac:dyDescent="0.3">
      <c r="B2260" s="274"/>
      <c r="C2260" s="108"/>
      <c r="D2260" s="261"/>
      <c r="E2260" s="261"/>
    </row>
    <row r="2261" spans="2:5" x14ac:dyDescent="0.3">
      <c r="B2261" s="274"/>
      <c r="C2261" s="108"/>
      <c r="D2261" s="261"/>
      <c r="E2261" s="261"/>
    </row>
    <row r="2262" spans="2:5" x14ac:dyDescent="0.3">
      <c r="B2262" s="274"/>
      <c r="C2262" s="108"/>
      <c r="D2262" s="261"/>
      <c r="E2262" s="261"/>
    </row>
    <row r="2263" spans="2:5" x14ac:dyDescent="0.3">
      <c r="B2263" s="274"/>
      <c r="C2263" s="108"/>
      <c r="D2263" s="261"/>
      <c r="E2263" s="261"/>
    </row>
    <row r="2264" spans="2:5" x14ac:dyDescent="0.3">
      <c r="B2264" s="274"/>
      <c r="C2264" s="108"/>
      <c r="D2264" s="261"/>
      <c r="E2264" s="261"/>
    </row>
    <row r="2265" spans="2:5" x14ac:dyDescent="0.3">
      <c r="B2265" s="274"/>
      <c r="C2265" s="108"/>
      <c r="D2265" s="261"/>
      <c r="E2265" s="261"/>
    </row>
    <row r="2266" spans="2:5" x14ac:dyDescent="0.3">
      <c r="B2266" s="274"/>
      <c r="C2266" s="108"/>
      <c r="D2266" s="261"/>
      <c r="E2266" s="261"/>
    </row>
    <row r="2267" spans="2:5" x14ac:dyDescent="0.3">
      <c r="B2267" s="274"/>
      <c r="C2267" s="108"/>
      <c r="D2267" s="261"/>
      <c r="E2267" s="261"/>
    </row>
    <row r="2268" spans="2:5" x14ac:dyDescent="0.3">
      <c r="B2268" s="274"/>
      <c r="C2268" s="108"/>
      <c r="D2268" s="261"/>
      <c r="E2268" s="261"/>
    </row>
    <row r="2269" spans="2:5" x14ac:dyDescent="0.3">
      <c r="B2269" s="274"/>
      <c r="C2269" s="108"/>
      <c r="D2269" s="261"/>
      <c r="E2269" s="261"/>
    </row>
    <row r="2270" spans="2:5" x14ac:dyDescent="0.3">
      <c r="B2270" s="274"/>
      <c r="C2270" s="108"/>
      <c r="D2270" s="261"/>
      <c r="E2270" s="261"/>
    </row>
    <row r="2271" spans="2:5" x14ac:dyDescent="0.3">
      <c r="B2271" s="274"/>
      <c r="C2271" s="108"/>
      <c r="D2271" s="261"/>
      <c r="E2271" s="261"/>
    </row>
    <row r="2272" spans="2:5" x14ac:dyDescent="0.3">
      <c r="B2272" s="274"/>
      <c r="C2272" s="108"/>
      <c r="D2272" s="261"/>
      <c r="E2272" s="261"/>
    </row>
    <row r="2273" spans="2:5" x14ac:dyDescent="0.3">
      <c r="B2273" s="274"/>
      <c r="C2273" s="108"/>
      <c r="D2273" s="261"/>
      <c r="E2273" s="261"/>
    </row>
    <row r="2274" spans="2:5" x14ac:dyDescent="0.3">
      <c r="B2274" s="274"/>
      <c r="C2274" s="108"/>
      <c r="D2274" s="261"/>
      <c r="E2274" s="261"/>
    </row>
    <row r="2275" spans="2:5" x14ac:dyDescent="0.3">
      <c r="B2275" s="274"/>
      <c r="C2275" s="108"/>
      <c r="D2275" s="261"/>
      <c r="E2275" s="261"/>
    </row>
    <row r="2276" spans="2:5" x14ac:dyDescent="0.3">
      <c r="B2276" s="274"/>
      <c r="C2276" s="108"/>
      <c r="D2276" s="261"/>
      <c r="E2276" s="261"/>
    </row>
    <row r="2277" spans="2:5" x14ac:dyDescent="0.3">
      <c r="B2277" s="274"/>
      <c r="C2277" s="108"/>
      <c r="D2277" s="261"/>
      <c r="E2277" s="261"/>
    </row>
    <row r="2278" spans="2:5" x14ac:dyDescent="0.3">
      <c r="B2278" s="274"/>
      <c r="C2278" s="108"/>
      <c r="D2278" s="261"/>
      <c r="E2278" s="261"/>
    </row>
    <row r="2279" spans="2:5" x14ac:dyDescent="0.3">
      <c r="B2279" s="274"/>
      <c r="C2279" s="108"/>
      <c r="D2279" s="261"/>
      <c r="E2279" s="261"/>
    </row>
    <row r="2280" spans="2:5" x14ac:dyDescent="0.3">
      <c r="B2280" s="274"/>
      <c r="C2280" s="108"/>
      <c r="D2280" s="261"/>
      <c r="E2280" s="261"/>
    </row>
    <row r="2281" spans="2:5" x14ac:dyDescent="0.3">
      <c r="B2281" s="274"/>
      <c r="C2281" s="108"/>
      <c r="D2281" s="261"/>
      <c r="E2281" s="261"/>
    </row>
    <row r="2282" spans="2:5" x14ac:dyDescent="0.3">
      <c r="B2282" s="274"/>
      <c r="C2282" s="108"/>
      <c r="D2282" s="261"/>
      <c r="E2282" s="261"/>
    </row>
    <row r="2283" spans="2:5" x14ac:dyDescent="0.3">
      <c r="B2283" s="274"/>
      <c r="C2283" s="108"/>
      <c r="D2283" s="261"/>
      <c r="E2283" s="261"/>
    </row>
    <row r="2284" spans="2:5" x14ac:dyDescent="0.3">
      <c r="B2284" s="274"/>
      <c r="C2284" s="108"/>
      <c r="D2284" s="261"/>
      <c r="E2284" s="261"/>
    </row>
    <row r="2285" spans="2:5" x14ac:dyDescent="0.3">
      <c r="B2285" s="274"/>
      <c r="C2285" s="108"/>
      <c r="D2285" s="261"/>
      <c r="E2285" s="261"/>
    </row>
    <row r="2286" spans="2:5" x14ac:dyDescent="0.3">
      <c r="B2286" s="274"/>
      <c r="C2286" s="108"/>
      <c r="D2286" s="261"/>
      <c r="E2286" s="261"/>
    </row>
    <row r="2287" spans="2:5" x14ac:dyDescent="0.3">
      <c r="B2287" s="274"/>
      <c r="C2287" s="108"/>
      <c r="D2287" s="261"/>
      <c r="E2287" s="261"/>
    </row>
    <row r="2288" spans="2:5" x14ac:dyDescent="0.3">
      <c r="B2288" s="274"/>
      <c r="C2288" s="108"/>
      <c r="D2288" s="261"/>
      <c r="E2288" s="261"/>
    </row>
    <row r="2289" spans="2:5" x14ac:dyDescent="0.3">
      <c r="B2289" s="274"/>
      <c r="C2289" s="108"/>
      <c r="D2289" s="261"/>
      <c r="E2289" s="261"/>
    </row>
    <row r="2290" spans="2:5" x14ac:dyDescent="0.3">
      <c r="B2290" s="274"/>
      <c r="C2290" s="108"/>
      <c r="D2290" s="261"/>
      <c r="E2290" s="261"/>
    </row>
    <row r="2291" spans="2:5" x14ac:dyDescent="0.3">
      <c r="B2291" s="274"/>
      <c r="C2291" s="108"/>
      <c r="D2291" s="261"/>
      <c r="E2291" s="261"/>
    </row>
    <row r="2292" spans="2:5" x14ac:dyDescent="0.3">
      <c r="B2292" s="274"/>
      <c r="C2292" s="108"/>
      <c r="D2292" s="261"/>
      <c r="E2292" s="261"/>
    </row>
    <row r="2293" spans="2:5" x14ac:dyDescent="0.3">
      <c r="B2293" s="274"/>
      <c r="C2293" s="108"/>
      <c r="D2293" s="261"/>
      <c r="E2293" s="261"/>
    </row>
    <row r="2294" spans="2:5" x14ac:dyDescent="0.3">
      <c r="B2294" s="274"/>
      <c r="C2294" s="108"/>
      <c r="D2294" s="261"/>
      <c r="E2294" s="261"/>
    </row>
    <row r="2295" spans="2:5" x14ac:dyDescent="0.3">
      <c r="B2295" s="274"/>
      <c r="C2295" s="108"/>
      <c r="D2295" s="261"/>
      <c r="E2295" s="261"/>
    </row>
    <row r="2296" spans="2:5" x14ac:dyDescent="0.3">
      <c r="B2296" s="274"/>
      <c r="C2296" s="108"/>
      <c r="D2296" s="261"/>
      <c r="E2296" s="261"/>
    </row>
    <row r="2297" spans="2:5" x14ac:dyDescent="0.3">
      <c r="B2297" s="274"/>
      <c r="C2297" s="108"/>
      <c r="D2297" s="261"/>
      <c r="E2297" s="261"/>
    </row>
    <row r="2298" spans="2:5" x14ac:dyDescent="0.3">
      <c r="B2298" s="274"/>
      <c r="C2298" s="108"/>
      <c r="D2298" s="261"/>
      <c r="E2298" s="261"/>
    </row>
    <row r="2299" spans="2:5" x14ac:dyDescent="0.3">
      <c r="B2299" s="274"/>
      <c r="C2299" s="108"/>
      <c r="D2299" s="261"/>
      <c r="E2299" s="261"/>
    </row>
    <row r="2300" spans="2:5" x14ac:dyDescent="0.3">
      <c r="B2300" s="274"/>
      <c r="C2300" s="108"/>
      <c r="D2300" s="261"/>
      <c r="E2300" s="261"/>
    </row>
    <row r="2301" spans="2:5" x14ac:dyDescent="0.3">
      <c r="B2301" s="274"/>
      <c r="C2301" s="108"/>
      <c r="D2301" s="261"/>
      <c r="E2301" s="261"/>
    </row>
    <row r="2302" spans="2:5" x14ac:dyDescent="0.3">
      <c r="B2302" s="274"/>
      <c r="C2302" s="108"/>
      <c r="D2302" s="261"/>
      <c r="E2302" s="261"/>
    </row>
    <row r="2303" spans="2:5" x14ac:dyDescent="0.3">
      <c r="B2303" s="274"/>
      <c r="C2303" s="108"/>
      <c r="D2303" s="261"/>
      <c r="E2303" s="261"/>
    </row>
    <row r="2304" spans="2:5" x14ac:dyDescent="0.3">
      <c r="B2304" s="274"/>
      <c r="C2304" s="108"/>
      <c r="D2304" s="261"/>
      <c r="E2304" s="261"/>
    </row>
    <row r="2305" spans="2:5" x14ac:dyDescent="0.3">
      <c r="B2305" s="274"/>
      <c r="C2305" s="108"/>
      <c r="D2305" s="261"/>
      <c r="E2305" s="261"/>
    </row>
    <row r="2306" spans="2:5" x14ac:dyDescent="0.3">
      <c r="B2306" s="274"/>
      <c r="C2306" s="108"/>
      <c r="D2306" s="261"/>
      <c r="E2306" s="261"/>
    </row>
    <row r="2307" spans="2:5" x14ac:dyDescent="0.3">
      <c r="B2307" s="274"/>
      <c r="C2307" s="108"/>
      <c r="D2307" s="261"/>
      <c r="E2307" s="261"/>
    </row>
    <row r="2308" spans="2:5" x14ac:dyDescent="0.3">
      <c r="B2308" s="274"/>
      <c r="C2308" s="108"/>
      <c r="D2308" s="261"/>
      <c r="E2308" s="261"/>
    </row>
    <row r="2309" spans="2:5" x14ac:dyDescent="0.3">
      <c r="B2309" s="274"/>
      <c r="C2309" s="108"/>
      <c r="D2309" s="261"/>
      <c r="E2309" s="261"/>
    </row>
    <row r="2310" spans="2:5" x14ac:dyDescent="0.3">
      <c r="B2310" s="274"/>
      <c r="C2310" s="108"/>
      <c r="D2310" s="261"/>
      <c r="E2310" s="261"/>
    </row>
    <row r="2311" spans="2:5" x14ac:dyDescent="0.3">
      <c r="B2311" s="274"/>
      <c r="C2311" s="108"/>
      <c r="D2311" s="261"/>
      <c r="E2311" s="261"/>
    </row>
    <row r="2312" spans="2:5" x14ac:dyDescent="0.3">
      <c r="B2312" s="274"/>
      <c r="C2312" s="108"/>
      <c r="D2312" s="261"/>
      <c r="E2312" s="261"/>
    </row>
    <row r="2313" spans="2:5" x14ac:dyDescent="0.3">
      <c r="B2313" s="274"/>
      <c r="C2313" s="108"/>
      <c r="D2313" s="261"/>
      <c r="E2313" s="261"/>
    </row>
    <row r="2314" spans="2:5" x14ac:dyDescent="0.3">
      <c r="B2314" s="274"/>
      <c r="C2314" s="108"/>
      <c r="D2314" s="261"/>
      <c r="E2314" s="261"/>
    </row>
    <row r="2315" spans="2:5" x14ac:dyDescent="0.3">
      <c r="B2315" s="274"/>
      <c r="C2315" s="108"/>
      <c r="D2315" s="261"/>
      <c r="E2315" s="261"/>
    </row>
    <row r="2316" spans="2:5" x14ac:dyDescent="0.3">
      <c r="B2316" s="274"/>
      <c r="C2316" s="108"/>
      <c r="D2316" s="261"/>
      <c r="E2316" s="261"/>
    </row>
    <row r="2317" spans="2:5" x14ac:dyDescent="0.3">
      <c r="B2317" s="274"/>
      <c r="C2317" s="108"/>
      <c r="D2317" s="261"/>
      <c r="E2317" s="261"/>
    </row>
    <row r="2318" spans="2:5" x14ac:dyDescent="0.3">
      <c r="B2318" s="274"/>
      <c r="C2318" s="108"/>
      <c r="D2318" s="261"/>
      <c r="E2318" s="261"/>
    </row>
    <row r="2319" spans="2:5" x14ac:dyDescent="0.3">
      <c r="B2319" s="274"/>
      <c r="C2319" s="108"/>
      <c r="D2319" s="261"/>
      <c r="E2319" s="261"/>
    </row>
    <row r="2320" spans="2:5" x14ac:dyDescent="0.3">
      <c r="B2320" s="274"/>
      <c r="C2320" s="108"/>
      <c r="D2320" s="261"/>
      <c r="E2320" s="261"/>
    </row>
    <row r="2321" spans="2:5" x14ac:dyDescent="0.3">
      <c r="B2321" s="274"/>
      <c r="C2321" s="108"/>
      <c r="D2321" s="261"/>
      <c r="E2321" s="261"/>
    </row>
    <row r="2322" spans="2:5" x14ac:dyDescent="0.3">
      <c r="B2322" s="274"/>
      <c r="C2322" s="108"/>
      <c r="D2322" s="261"/>
      <c r="E2322" s="261"/>
    </row>
    <row r="2323" spans="2:5" x14ac:dyDescent="0.3">
      <c r="B2323" s="274"/>
      <c r="C2323" s="108"/>
      <c r="D2323" s="261"/>
      <c r="E2323" s="261"/>
    </row>
    <row r="2324" spans="2:5" x14ac:dyDescent="0.3">
      <c r="B2324" s="274"/>
      <c r="C2324" s="108"/>
      <c r="D2324" s="261"/>
      <c r="E2324" s="261"/>
    </row>
    <row r="2325" spans="2:5" x14ac:dyDescent="0.3">
      <c r="B2325" s="274"/>
      <c r="C2325" s="108"/>
      <c r="D2325" s="261"/>
      <c r="E2325" s="261"/>
    </row>
    <row r="2326" spans="2:5" x14ac:dyDescent="0.3">
      <c r="B2326" s="274"/>
      <c r="C2326" s="108"/>
      <c r="D2326" s="261"/>
      <c r="E2326" s="261"/>
    </row>
    <row r="2327" spans="2:5" x14ac:dyDescent="0.3">
      <c r="B2327" s="274"/>
      <c r="C2327" s="108"/>
      <c r="D2327" s="261"/>
      <c r="E2327" s="261"/>
    </row>
    <row r="2328" spans="2:5" x14ac:dyDescent="0.3">
      <c r="B2328" s="274"/>
      <c r="C2328" s="108"/>
      <c r="D2328" s="261"/>
      <c r="E2328" s="261"/>
    </row>
    <row r="2329" spans="2:5" x14ac:dyDescent="0.3">
      <c r="B2329" s="274"/>
      <c r="C2329" s="108"/>
      <c r="D2329" s="261"/>
      <c r="E2329" s="261"/>
    </row>
    <row r="2330" spans="2:5" x14ac:dyDescent="0.3">
      <c r="B2330" s="274"/>
      <c r="C2330" s="108"/>
      <c r="D2330" s="261"/>
      <c r="E2330" s="261"/>
    </row>
    <row r="2331" spans="2:5" x14ac:dyDescent="0.3">
      <c r="B2331" s="274"/>
      <c r="C2331" s="108"/>
      <c r="D2331" s="261"/>
      <c r="E2331" s="261"/>
    </row>
    <row r="2332" spans="2:5" x14ac:dyDescent="0.3">
      <c r="B2332" s="274"/>
      <c r="C2332" s="108"/>
      <c r="D2332" s="261"/>
      <c r="E2332" s="261"/>
    </row>
    <row r="2333" spans="2:5" x14ac:dyDescent="0.3">
      <c r="B2333" s="274"/>
      <c r="C2333" s="108"/>
      <c r="D2333" s="261"/>
      <c r="E2333" s="261"/>
    </row>
    <row r="2334" spans="2:5" x14ac:dyDescent="0.3">
      <c r="B2334" s="274"/>
      <c r="C2334" s="108"/>
      <c r="D2334" s="261"/>
      <c r="E2334" s="261"/>
    </row>
    <row r="2335" spans="2:5" x14ac:dyDescent="0.3">
      <c r="B2335" s="274"/>
      <c r="C2335" s="108"/>
      <c r="D2335" s="261"/>
      <c r="E2335" s="261"/>
    </row>
    <row r="2336" spans="2:5" x14ac:dyDescent="0.3">
      <c r="B2336" s="274"/>
      <c r="C2336" s="108"/>
      <c r="D2336" s="261"/>
      <c r="E2336" s="261"/>
    </row>
    <row r="2337" spans="2:5" x14ac:dyDescent="0.3">
      <c r="B2337" s="274"/>
      <c r="C2337" s="108"/>
      <c r="D2337" s="261"/>
      <c r="E2337" s="261"/>
    </row>
    <row r="2338" spans="2:5" x14ac:dyDescent="0.3">
      <c r="B2338" s="274"/>
      <c r="C2338" s="108"/>
      <c r="D2338" s="261"/>
      <c r="E2338" s="261"/>
    </row>
    <row r="2339" spans="2:5" x14ac:dyDescent="0.3">
      <c r="B2339" s="274"/>
      <c r="C2339" s="108"/>
      <c r="D2339" s="261"/>
      <c r="E2339" s="261"/>
    </row>
    <row r="2340" spans="2:5" x14ac:dyDescent="0.3">
      <c r="B2340" s="274"/>
      <c r="C2340" s="108"/>
      <c r="D2340" s="261"/>
      <c r="E2340" s="261"/>
    </row>
    <row r="2341" spans="2:5" x14ac:dyDescent="0.3">
      <c r="B2341" s="274"/>
      <c r="C2341" s="108"/>
      <c r="D2341" s="261"/>
      <c r="E2341" s="261"/>
    </row>
    <row r="2342" spans="2:5" x14ac:dyDescent="0.3">
      <c r="B2342" s="274"/>
      <c r="C2342" s="108"/>
      <c r="D2342" s="261"/>
      <c r="E2342" s="261"/>
    </row>
    <row r="2343" spans="2:5" x14ac:dyDescent="0.3">
      <c r="B2343" s="274"/>
      <c r="C2343" s="108"/>
      <c r="D2343" s="261"/>
      <c r="E2343" s="261"/>
    </row>
    <row r="2344" spans="2:5" x14ac:dyDescent="0.3">
      <c r="B2344" s="274"/>
      <c r="C2344" s="108"/>
      <c r="D2344" s="261"/>
      <c r="E2344" s="261"/>
    </row>
    <row r="2345" spans="2:5" x14ac:dyDescent="0.3">
      <c r="B2345" s="274"/>
      <c r="C2345" s="108"/>
      <c r="D2345" s="261"/>
      <c r="E2345" s="261"/>
    </row>
    <row r="2346" spans="2:5" x14ac:dyDescent="0.3">
      <c r="B2346" s="274"/>
      <c r="C2346" s="108"/>
      <c r="D2346" s="261"/>
      <c r="E2346" s="261"/>
    </row>
    <row r="2347" spans="2:5" x14ac:dyDescent="0.3">
      <c r="B2347" s="274"/>
      <c r="C2347" s="108"/>
      <c r="D2347" s="261"/>
      <c r="E2347" s="261"/>
    </row>
    <row r="2348" spans="2:5" x14ac:dyDescent="0.3">
      <c r="B2348" s="274"/>
      <c r="C2348" s="108"/>
      <c r="D2348" s="261"/>
      <c r="E2348" s="261"/>
    </row>
    <row r="2349" spans="2:5" x14ac:dyDescent="0.3">
      <c r="B2349" s="274"/>
      <c r="C2349" s="108"/>
      <c r="D2349" s="261"/>
      <c r="E2349" s="261"/>
    </row>
    <row r="2350" spans="2:5" x14ac:dyDescent="0.3">
      <c r="B2350" s="274"/>
      <c r="C2350" s="108"/>
      <c r="D2350" s="261"/>
      <c r="E2350" s="261"/>
    </row>
    <row r="2351" spans="2:5" x14ac:dyDescent="0.3">
      <c r="B2351" s="274"/>
      <c r="C2351" s="108"/>
      <c r="D2351" s="261"/>
      <c r="E2351" s="261"/>
    </row>
    <row r="2352" spans="2:5" x14ac:dyDescent="0.3">
      <c r="B2352" s="274"/>
      <c r="C2352" s="108"/>
      <c r="D2352" s="261"/>
      <c r="E2352" s="261"/>
    </row>
    <row r="2353" spans="2:5" x14ac:dyDescent="0.3">
      <c r="B2353" s="274"/>
      <c r="C2353" s="108"/>
      <c r="D2353" s="261"/>
      <c r="E2353" s="261"/>
    </row>
    <row r="2354" spans="2:5" x14ac:dyDescent="0.3">
      <c r="B2354" s="274"/>
      <c r="C2354" s="108"/>
      <c r="D2354" s="261"/>
      <c r="E2354" s="261"/>
    </row>
    <row r="2355" spans="2:5" x14ac:dyDescent="0.3">
      <c r="B2355" s="274"/>
      <c r="C2355" s="108"/>
      <c r="D2355" s="261"/>
      <c r="E2355" s="261"/>
    </row>
    <row r="2356" spans="2:5" x14ac:dyDescent="0.3">
      <c r="B2356" s="274"/>
      <c r="C2356" s="108"/>
      <c r="D2356" s="261"/>
      <c r="E2356" s="261"/>
    </row>
    <row r="2357" spans="2:5" x14ac:dyDescent="0.3">
      <c r="B2357" s="274"/>
      <c r="C2357" s="108"/>
      <c r="D2357" s="261"/>
      <c r="E2357" s="261"/>
    </row>
    <row r="2358" spans="2:5" x14ac:dyDescent="0.3">
      <c r="B2358" s="274"/>
      <c r="C2358" s="108"/>
      <c r="D2358" s="261"/>
      <c r="E2358" s="261"/>
    </row>
    <row r="2359" spans="2:5" x14ac:dyDescent="0.3">
      <c r="B2359" s="274"/>
      <c r="C2359" s="108"/>
      <c r="D2359" s="261"/>
      <c r="E2359" s="261"/>
    </row>
    <row r="2360" spans="2:5" x14ac:dyDescent="0.3">
      <c r="B2360" s="274"/>
      <c r="C2360" s="108"/>
      <c r="D2360" s="261"/>
      <c r="E2360" s="261"/>
    </row>
    <row r="2361" spans="2:5" x14ac:dyDescent="0.3">
      <c r="B2361" s="274"/>
      <c r="C2361" s="108"/>
      <c r="D2361" s="261"/>
      <c r="E2361" s="261"/>
    </row>
    <row r="2362" spans="2:5" x14ac:dyDescent="0.3">
      <c r="B2362" s="274"/>
      <c r="C2362" s="108"/>
      <c r="D2362" s="261"/>
      <c r="E2362" s="261"/>
    </row>
    <row r="2363" spans="2:5" x14ac:dyDescent="0.3">
      <c r="B2363" s="274"/>
      <c r="C2363" s="108"/>
      <c r="D2363" s="261"/>
      <c r="E2363" s="261"/>
    </row>
    <row r="2364" spans="2:5" x14ac:dyDescent="0.3">
      <c r="B2364" s="274"/>
      <c r="C2364" s="108"/>
      <c r="D2364" s="261"/>
      <c r="E2364" s="261"/>
    </row>
    <row r="2365" spans="2:5" x14ac:dyDescent="0.3">
      <c r="B2365" s="274"/>
      <c r="C2365" s="108"/>
      <c r="D2365" s="261"/>
      <c r="E2365" s="261"/>
    </row>
    <row r="2366" spans="2:5" x14ac:dyDescent="0.3">
      <c r="B2366" s="274"/>
      <c r="C2366" s="108"/>
      <c r="D2366" s="261"/>
      <c r="E2366" s="261"/>
    </row>
    <row r="2367" spans="2:5" x14ac:dyDescent="0.3">
      <c r="B2367" s="274"/>
      <c r="C2367" s="108"/>
      <c r="D2367" s="261"/>
      <c r="E2367" s="261"/>
    </row>
    <row r="2368" spans="2:5" x14ac:dyDescent="0.3">
      <c r="B2368" s="274"/>
      <c r="C2368" s="108"/>
      <c r="D2368" s="261"/>
      <c r="E2368" s="261"/>
    </row>
    <row r="2369" spans="2:5" x14ac:dyDescent="0.3">
      <c r="B2369" s="274"/>
      <c r="C2369" s="108"/>
      <c r="D2369" s="261"/>
      <c r="E2369" s="261"/>
    </row>
    <row r="2370" spans="2:5" x14ac:dyDescent="0.3">
      <c r="B2370" s="274"/>
      <c r="C2370" s="108"/>
      <c r="D2370" s="261"/>
      <c r="E2370" s="261"/>
    </row>
    <row r="2371" spans="2:5" x14ac:dyDescent="0.3">
      <c r="B2371" s="274"/>
      <c r="C2371" s="108"/>
      <c r="D2371" s="261"/>
      <c r="E2371" s="261"/>
    </row>
    <row r="2372" spans="2:5" x14ac:dyDescent="0.3">
      <c r="B2372" s="274"/>
      <c r="C2372" s="108"/>
      <c r="D2372" s="261"/>
      <c r="E2372" s="261"/>
    </row>
    <row r="2373" spans="2:5" x14ac:dyDescent="0.3">
      <c r="B2373" s="274"/>
      <c r="C2373" s="108"/>
      <c r="D2373" s="261"/>
      <c r="E2373" s="261"/>
    </row>
    <row r="2374" spans="2:5" x14ac:dyDescent="0.3">
      <c r="B2374" s="274"/>
      <c r="C2374" s="108"/>
      <c r="D2374" s="261"/>
      <c r="E2374" s="261"/>
    </row>
    <row r="2375" spans="2:5" x14ac:dyDescent="0.3">
      <c r="B2375" s="274"/>
      <c r="C2375" s="108"/>
      <c r="D2375" s="261"/>
      <c r="E2375" s="261"/>
    </row>
    <row r="2376" spans="2:5" x14ac:dyDescent="0.3">
      <c r="B2376" s="274"/>
      <c r="C2376" s="108"/>
      <c r="D2376" s="261"/>
      <c r="E2376" s="261"/>
    </row>
    <row r="2377" spans="2:5" x14ac:dyDescent="0.3">
      <c r="B2377" s="274"/>
      <c r="C2377" s="108"/>
      <c r="D2377" s="261"/>
      <c r="E2377" s="261"/>
    </row>
    <row r="2378" spans="2:5" x14ac:dyDescent="0.3">
      <c r="B2378" s="274"/>
      <c r="C2378" s="108"/>
      <c r="D2378" s="261"/>
      <c r="E2378" s="261"/>
    </row>
    <row r="2379" spans="2:5" x14ac:dyDescent="0.3">
      <c r="B2379" s="274"/>
      <c r="C2379" s="108"/>
      <c r="D2379" s="261"/>
      <c r="E2379" s="261"/>
    </row>
    <row r="2380" spans="2:5" x14ac:dyDescent="0.3">
      <c r="B2380" s="274"/>
      <c r="C2380" s="108"/>
      <c r="D2380" s="261"/>
      <c r="E2380" s="261"/>
    </row>
    <row r="2381" spans="2:5" x14ac:dyDescent="0.3">
      <c r="B2381" s="274"/>
      <c r="C2381" s="108"/>
      <c r="D2381" s="261"/>
      <c r="E2381" s="261"/>
    </row>
    <row r="2382" spans="2:5" x14ac:dyDescent="0.3">
      <c r="B2382" s="274"/>
      <c r="C2382" s="108"/>
      <c r="D2382" s="261"/>
      <c r="E2382" s="261"/>
    </row>
    <row r="2383" spans="2:5" x14ac:dyDescent="0.3">
      <c r="B2383" s="274"/>
      <c r="C2383" s="108"/>
      <c r="D2383" s="261"/>
      <c r="E2383" s="261"/>
    </row>
    <row r="2384" spans="2:5" x14ac:dyDescent="0.3">
      <c r="B2384" s="274"/>
      <c r="C2384" s="108"/>
      <c r="D2384" s="261"/>
      <c r="E2384" s="261"/>
    </row>
    <row r="2385" spans="2:5" x14ac:dyDescent="0.3">
      <c r="B2385" s="274"/>
      <c r="C2385" s="108"/>
      <c r="D2385" s="261"/>
      <c r="E2385" s="261"/>
    </row>
    <row r="2386" spans="2:5" x14ac:dyDescent="0.3">
      <c r="B2386" s="274"/>
      <c r="C2386" s="108"/>
      <c r="D2386" s="261"/>
      <c r="E2386" s="261"/>
    </row>
    <row r="2387" spans="2:5" x14ac:dyDescent="0.3">
      <c r="B2387" s="274"/>
      <c r="C2387" s="108"/>
      <c r="D2387" s="261"/>
      <c r="E2387" s="261"/>
    </row>
    <row r="2388" spans="2:5" x14ac:dyDescent="0.3">
      <c r="B2388" s="274"/>
      <c r="C2388" s="108"/>
      <c r="D2388" s="261"/>
      <c r="E2388" s="261"/>
    </row>
    <row r="2389" spans="2:5" x14ac:dyDescent="0.3">
      <c r="B2389" s="274"/>
      <c r="C2389" s="108"/>
      <c r="D2389" s="261"/>
      <c r="E2389" s="261"/>
    </row>
    <row r="2390" spans="2:5" x14ac:dyDescent="0.3">
      <c r="B2390" s="274"/>
      <c r="C2390" s="108"/>
      <c r="D2390" s="261"/>
      <c r="E2390" s="261"/>
    </row>
    <row r="2391" spans="2:5" x14ac:dyDescent="0.3">
      <c r="B2391" s="274"/>
      <c r="C2391" s="108"/>
      <c r="D2391" s="261"/>
      <c r="E2391" s="261"/>
    </row>
    <row r="2392" spans="2:5" x14ac:dyDescent="0.3">
      <c r="B2392" s="274"/>
      <c r="C2392" s="108"/>
      <c r="D2392" s="261"/>
      <c r="E2392" s="261"/>
    </row>
    <row r="2393" spans="2:5" x14ac:dyDescent="0.3">
      <c r="B2393" s="274"/>
      <c r="C2393" s="108"/>
      <c r="D2393" s="261"/>
      <c r="E2393" s="261"/>
    </row>
    <row r="2394" spans="2:5" x14ac:dyDescent="0.3">
      <c r="B2394" s="274"/>
      <c r="C2394" s="108"/>
      <c r="D2394" s="261"/>
      <c r="E2394" s="261"/>
    </row>
    <row r="2395" spans="2:5" x14ac:dyDescent="0.3">
      <c r="B2395" s="274"/>
      <c r="C2395" s="108"/>
      <c r="D2395" s="261"/>
      <c r="E2395" s="261"/>
    </row>
    <row r="2396" spans="2:5" x14ac:dyDescent="0.3">
      <c r="B2396" s="274"/>
      <c r="C2396" s="108"/>
      <c r="D2396" s="261"/>
      <c r="E2396" s="261"/>
    </row>
    <row r="2397" spans="2:5" x14ac:dyDescent="0.3">
      <c r="B2397" s="274"/>
      <c r="C2397" s="108"/>
      <c r="D2397" s="261"/>
      <c r="E2397" s="261"/>
    </row>
    <row r="2398" spans="2:5" x14ac:dyDescent="0.3">
      <c r="B2398" s="274"/>
      <c r="C2398" s="108"/>
      <c r="D2398" s="261"/>
      <c r="E2398" s="261"/>
    </row>
    <row r="2399" spans="2:5" x14ac:dyDescent="0.3">
      <c r="B2399" s="274"/>
      <c r="C2399" s="108"/>
      <c r="D2399" s="261"/>
      <c r="E2399" s="261"/>
    </row>
    <row r="2400" spans="2:5" x14ac:dyDescent="0.3">
      <c r="B2400" s="274"/>
      <c r="C2400" s="108"/>
      <c r="D2400" s="261"/>
      <c r="E2400" s="261"/>
    </row>
    <row r="2401" spans="2:5" x14ac:dyDescent="0.3">
      <c r="B2401" s="274"/>
      <c r="C2401" s="108"/>
      <c r="D2401" s="261"/>
      <c r="E2401" s="261"/>
    </row>
    <row r="2402" spans="2:5" x14ac:dyDescent="0.3">
      <c r="B2402" s="274"/>
      <c r="C2402" s="108"/>
      <c r="D2402" s="261"/>
      <c r="E2402" s="261"/>
    </row>
    <row r="2403" spans="2:5" x14ac:dyDescent="0.3">
      <c r="B2403" s="274"/>
      <c r="C2403" s="108"/>
      <c r="D2403" s="261"/>
      <c r="E2403" s="261"/>
    </row>
    <row r="2404" spans="2:5" x14ac:dyDescent="0.3">
      <c r="B2404" s="274"/>
      <c r="C2404" s="108"/>
      <c r="D2404" s="261"/>
      <c r="E2404" s="261"/>
    </row>
    <row r="2405" spans="2:5" x14ac:dyDescent="0.3">
      <c r="B2405" s="274"/>
      <c r="C2405" s="108"/>
      <c r="D2405" s="261"/>
      <c r="E2405" s="261"/>
    </row>
    <row r="2406" spans="2:5" x14ac:dyDescent="0.3">
      <c r="B2406" s="274"/>
      <c r="C2406" s="108"/>
      <c r="D2406" s="261"/>
      <c r="E2406" s="261"/>
    </row>
    <row r="2407" spans="2:5" x14ac:dyDescent="0.3">
      <c r="B2407" s="274"/>
      <c r="C2407" s="108"/>
      <c r="D2407" s="261"/>
      <c r="E2407" s="261"/>
    </row>
    <row r="2408" spans="2:5" x14ac:dyDescent="0.3">
      <c r="B2408" s="274"/>
      <c r="C2408" s="108"/>
      <c r="D2408" s="261"/>
      <c r="E2408" s="261"/>
    </row>
    <row r="2409" spans="2:5" x14ac:dyDescent="0.3">
      <c r="B2409" s="274"/>
      <c r="C2409" s="108"/>
      <c r="D2409" s="261"/>
      <c r="E2409" s="261"/>
    </row>
    <row r="2410" spans="2:5" x14ac:dyDescent="0.3">
      <c r="B2410" s="274"/>
      <c r="C2410" s="108"/>
      <c r="D2410" s="261"/>
      <c r="E2410" s="261"/>
    </row>
    <row r="2411" spans="2:5" x14ac:dyDescent="0.3">
      <c r="B2411" s="274"/>
      <c r="C2411" s="108"/>
      <c r="D2411" s="261"/>
      <c r="E2411" s="261"/>
    </row>
    <row r="2412" spans="2:5" x14ac:dyDescent="0.3">
      <c r="B2412" s="274"/>
      <c r="C2412" s="108"/>
      <c r="D2412" s="261"/>
      <c r="E2412" s="261"/>
    </row>
    <row r="2413" spans="2:5" x14ac:dyDescent="0.3">
      <c r="B2413" s="274"/>
      <c r="C2413" s="108"/>
      <c r="D2413" s="261"/>
      <c r="E2413" s="261"/>
    </row>
    <row r="2414" spans="2:5" x14ac:dyDescent="0.3">
      <c r="B2414" s="274"/>
      <c r="C2414" s="108"/>
      <c r="D2414" s="261"/>
      <c r="E2414" s="261"/>
    </row>
    <row r="2415" spans="2:5" x14ac:dyDescent="0.3">
      <c r="B2415" s="274"/>
      <c r="C2415" s="108"/>
      <c r="D2415" s="261"/>
      <c r="E2415" s="261"/>
    </row>
    <row r="2416" spans="2:5" x14ac:dyDescent="0.3">
      <c r="B2416" s="274"/>
      <c r="C2416" s="108"/>
      <c r="D2416" s="261"/>
      <c r="E2416" s="261"/>
    </row>
    <row r="2417" spans="2:5" x14ac:dyDescent="0.3">
      <c r="B2417" s="274"/>
      <c r="C2417" s="108"/>
      <c r="D2417" s="261"/>
      <c r="E2417" s="261"/>
    </row>
    <row r="2418" spans="2:5" x14ac:dyDescent="0.3">
      <c r="B2418" s="274"/>
      <c r="C2418" s="108"/>
      <c r="D2418" s="261"/>
      <c r="E2418" s="261"/>
    </row>
    <row r="2419" spans="2:5" x14ac:dyDescent="0.3">
      <c r="B2419" s="274"/>
      <c r="C2419" s="108"/>
      <c r="D2419" s="261"/>
      <c r="E2419" s="261"/>
    </row>
    <row r="2420" spans="2:5" x14ac:dyDescent="0.3">
      <c r="B2420" s="274"/>
      <c r="C2420" s="108"/>
      <c r="D2420" s="261"/>
      <c r="E2420" s="261"/>
    </row>
    <row r="2421" spans="2:5" x14ac:dyDescent="0.3">
      <c r="B2421" s="274"/>
      <c r="C2421" s="108"/>
      <c r="D2421" s="261"/>
      <c r="E2421" s="261"/>
    </row>
    <row r="2422" spans="2:5" x14ac:dyDescent="0.3">
      <c r="B2422" s="274"/>
      <c r="C2422" s="108"/>
      <c r="D2422" s="261"/>
      <c r="E2422" s="261"/>
    </row>
    <row r="2423" spans="2:5" x14ac:dyDescent="0.3">
      <c r="B2423" s="274"/>
      <c r="C2423" s="108"/>
      <c r="D2423" s="261"/>
      <c r="E2423" s="261"/>
    </row>
    <row r="2424" spans="2:5" x14ac:dyDescent="0.3">
      <c r="B2424" s="274"/>
      <c r="C2424" s="108"/>
      <c r="D2424" s="261"/>
      <c r="E2424" s="261"/>
    </row>
    <row r="2425" spans="2:5" x14ac:dyDescent="0.3">
      <c r="B2425" s="274"/>
      <c r="C2425" s="108"/>
      <c r="D2425" s="261"/>
      <c r="E2425" s="261"/>
    </row>
    <row r="2426" spans="2:5" x14ac:dyDescent="0.3">
      <c r="B2426" s="274"/>
      <c r="C2426" s="108"/>
      <c r="D2426" s="261"/>
      <c r="E2426" s="261"/>
    </row>
    <row r="2427" spans="2:5" x14ac:dyDescent="0.3">
      <c r="B2427" s="274"/>
      <c r="C2427" s="108"/>
      <c r="D2427" s="261"/>
      <c r="E2427" s="261"/>
    </row>
    <row r="2428" spans="2:5" x14ac:dyDescent="0.3">
      <c r="B2428" s="274"/>
      <c r="C2428" s="108"/>
      <c r="D2428" s="261"/>
      <c r="E2428" s="261"/>
    </row>
    <row r="2429" spans="2:5" x14ac:dyDescent="0.3">
      <c r="B2429" s="274"/>
      <c r="C2429" s="108"/>
      <c r="D2429" s="261"/>
      <c r="E2429" s="261"/>
    </row>
    <row r="2430" spans="2:5" x14ac:dyDescent="0.3">
      <c r="B2430" s="274"/>
      <c r="C2430" s="108"/>
      <c r="D2430" s="261"/>
      <c r="E2430" s="261"/>
    </row>
    <row r="2431" spans="2:5" x14ac:dyDescent="0.3">
      <c r="B2431" s="274"/>
      <c r="C2431" s="108"/>
      <c r="D2431" s="261"/>
      <c r="E2431" s="261"/>
    </row>
    <row r="2432" spans="2:5" x14ac:dyDescent="0.3">
      <c r="B2432" s="274"/>
      <c r="C2432" s="108"/>
      <c r="D2432" s="261"/>
      <c r="E2432" s="261"/>
    </row>
    <row r="2433" spans="2:5" x14ac:dyDescent="0.3">
      <c r="B2433" s="274"/>
      <c r="C2433" s="108"/>
      <c r="D2433" s="261"/>
      <c r="E2433" s="261"/>
    </row>
    <row r="2434" spans="2:5" x14ac:dyDescent="0.3">
      <c r="B2434" s="274"/>
      <c r="C2434" s="108"/>
      <c r="D2434" s="261"/>
      <c r="E2434" s="261"/>
    </row>
    <row r="2435" spans="2:5" x14ac:dyDescent="0.3">
      <c r="B2435" s="274"/>
      <c r="C2435" s="108"/>
      <c r="D2435" s="261"/>
      <c r="E2435" s="261"/>
    </row>
    <row r="2436" spans="2:5" x14ac:dyDescent="0.3">
      <c r="B2436" s="274"/>
      <c r="C2436" s="108"/>
      <c r="D2436" s="261"/>
      <c r="E2436" s="261"/>
    </row>
    <row r="2437" spans="2:5" x14ac:dyDescent="0.3">
      <c r="B2437" s="274"/>
      <c r="C2437" s="108"/>
      <c r="D2437" s="261"/>
      <c r="E2437" s="261"/>
    </row>
    <row r="2438" spans="2:5" x14ac:dyDescent="0.3">
      <c r="B2438" s="274"/>
      <c r="C2438" s="108"/>
      <c r="D2438" s="261"/>
      <c r="E2438" s="261"/>
    </row>
    <row r="2439" spans="2:5" x14ac:dyDescent="0.3">
      <c r="B2439" s="274"/>
      <c r="C2439" s="108"/>
      <c r="D2439" s="261"/>
      <c r="E2439" s="261"/>
    </row>
    <row r="2440" spans="2:5" x14ac:dyDescent="0.3">
      <c r="B2440" s="274"/>
      <c r="C2440" s="108"/>
      <c r="D2440" s="261"/>
      <c r="E2440" s="261"/>
    </row>
    <row r="2441" spans="2:5" x14ac:dyDescent="0.3">
      <c r="B2441" s="274"/>
      <c r="C2441" s="108"/>
      <c r="D2441" s="261"/>
      <c r="E2441" s="261"/>
    </row>
    <row r="2442" spans="2:5" x14ac:dyDescent="0.3">
      <c r="B2442" s="274"/>
      <c r="C2442" s="108"/>
      <c r="D2442" s="261"/>
      <c r="E2442" s="261"/>
    </row>
    <row r="2443" spans="2:5" x14ac:dyDescent="0.3">
      <c r="B2443" s="274"/>
      <c r="C2443" s="108"/>
      <c r="D2443" s="261"/>
      <c r="E2443" s="261"/>
    </row>
    <row r="2444" spans="2:5" x14ac:dyDescent="0.3">
      <c r="B2444" s="274"/>
      <c r="C2444" s="108"/>
      <c r="D2444" s="261"/>
      <c r="E2444" s="261"/>
    </row>
    <row r="2445" spans="2:5" x14ac:dyDescent="0.3">
      <c r="B2445" s="274"/>
      <c r="C2445" s="108"/>
      <c r="D2445" s="261"/>
      <c r="E2445" s="261"/>
    </row>
    <row r="2446" spans="2:5" x14ac:dyDescent="0.3">
      <c r="B2446" s="274"/>
      <c r="C2446" s="108"/>
      <c r="D2446" s="261"/>
      <c r="E2446" s="261"/>
    </row>
    <row r="2447" spans="2:5" x14ac:dyDescent="0.3">
      <c r="B2447" s="274"/>
      <c r="C2447" s="108"/>
      <c r="D2447" s="261"/>
      <c r="E2447" s="261"/>
    </row>
    <row r="2448" spans="2:5" x14ac:dyDescent="0.3">
      <c r="B2448" s="274"/>
      <c r="C2448" s="108"/>
      <c r="D2448" s="261"/>
      <c r="E2448" s="261"/>
    </row>
    <row r="2449" spans="2:5" x14ac:dyDescent="0.3">
      <c r="B2449" s="274"/>
      <c r="C2449" s="108"/>
      <c r="D2449" s="261"/>
      <c r="E2449" s="261"/>
    </row>
    <row r="2450" spans="2:5" x14ac:dyDescent="0.3">
      <c r="B2450" s="274"/>
      <c r="C2450" s="108"/>
      <c r="D2450" s="261"/>
      <c r="E2450" s="261"/>
    </row>
    <row r="2451" spans="2:5" x14ac:dyDescent="0.3">
      <c r="B2451" s="274"/>
      <c r="C2451" s="108"/>
      <c r="D2451" s="261"/>
      <c r="E2451" s="261"/>
    </row>
    <row r="2452" spans="2:5" x14ac:dyDescent="0.3">
      <c r="B2452" s="274"/>
      <c r="C2452" s="108"/>
      <c r="D2452" s="261"/>
      <c r="E2452" s="261"/>
    </row>
    <row r="2453" spans="2:5" x14ac:dyDescent="0.3">
      <c r="B2453" s="274"/>
      <c r="C2453" s="108"/>
      <c r="D2453" s="261"/>
      <c r="E2453" s="261"/>
    </row>
    <row r="2454" spans="2:5" x14ac:dyDescent="0.3">
      <c r="B2454" s="274"/>
      <c r="C2454" s="108"/>
      <c r="D2454" s="261"/>
      <c r="E2454" s="261"/>
    </row>
    <row r="2455" spans="2:5" x14ac:dyDescent="0.3">
      <c r="B2455" s="274"/>
      <c r="C2455" s="108"/>
      <c r="D2455" s="261"/>
      <c r="E2455" s="261"/>
    </row>
    <row r="2456" spans="2:5" x14ac:dyDescent="0.3">
      <c r="B2456" s="274"/>
      <c r="C2456" s="108"/>
      <c r="D2456" s="261"/>
      <c r="E2456" s="261"/>
    </row>
    <row r="2457" spans="2:5" x14ac:dyDescent="0.3">
      <c r="B2457" s="274"/>
      <c r="C2457" s="108"/>
      <c r="D2457" s="261"/>
      <c r="E2457" s="261"/>
    </row>
    <row r="2458" spans="2:5" x14ac:dyDescent="0.3">
      <c r="B2458" s="274"/>
      <c r="C2458" s="108"/>
      <c r="D2458" s="261"/>
      <c r="E2458" s="261"/>
    </row>
    <row r="2459" spans="2:5" x14ac:dyDescent="0.3">
      <c r="B2459" s="274"/>
      <c r="C2459" s="108"/>
      <c r="D2459" s="261"/>
      <c r="E2459" s="261"/>
    </row>
    <row r="2460" spans="2:5" x14ac:dyDescent="0.3">
      <c r="B2460" s="274"/>
      <c r="C2460" s="108"/>
      <c r="D2460" s="261"/>
      <c r="E2460" s="261"/>
    </row>
    <row r="2461" spans="2:5" x14ac:dyDescent="0.3">
      <c r="B2461" s="274"/>
      <c r="C2461" s="108"/>
      <c r="D2461" s="261"/>
      <c r="E2461" s="261"/>
    </row>
    <row r="2462" spans="2:5" x14ac:dyDescent="0.3">
      <c r="B2462" s="274"/>
      <c r="C2462" s="108"/>
      <c r="D2462" s="261"/>
      <c r="E2462" s="261"/>
    </row>
    <row r="2463" spans="2:5" x14ac:dyDescent="0.3">
      <c r="B2463" s="274"/>
      <c r="C2463" s="108"/>
      <c r="D2463" s="261"/>
      <c r="E2463" s="261"/>
    </row>
    <row r="2464" spans="2:5" x14ac:dyDescent="0.3">
      <c r="B2464" s="274"/>
      <c r="C2464" s="108"/>
      <c r="D2464" s="261"/>
      <c r="E2464" s="261"/>
    </row>
    <row r="2465" spans="2:5" x14ac:dyDescent="0.3">
      <c r="B2465" s="274"/>
      <c r="C2465" s="108"/>
      <c r="D2465" s="261"/>
      <c r="E2465" s="261"/>
    </row>
    <row r="2466" spans="2:5" x14ac:dyDescent="0.3">
      <c r="B2466" s="274"/>
      <c r="C2466" s="108"/>
      <c r="D2466" s="261"/>
      <c r="E2466" s="261"/>
    </row>
    <row r="2467" spans="2:5" x14ac:dyDescent="0.3">
      <c r="B2467" s="274"/>
      <c r="C2467" s="108"/>
      <c r="D2467" s="261"/>
      <c r="E2467" s="261"/>
    </row>
    <row r="2468" spans="2:5" x14ac:dyDescent="0.3">
      <c r="B2468" s="274"/>
      <c r="C2468" s="108"/>
      <c r="D2468" s="261"/>
      <c r="E2468" s="261"/>
    </row>
    <row r="2469" spans="2:5" x14ac:dyDescent="0.3">
      <c r="B2469" s="274"/>
      <c r="C2469" s="108"/>
      <c r="D2469" s="261"/>
      <c r="E2469" s="261"/>
    </row>
    <row r="2470" spans="2:5" x14ac:dyDescent="0.3">
      <c r="B2470" s="274"/>
      <c r="C2470" s="108"/>
      <c r="D2470" s="261"/>
      <c r="E2470" s="261"/>
    </row>
    <row r="2471" spans="2:5" x14ac:dyDescent="0.3">
      <c r="B2471" s="274"/>
      <c r="C2471" s="108"/>
      <c r="D2471" s="261"/>
      <c r="E2471" s="261"/>
    </row>
    <row r="2472" spans="2:5" x14ac:dyDescent="0.3">
      <c r="B2472" s="274"/>
      <c r="C2472" s="108"/>
      <c r="D2472" s="261"/>
      <c r="E2472" s="261"/>
    </row>
    <row r="2473" spans="2:5" x14ac:dyDescent="0.3">
      <c r="B2473" s="274"/>
      <c r="C2473" s="108"/>
      <c r="D2473" s="261"/>
      <c r="E2473" s="261"/>
    </row>
    <row r="2474" spans="2:5" x14ac:dyDescent="0.3">
      <c r="B2474" s="274"/>
      <c r="C2474" s="108"/>
      <c r="D2474" s="261"/>
      <c r="E2474" s="261"/>
    </row>
    <row r="2475" spans="2:5" x14ac:dyDescent="0.3">
      <c r="B2475" s="274"/>
      <c r="C2475" s="108"/>
      <c r="D2475" s="261"/>
      <c r="E2475" s="261"/>
    </row>
    <row r="2476" spans="2:5" x14ac:dyDescent="0.3">
      <c r="B2476" s="274"/>
      <c r="C2476" s="108"/>
      <c r="D2476" s="261"/>
      <c r="E2476" s="261"/>
    </row>
    <row r="2477" spans="2:5" x14ac:dyDescent="0.3">
      <c r="B2477" s="274"/>
      <c r="C2477" s="108"/>
      <c r="D2477" s="261"/>
      <c r="E2477" s="261"/>
    </row>
    <row r="2478" spans="2:5" x14ac:dyDescent="0.3">
      <c r="B2478" s="274"/>
      <c r="C2478" s="108"/>
      <c r="D2478" s="261"/>
      <c r="E2478" s="261"/>
    </row>
    <row r="2479" spans="2:5" x14ac:dyDescent="0.3">
      <c r="B2479" s="274"/>
      <c r="C2479" s="108"/>
      <c r="D2479" s="261"/>
      <c r="E2479" s="261"/>
    </row>
    <row r="2480" spans="2:5" x14ac:dyDescent="0.3">
      <c r="B2480" s="274"/>
      <c r="C2480" s="108"/>
      <c r="D2480" s="261"/>
      <c r="E2480" s="261"/>
    </row>
    <row r="2481" spans="2:5" x14ac:dyDescent="0.3">
      <c r="B2481" s="274"/>
      <c r="C2481" s="108"/>
      <c r="D2481" s="261"/>
      <c r="E2481" s="261"/>
    </row>
    <row r="2482" spans="2:5" x14ac:dyDescent="0.3">
      <c r="B2482" s="274"/>
      <c r="C2482" s="108"/>
      <c r="D2482" s="261"/>
      <c r="E2482" s="261"/>
    </row>
    <row r="2483" spans="2:5" x14ac:dyDescent="0.3">
      <c r="B2483" s="274"/>
      <c r="C2483" s="108"/>
      <c r="D2483" s="261"/>
      <c r="E2483" s="261"/>
    </row>
    <row r="2484" spans="2:5" x14ac:dyDescent="0.3">
      <c r="B2484" s="274"/>
      <c r="C2484" s="108"/>
      <c r="D2484" s="261"/>
      <c r="E2484" s="261"/>
    </row>
    <row r="2485" spans="2:5" x14ac:dyDescent="0.3">
      <c r="B2485" s="274"/>
      <c r="C2485" s="108"/>
      <c r="D2485" s="261"/>
      <c r="E2485" s="261"/>
    </row>
    <row r="2486" spans="2:5" x14ac:dyDescent="0.3">
      <c r="B2486" s="274"/>
      <c r="C2486" s="108"/>
      <c r="D2486" s="261"/>
      <c r="E2486" s="261"/>
    </row>
    <row r="2487" spans="2:5" x14ac:dyDescent="0.3">
      <c r="B2487" s="274"/>
      <c r="C2487" s="108"/>
      <c r="D2487" s="261"/>
      <c r="E2487" s="261"/>
    </row>
    <row r="2488" spans="2:5" x14ac:dyDescent="0.3">
      <c r="B2488" s="274"/>
      <c r="C2488" s="108"/>
      <c r="D2488" s="261"/>
      <c r="E2488" s="261"/>
    </row>
    <row r="2489" spans="2:5" x14ac:dyDescent="0.3">
      <c r="B2489" s="274"/>
      <c r="C2489" s="108"/>
      <c r="D2489" s="261"/>
      <c r="E2489" s="261"/>
    </row>
    <row r="2490" spans="2:5" x14ac:dyDescent="0.3">
      <c r="B2490" s="274"/>
      <c r="C2490" s="108"/>
      <c r="D2490" s="261"/>
      <c r="E2490" s="261"/>
    </row>
    <row r="2491" spans="2:5" x14ac:dyDescent="0.3">
      <c r="B2491" s="274"/>
      <c r="C2491" s="108"/>
      <c r="D2491" s="261"/>
      <c r="E2491" s="261"/>
    </row>
    <row r="2492" spans="2:5" x14ac:dyDescent="0.3">
      <c r="B2492" s="274"/>
      <c r="C2492" s="108"/>
      <c r="D2492" s="261"/>
      <c r="E2492" s="261"/>
    </row>
    <row r="2493" spans="2:5" x14ac:dyDescent="0.3">
      <c r="B2493" s="274"/>
      <c r="C2493" s="108"/>
      <c r="D2493" s="261"/>
      <c r="E2493" s="261"/>
    </row>
    <row r="2494" spans="2:5" x14ac:dyDescent="0.3">
      <c r="B2494" s="274"/>
      <c r="C2494" s="108"/>
      <c r="D2494" s="261"/>
      <c r="E2494" s="261"/>
    </row>
    <row r="2495" spans="2:5" x14ac:dyDescent="0.3">
      <c r="B2495" s="274"/>
      <c r="C2495" s="108"/>
      <c r="D2495" s="261"/>
      <c r="E2495" s="261"/>
    </row>
    <row r="2496" spans="2:5" x14ac:dyDescent="0.3">
      <c r="B2496" s="274"/>
      <c r="C2496" s="108"/>
      <c r="D2496" s="261"/>
      <c r="E2496" s="261"/>
    </row>
    <row r="2497" spans="2:5" x14ac:dyDescent="0.3">
      <c r="B2497" s="274"/>
      <c r="C2497" s="108"/>
      <c r="D2497" s="261"/>
      <c r="E2497" s="261"/>
    </row>
    <row r="2498" spans="2:5" x14ac:dyDescent="0.3">
      <c r="B2498" s="274"/>
      <c r="C2498" s="108"/>
      <c r="D2498" s="261"/>
      <c r="E2498" s="261"/>
    </row>
    <row r="2499" spans="2:5" x14ac:dyDescent="0.3">
      <c r="B2499" s="274"/>
      <c r="C2499" s="108"/>
      <c r="D2499" s="261"/>
      <c r="E2499" s="261"/>
    </row>
    <row r="2500" spans="2:5" x14ac:dyDescent="0.3">
      <c r="B2500" s="274"/>
      <c r="C2500" s="108"/>
      <c r="D2500" s="261"/>
      <c r="E2500" s="261"/>
    </row>
    <row r="2501" spans="2:5" x14ac:dyDescent="0.3">
      <c r="B2501" s="274"/>
      <c r="C2501" s="108"/>
      <c r="D2501" s="261"/>
      <c r="E2501" s="261"/>
    </row>
    <row r="2502" spans="2:5" x14ac:dyDescent="0.3">
      <c r="B2502" s="274"/>
      <c r="C2502" s="108"/>
      <c r="D2502" s="261"/>
      <c r="E2502" s="261"/>
    </row>
    <row r="2503" spans="2:5" x14ac:dyDescent="0.3">
      <c r="B2503" s="274"/>
      <c r="C2503" s="108"/>
      <c r="D2503" s="261"/>
      <c r="E2503" s="261"/>
    </row>
    <row r="2504" spans="2:5" x14ac:dyDescent="0.3">
      <c r="B2504" s="274"/>
      <c r="C2504" s="108"/>
      <c r="D2504" s="261"/>
      <c r="E2504" s="261"/>
    </row>
    <row r="2505" spans="2:5" x14ac:dyDescent="0.3">
      <c r="B2505" s="274"/>
      <c r="C2505" s="108"/>
      <c r="D2505" s="261"/>
      <c r="E2505" s="261"/>
    </row>
    <row r="2506" spans="2:5" x14ac:dyDescent="0.3">
      <c r="B2506" s="274"/>
      <c r="C2506" s="108"/>
      <c r="D2506" s="261"/>
      <c r="E2506" s="261"/>
    </row>
    <row r="2507" spans="2:5" x14ac:dyDescent="0.3">
      <c r="B2507" s="274"/>
      <c r="C2507" s="108"/>
      <c r="D2507" s="261"/>
      <c r="E2507" s="261"/>
    </row>
    <row r="2508" spans="2:5" x14ac:dyDescent="0.3">
      <c r="B2508" s="274"/>
      <c r="C2508" s="108"/>
      <c r="D2508" s="261"/>
      <c r="E2508" s="261"/>
    </row>
    <row r="2509" spans="2:5" x14ac:dyDescent="0.3">
      <c r="B2509" s="274"/>
      <c r="C2509" s="108"/>
      <c r="D2509" s="261"/>
      <c r="E2509" s="261"/>
    </row>
    <row r="2510" spans="2:5" x14ac:dyDescent="0.3">
      <c r="B2510" s="274"/>
      <c r="C2510" s="108"/>
      <c r="D2510" s="261"/>
      <c r="E2510" s="261"/>
    </row>
    <row r="2511" spans="2:5" x14ac:dyDescent="0.3">
      <c r="B2511" s="274"/>
      <c r="C2511" s="108"/>
      <c r="D2511" s="261"/>
      <c r="E2511" s="261"/>
    </row>
    <row r="2512" spans="2:5" x14ac:dyDescent="0.3">
      <c r="B2512" s="274"/>
      <c r="C2512" s="108"/>
      <c r="D2512" s="261"/>
      <c r="E2512" s="261"/>
    </row>
    <row r="2513" spans="2:5" x14ac:dyDescent="0.3">
      <c r="B2513" s="274"/>
      <c r="C2513" s="108"/>
      <c r="D2513" s="261"/>
      <c r="E2513" s="261"/>
    </row>
    <row r="2514" spans="2:5" x14ac:dyDescent="0.3">
      <c r="B2514" s="274"/>
      <c r="C2514" s="108"/>
      <c r="D2514" s="261"/>
      <c r="E2514" s="261"/>
    </row>
    <row r="2515" spans="2:5" x14ac:dyDescent="0.3">
      <c r="B2515" s="274"/>
      <c r="C2515" s="108"/>
      <c r="D2515" s="261"/>
      <c r="E2515" s="261"/>
    </row>
    <row r="2516" spans="2:5" x14ac:dyDescent="0.3">
      <c r="B2516" s="274"/>
      <c r="C2516" s="108"/>
      <c r="D2516" s="261"/>
      <c r="E2516" s="261"/>
    </row>
    <row r="2517" spans="2:5" x14ac:dyDescent="0.3">
      <c r="B2517" s="274"/>
      <c r="C2517" s="108"/>
      <c r="D2517" s="261"/>
      <c r="E2517" s="261"/>
    </row>
    <row r="2518" spans="2:5" x14ac:dyDescent="0.3">
      <c r="B2518" s="274"/>
      <c r="C2518" s="108"/>
      <c r="D2518" s="261"/>
      <c r="E2518" s="261"/>
    </row>
    <row r="2519" spans="2:5" x14ac:dyDescent="0.3">
      <c r="B2519" s="274"/>
      <c r="C2519" s="108"/>
      <c r="D2519" s="261"/>
      <c r="E2519" s="261"/>
    </row>
    <row r="2520" spans="2:5" x14ac:dyDescent="0.3">
      <c r="B2520" s="274"/>
      <c r="C2520" s="108"/>
      <c r="D2520" s="261"/>
      <c r="E2520" s="261"/>
    </row>
    <row r="2521" spans="2:5" x14ac:dyDescent="0.3">
      <c r="B2521" s="274"/>
      <c r="C2521" s="108"/>
      <c r="D2521" s="261"/>
      <c r="E2521" s="261"/>
    </row>
    <row r="2522" spans="2:5" x14ac:dyDescent="0.3">
      <c r="B2522" s="274"/>
      <c r="C2522" s="108"/>
      <c r="D2522" s="261"/>
      <c r="E2522" s="261"/>
    </row>
    <row r="2523" spans="2:5" x14ac:dyDescent="0.3">
      <c r="B2523" s="274"/>
      <c r="C2523" s="108"/>
      <c r="D2523" s="261"/>
      <c r="E2523" s="261"/>
    </row>
    <row r="2524" spans="2:5" x14ac:dyDescent="0.3">
      <c r="B2524" s="274"/>
      <c r="C2524" s="108"/>
      <c r="D2524" s="261"/>
      <c r="E2524" s="261"/>
    </row>
    <row r="2525" spans="2:5" x14ac:dyDescent="0.3">
      <c r="B2525" s="274"/>
      <c r="C2525" s="108"/>
      <c r="D2525" s="261"/>
      <c r="E2525" s="261"/>
    </row>
    <row r="2526" spans="2:5" x14ac:dyDescent="0.3">
      <c r="B2526" s="274"/>
      <c r="C2526" s="108"/>
      <c r="D2526" s="261"/>
      <c r="E2526" s="261"/>
    </row>
    <row r="2527" spans="2:5" x14ac:dyDescent="0.3">
      <c r="B2527" s="274"/>
      <c r="C2527" s="108"/>
      <c r="D2527" s="261"/>
      <c r="E2527" s="261"/>
    </row>
    <row r="2528" spans="2:5" x14ac:dyDescent="0.3">
      <c r="B2528" s="274"/>
      <c r="C2528" s="108"/>
      <c r="D2528" s="261"/>
      <c r="E2528" s="261"/>
    </row>
    <row r="2529" spans="2:5" x14ac:dyDescent="0.3">
      <c r="B2529" s="274"/>
      <c r="C2529" s="108"/>
      <c r="D2529" s="261"/>
      <c r="E2529" s="261"/>
    </row>
    <row r="2530" spans="2:5" x14ac:dyDescent="0.3">
      <c r="B2530" s="274"/>
      <c r="C2530" s="108"/>
      <c r="D2530" s="261"/>
      <c r="E2530" s="261"/>
    </row>
    <row r="2531" spans="2:5" x14ac:dyDescent="0.3">
      <c r="B2531" s="274"/>
      <c r="C2531" s="108"/>
      <c r="D2531" s="261"/>
      <c r="E2531" s="261"/>
    </row>
    <row r="2532" spans="2:5" x14ac:dyDescent="0.3">
      <c r="B2532" s="274"/>
      <c r="C2532" s="108"/>
      <c r="D2532" s="261"/>
      <c r="E2532" s="261"/>
    </row>
    <row r="2533" spans="2:5" x14ac:dyDescent="0.3">
      <c r="B2533" s="274"/>
      <c r="C2533" s="108"/>
      <c r="D2533" s="261"/>
      <c r="E2533" s="261"/>
    </row>
    <row r="2534" spans="2:5" x14ac:dyDescent="0.3">
      <c r="B2534" s="274"/>
      <c r="C2534" s="108"/>
      <c r="D2534" s="261"/>
      <c r="E2534" s="261"/>
    </row>
    <row r="2535" spans="2:5" x14ac:dyDescent="0.3">
      <c r="B2535" s="274"/>
      <c r="C2535" s="108"/>
      <c r="D2535" s="261"/>
      <c r="E2535" s="261"/>
    </row>
    <row r="2536" spans="2:5" x14ac:dyDescent="0.3">
      <c r="B2536" s="274"/>
      <c r="C2536" s="108"/>
      <c r="D2536" s="261"/>
      <c r="E2536" s="261"/>
    </row>
    <row r="2537" spans="2:5" x14ac:dyDescent="0.3">
      <c r="B2537" s="274"/>
      <c r="C2537" s="108"/>
      <c r="D2537" s="261"/>
      <c r="E2537" s="261"/>
    </row>
    <row r="2538" spans="2:5" x14ac:dyDescent="0.3">
      <c r="B2538" s="274"/>
      <c r="C2538" s="108"/>
      <c r="D2538" s="261"/>
      <c r="E2538" s="261"/>
    </row>
    <row r="2539" spans="2:5" x14ac:dyDescent="0.3">
      <c r="B2539" s="274"/>
      <c r="C2539" s="108"/>
      <c r="D2539" s="261"/>
      <c r="E2539" s="261"/>
    </row>
    <row r="2540" spans="2:5" x14ac:dyDescent="0.3">
      <c r="B2540" s="274"/>
      <c r="C2540" s="108"/>
      <c r="D2540" s="261"/>
      <c r="E2540" s="261"/>
    </row>
    <row r="2541" spans="2:5" x14ac:dyDescent="0.3">
      <c r="B2541" s="274"/>
      <c r="C2541" s="108"/>
      <c r="D2541" s="261"/>
      <c r="E2541" s="261"/>
    </row>
    <row r="2542" spans="2:5" x14ac:dyDescent="0.3">
      <c r="B2542" s="274"/>
      <c r="C2542" s="108"/>
      <c r="D2542" s="261"/>
      <c r="E2542" s="261"/>
    </row>
    <row r="2543" spans="2:5" x14ac:dyDescent="0.3">
      <c r="B2543" s="274"/>
      <c r="C2543" s="108"/>
      <c r="D2543" s="261"/>
      <c r="E2543" s="261"/>
    </row>
    <row r="2544" spans="2:5" x14ac:dyDescent="0.3">
      <c r="B2544" s="274"/>
      <c r="C2544" s="108"/>
      <c r="D2544" s="261"/>
      <c r="E2544" s="261"/>
    </row>
    <row r="2545" spans="2:5" x14ac:dyDescent="0.3">
      <c r="B2545" s="274"/>
      <c r="C2545" s="108"/>
      <c r="D2545" s="261"/>
      <c r="E2545" s="261"/>
    </row>
    <row r="2546" spans="2:5" x14ac:dyDescent="0.3">
      <c r="B2546" s="274"/>
      <c r="C2546" s="108"/>
      <c r="D2546" s="261"/>
      <c r="E2546" s="261"/>
    </row>
    <row r="2547" spans="2:5" x14ac:dyDescent="0.3">
      <c r="B2547" s="274"/>
      <c r="C2547" s="108"/>
      <c r="D2547" s="261"/>
      <c r="E2547" s="261"/>
    </row>
    <row r="2548" spans="2:5" x14ac:dyDescent="0.3">
      <c r="B2548" s="274"/>
      <c r="C2548" s="108"/>
      <c r="D2548" s="261"/>
      <c r="E2548" s="261"/>
    </row>
    <row r="2549" spans="2:5" x14ac:dyDescent="0.3">
      <c r="B2549" s="274"/>
      <c r="C2549" s="108"/>
      <c r="D2549" s="261"/>
      <c r="E2549" s="261"/>
    </row>
    <row r="2550" spans="2:5" x14ac:dyDescent="0.3">
      <c r="B2550" s="274"/>
      <c r="C2550" s="108"/>
      <c r="D2550" s="261"/>
      <c r="E2550" s="261"/>
    </row>
    <row r="2551" spans="2:5" x14ac:dyDescent="0.3">
      <c r="B2551" s="274"/>
      <c r="C2551" s="108"/>
      <c r="D2551" s="261"/>
      <c r="E2551" s="261"/>
    </row>
    <row r="2552" spans="2:5" x14ac:dyDescent="0.3">
      <c r="B2552" s="274"/>
      <c r="C2552" s="108"/>
      <c r="D2552" s="261"/>
      <c r="E2552" s="261"/>
    </row>
    <row r="2553" spans="2:5" x14ac:dyDescent="0.3">
      <c r="B2553" s="274"/>
      <c r="C2553" s="108"/>
      <c r="D2553" s="261"/>
      <c r="E2553" s="261"/>
    </row>
    <row r="2554" spans="2:5" x14ac:dyDescent="0.3">
      <c r="B2554" s="274"/>
      <c r="C2554" s="108"/>
      <c r="D2554" s="261"/>
      <c r="E2554" s="261"/>
    </row>
    <row r="2555" spans="2:5" x14ac:dyDescent="0.3">
      <c r="B2555" s="274"/>
      <c r="C2555" s="108"/>
      <c r="D2555" s="261"/>
      <c r="E2555" s="261"/>
    </row>
    <row r="2556" spans="2:5" x14ac:dyDescent="0.3">
      <c r="B2556" s="274"/>
      <c r="C2556" s="108"/>
      <c r="D2556" s="261"/>
      <c r="E2556" s="261"/>
    </row>
    <row r="2557" spans="2:5" x14ac:dyDescent="0.3">
      <c r="B2557" s="274"/>
      <c r="C2557" s="108"/>
      <c r="D2557" s="261"/>
      <c r="E2557" s="261"/>
    </row>
    <row r="2558" spans="2:5" x14ac:dyDescent="0.3">
      <c r="B2558" s="274"/>
      <c r="C2558" s="108"/>
      <c r="D2558" s="261"/>
      <c r="E2558" s="261"/>
    </row>
    <row r="2559" spans="2:5" x14ac:dyDescent="0.3">
      <c r="B2559" s="274"/>
      <c r="C2559" s="108"/>
      <c r="D2559" s="261"/>
      <c r="E2559" s="261"/>
    </row>
    <row r="2560" spans="2:5" x14ac:dyDescent="0.3">
      <c r="B2560" s="274"/>
      <c r="C2560" s="108"/>
      <c r="D2560" s="261"/>
      <c r="E2560" s="261"/>
    </row>
    <row r="2561" spans="2:5" x14ac:dyDescent="0.3">
      <c r="B2561" s="274"/>
      <c r="C2561" s="108"/>
      <c r="D2561" s="261"/>
      <c r="E2561" s="261"/>
    </row>
    <row r="2562" spans="2:5" x14ac:dyDescent="0.3">
      <c r="B2562" s="274"/>
      <c r="C2562" s="108"/>
      <c r="D2562" s="261"/>
      <c r="E2562" s="261"/>
    </row>
    <row r="2563" spans="2:5" x14ac:dyDescent="0.3">
      <c r="B2563" s="274"/>
      <c r="C2563" s="108"/>
      <c r="D2563" s="261"/>
      <c r="E2563" s="261"/>
    </row>
    <row r="2564" spans="2:5" x14ac:dyDescent="0.3">
      <c r="B2564" s="274"/>
      <c r="C2564" s="108"/>
      <c r="D2564" s="261"/>
      <c r="E2564" s="261"/>
    </row>
    <row r="2565" spans="2:5" x14ac:dyDescent="0.3">
      <c r="B2565" s="274"/>
      <c r="C2565" s="108"/>
      <c r="D2565" s="261"/>
      <c r="E2565" s="261"/>
    </row>
    <row r="2566" spans="2:5" x14ac:dyDescent="0.3">
      <c r="B2566" s="274"/>
      <c r="C2566" s="108"/>
      <c r="D2566" s="261"/>
      <c r="E2566" s="261"/>
    </row>
    <row r="2567" spans="2:5" x14ac:dyDescent="0.3">
      <c r="B2567" s="274"/>
      <c r="C2567" s="108"/>
      <c r="D2567" s="261"/>
      <c r="E2567" s="261"/>
    </row>
    <row r="2568" spans="2:5" x14ac:dyDescent="0.3">
      <c r="B2568" s="274"/>
      <c r="C2568" s="108"/>
      <c r="D2568" s="261"/>
      <c r="E2568" s="261"/>
    </row>
    <row r="2569" spans="2:5" x14ac:dyDescent="0.3">
      <c r="B2569" s="274"/>
      <c r="C2569" s="108"/>
      <c r="D2569" s="261"/>
      <c r="E2569" s="261"/>
    </row>
    <row r="2570" spans="2:5" x14ac:dyDescent="0.3">
      <c r="B2570" s="274"/>
      <c r="C2570" s="108"/>
      <c r="D2570" s="261"/>
      <c r="E2570" s="261"/>
    </row>
    <row r="2571" spans="2:5" x14ac:dyDescent="0.3">
      <c r="B2571" s="274"/>
      <c r="C2571" s="108"/>
      <c r="D2571" s="261"/>
      <c r="E2571" s="261"/>
    </row>
    <row r="2572" spans="2:5" x14ac:dyDescent="0.3">
      <c r="B2572" s="274"/>
      <c r="C2572" s="108"/>
      <c r="D2572" s="261"/>
      <c r="E2572" s="261"/>
    </row>
    <row r="2573" spans="2:5" x14ac:dyDescent="0.3">
      <c r="B2573" s="274"/>
      <c r="C2573" s="108"/>
      <c r="D2573" s="261"/>
      <c r="E2573" s="261"/>
    </row>
    <row r="2574" spans="2:5" x14ac:dyDescent="0.3">
      <c r="B2574" s="274"/>
      <c r="C2574" s="108"/>
      <c r="D2574" s="261"/>
      <c r="E2574" s="261"/>
    </row>
    <row r="2575" spans="2:5" x14ac:dyDescent="0.3">
      <c r="B2575" s="274"/>
      <c r="C2575" s="108"/>
      <c r="D2575" s="261"/>
      <c r="E2575" s="261"/>
    </row>
    <row r="2576" spans="2:5" x14ac:dyDescent="0.3">
      <c r="B2576" s="274"/>
      <c r="C2576" s="108"/>
      <c r="D2576" s="261"/>
      <c r="E2576" s="261"/>
    </row>
    <row r="2577" spans="2:5" x14ac:dyDescent="0.3">
      <c r="B2577" s="274"/>
      <c r="C2577" s="108"/>
      <c r="D2577" s="261"/>
      <c r="E2577" s="261"/>
    </row>
    <row r="2578" spans="2:5" x14ac:dyDescent="0.3">
      <c r="B2578" s="274"/>
      <c r="C2578" s="108"/>
      <c r="D2578" s="261"/>
      <c r="E2578" s="261"/>
    </row>
    <row r="2579" spans="2:5" x14ac:dyDescent="0.3">
      <c r="B2579" s="274"/>
      <c r="C2579" s="108"/>
      <c r="D2579" s="261"/>
      <c r="E2579" s="261"/>
    </row>
    <row r="2580" spans="2:5" x14ac:dyDescent="0.3">
      <c r="B2580" s="274"/>
      <c r="C2580" s="108"/>
      <c r="D2580" s="261"/>
      <c r="E2580" s="261"/>
    </row>
    <row r="2581" spans="2:5" x14ac:dyDescent="0.3">
      <c r="B2581" s="274"/>
      <c r="C2581" s="108"/>
      <c r="D2581" s="261"/>
      <c r="E2581" s="261"/>
    </row>
    <row r="2582" spans="2:5" x14ac:dyDescent="0.3">
      <c r="B2582" s="274"/>
      <c r="C2582" s="108"/>
      <c r="D2582" s="261"/>
      <c r="E2582" s="261"/>
    </row>
    <row r="2583" spans="2:5" x14ac:dyDescent="0.3">
      <c r="B2583" s="274"/>
      <c r="C2583" s="108"/>
      <c r="D2583" s="261"/>
      <c r="E2583" s="261"/>
    </row>
    <row r="2584" spans="2:5" x14ac:dyDescent="0.3">
      <c r="B2584" s="274"/>
      <c r="C2584" s="108"/>
      <c r="D2584" s="261"/>
      <c r="E2584" s="261"/>
    </row>
    <row r="2585" spans="2:5" x14ac:dyDescent="0.3">
      <c r="B2585" s="274"/>
      <c r="C2585" s="108"/>
      <c r="D2585" s="261"/>
      <c r="E2585" s="261"/>
    </row>
    <row r="2586" spans="2:5" x14ac:dyDescent="0.3">
      <c r="B2586" s="274"/>
      <c r="C2586" s="108"/>
      <c r="D2586" s="261"/>
      <c r="E2586" s="261"/>
    </row>
    <row r="2587" spans="2:5" x14ac:dyDescent="0.3">
      <c r="B2587" s="274"/>
      <c r="C2587" s="108"/>
      <c r="D2587" s="261"/>
      <c r="E2587" s="261"/>
    </row>
    <row r="2588" spans="2:5" x14ac:dyDescent="0.3">
      <c r="B2588" s="274"/>
      <c r="C2588" s="108"/>
      <c r="D2588" s="261"/>
      <c r="E2588" s="261"/>
    </row>
    <row r="2589" spans="2:5" x14ac:dyDescent="0.3">
      <c r="B2589" s="274"/>
      <c r="C2589" s="108"/>
      <c r="D2589" s="261"/>
      <c r="E2589" s="261"/>
    </row>
    <row r="2590" spans="2:5" x14ac:dyDescent="0.3">
      <c r="B2590" s="274"/>
      <c r="C2590" s="108"/>
      <c r="D2590" s="261"/>
      <c r="E2590" s="261"/>
    </row>
    <row r="2591" spans="2:5" x14ac:dyDescent="0.3">
      <c r="B2591" s="274"/>
      <c r="C2591" s="108"/>
      <c r="D2591" s="261"/>
      <c r="E2591" s="261"/>
    </row>
    <row r="2592" spans="2:5" x14ac:dyDescent="0.3">
      <c r="B2592" s="274"/>
      <c r="C2592" s="108"/>
      <c r="D2592" s="261"/>
      <c r="E2592" s="261"/>
    </row>
    <row r="2593" spans="2:5" x14ac:dyDescent="0.3">
      <c r="B2593" s="274"/>
      <c r="C2593" s="108"/>
      <c r="D2593" s="261"/>
      <c r="E2593" s="261"/>
    </row>
    <row r="2594" spans="2:5" x14ac:dyDescent="0.3">
      <c r="B2594" s="274"/>
      <c r="C2594" s="108"/>
      <c r="D2594" s="261"/>
      <c r="E2594" s="261"/>
    </row>
    <row r="2595" spans="2:5" x14ac:dyDescent="0.3">
      <c r="B2595" s="274"/>
      <c r="C2595" s="108"/>
      <c r="D2595" s="261"/>
      <c r="E2595" s="261"/>
    </row>
    <row r="2596" spans="2:5" x14ac:dyDescent="0.3">
      <c r="B2596" s="274"/>
      <c r="C2596" s="108"/>
      <c r="D2596" s="261"/>
      <c r="E2596" s="261"/>
    </row>
    <row r="2597" spans="2:5" x14ac:dyDescent="0.3">
      <c r="B2597" s="274"/>
      <c r="C2597" s="108"/>
      <c r="D2597" s="261"/>
      <c r="E2597" s="261"/>
    </row>
    <row r="2598" spans="2:5" x14ac:dyDescent="0.3">
      <c r="B2598" s="274"/>
      <c r="C2598" s="108"/>
      <c r="D2598" s="261"/>
      <c r="E2598" s="261"/>
    </row>
    <row r="2599" spans="2:5" x14ac:dyDescent="0.3">
      <c r="B2599" s="274"/>
      <c r="C2599" s="108"/>
      <c r="D2599" s="261"/>
      <c r="E2599" s="261"/>
    </row>
    <row r="2600" spans="2:5" x14ac:dyDescent="0.3">
      <c r="B2600" s="274"/>
      <c r="C2600" s="108"/>
      <c r="D2600" s="261"/>
      <c r="E2600" s="261"/>
    </row>
    <row r="2601" spans="2:5" x14ac:dyDescent="0.3">
      <c r="B2601" s="274"/>
      <c r="C2601" s="108"/>
      <c r="D2601" s="261"/>
      <c r="E2601" s="261"/>
    </row>
    <row r="2602" spans="2:5" x14ac:dyDescent="0.3">
      <c r="B2602" s="274"/>
      <c r="C2602" s="108"/>
      <c r="D2602" s="261"/>
      <c r="E2602" s="261"/>
    </row>
    <row r="2603" spans="2:5" x14ac:dyDescent="0.3">
      <c r="B2603" s="274"/>
      <c r="C2603" s="108"/>
      <c r="D2603" s="261"/>
      <c r="E2603" s="261"/>
    </row>
    <row r="2604" spans="2:5" x14ac:dyDescent="0.3">
      <c r="B2604" s="274"/>
      <c r="C2604" s="108"/>
      <c r="D2604" s="261"/>
      <c r="E2604" s="261"/>
    </row>
    <row r="2605" spans="2:5" x14ac:dyDescent="0.3">
      <c r="B2605" s="274"/>
      <c r="C2605" s="108"/>
      <c r="D2605" s="261"/>
      <c r="E2605" s="261"/>
    </row>
    <row r="2606" spans="2:5" x14ac:dyDescent="0.3">
      <c r="B2606" s="274"/>
      <c r="C2606" s="108"/>
      <c r="D2606" s="261"/>
      <c r="E2606" s="261"/>
    </row>
    <row r="2607" spans="2:5" x14ac:dyDescent="0.3">
      <c r="B2607" s="274"/>
      <c r="C2607" s="108"/>
      <c r="D2607" s="261"/>
      <c r="E2607" s="261"/>
    </row>
    <row r="2608" spans="2:5" x14ac:dyDescent="0.3">
      <c r="B2608" s="274"/>
      <c r="C2608" s="108"/>
      <c r="D2608" s="261"/>
      <c r="E2608" s="261"/>
    </row>
    <row r="2609" spans="2:5" x14ac:dyDescent="0.3">
      <c r="B2609" s="274"/>
      <c r="C2609" s="108"/>
      <c r="D2609" s="261"/>
      <c r="E2609" s="261"/>
    </row>
    <row r="2610" spans="2:5" x14ac:dyDescent="0.3">
      <c r="B2610" s="274"/>
      <c r="C2610" s="108"/>
      <c r="D2610" s="261"/>
      <c r="E2610" s="261"/>
    </row>
    <row r="2611" spans="2:5" x14ac:dyDescent="0.3">
      <c r="B2611" s="274"/>
      <c r="C2611" s="108"/>
      <c r="D2611" s="261"/>
      <c r="E2611" s="261"/>
    </row>
    <row r="2612" spans="2:5" x14ac:dyDescent="0.3">
      <c r="B2612" s="274"/>
      <c r="C2612" s="108"/>
      <c r="D2612" s="261"/>
      <c r="E2612" s="261"/>
    </row>
    <row r="2613" spans="2:5" x14ac:dyDescent="0.3">
      <c r="B2613" s="274"/>
      <c r="C2613" s="108"/>
      <c r="D2613" s="261"/>
      <c r="E2613" s="261"/>
    </row>
    <row r="2614" spans="2:5" x14ac:dyDescent="0.3">
      <c r="B2614" s="274"/>
      <c r="C2614" s="108"/>
      <c r="D2614" s="261"/>
      <c r="E2614" s="261"/>
    </row>
    <row r="2615" spans="2:5" x14ac:dyDescent="0.3">
      <c r="B2615" s="274"/>
      <c r="C2615" s="108"/>
      <c r="D2615" s="261"/>
      <c r="E2615" s="261"/>
    </row>
    <row r="2616" spans="2:5" x14ac:dyDescent="0.3">
      <c r="B2616" s="274"/>
      <c r="C2616" s="108"/>
      <c r="D2616" s="261"/>
      <c r="E2616" s="261"/>
    </row>
    <row r="2617" spans="2:5" x14ac:dyDescent="0.3">
      <c r="B2617" s="274"/>
      <c r="C2617" s="108"/>
      <c r="D2617" s="261"/>
      <c r="E2617" s="261"/>
    </row>
    <row r="2618" spans="2:5" x14ac:dyDescent="0.3">
      <c r="B2618" s="274"/>
      <c r="C2618" s="108"/>
      <c r="D2618" s="261"/>
      <c r="E2618" s="261"/>
    </row>
    <row r="2619" spans="2:5" x14ac:dyDescent="0.3">
      <c r="B2619" s="274"/>
      <c r="C2619" s="108"/>
      <c r="D2619" s="261"/>
      <c r="E2619" s="261"/>
    </row>
    <row r="2620" spans="2:5" x14ac:dyDescent="0.3">
      <c r="B2620" s="274"/>
      <c r="C2620" s="108"/>
      <c r="D2620" s="261"/>
      <c r="E2620" s="261"/>
    </row>
    <row r="2621" spans="2:5" x14ac:dyDescent="0.3">
      <c r="B2621" s="274"/>
      <c r="C2621" s="108"/>
      <c r="D2621" s="261"/>
      <c r="E2621" s="261"/>
    </row>
    <row r="2622" spans="2:5" x14ac:dyDescent="0.3">
      <c r="B2622" s="274"/>
      <c r="C2622" s="108"/>
      <c r="D2622" s="261"/>
      <c r="E2622" s="261"/>
    </row>
    <row r="2623" spans="2:5" x14ac:dyDescent="0.3">
      <c r="B2623" s="274"/>
      <c r="C2623" s="108"/>
      <c r="D2623" s="261"/>
      <c r="E2623" s="261"/>
    </row>
    <row r="2624" spans="2:5" x14ac:dyDescent="0.3">
      <c r="B2624" s="274"/>
      <c r="C2624" s="108"/>
      <c r="D2624" s="261"/>
      <c r="E2624" s="261"/>
    </row>
    <row r="2625" spans="2:5" x14ac:dyDescent="0.3">
      <c r="B2625" s="274"/>
      <c r="C2625" s="108"/>
      <c r="D2625" s="261"/>
      <c r="E2625" s="261"/>
    </row>
    <row r="2626" spans="2:5" x14ac:dyDescent="0.3">
      <c r="B2626" s="274"/>
      <c r="C2626" s="108"/>
      <c r="D2626" s="261"/>
      <c r="E2626" s="261"/>
    </row>
    <row r="2627" spans="2:5" x14ac:dyDescent="0.3">
      <c r="B2627" s="274"/>
      <c r="C2627" s="108"/>
      <c r="D2627" s="261"/>
      <c r="E2627" s="261"/>
    </row>
    <row r="2628" spans="2:5" x14ac:dyDescent="0.3">
      <c r="B2628" s="274"/>
      <c r="C2628" s="108"/>
      <c r="D2628" s="261"/>
      <c r="E2628" s="261"/>
    </row>
    <row r="2629" spans="2:5" x14ac:dyDescent="0.3">
      <c r="B2629" s="274"/>
      <c r="C2629" s="108"/>
      <c r="D2629" s="261"/>
      <c r="E2629" s="261"/>
    </row>
    <row r="2630" spans="2:5" x14ac:dyDescent="0.3">
      <c r="B2630" s="274"/>
      <c r="C2630" s="108"/>
      <c r="D2630" s="261"/>
      <c r="E2630" s="261"/>
    </row>
    <row r="2631" spans="2:5" x14ac:dyDescent="0.3">
      <c r="B2631" s="274"/>
      <c r="C2631" s="108"/>
      <c r="D2631" s="261"/>
      <c r="E2631" s="261"/>
    </row>
    <row r="2632" spans="2:5" x14ac:dyDescent="0.3">
      <c r="B2632" s="274"/>
      <c r="C2632" s="108"/>
      <c r="D2632" s="261"/>
      <c r="E2632" s="261"/>
    </row>
    <row r="2633" spans="2:5" x14ac:dyDescent="0.3">
      <c r="B2633" s="274"/>
      <c r="C2633" s="108"/>
      <c r="D2633" s="261"/>
      <c r="E2633" s="261"/>
    </row>
    <row r="2634" spans="2:5" x14ac:dyDescent="0.3">
      <c r="B2634" s="274"/>
      <c r="C2634" s="108"/>
      <c r="D2634" s="261"/>
      <c r="E2634" s="261"/>
    </row>
    <row r="2635" spans="2:5" x14ac:dyDescent="0.3">
      <c r="B2635" s="274"/>
      <c r="C2635" s="108"/>
      <c r="D2635" s="261"/>
      <c r="E2635" s="261"/>
    </row>
    <row r="2636" spans="2:5" x14ac:dyDescent="0.3">
      <c r="B2636" s="274"/>
      <c r="C2636" s="108"/>
      <c r="D2636" s="261"/>
      <c r="E2636" s="261"/>
    </row>
    <row r="2637" spans="2:5" x14ac:dyDescent="0.3">
      <c r="B2637" s="274"/>
      <c r="C2637" s="108"/>
      <c r="D2637" s="261"/>
      <c r="E2637" s="261"/>
    </row>
    <row r="2638" spans="2:5" x14ac:dyDescent="0.3">
      <c r="B2638" s="274"/>
      <c r="C2638" s="108"/>
      <c r="D2638" s="261"/>
      <c r="E2638" s="261"/>
    </row>
    <row r="2639" spans="2:5" x14ac:dyDescent="0.3">
      <c r="B2639" s="274"/>
      <c r="C2639" s="108"/>
      <c r="D2639" s="261"/>
      <c r="E2639" s="261"/>
    </row>
    <row r="2640" spans="2:5" x14ac:dyDescent="0.3">
      <c r="B2640" s="274"/>
      <c r="C2640" s="108"/>
      <c r="D2640" s="261"/>
      <c r="E2640" s="261"/>
    </row>
    <row r="2641" spans="2:5" x14ac:dyDescent="0.3">
      <c r="B2641" s="274"/>
      <c r="C2641" s="108"/>
      <c r="D2641" s="261"/>
      <c r="E2641" s="261"/>
    </row>
    <row r="2642" spans="2:5" x14ac:dyDescent="0.3">
      <c r="B2642" s="274"/>
      <c r="C2642" s="108"/>
      <c r="D2642" s="261"/>
      <c r="E2642" s="261"/>
    </row>
    <row r="2643" spans="2:5" x14ac:dyDescent="0.3">
      <c r="B2643" s="274"/>
      <c r="C2643" s="108"/>
      <c r="D2643" s="261"/>
      <c r="E2643" s="261"/>
    </row>
    <row r="2644" spans="2:5" x14ac:dyDescent="0.3">
      <c r="B2644" s="274"/>
      <c r="C2644" s="108"/>
      <c r="D2644" s="261"/>
      <c r="E2644" s="261"/>
    </row>
    <row r="2645" spans="2:5" x14ac:dyDescent="0.3">
      <c r="B2645" s="274"/>
      <c r="C2645" s="108"/>
      <c r="D2645" s="261"/>
      <c r="E2645" s="261"/>
    </row>
    <row r="2646" spans="2:5" x14ac:dyDescent="0.3">
      <c r="B2646" s="274"/>
      <c r="C2646" s="108"/>
      <c r="D2646" s="261"/>
      <c r="E2646" s="261"/>
    </row>
    <row r="2647" spans="2:5" x14ac:dyDescent="0.3">
      <c r="B2647" s="274"/>
      <c r="C2647" s="108"/>
      <c r="D2647" s="261"/>
      <c r="E2647" s="261"/>
    </row>
    <row r="2648" spans="2:5" x14ac:dyDescent="0.3">
      <c r="B2648" s="274"/>
      <c r="C2648" s="108"/>
      <c r="D2648" s="261"/>
      <c r="E2648" s="261"/>
    </row>
    <row r="2649" spans="2:5" x14ac:dyDescent="0.3">
      <c r="B2649" s="274"/>
      <c r="C2649" s="108"/>
      <c r="D2649" s="261"/>
      <c r="E2649" s="261"/>
    </row>
    <row r="2650" spans="2:5" x14ac:dyDescent="0.3">
      <c r="B2650" s="274"/>
      <c r="C2650" s="108"/>
      <c r="D2650" s="261"/>
      <c r="E2650" s="261"/>
    </row>
    <row r="2651" spans="2:5" x14ac:dyDescent="0.3">
      <c r="B2651" s="274"/>
      <c r="C2651" s="108"/>
      <c r="D2651" s="261"/>
      <c r="E2651" s="261"/>
    </row>
    <row r="2652" spans="2:5" x14ac:dyDescent="0.3">
      <c r="B2652" s="274"/>
      <c r="C2652" s="108"/>
      <c r="D2652" s="261"/>
      <c r="E2652" s="261"/>
    </row>
    <row r="2653" spans="2:5" x14ac:dyDescent="0.3">
      <c r="B2653" s="274"/>
      <c r="C2653" s="108"/>
      <c r="D2653" s="261"/>
      <c r="E2653" s="261"/>
    </row>
    <row r="2654" spans="2:5" x14ac:dyDescent="0.3">
      <c r="B2654" s="274"/>
      <c r="C2654" s="108"/>
      <c r="D2654" s="261"/>
      <c r="E2654" s="261"/>
    </row>
    <row r="2655" spans="2:5" x14ac:dyDescent="0.3">
      <c r="B2655" s="274"/>
      <c r="C2655" s="108"/>
      <c r="D2655" s="261"/>
      <c r="E2655" s="261"/>
    </row>
    <row r="2656" spans="2:5" x14ac:dyDescent="0.3">
      <c r="B2656" s="274"/>
      <c r="C2656" s="108"/>
      <c r="D2656" s="261"/>
      <c r="E2656" s="261"/>
    </row>
    <row r="2657" spans="2:5" x14ac:dyDescent="0.3">
      <c r="B2657" s="274"/>
      <c r="C2657" s="108"/>
      <c r="D2657" s="261"/>
      <c r="E2657" s="261"/>
    </row>
    <row r="2658" spans="2:5" x14ac:dyDescent="0.3">
      <c r="B2658" s="274"/>
      <c r="C2658" s="108"/>
      <c r="D2658" s="261"/>
      <c r="E2658" s="261"/>
    </row>
    <row r="2659" spans="2:5" x14ac:dyDescent="0.3">
      <c r="B2659" s="274"/>
      <c r="C2659" s="108"/>
      <c r="D2659" s="261"/>
      <c r="E2659" s="261"/>
    </row>
    <row r="2660" spans="2:5" x14ac:dyDescent="0.3">
      <c r="B2660" s="274"/>
      <c r="C2660" s="108"/>
      <c r="D2660" s="261"/>
      <c r="E2660" s="261"/>
    </row>
    <row r="2661" spans="2:5" x14ac:dyDescent="0.3">
      <c r="B2661" s="274"/>
      <c r="C2661" s="108"/>
      <c r="D2661" s="261"/>
      <c r="E2661" s="261"/>
    </row>
    <row r="2662" spans="2:5" x14ac:dyDescent="0.3">
      <c r="B2662" s="274"/>
      <c r="C2662" s="108"/>
      <c r="D2662" s="261"/>
      <c r="E2662" s="261"/>
    </row>
    <row r="2663" spans="2:5" x14ac:dyDescent="0.3">
      <c r="B2663" s="274"/>
      <c r="C2663" s="108"/>
      <c r="D2663" s="261"/>
      <c r="E2663" s="261"/>
    </row>
    <row r="2664" spans="2:5" x14ac:dyDescent="0.3">
      <c r="B2664" s="274"/>
      <c r="C2664" s="108"/>
      <c r="D2664" s="261"/>
      <c r="E2664" s="261"/>
    </row>
    <row r="2665" spans="2:5" x14ac:dyDescent="0.3">
      <c r="B2665" s="274"/>
      <c r="C2665" s="108"/>
      <c r="D2665" s="261"/>
      <c r="E2665" s="261"/>
    </row>
    <row r="2666" spans="2:5" x14ac:dyDescent="0.3">
      <c r="B2666" s="274"/>
      <c r="C2666" s="108"/>
      <c r="D2666" s="261"/>
      <c r="E2666" s="261"/>
    </row>
    <row r="2667" spans="2:5" x14ac:dyDescent="0.3">
      <c r="B2667" s="274"/>
      <c r="C2667" s="108"/>
      <c r="D2667" s="261"/>
      <c r="E2667" s="261"/>
    </row>
    <row r="2668" spans="2:5" x14ac:dyDescent="0.3">
      <c r="B2668" s="274"/>
      <c r="C2668" s="108"/>
      <c r="D2668" s="261"/>
      <c r="E2668" s="261"/>
    </row>
    <row r="2669" spans="2:5" x14ac:dyDescent="0.3">
      <c r="B2669" s="274"/>
      <c r="C2669" s="108"/>
      <c r="D2669" s="261"/>
      <c r="E2669" s="261"/>
    </row>
    <row r="2670" spans="2:5" x14ac:dyDescent="0.3">
      <c r="B2670" s="274"/>
      <c r="C2670" s="108"/>
      <c r="D2670" s="261"/>
      <c r="E2670" s="261"/>
    </row>
    <row r="2671" spans="2:5" x14ac:dyDescent="0.3">
      <c r="B2671" s="274"/>
      <c r="C2671" s="108"/>
      <c r="D2671" s="261"/>
      <c r="E2671" s="261"/>
    </row>
    <row r="2672" spans="2:5" x14ac:dyDescent="0.3">
      <c r="B2672" s="274"/>
      <c r="C2672" s="108"/>
      <c r="D2672" s="261"/>
      <c r="E2672" s="261"/>
    </row>
    <row r="2673" spans="2:5" x14ac:dyDescent="0.3">
      <c r="B2673" s="274"/>
      <c r="C2673" s="108"/>
      <c r="D2673" s="261"/>
      <c r="E2673" s="261"/>
    </row>
    <row r="2674" spans="2:5" x14ac:dyDescent="0.3">
      <c r="B2674" s="274"/>
      <c r="C2674" s="108"/>
      <c r="D2674" s="261"/>
      <c r="E2674" s="261"/>
    </row>
    <row r="2675" spans="2:5" x14ac:dyDescent="0.3">
      <c r="B2675" s="274"/>
      <c r="C2675" s="108"/>
      <c r="D2675" s="261"/>
      <c r="E2675" s="261"/>
    </row>
    <row r="2676" spans="2:5" x14ac:dyDescent="0.3">
      <c r="B2676" s="274"/>
      <c r="C2676" s="108"/>
      <c r="D2676" s="261"/>
      <c r="E2676" s="261"/>
    </row>
    <row r="2677" spans="2:5" x14ac:dyDescent="0.3">
      <c r="B2677" s="274"/>
      <c r="C2677" s="108"/>
      <c r="D2677" s="261"/>
      <c r="E2677" s="261"/>
    </row>
    <row r="2678" spans="2:5" x14ac:dyDescent="0.3">
      <c r="B2678" s="274"/>
      <c r="C2678" s="108"/>
      <c r="D2678" s="261"/>
      <c r="E2678" s="261"/>
    </row>
    <row r="2679" spans="2:5" x14ac:dyDescent="0.3">
      <c r="B2679" s="274"/>
      <c r="C2679" s="108"/>
      <c r="D2679" s="261"/>
      <c r="E2679" s="261"/>
    </row>
    <row r="2680" spans="2:5" x14ac:dyDescent="0.3">
      <c r="B2680" s="274"/>
      <c r="C2680" s="108"/>
      <c r="D2680" s="261"/>
      <c r="E2680" s="261"/>
    </row>
    <row r="2681" spans="2:5" x14ac:dyDescent="0.3">
      <c r="B2681" s="274"/>
      <c r="C2681" s="108"/>
      <c r="D2681" s="261"/>
      <c r="E2681" s="261"/>
    </row>
    <row r="2682" spans="2:5" x14ac:dyDescent="0.3">
      <c r="B2682" s="274"/>
      <c r="C2682" s="108"/>
      <c r="D2682" s="261"/>
      <c r="E2682" s="261"/>
    </row>
    <row r="2683" spans="2:5" x14ac:dyDescent="0.3">
      <c r="B2683" s="274"/>
      <c r="C2683" s="108"/>
      <c r="D2683" s="261"/>
      <c r="E2683" s="261"/>
    </row>
    <row r="2684" spans="2:5" x14ac:dyDescent="0.3">
      <c r="B2684" s="274"/>
      <c r="C2684" s="108"/>
      <c r="D2684" s="261"/>
      <c r="E2684" s="261"/>
    </row>
    <row r="2685" spans="2:5" x14ac:dyDescent="0.3">
      <c r="B2685" s="274"/>
      <c r="C2685" s="108"/>
      <c r="D2685" s="261"/>
      <c r="E2685" s="261"/>
    </row>
    <row r="2686" spans="2:5" x14ac:dyDescent="0.3">
      <c r="B2686" s="274"/>
      <c r="C2686" s="108"/>
      <c r="D2686" s="261"/>
      <c r="E2686" s="261"/>
    </row>
    <row r="2687" spans="2:5" x14ac:dyDescent="0.3">
      <c r="B2687" s="274"/>
      <c r="C2687" s="108"/>
      <c r="D2687" s="261"/>
      <c r="E2687" s="261"/>
    </row>
    <row r="2688" spans="2:5" x14ac:dyDescent="0.3">
      <c r="B2688" s="274"/>
      <c r="C2688" s="108"/>
      <c r="D2688" s="261"/>
      <c r="E2688" s="261"/>
    </row>
    <row r="2689" spans="2:5" x14ac:dyDescent="0.3">
      <c r="B2689" s="274"/>
      <c r="C2689" s="108"/>
      <c r="D2689" s="261"/>
      <c r="E2689" s="261"/>
    </row>
    <row r="2690" spans="2:5" x14ac:dyDescent="0.3">
      <c r="B2690" s="274"/>
      <c r="C2690" s="108"/>
      <c r="D2690" s="261"/>
      <c r="E2690" s="261"/>
    </row>
    <row r="2691" spans="2:5" x14ac:dyDescent="0.3">
      <c r="B2691" s="274"/>
      <c r="C2691" s="108"/>
      <c r="D2691" s="261"/>
      <c r="E2691" s="261"/>
    </row>
    <row r="2692" spans="2:5" x14ac:dyDescent="0.3">
      <c r="B2692" s="274"/>
      <c r="C2692" s="108"/>
      <c r="D2692" s="261"/>
      <c r="E2692" s="261"/>
    </row>
    <row r="2693" spans="2:5" x14ac:dyDescent="0.3">
      <c r="B2693" s="274"/>
      <c r="C2693" s="108"/>
      <c r="D2693" s="261"/>
      <c r="E2693" s="261"/>
    </row>
    <row r="2694" spans="2:5" x14ac:dyDescent="0.3">
      <c r="B2694" s="274"/>
      <c r="C2694" s="108"/>
      <c r="D2694" s="261"/>
      <c r="E2694" s="261"/>
    </row>
    <row r="2695" spans="2:5" x14ac:dyDescent="0.3">
      <c r="B2695" s="274"/>
      <c r="C2695" s="108"/>
      <c r="D2695" s="261"/>
      <c r="E2695" s="261"/>
    </row>
    <row r="2696" spans="2:5" x14ac:dyDescent="0.3">
      <c r="B2696" s="274"/>
      <c r="C2696" s="108"/>
      <c r="D2696" s="261"/>
      <c r="E2696" s="261"/>
    </row>
    <row r="2697" spans="2:5" x14ac:dyDescent="0.3">
      <c r="B2697" s="274"/>
      <c r="C2697" s="108"/>
      <c r="D2697" s="261"/>
      <c r="E2697" s="261"/>
    </row>
    <row r="2698" spans="2:5" x14ac:dyDescent="0.3">
      <c r="B2698" s="274"/>
      <c r="C2698" s="108"/>
      <c r="D2698" s="261"/>
      <c r="E2698" s="261"/>
    </row>
    <row r="2699" spans="2:5" x14ac:dyDescent="0.3">
      <c r="B2699" s="274"/>
      <c r="C2699" s="108"/>
      <c r="D2699" s="261"/>
      <c r="E2699" s="261"/>
    </row>
    <row r="2700" spans="2:5" x14ac:dyDescent="0.3">
      <c r="B2700" s="274"/>
      <c r="C2700" s="108"/>
      <c r="D2700" s="261"/>
      <c r="E2700" s="261"/>
    </row>
    <row r="2701" spans="2:5" x14ac:dyDescent="0.3">
      <c r="B2701" s="274"/>
      <c r="C2701" s="108"/>
      <c r="D2701" s="261"/>
      <c r="E2701" s="261"/>
    </row>
    <row r="2702" spans="2:5" x14ac:dyDescent="0.3">
      <c r="B2702" s="274"/>
      <c r="C2702" s="108"/>
      <c r="D2702" s="261"/>
      <c r="E2702" s="261"/>
    </row>
    <row r="2703" spans="2:5" x14ac:dyDescent="0.3">
      <c r="B2703" s="274"/>
      <c r="C2703" s="108"/>
      <c r="D2703" s="261"/>
      <c r="E2703" s="261"/>
    </row>
    <row r="2704" spans="2:5" x14ac:dyDescent="0.3">
      <c r="B2704" s="274"/>
      <c r="C2704" s="108"/>
      <c r="D2704" s="261"/>
      <c r="E2704" s="261"/>
    </row>
    <row r="2705" spans="2:5" x14ac:dyDescent="0.3">
      <c r="B2705" s="274"/>
      <c r="C2705" s="108"/>
      <c r="D2705" s="261"/>
      <c r="E2705" s="261"/>
    </row>
    <row r="2706" spans="2:5" x14ac:dyDescent="0.3">
      <c r="B2706" s="274"/>
      <c r="C2706" s="108"/>
      <c r="D2706" s="261"/>
      <c r="E2706" s="261"/>
    </row>
    <row r="2707" spans="2:5" x14ac:dyDescent="0.3">
      <c r="B2707" s="274"/>
      <c r="C2707" s="108"/>
      <c r="D2707" s="261"/>
      <c r="E2707" s="261"/>
    </row>
    <row r="2708" spans="2:5" x14ac:dyDescent="0.3">
      <c r="B2708" s="274"/>
      <c r="C2708" s="108"/>
      <c r="D2708" s="261"/>
      <c r="E2708" s="261"/>
    </row>
    <row r="2709" spans="2:5" x14ac:dyDescent="0.3">
      <c r="B2709" s="274"/>
      <c r="C2709" s="108"/>
      <c r="D2709" s="261"/>
      <c r="E2709" s="261"/>
    </row>
    <row r="2710" spans="2:5" x14ac:dyDescent="0.3">
      <c r="B2710" s="274"/>
      <c r="C2710" s="108"/>
      <c r="D2710" s="261"/>
      <c r="E2710" s="261"/>
    </row>
    <row r="2711" spans="2:5" x14ac:dyDescent="0.3">
      <c r="B2711" s="274"/>
      <c r="C2711" s="108"/>
      <c r="D2711" s="261"/>
      <c r="E2711" s="261"/>
    </row>
    <row r="2712" spans="2:5" x14ac:dyDescent="0.3">
      <c r="B2712" s="274"/>
      <c r="C2712" s="108"/>
      <c r="D2712" s="261"/>
      <c r="E2712" s="261"/>
    </row>
    <row r="2713" spans="2:5" x14ac:dyDescent="0.3">
      <c r="B2713" s="274"/>
      <c r="C2713" s="108"/>
      <c r="D2713" s="261"/>
      <c r="E2713" s="261"/>
    </row>
    <row r="2714" spans="2:5" x14ac:dyDescent="0.3">
      <c r="B2714" s="274"/>
      <c r="C2714" s="108"/>
      <c r="D2714" s="261"/>
      <c r="E2714" s="261"/>
    </row>
    <row r="2715" spans="2:5" x14ac:dyDescent="0.3">
      <c r="B2715" s="274"/>
      <c r="C2715" s="108"/>
      <c r="D2715" s="261"/>
      <c r="E2715" s="261"/>
    </row>
    <row r="2716" spans="2:5" x14ac:dyDescent="0.3">
      <c r="B2716" s="274"/>
      <c r="C2716" s="108"/>
      <c r="D2716" s="261"/>
      <c r="E2716" s="261"/>
    </row>
    <row r="2717" spans="2:5" x14ac:dyDescent="0.3">
      <c r="B2717" s="274"/>
      <c r="C2717" s="108"/>
      <c r="D2717" s="261"/>
      <c r="E2717" s="261"/>
    </row>
    <row r="2718" spans="2:5" x14ac:dyDescent="0.3">
      <c r="B2718" s="274"/>
      <c r="C2718" s="108"/>
      <c r="D2718" s="261"/>
      <c r="E2718" s="261"/>
    </row>
    <row r="2719" spans="2:5" x14ac:dyDescent="0.3">
      <c r="B2719" s="274"/>
      <c r="C2719" s="108"/>
      <c r="D2719" s="261"/>
      <c r="E2719" s="261"/>
    </row>
    <row r="2720" spans="2:5" x14ac:dyDescent="0.3">
      <c r="B2720" s="274"/>
      <c r="C2720" s="108"/>
      <c r="D2720" s="261"/>
      <c r="E2720" s="261"/>
    </row>
    <row r="2721" spans="2:5" x14ac:dyDescent="0.3">
      <c r="B2721" s="274"/>
      <c r="C2721" s="108"/>
      <c r="D2721" s="261"/>
      <c r="E2721" s="261"/>
    </row>
    <row r="2722" spans="2:5" x14ac:dyDescent="0.3">
      <c r="B2722" s="274"/>
      <c r="C2722" s="108"/>
      <c r="D2722" s="261"/>
      <c r="E2722" s="261"/>
    </row>
    <row r="2723" spans="2:5" x14ac:dyDescent="0.3">
      <c r="B2723" s="274"/>
      <c r="C2723" s="108"/>
      <c r="D2723" s="261"/>
      <c r="E2723" s="261"/>
    </row>
    <row r="2724" spans="2:5" x14ac:dyDescent="0.3">
      <c r="B2724" s="274"/>
      <c r="C2724" s="108"/>
      <c r="D2724" s="261"/>
      <c r="E2724" s="261"/>
    </row>
    <row r="2725" spans="2:5" x14ac:dyDescent="0.3">
      <c r="B2725" s="274"/>
      <c r="C2725" s="108"/>
      <c r="D2725" s="261"/>
      <c r="E2725" s="261"/>
    </row>
    <row r="2726" spans="2:5" x14ac:dyDescent="0.3">
      <c r="B2726" s="274"/>
      <c r="C2726" s="108"/>
      <c r="D2726" s="261"/>
      <c r="E2726" s="261"/>
    </row>
    <row r="2727" spans="2:5" x14ac:dyDescent="0.3">
      <c r="B2727" s="274"/>
      <c r="C2727" s="108"/>
      <c r="D2727" s="261"/>
      <c r="E2727" s="261"/>
    </row>
    <row r="2728" spans="2:5" x14ac:dyDescent="0.3">
      <c r="B2728" s="274"/>
      <c r="C2728" s="108"/>
      <c r="D2728" s="261"/>
      <c r="E2728" s="261"/>
    </row>
    <row r="2729" spans="2:5" x14ac:dyDescent="0.3">
      <c r="B2729" s="274"/>
      <c r="C2729" s="108"/>
      <c r="D2729" s="261"/>
      <c r="E2729" s="261"/>
    </row>
    <row r="2730" spans="2:5" x14ac:dyDescent="0.3">
      <c r="B2730" s="274"/>
      <c r="C2730" s="108"/>
      <c r="D2730" s="261"/>
      <c r="E2730" s="261"/>
    </row>
    <row r="2731" spans="2:5" x14ac:dyDescent="0.3">
      <c r="B2731" s="274"/>
      <c r="C2731" s="108"/>
      <c r="D2731" s="261"/>
      <c r="E2731" s="261"/>
    </row>
    <row r="2732" spans="2:5" x14ac:dyDescent="0.3">
      <c r="B2732" s="274"/>
      <c r="C2732" s="108"/>
      <c r="D2732" s="261"/>
      <c r="E2732" s="261"/>
    </row>
    <row r="2733" spans="2:5" x14ac:dyDescent="0.3">
      <c r="B2733" s="274"/>
      <c r="C2733" s="108"/>
      <c r="D2733" s="261"/>
      <c r="E2733" s="261"/>
    </row>
    <row r="2734" spans="2:5" x14ac:dyDescent="0.3">
      <c r="B2734" s="274"/>
      <c r="C2734" s="108"/>
      <c r="D2734" s="261"/>
      <c r="E2734" s="261"/>
    </row>
    <row r="2735" spans="2:5" x14ac:dyDescent="0.3">
      <c r="B2735" s="274"/>
      <c r="C2735" s="108"/>
      <c r="D2735" s="261"/>
      <c r="E2735" s="261"/>
    </row>
    <row r="2736" spans="2:5" x14ac:dyDescent="0.3">
      <c r="B2736" s="274"/>
      <c r="C2736" s="108"/>
      <c r="D2736" s="261"/>
      <c r="E2736" s="261"/>
    </row>
    <row r="2737" spans="2:5" x14ac:dyDescent="0.3">
      <c r="B2737" s="274"/>
      <c r="C2737" s="108"/>
      <c r="D2737" s="261"/>
      <c r="E2737" s="261"/>
    </row>
    <row r="2738" spans="2:5" x14ac:dyDescent="0.3">
      <c r="B2738" s="274"/>
      <c r="C2738" s="108"/>
      <c r="D2738" s="261"/>
      <c r="E2738" s="261"/>
    </row>
    <row r="2739" spans="2:5" x14ac:dyDescent="0.3">
      <c r="B2739" s="274"/>
      <c r="C2739" s="108"/>
      <c r="D2739" s="261"/>
      <c r="E2739" s="261"/>
    </row>
    <row r="2740" spans="2:5" x14ac:dyDescent="0.3">
      <c r="B2740" s="274"/>
      <c r="C2740" s="108"/>
      <c r="D2740" s="261"/>
      <c r="E2740" s="261"/>
    </row>
    <row r="2741" spans="2:5" x14ac:dyDescent="0.3">
      <c r="B2741" s="274"/>
      <c r="C2741" s="108"/>
      <c r="D2741" s="261"/>
      <c r="E2741" s="261"/>
    </row>
    <row r="2742" spans="2:5" x14ac:dyDescent="0.3">
      <c r="B2742" s="274"/>
      <c r="C2742" s="108"/>
      <c r="D2742" s="261"/>
      <c r="E2742" s="261"/>
    </row>
    <row r="2743" spans="2:5" x14ac:dyDescent="0.3">
      <c r="B2743" s="274"/>
      <c r="C2743" s="108"/>
      <c r="D2743" s="261"/>
      <c r="E2743" s="261"/>
    </row>
    <row r="2744" spans="2:5" x14ac:dyDescent="0.3">
      <c r="B2744" s="274"/>
      <c r="C2744" s="108"/>
      <c r="D2744" s="261"/>
      <c r="E2744" s="261"/>
    </row>
    <row r="2745" spans="2:5" x14ac:dyDescent="0.3">
      <c r="B2745" s="274"/>
      <c r="C2745" s="108"/>
      <c r="D2745" s="261"/>
      <c r="E2745" s="261"/>
    </row>
    <row r="2746" spans="2:5" x14ac:dyDescent="0.3">
      <c r="B2746" s="274"/>
      <c r="C2746" s="108"/>
      <c r="D2746" s="261"/>
      <c r="E2746" s="261"/>
    </row>
    <row r="2747" spans="2:5" x14ac:dyDescent="0.3">
      <c r="B2747" s="274"/>
      <c r="C2747" s="108"/>
      <c r="D2747" s="261"/>
      <c r="E2747" s="261"/>
    </row>
    <row r="2748" spans="2:5" x14ac:dyDescent="0.3">
      <c r="B2748" s="274"/>
      <c r="C2748" s="108"/>
      <c r="D2748" s="261"/>
      <c r="E2748" s="261"/>
    </row>
    <row r="2749" spans="2:5" x14ac:dyDescent="0.3">
      <c r="B2749" s="274"/>
      <c r="C2749" s="108"/>
      <c r="D2749" s="261"/>
      <c r="E2749" s="261"/>
    </row>
    <row r="2750" spans="2:5" x14ac:dyDescent="0.3">
      <c r="B2750" s="274"/>
      <c r="C2750" s="108"/>
      <c r="D2750" s="261"/>
      <c r="E2750" s="261"/>
    </row>
    <row r="2751" spans="2:5" x14ac:dyDescent="0.3">
      <c r="B2751" s="274"/>
      <c r="C2751" s="108"/>
      <c r="D2751" s="261"/>
      <c r="E2751" s="261"/>
    </row>
    <row r="2752" spans="2:5" x14ac:dyDescent="0.3">
      <c r="B2752" s="274"/>
      <c r="C2752" s="108"/>
      <c r="D2752" s="261"/>
      <c r="E2752" s="261"/>
    </row>
    <row r="2753" spans="2:5" x14ac:dyDescent="0.3">
      <c r="B2753" s="274"/>
      <c r="C2753" s="108"/>
      <c r="D2753" s="261"/>
      <c r="E2753" s="261"/>
    </row>
    <row r="2754" spans="2:5" x14ac:dyDescent="0.3">
      <c r="B2754" s="274"/>
      <c r="C2754" s="108"/>
      <c r="D2754" s="261"/>
      <c r="E2754" s="261"/>
    </row>
    <row r="2755" spans="2:5" x14ac:dyDescent="0.3">
      <c r="B2755" s="274"/>
      <c r="C2755" s="108"/>
      <c r="D2755" s="261"/>
      <c r="E2755" s="261"/>
    </row>
    <row r="2756" spans="2:5" x14ac:dyDescent="0.3">
      <c r="B2756" s="274"/>
      <c r="C2756" s="108"/>
      <c r="D2756" s="261"/>
      <c r="E2756" s="261"/>
    </row>
    <row r="2757" spans="2:5" x14ac:dyDescent="0.3">
      <c r="B2757" s="274"/>
      <c r="C2757" s="108"/>
      <c r="D2757" s="261"/>
      <c r="E2757" s="261"/>
    </row>
    <row r="2758" spans="2:5" x14ac:dyDescent="0.3">
      <c r="B2758" s="274"/>
      <c r="C2758" s="108"/>
      <c r="D2758" s="261"/>
      <c r="E2758" s="261"/>
    </row>
    <row r="2759" spans="2:5" x14ac:dyDescent="0.3">
      <c r="B2759" s="274"/>
      <c r="C2759" s="108"/>
      <c r="D2759" s="261"/>
      <c r="E2759" s="261"/>
    </row>
    <row r="2760" spans="2:5" x14ac:dyDescent="0.3">
      <c r="B2760" s="274"/>
      <c r="C2760" s="108"/>
      <c r="D2760" s="261"/>
      <c r="E2760" s="261"/>
    </row>
    <row r="2761" spans="2:5" x14ac:dyDescent="0.3">
      <c r="B2761" s="274"/>
      <c r="C2761" s="108"/>
      <c r="D2761" s="261"/>
      <c r="E2761" s="261"/>
    </row>
    <row r="2762" spans="2:5" x14ac:dyDescent="0.3">
      <c r="B2762" s="274"/>
      <c r="C2762" s="108"/>
      <c r="D2762" s="261"/>
      <c r="E2762" s="261"/>
    </row>
    <row r="2763" spans="2:5" x14ac:dyDescent="0.3">
      <c r="B2763" s="274"/>
      <c r="C2763" s="108"/>
      <c r="D2763" s="261"/>
      <c r="E2763" s="261"/>
    </row>
    <row r="2764" spans="2:5" x14ac:dyDescent="0.3">
      <c r="B2764" s="274"/>
      <c r="C2764" s="108"/>
      <c r="D2764" s="261"/>
      <c r="E2764" s="261"/>
    </row>
    <row r="2765" spans="2:5" x14ac:dyDescent="0.3">
      <c r="B2765" s="274"/>
      <c r="C2765" s="108"/>
      <c r="D2765" s="261"/>
      <c r="E2765" s="261"/>
    </row>
    <row r="2766" spans="2:5" x14ac:dyDescent="0.3">
      <c r="B2766" s="274"/>
      <c r="C2766" s="108"/>
      <c r="D2766" s="261"/>
      <c r="E2766" s="261"/>
    </row>
    <row r="2767" spans="2:5" x14ac:dyDescent="0.3">
      <c r="B2767" s="274"/>
      <c r="C2767" s="108"/>
      <c r="D2767" s="261"/>
      <c r="E2767" s="261"/>
    </row>
    <row r="2768" spans="2:5" x14ac:dyDescent="0.3">
      <c r="B2768" s="274"/>
      <c r="C2768" s="108"/>
      <c r="D2768" s="261"/>
      <c r="E2768" s="261"/>
    </row>
    <row r="2769" spans="2:5" x14ac:dyDescent="0.3">
      <c r="B2769" s="274"/>
      <c r="C2769" s="108"/>
      <c r="D2769" s="261"/>
      <c r="E2769" s="261"/>
    </row>
    <row r="2770" spans="2:5" x14ac:dyDescent="0.3">
      <c r="B2770" s="274"/>
      <c r="C2770" s="108"/>
      <c r="D2770" s="261"/>
      <c r="E2770" s="261"/>
    </row>
    <row r="2771" spans="2:5" x14ac:dyDescent="0.3">
      <c r="B2771" s="274"/>
      <c r="C2771" s="108"/>
      <c r="D2771" s="261"/>
      <c r="E2771" s="261"/>
    </row>
    <row r="2772" spans="2:5" x14ac:dyDescent="0.3">
      <c r="B2772" s="274"/>
      <c r="C2772" s="108"/>
      <c r="D2772" s="261"/>
      <c r="E2772" s="261"/>
    </row>
    <row r="2773" spans="2:5" x14ac:dyDescent="0.3">
      <c r="B2773" s="274"/>
      <c r="C2773" s="108"/>
      <c r="D2773" s="261"/>
      <c r="E2773" s="261"/>
    </row>
    <row r="2774" spans="2:5" x14ac:dyDescent="0.3">
      <c r="B2774" s="274"/>
      <c r="C2774" s="108"/>
      <c r="D2774" s="261"/>
      <c r="E2774" s="261"/>
    </row>
    <row r="2775" spans="2:5" x14ac:dyDescent="0.3">
      <c r="B2775" s="274"/>
      <c r="C2775" s="108"/>
      <c r="D2775" s="261"/>
      <c r="E2775" s="261"/>
    </row>
    <row r="2776" spans="2:5" x14ac:dyDescent="0.3">
      <c r="B2776" s="274"/>
      <c r="C2776" s="108"/>
      <c r="D2776" s="261"/>
      <c r="E2776" s="261"/>
    </row>
    <row r="2777" spans="2:5" x14ac:dyDescent="0.3">
      <c r="B2777" s="274"/>
      <c r="C2777" s="108"/>
      <c r="D2777" s="261"/>
      <c r="E2777" s="261"/>
    </row>
    <row r="2778" spans="2:5" x14ac:dyDescent="0.3">
      <c r="B2778" s="274"/>
      <c r="C2778" s="108"/>
      <c r="D2778" s="261"/>
      <c r="E2778" s="261"/>
    </row>
    <row r="2779" spans="2:5" x14ac:dyDescent="0.3">
      <c r="B2779" s="274"/>
      <c r="C2779" s="108"/>
      <c r="D2779" s="261"/>
      <c r="E2779" s="261"/>
    </row>
    <row r="2780" spans="2:5" x14ac:dyDescent="0.3">
      <c r="B2780" s="274"/>
      <c r="C2780" s="108"/>
      <c r="D2780" s="261"/>
      <c r="E2780" s="261"/>
    </row>
    <row r="2781" spans="2:5" x14ac:dyDescent="0.3">
      <c r="B2781" s="274"/>
      <c r="C2781" s="108"/>
      <c r="D2781" s="261"/>
      <c r="E2781" s="261"/>
    </row>
    <row r="2782" spans="2:5" x14ac:dyDescent="0.3">
      <c r="B2782" s="274"/>
      <c r="C2782" s="108"/>
      <c r="D2782" s="261"/>
      <c r="E2782" s="261"/>
    </row>
    <row r="2783" spans="2:5" x14ac:dyDescent="0.3">
      <c r="B2783" s="274"/>
      <c r="C2783" s="108"/>
      <c r="D2783" s="261"/>
      <c r="E2783" s="261"/>
    </row>
    <row r="2784" spans="2:5" x14ac:dyDescent="0.3">
      <c r="B2784" s="274"/>
      <c r="C2784" s="108"/>
      <c r="D2784" s="261"/>
      <c r="E2784" s="261"/>
    </row>
    <row r="2785" spans="2:5" x14ac:dyDescent="0.3">
      <c r="B2785" s="274"/>
      <c r="C2785" s="108"/>
      <c r="D2785" s="261"/>
      <c r="E2785" s="261"/>
    </row>
    <row r="2786" spans="2:5" x14ac:dyDescent="0.3">
      <c r="B2786" s="274"/>
      <c r="C2786" s="108"/>
      <c r="D2786" s="261"/>
      <c r="E2786" s="261"/>
    </row>
    <row r="2787" spans="2:5" x14ac:dyDescent="0.3">
      <c r="B2787" s="274"/>
      <c r="C2787" s="108"/>
      <c r="D2787" s="261"/>
      <c r="E2787" s="261"/>
    </row>
    <row r="2788" spans="2:5" x14ac:dyDescent="0.3">
      <c r="B2788" s="274"/>
      <c r="C2788" s="108"/>
      <c r="D2788" s="261"/>
      <c r="E2788" s="261"/>
    </row>
    <row r="2789" spans="2:5" x14ac:dyDescent="0.3">
      <c r="B2789" s="274"/>
      <c r="C2789" s="108"/>
      <c r="D2789" s="261"/>
      <c r="E2789" s="261"/>
    </row>
    <row r="2790" spans="2:5" x14ac:dyDescent="0.3">
      <c r="B2790" s="274"/>
      <c r="C2790" s="108"/>
      <c r="D2790" s="261"/>
      <c r="E2790" s="261"/>
    </row>
    <row r="2791" spans="2:5" x14ac:dyDescent="0.3">
      <c r="B2791" s="274"/>
      <c r="C2791" s="108"/>
      <c r="D2791" s="261"/>
      <c r="E2791" s="261"/>
    </row>
    <row r="2792" spans="2:5" x14ac:dyDescent="0.3">
      <c r="B2792" s="274"/>
      <c r="C2792" s="108"/>
      <c r="D2792" s="261"/>
      <c r="E2792" s="261"/>
    </row>
    <row r="2793" spans="2:5" x14ac:dyDescent="0.3">
      <c r="B2793" s="274"/>
      <c r="C2793" s="108"/>
      <c r="D2793" s="261"/>
      <c r="E2793" s="261"/>
    </row>
    <row r="2794" spans="2:5" x14ac:dyDescent="0.3">
      <c r="B2794" s="274"/>
      <c r="C2794" s="108"/>
      <c r="D2794" s="261"/>
      <c r="E2794" s="261"/>
    </row>
    <row r="2795" spans="2:5" x14ac:dyDescent="0.3">
      <c r="B2795" s="274"/>
      <c r="C2795" s="108"/>
      <c r="D2795" s="261"/>
      <c r="E2795" s="261"/>
    </row>
    <row r="2796" spans="2:5" x14ac:dyDescent="0.3">
      <c r="B2796" s="274"/>
      <c r="C2796" s="108"/>
      <c r="D2796" s="261"/>
      <c r="E2796" s="261"/>
    </row>
    <row r="2797" spans="2:5" x14ac:dyDescent="0.3">
      <c r="B2797" s="274"/>
      <c r="C2797" s="108"/>
      <c r="D2797" s="261"/>
      <c r="E2797" s="261"/>
    </row>
    <row r="2798" spans="2:5" x14ac:dyDescent="0.3">
      <c r="B2798" s="274"/>
      <c r="C2798" s="108"/>
      <c r="D2798" s="261"/>
      <c r="E2798" s="261"/>
    </row>
    <row r="2799" spans="2:5" x14ac:dyDescent="0.3">
      <c r="B2799" s="274"/>
      <c r="C2799" s="108"/>
      <c r="D2799" s="261"/>
      <c r="E2799" s="261"/>
    </row>
    <row r="2800" spans="2:5" x14ac:dyDescent="0.3">
      <c r="B2800" s="274"/>
      <c r="C2800" s="108"/>
      <c r="D2800" s="261"/>
      <c r="E2800" s="261"/>
    </row>
    <row r="2801" spans="2:5" x14ac:dyDescent="0.3">
      <c r="B2801" s="274"/>
      <c r="C2801" s="108"/>
      <c r="D2801" s="261"/>
      <c r="E2801" s="261"/>
    </row>
    <row r="2802" spans="2:5" x14ac:dyDescent="0.3">
      <c r="B2802" s="274"/>
      <c r="C2802" s="108"/>
      <c r="D2802" s="261"/>
      <c r="E2802" s="261"/>
    </row>
    <row r="2803" spans="2:5" x14ac:dyDescent="0.3">
      <c r="B2803" s="274"/>
      <c r="C2803" s="108"/>
      <c r="D2803" s="261"/>
      <c r="E2803" s="261"/>
    </row>
    <row r="2804" spans="2:5" x14ac:dyDescent="0.3">
      <c r="B2804" s="274"/>
      <c r="C2804" s="108"/>
      <c r="D2804" s="261"/>
      <c r="E2804" s="261"/>
    </row>
    <row r="2805" spans="2:5" x14ac:dyDescent="0.3">
      <c r="B2805" s="274"/>
      <c r="C2805" s="108"/>
      <c r="D2805" s="261"/>
      <c r="E2805" s="261"/>
    </row>
    <row r="2806" spans="2:5" x14ac:dyDescent="0.3">
      <c r="B2806" s="274"/>
      <c r="C2806" s="108"/>
      <c r="D2806" s="261"/>
      <c r="E2806" s="261"/>
    </row>
    <row r="2807" spans="2:5" x14ac:dyDescent="0.3">
      <c r="B2807" s="274"/>
      <c r="C2807" s="108"/>
      <c r="D2807" s="261"/>
      <c r="E2807" s="261"/>
    </row>
    <row r="2808" spans="2:5" x14ac:dyDescent="0.3">
      <c r="B2808" s="274"/>
      <c r="C2808" s="108"/>
      <c r="D2808" s="261"/>
      <c r="E2808" s="261"/>
    </row>
    <row r="2809" spans="2:5" x14ac:dyDescent="0.3">
      <c r="B2809" s="274"/>
      <c r="C2809" s="108"/>
      <c r="D2809" s="261"/>
      <c r="E2809" s="261"/>
    </row>
    <row r="2810" spans="2:5" x14ac:dyDescent="0.3">
      <c r="B2810" s="274"/>
      <c r="C2810" s="108"/>
      <c r="D2810" s="261"/>
      <c r="E2810" s="261"/>
    </row>
    <row r="2811" spans="2:5" x14ac:dyDescent="0.3">
      <c r="B2811" s="274"/>
      <c r="C2811" s="108"/>
      <c r="D2811" s="261"/>
      <c r="E2811" s="261"/>
    </row>
    <row r="2812" spans="2:5" x14ac:dyDescent="0.3">
      <c r="B2812" s="274"/>
      <c r="C2812" s="108"/>
      <c r="D2812" s="261"/>
      <c r="E2812" s="261"/>
    </row>
    <row r="2813" spans="2:5" x14ac:dyDescent="0.3">
      <c r="B2813" s="274"/>
      <c r="C2813" s="108"/>
      <c r="D2813" s="261"/>
      <c r="E2813" s="261"/>
    </row>
    <row r="2814" spans="2:5" x14ac:dyDescent="0.3">
      <c r="B2814" s="274"/>
      <c r="C2814" s="108"/>
      <c r="D2814" s="261"/>
      <c r="E2814" s="261"/>
    </row>
    <row r="2815" spans="2:5" x14ac:dyDescent="0.3">
      <c r="B2815" s="274"/>
      <c r="C2815" s="108"/>
      <c r="D2815" s="261"/>
      <c r="E2815" s="261"/>
    </row>
    <row r="2816" spans="2:5" x14ac:dyDescent="0.3">
      <c r="B2816" s="274"/>
      <c r="C2816" s="108"/>
      <c r="D2816" s="261"/>
      <c r="E2816" s="261"/>
    </row>
    <row r="2817" spans="2:5" x14ac:dyDescent="0.3">
      <c r="B2817" s="274"/>
      <c r="C2817" s="108"/>
      <c r="D2817" s="261"/>
      <c r="E2817" s="261"/>
    </row>
    <row r="2818" spans="2:5" x14ac:dyDescent="0.3">
      <c r="B2818" s="274"/>
      <c r="C2818" s="108"/>
      <c r="D2818" s="261"/>
      <c r="E2818" s="261"/>
    </row>
    <row r="2819" spans="2:5" x14ac:dyDescent="0.3">
      <c r="B2819" s="274"/>
      <c r="C2819" s="108"/>
      <c r="D2819" s="261"/>
      <c r="E2819" s="261"/>
    </row>
    <row r="2820" spans="2:5" x14ac:dyDescent="0.3">
      <c r="B2820" s="274"/>
      <c r="C2820" s="108"/>
      <c r="D2820" s="261"/>
      <c r="E2820" s="261"/>
    </row>
    <row r="2821" spans="2:5" x14ac:dyDescent="0.3">
      <c r="B2821" s="274"/>
      <c r="C2821" s="108"/>
      <c r="D2821" s="261"/>
      <c r="E2821" s="261"/>
    </row>
    <row r="2822" spans="2:5" x14ac:dyDescent="0.3">
      <c r="B2822" s="274"/>
      <c r="C2822" s="108"/>
      <c r="D2822" s="261"/>
      <c r="E2822" s="261"/>
    </row>
    <row r="2823" spans="2:5" x14ac:dyDescent="0.3">
      <c r="B2823" s="274"/>
      <c r="C2823" s="108"/>
      <c r="D2823" s="261"/>
      <c r="E2823" s="261"/>
    </row>
    <row r="2824" spans="2:5" x14ac:dyDescent="0.3">
      <c r="B2824" s="274"/>
      <c r="C2824" s="108"/>
      <c r="D2824" s="261"/>
      <c r="E2824" s="261"/>
    </row>
    <row r="2825" spans="2:5" x14ac:dyDescent="0.3">
      <c r="B2825" s="274"/>
      <c r="C2825" s="108"/>
      <c r="D2825" s="261"/>
      <c r="E2825" s="261"/>
    </row>
    <row r="2826" spans="2:5" x14ac:dyDescent="0.3">
      <c r="B2826" s="274"/>
      <c r="C2826" s="108"/>
      <c r="D2826" s="261"/>
      <c r="E2826" s="261"/>
    </row>
    <row r="2827" spans="2:5" x14ac:dyDescent="0.3">
      <c r="B2827" s="274"/>
      <c r="C2827" s="108"/>
      <c r="D2827" s="261"/>
      <c r="E2827" s="261"/>
    </row>
    <row r="2828" spans="2:5" x14ac:dyDescent="0.3">
      <c r="B2828" s="274"/>
      <c r="C2828" s="108"/>
      <c r="D2828" s="261"/>
      <c r="E2828" s="261"/>
    </row>
    <row r="2829" spans="2:5" x14ac:dyDescent="0.3">
      <c r="B2829" s="274"/>
      <c r="C2829" s="108"/>
      <c r="D2829" s="261"/>
      <c r="E2829" s="261"/>
    </row>
    <row r="2830" spans="2:5" x14ac:dyDescent="0.3">
      <c r="B2830" s="274"/>
      <c r="C2830" s="108"/>
      <c r="D2830" s="261"/>
      <c r="E2830" s="261"/>
    </row>
    <row r="2831" spans="2:5" x14ac:dyDescent="0.3">
      <c r="B2831" s="274"/>
      <c r="C2831" s="108"/>
      <c r="D2831" s="261"/>
      <c r="E2831" s="261"/>
    </row>
    <row r="2832" spans="2:5" x14ac:dyDescent="0.3">
      <c r="B2832" s="274"/>
      <c r="C2832" s="108"/>
      <c r="D2832" s="261"/>
      <c r="E2832" s="261"/>
    </row>
    <row r="2833" spans="2:5" x14ac:dyDescent="0.3">
      <c r="B2833" s="274"/>
      <c r="C2833" s="108"/>
      <c r="D2833" s="261"/>
      <c r="E2833" s="261"/>
    </row>
    <row r="2834" spans="2:5" x14ac:dyDescent="0.3">
      <c r="B2834" s="274"/>
      <c r="C2834" s="108"/>
      <c r="D2834" s="261"/>
      <c r="E2834" s="261"/>
    </row>
    <row r="2835" spans="2:5" x14ac:dyDescent="0.3">
      <c r="B2835" s="274"/>
      <c r="C2835" s="108"/>
      <c r="D2835" s="261"/>
      <c r="E2835" s="261"/>
    </row>
    <row r="2836" spans="2:5" x14ac:dyDescent="0.3">
      <c r="B2836" s="274"/>
      <c r="C2836" s="108"/>
      <c r="D2836" s="261"/>
      <c r="E2836" s="261"/>
    </row>
    <row r="2837" spans="2:5" x14ac:dyDescent="0.3">
      <c r="B2837" s="274"/>
      <c r="C2837" s="108"/>
      <c r="D2837" s="261"/>
      <c r="E2837" s="261"/>
    </row>
    <row r="2838" spans="2:5" x14ac:dyDescent="0.3">
      <c r="B2838" s="274"/>
      <c r="C2838" s="108"/>
      <c r="D2838" s="261"/>
      <c r="E2838" s="261"/>
    </row>
    <row r="2839" spans="2:5" x14ac:dyDescent="0.3">
      <c r="B2839" s="274"/>
      <c r="C2839" s="108"/>
      <c r="D2839" s="261"/>
      <c r="E2839" s="261"/>
    </row>
    <row r="2840" spans="2:5" x14ac:dyDescent="0.3">
      <c r="B2840" s="274"/>
      <c r="C2840" s="108"/>
      <c r="D2840" s="261"/>
      <c r="E2840" s="261"/>
    </row>
    <row r="2841" spans="2:5" x14ac:dyDescent="0.3">
      <c r="B2841" s="274"/>
      <c r="C2841" s="108"/>
      <c r="D2841" s="261"/>
      <c r="E2841" s="261"/>
    </row>
    <row r="2842" spans="2:5" x14ac:dyDescent="0.3">
      <c r="B2842" s="274"/>
      <c r="C2842" s="108"/>
      <c r="D2842" s="261"/>
      <c r="E2842" s="261"/>
    </row>
    <row r="2843" spans="2:5" x14ac:dyDescent="0.3">
      <c r="B2843" s="274"/>
      <c r="C2843" s="108"/>
      <c r="D2843" s="261"/>
      <c r="E2843" s="261"/>
    </row>
    <row r="2844" spans="2:5" x14ac:dyDescent="0.3">
      <c r="B2844" s="274"/>
      <c r="C2844" s="108"/>
      <c r="D2844" s="261"/>
      <c r="E2844" s="261"/>
    </row>
    <row r="2845" spans="2:5" x14ac:dyDescent="0.3">
      <c r="B2845" s="274"/>
      <c r="C2845" s="108"/>
      <c r="D2845" s="261"/>
      <c r="E2845" s="261"/>
    </row>
    <row r="2846" spans="2:5" x14ac:dyDescent="0.3">
      <c r="B2846" s="274"/>
      <c r="C2846" s="108"/>
      <c r="D2846" s="261"/>
      <c r="E2846" s="261"/>
    </row>
    <row r="2847" spans="2:5" x14ac:dyDescent="0.3">
      <c r="B2847" s="274"/>
      <c r="C2847" s="108"/>
      <c r="D2847" s="261"/>
      <c r="E2847" s="261"/>
    </row>
    <row r="2848" spans="2:5" x14ac:dyDescent="0.3">
      <c r="B2848" s="274"/>
      <c r="C2848" s="108"/>
      <c r="D2848" s="261"/>
      <c r="E2848" s="261"/>
    </row>
    <row r="2849" spans="2:5" x14ac:dyDescent="0.3">
      <c r="B2849" s="274"/>
      <c r="C2849" s="108"/>
      <c r="D2849" s="261"/>
      <c r="E2849" s="261"/>
    </row>
    <row r="2850" spans="2:5" x14ac:dyDescent="0.3">
      <c r="B2850" s="274"/>
      <c r="C2850" s="108"/>
      <c r="D2850" s="261"/>
      <c r="E2850" s="261"/>
    </row>
    <row r="2851" spans="2:5" x14ac:dyDescent="0.3">
      <c r="B2851" s="274"/>
      <c r="C2851" s="108"/>
      <c r="D2851" s="261"/>
      <c r="E2851" s="261"/>
    </row>
    <row r="2852" spans="2:5" x14ac:dyDescent="0.3">
      <c r="B2852" s="274"/>
      <c r="C2852" s="108"/>
      <c r="D2852" s="261"/>
      <c r="E2852" s="261"/>
    </row>
    <row r="2853" spans="2:5" x14ac:dyDescent="0.3">
      <c r="B2853" s="274"/>
      <c r="C2853" s="108"/>
      <c r="D2853" s="261"/>
      <c r="E2853" s="261"/>
    </row>
    <row r="2854" spans="2:5" x14ac:dyDescent="0.3">
      <c r="B2854" s="274"/>
      <c r="C2854" s="108"/>
      <c r="D2854" s="261"/>
      <c r="E2854" s="261"/>
    </row>
    <row r="2855" spans="2:5" x14ac:dyDescent="0.3">
      <c r="B2855" s="274"/>
      <c r="C2855" s="108"/>
      <c r="D2855" s="261"/>
      <c r="E2855" s="261"/>
    </row>
    <row r="2856" spans="2:5" x14ac:dyDescent="0.3">
      <c r="B2856" s="274"/>
      <c r="C2856" s="108"/>
      <c r="D2856" s="261"/>
      <c r="E2856" s="261"/>
    </row>
    <row r="2857" spans="2:5" x14ac:dyDescent="0.3">
      <c r="B2857" s="274"/>
      <c r="C2857" s="108"/>
      <c r="D2857" s="261"/>
      <c r="E2857" s="261"/>
    </row>
    <row r="2858" spans="2:5" x14ac:dyDescent="0.3">
      <c r="B2858" s="274"/>
      <c r="C2858" s="108"/>
      <c r="D2858" s="261"/>
      <c r="E2858" s="261"/>
    </row>
    <row r="2859" spans="2:5" x14ac:dyDescent="0.3">
      <c r="B2859" s="274"/>
      <c r="C2859" s="108"/>
      <c r="D2859" s="261"/>
      <c r="E2859" s="261"/>
    </row>
    <row r="2860" spans="2:5" x14ac:dyDescent="0.3">
      <c r="B2860" s="274"/>
      <c r="C2860" s="108"/>
      <c r="D2860" s="261"/>
      <c r="E2860" s="261"/>
    </row>
    <row r="2861" spans="2:5" x14ac:dyDescent="0.3">
      <c r="B2861" s="274"/>
      <c r="C2861" s="108"/>
      <c r="D2861" s="261"/>
      <c r="E2861" s="261"/>
    </row>
    <row r="2862" spans="2:5" x14ac:dyDescent="0.3">
      <c r="B2862" s="274"/>
      <c r="C2862" s="108"/>
      <c r="D2862" s="261"/>
      <c r="E2862" s="261"/>
    </row>
    <row r="2863" spans="2:5" x14ac:dyDescent="0.3">
      <c r="B2863" s="274"/>
      <c r="C2863" s="108"/>
      <c r="D2863" s="261"/>
      <c r="E2863" s="261"/>
    </row>
    <row r="2864" spans="2:5" x14ac:dyDescent="0.3">
      <c r="B2864" s="274"/>
      <c r="C2864" s="108"/>
      <c r="D2864" s="261"/>
      <c r="E2864" s="261"/>
    </row>
    <row r="2865" spans="2:5" x14ac:dyDescent="0.3">
      <c r="B2865" s="274"/>
      <c r="C2865" s="108"/>
      <c r="D2865" s="261"/>
      <c r="E2865" s="261"/>
    </row>
    <row r="2866" spans="2:5" x14ac:dyDescent="0.3">
      <c r="B2866" s="274"/>
      <c r="C2866" s="108"/>
      <c r="D2866" s="261"/>
      <c r="E2866" s="261"/>
    </row>
    <row r="2867" spans="2:5" x14ac:dyDescent="0.3">
      <c r="B2867" s="274"/>
      <c r="C2867" s="108"/>
      <c r="D2867" s="261"/>
      <c r="E2867" s="261"/>
    </row>
    <row r="2868" spans="2:5" x14ac:dyDescent="0.3">
      <c r="B2868" s="274"/>
      <c r="C2868" s="108"/>
      <c r="D2868" s="261"/>
      <c r="E2868" s="261"/>
    </row>
    <row r="2869" spans="2:5" x14ac:dyDescent="0.3">
      <c r="B2869" s="274"/>
      <c r="C2869" s="108"/>
      <c r="D2869" s="261"/>
      <c r="E2869" s="261"/>
    </row>
    <row r="2870" spans="2:5" x14ac:dyDescent="0.3">
      <c r="B2870" s="274"/>
      <c r="C2870" s="108"/>
      <c r="D2870" s="261"/>
      <c r="E2870" s="261"/>
    </row>
    <row r="2871" spans="2:5" x14ac:dyDescent="0.3">
      <c r="B2871" s="274"/>
      <c r="C2871" s="108"/>
      <c r="D2871" s="261"/>
      <c r="E2871" s="261"/>
    </row>
    <row r="2872" spans="2:5" x14ac:dyDescent="0.3">
      <c r="B2872" s="274"/>
      <c r="C2872" s="108"/>
      <c r="D2872" s="261"/>
      <c r="E2872" s="261"/>
    </row>
    <row r="2873" spans="2:5" x14ac:dyDescent="0.3">
      <c r="B2873" s="274"/>
      <c r="C2873" s="108"/>
      <c r="D2873" s="261"/>
      <c r="E2873" s="261"/>
    </row>
    <row r="2874" spans="2:5" x14ac:dyDescent="0.3">
      <c r="B2874" s="274"/>
      <c r="C2874" s="108"/>
      <c r="D2874" s="261"/>
      <c r="E2874" s="261"/>
    </row>
    <row r="2875" spans="2:5" x14ac:dyDescent="0.3">
      <c r="B2875" s="274"/>
      <c r="C2875" s="108"/>
      <c r="D2875" s="261"/>
      <c r="E2875" s="261"/>
    </row>
    <row r="2876" spans="2:5" x14ac:dyDescent="0.3">
      <c r="B2876" s="274"/>
      <c r="C2876" s="108"/>
      <c r="D2876" s="261"/>
      <c r="E2876" s="261"/>
    </row>
    <row r="2877" spans="2:5" x14ac:dyDescent="0.3">
      <c r="B2877" s="274"/>
      <c r="C2877" s="108"/>
      <c r="D2877" s="261"/>
      <c r="E2877" s="261"/>
    </row>
    <row r="2878" spans="2:5" x14ac:dyDescent="0.3">
      <c r="B2878" s="274"/>
      <c r="C2878" s="108"/>
      <c r="D2878" s="261"/>
      <c r="E2878" s="261"/>
    </row>
    <row r="2879" spans="2:5" x14ac:dyDescent="0.3">
      <c r="B2879" s="274"/>
      <c r="C2879" s="108"/>
      <c r="D2879" s="261"/>
      <c r="E2879" s="261"/>
    </row>
    <row r="2880" spans="2:5" x14ac:dyDescent="0.3">
      <c r="B2880" s="274"/>
      <c r="C2880" s="108"/>
      <c r="D2880" s="261"/>
      <c r="E2880" s="261"/>
    </row>
    <row r="2881" spans="2:5" x14ac:dyDescent="0.3">
      <c r="B2881" s="274"/>
      <c r="C2881" s="108"/>
      <c r="D2881" s="261"/>
      <c r="E2881" s="261"/>
    </row>
    <row r="2882" spans="2:5" x14ac:dyDescent="0.3">
      <c r="B2882" s="274"/>
      <c r="C2882" s="108"/>
      <c r="D2882" s="261"/>
      <c r="E2882" s="261"/>
    </row>
    <row r="2883" spans="2:5" x14ac:dyDescent="0.3">
      <c r="B2883" s="274"/>
      <c r="C2883" s="108"/>
      <c r="D2883" s="261"/>
      <c r="E2883" s="261"/>
    </row>
    <row r="2884" spans="2:5" x14ac:dyDescent="0.3">
      <c r="B2884" s="274"/>
      <c r="C2884" s="108"/>
      <c r="D2884" s="261"/>
      <c r="E2884" s="261"/>
    </row>
    <row r="2885" spans="2:5" x14ac:dyDescent="0.3">
      <c r="B2885" s="274"/>
      <c r="C2885" s="108"/>
      <c r="D2885" s="261"/>
      <c r="E2885" s="261"/>
    </row>
    <row r="2886" spans="2:5" x14ac:dyDescent="0.3">
      <c r="B2886" s="274"/>
      <c r="C2886" s="108"/>
      <c r="D2886" s="261"/>
      <c r="E2886" s="261"/>
    </row>
    <row r="2887" spans="2:5" x14ac:dyDescent="0.3">
      <c r="B2887" s="274"/>
      <c r="C2887" s="108"/>
      <c r="D2887" s="261"/>
      <c r="E2887" s="261"/>
    </row>
    <row r="2888" spans="2:5" x14ac:dyDescent="0.3">
      <c r="B2888" s="274"/>
      <c r="C2888" s="108"/>
      <c r="D2888" s="261"/>
      <c r="E2888" s="261"/>
    </row>
    <row r="2889" spans="2:5" x14ac:dyDescent="0.3">
      <c r="B2889" s="274"/>
      <c r="C2889" s="108"/>
      <c r="D2889" s="261"/>
      <c r="E2889" s="261"/>
    </row>
    <row r="2890" spans="2:5" x14ac:dyDescent="0.3">
      <c r="B2890" s="274"/>
      <c r="C2890" s="108"/>
      <c r="D2890" s="261"/>
      <c r="E2890" s="261"/>
    </row>
    <row r="2891" spans="2:5" x14ac:dyDescent="0.3">
      <c r="B2891" s="274"/>
      <c r="C2891" s="108"/>
      <c r="D2891" s="261"/>
      <c r="E2891" s="261"/>
    </row>
    <row r="2892" spans="2:5" x14ac:dyDescent="0.3">
      <c r="B2892" s="274"/>
      <c r="C2892" s="108"/>
      <c r="D2892" s="261"/>
      <c r="E2892" s="261"/>
    </row>
    <row r="2893" spans="2:5" x14ac:dyDescent="0.3">
      <c r="B2893" s="274"/>
      <c r="C2893" s="108"/>
      <c r="D2893" s="261"/>
      <c r="E2893" s="261"/>
    </row>
    <row r="2894" spans="2:5" x14ac:dyDescent="0.3">
      <c r="B2894" s="274"/>
      <c r="C2894" s="108"/>
      <c r="D2894" s="261"/>
      <c r="E2894" s="261"/>
    </row>
    <row r="2895" spans="2:5" x14ac:dyDescent="0.3">
      <c r="B2895" s="274"/>
      <c r="C2895" s="108"/>
      <c r="D2895" s="261"/>
      <c r="E2895" s="261"/>
    </row>
    <row r="2896" spans="2:5" x14ac:dyDescent="0.3">
      <c r="B2896" s="274"/>
      <c r="C2896" s="108"/>
      <c r="D2896" s="261"/>
      <c r="E2896" s="261"/>
    </row>
    <row r="2897" spans="2:5" x14ac:dyDescent="0.3">
      <c r="B2897" s="274"/>
      <c r="C2897" s="108"/>
      <c r="D2897" s="261"/>
      <c r="E2897" s="261"/>
    </row>
    <row r="2898" spans="2:5" x14ac:dyDescent="0.3">
      <c r="B2898" s="274"/>
      <c r="C2898" s="108"/>
      <c r="D2898" s="261"/>
      <c r="E2898" s="261"/>
    </row>
    <row r="2899" spans="2:5" x14ac:dyDescent="0.3">
      <c r="B2899" s="274"/>
      <c r="C2899" s="108"/>
      <c r="D2899" s="261"/>
      <c r="E2899" s="261"/>
    </row>
    <row r="2900" spans="2:5" x14ac:dyDescent="0.3">
      <c r="B2900" s="274"/>
      <c r="C2900" s="108"/>
      <c r="D2900" s="261"/>
      <c r="E2900" s="261"/>
    </row>
    <row r="2901" spans="2:5" x14ac:dyDescent="0.3">
      <c r="B2901" s="274"/>
      <c r="C2901" s="108"/>
      <c r="D2901" s="261"/>
      <c r="E2901" s="261"/>
    </row>
    <row r="2902" spans="2:5" x14ac:dyDescent="0.3">
      <c r="B2902" s="274"/>
      <c r="C2902" s="108"/>
      <c r="D2902" s="261"/>
      <c r="E2902" s="261"/>
    </row>
    <row r="2903" spans="2:5" x14ac:dyDescent="0.3">
      <c r="B2903" s="274"/>
      <c r="C2903" s="108"/>
      <c r="D2903" s="261"/>
      <c r="E2903" s="261"/>
    </row>
    <row r="2904" spans="2:5" x14ac:dyDescent="0.3">
      <c r="B2904" s="274"/>
      <c r="C2904" s="108"/>
      <c r="D2904" s="261"/>
      <c r="E2904" s="261"/>
    </row>
    <row r="2905" spans="2:5" x14ac:dyDescent="0.3">
      <c r="B2905" s="274"/>
      <c r="C2905" s="108"/>
      <c r="D2905" s="261"/>
      <c r="E2905" s="261"/>
    </row>
    <row r="2906" spans="2:5" x14ac:dyDescent="0.3">
      <c r="B2906" s="274"/>
      <c r="C2906" s="108"/>
      <c r="D2906" s="261"/>
      <c r="E2906" s="261"/>
    </row>
    <row r="2907" spans="2:5" x14ac:dyDescent="0.3">
      <c r="B2907" s="274"/>
      <c r="C2907" s="108"/>
      <c r="D2907" s="261"/>
      <c r="E2907" s="261"/>
    </row>
    <row r="2908" spans="2:5" x14ac:dyDescent="0.3">
      <c r="B2908" s="274"/>
      <c r="C2908" s="108"/>
      <c r="D2908" s="261"/>
      <c r="E2908" s="261"/>
    </row>
    <row r="2909" spans="2:5" x14ac:dyDescent="0.3">
      <c r="B2909" s="274"/>
      <c r="C2909" s="108"/>
      <c r="D2909" s="261"/>
      <c r="E2909" s="261"/>
    </row>
    <row r="2910" spans="2:5" x14ac:dyDescent="0.3">
      <c r="B2910" s="274"/>
      <c r="C2910" s="108"/>
      <c r="D2910" s="261"/>
      <c r="E2910" s="261"/>
    </row>
    <row r="2911" spans="2:5" x14ac:dyDescent="0.3">
      <c r="B2911" s="274"/>
      <c r="C2911" s="108"/>
      <c r="D2911" s="261"/>
      <c r="E2911" s="261"/>
    </row>
    <row r="2912" spans="2:5" x14ac:dyDescent="0.3">
      <c r="B2912" s="274"/>
      <c r="C2912" s="108"/>
      <c r="D2912" s="261"/>
      <c r="E2912" s="261"/>
    </row>
    <row r="2913" spans="2:5" x14ac:dyDescent="0.3">
      <c r="B2913" s="274"/>
      <c r="C2913" s="108"/>
      <c r="D2913" s="261"/>
      <c r="E2913" s="261"/>
    </row>
    <row r="2914" spans="2:5" x14ac:dyDescent="0.3">
      <c r="B2914" s="274"/>
      <c r="C2914" s="108"/>
      <c r="D2914" s="261"/>
      <c r="E2914" s="261"/>
    </row>
    <row r="2915" spans="2:5" x14ac:dyDescent="0.3">
      <c r="B2915" s="274"/>
      <c r="C2915" s="108"/>
      <c r="D2915" s="261"/>
      <c r="E2915" s="261"/>
    </row>
    <row r="2916" spans="2:5" x14ac:dyDescent="0.3">
      <c r="B2916" s="274"/>
      <c r="C2916" s="108"/>
      <c r="D2916" s="261"/>
      <c r="E2916" s="261"/>
    </row>
    <row r="2917" spans="2:5" x14ac:dyDescent="0.3">
      <c r="B2917" s="274"/>
      <c r="C2917" s="108"/>
      <c r="D2917" s="261"/>
      <c r="E2917" s="261"/>
    </row>
    <row r="2918" spans="2:5" x14ac:dyDescent="0.3">
      <c r="B2918" s="274"/>
      <c r="C2918" s="108"/>
      <c r="D2918" s="261"/>
      <c r="E2918" s="261"/>
    </row>
    <row r="2919" spans="2:5" x14ac:dyDescent="0.3">
      <c r="B2919" s="274"/>
      <c r="C2919" s="108"/>
      <c r="D2919" s="261"/>
      <c r="E2919" s="261"/>
    </row>
    <row r="2920" spans="2:5" x14ac:dyDescent="0.3">
      <c r="B2920" s="274"/>
      <c r="C2920" s="108"/>
      <c r="D2920" s="261"/>
      <c r="E2920" s="261"/>
    </row>
    <row r="2921" spans="2:5" x14ac:dyDescent="0.3">
      <c r="B2921" s="274"/>
      <c r="C2921" s="108"/>
      <c r="D2921" s="261"/>
      <c r="E2921" s="261"/>
    </row>
    <row r="2922" spans="2:5" x14ac:dyDescent="0.3">
      <c r="B2922" s="274"/>
      <c r="C2922" s="108"/>
      <c r="D2922" s="261"/>
      <c r="E2922" s="261"/>
    </row>
    <row r="2923" spans="2:5" x14ac:dyDescent="0.3">
      <c r="B2923" s="274"/>
      <c r="C2923" s="108"/>
      <c r="D2923" s="261"/>
      <c r="E2923" s="261"/>
    </row>
    <row r="2924" spans="2:5" x14ac:dyDescent="0.3">
      <c r="B2924" s="274"/>
      <c r="C2924" s="108"/>
      <c r="D2924" s="261"/>
      <c r="E2924" s="261"/>
    </row>
    <row r="2925" spans="2:5" x14ac:dyDescent="0.3">
      <c r="B2925" s="274"/>
      <c r="C2925" s="108"/>
      <c r="D2925" s="261"/>
      <c r="E2925" s="261"/>
    </row>
    <row r="2926" spans="2:5" x14ac:dyDescent="0.3">
      <c r="B2926" s="274"/>
      <c r="C2926" s="108"/>
      <c r="D2926" s="261"/>
      <c r="E2926" s="261"/>
    </row>
    <row r="2927" spans="2:5" x14ac:dyDescent="0.3">
      <c r="B2927" s="274"/>
      <c r="C2927" s="108"/>
      <c r="D2927" s="261"/>
      <c r="E2927" s="261"/>
    </row>
    <row r="2928" spans="2:5" x14ac:dyDescent="0.3">
      <c r="B2928" s="274"/>
      <c r="C2928" s="108"/>
      <c r="D2928" s="261"/>
      <c r="E2928" s="261"/>
    </row>
    <row r="2929" spans="2:5" x14ac:dyDescent="0.3">
      <c r="B2929" s="274"/>
      <c r="C2929" s="108"/>
      <c r="D2929" s="261"/>
      <c r="E2929" s="261"/>
    </row>
    <row r="2930" spans="2:5" x14ac:dyDescent="0.3">
      <c r="B2930" s="274"/>
      <c r="C2930" s="108"/>
      <c r="D2930" s="261"/>
      <c r="E2930" s="261"/>
    </row>
    <row r="2931" spans="2:5" x14ac:dyDescent="0.3">
      <c r="B2931" s="274"/>
      <c r="C2931" s="108"/>
      <c r="D2931" s="261"/>
      <c r="E2931" s="261"/>
    </row>
    <row r="2932" spans="2:5" x14ac:dyDescent="0.3">
      <c r="B2932" s="274"/>
      <c r="C2932" s="108"/>
      <c r="D2932" s="261"/>
      <c r="E2932" s="261"/>
    </row>
    <row r="2933" spans="2:5" x14ac:dyDescent="0.3">
      <c r="B2933" s="274"/>
      <c r="C2933" s="108"/>
      <c r="D2933" s="261"/>
      <c r="E2933" s="261"/>
    </row>
    <row r="2934" spans="2:5" x14ac:dyDescent="0.3">
      <c r="B2934" s="274"/>
      <c r="C2934" s="108"/>
      <c r="D2934" s="261"/>
      <c r="E2934" s="261"/>
    </row>
    <row r="2935" spans="2:5" x14ac:dyDescent="0.3">
      <c r="B2935" s="274"/>
      <c r="C2935" s="108"/>
      <c r="D2935" s="261"/>
      <c r="E2935" s="261"/>
    </row>
    <row r="2936" spans="2:5" x14ac:dyDescent="0.3">
      <c r="B2936" s="274"/>
      <c r="C2936" s="108"/>
      <c r="D2936" s="261"/>
      <c r="E2936" s="261"/>
    </row>
    <row r="2937" spans="2:5" x14ac:dyDescent="0.3">
      <c r="B2937" s="274"/>
      <c r="C2937" s="108"/>
      <c r="D2937" s="261"/>
      <c r="E2937" s="261"/>
    </row>
    <row r="2938" spans="2:5" x14ac:dyDescent="0.3">
      <c r="B2938" s="274"/>
      <c r="C2938" s="108"/>
      <c r="D2938" s="261"/>
      <c r="E2938" s="261"/>
    </row>
    <row r="2939" spans="2:5" x14ac:dyDescent="0.3">
      <c r="B2939" s="274"/>
      <c r="C2939" s="108"/>
      <c r="D2939" s="261"/>
      <c r="E2939" s="261"/>
    </row>
    <row r="2940" spans="2:5" x14ac:dyDescent="0.3">
      <c r="B2940" s="274"/>
      <c r="C2940" s="108"/>
      <c r="D2940" s="261"/>
      <c r="E2940" s="261"/>
    </row>
    <row r="2941" spans="2:5" x14ac:dyDescent="0.3">
      <c r="B2941" s="274"/>
      <c r="C2941" s="108"/>
      <c r="D2941" s="261"/>
      <c r="E2941" s="261"/>
    </row>
    <row r="2942" spans="2:5" x14ac:dyDescent="0.3">
      <c r="B2942" s="274"/>
      <c r="C2942" s="108"/>
      <c r="D2942" s="261"/>
      <c r="E2942" s="261"/>
    </row>
    <row r="2943" spans="2:5" x14ac:dyDescent="0.3">
      <c r="B2943" s="274"/>
      <c r="C2943" s="108"/>
      <c r="D2943" s="261"/>
      <c r="E2943" s="261"/>
    </row>
    <row r="2944" spans="2:5" x14ac:dyDescent="0.3">
      <c r="B2944" s="274"/>
      <c r="C2944" s="108"/>
      <c r="D2944" s="261"/>
      <c r="E2944" s="261"/>
    </row>
    <row r="2945" spans="2:5" x14ac:dyDescent="0.3">
      <c r="B2945" s="274"/>
      <c r="C2945" s="108"/>
      <c r="D2945" s="261"/>
      <c r="E2945" s="261"/>
    </row>
    <row r="2946" spans="2:5" x14ac:dyDescent="0.3">
      <c r="B2946" s="274"/>
      <c r="C2946" s="108"/>
      <c r="D2946" s="261"/>
      <c r="E2946" s="261"/>
    </row>
    <row r="2947" spans="2:5" x14ac:dyDescent="0.3">
      <c r="B2947" s="274"/>
      <c r="C2947" s="108"/>
      <c r="D2947" s="261"/>
      <c r="E2947" s="261"/>
    </row>
    <row r="2948" spans="2:5" x14ac:dyDescent="0.3">
      <c r="B2948" s="274"/>
      <c r="C2948" s="108"/>
      <c r="D2948" s="261"/>
      <c r="E2948" s="261"/>
    </row>
    <row r="2949" spans="2:5" x14ac:dyDescent="0.3">
      <c r="B2949" s="274"/>
      <c r="C2949" s="108"/>
      <c r="D2949" s="261"/>
      <c r="E2949" s="261"/>
    </row>
    <row r="2950" spans="2:5" x14ac:dyDescent="0.3">
      <c r="B2950" s="274"/>
      <c r="C2950" s="108"/>
      <c r="D2950" s="261"/>
      <c r="E2950" s="261"/>
    </row>
    <row r="2951" spans="2:5" x14ac:dyDescent="0.3">
      <c r="B2951" s="274"/>
      <c r="C2951" s="108"/>
      <c r="D2951" s="261"/>
      <c r="E2951" s="261"/>
    </row>
    <row r="2952" spans="2:5" x14ac:dyDescent="0.3">
      <c r="B2952" s="274"/>
      <c r="C2952" s="108"/>
      <c r="D2952" s="261"/>
      <c r="E2952" s="261"/>
    </row>
    <row r="2953" spans="2:5" x14ac:dyDescent="0.3">
      <c r="B2953" s="274"/>
      <c r="C2953" s="108"/>
      <c r="D2953" s="261"/>
      <c r="E2953" s="261"/>
    </row>
    <row r="2954" spans="2:5" x14ac:dyDescent="0.3">
      <c r="B2954" s="274"/>
      <c r="C2954" s="108"/>
      <c r="D2954" s="261"/>
      <c r="E2954" s="261"/>
    </row>
    <row r="2955" spans="2:5" x14ac:dyDescent="0.3">
      <c r="B2955" s="274"/>
      <c r="C2955" s="108"/>
      <c r="D2955" s="261"/>
      <c r="E2955" s="261"/>
    </row>
    <row r="2956" spans="2:5" x14ac:dyDescent="0.3">
      <c r="B2956" s="274"/>
      <c r="C2956" s="108"/>
      <c r="D2956" s="261"/>
      <c r="E2956" s="261"/>
    </row>
    <row r="2957" spans="2:5" x14ac:dyDescent="0.3">
      <c r="B2957" s="274"/>
      <c r="C2957" s="108"/>
      <c r="D2957" s="261"/>
      <c r="E2957" s="261"/>
    </row>
    <row r="2958" spans="2:5" x14ac:dyDescent="0.3">
      <c r="B2958" s="274"/>
      <c r="C2958" s="108"/>
      <c r="D2958" s="261"/>
      <c r="E2958" s="261"/>
    </row>
    <row r="2959" spans="2:5" x14ac:dyDescent="0.3">
      <c r="B2959" s="274"/>
      <c r="C2959" s="108"/>
      <c r="D2959" s="261"/>
      <c r="E2959" s="261"/>
    </row>
    <row r="2960" spans="2:5" x14ac:dyDescent="0.3">
      <c r="B2960" s="274"/>
      <c r="C2960" s="108"/>
      <c r="D2960" s="261"/>
      <c r="E2960" s="261"/>
    </row>
    <row r="2961" spans="2:5" x14ac:dyDescent="0.3">
      <c r="B2961" s="274"/>
      <c r="C2961" s="108"/>
      <c r="D2961" s="261"/>
      <c r="E2961" s="261"/>
    </row>
    <row r="2962" spans="2:5" x14ac:dyDescent="0.3">
      <c r="B2962" s="274"/>
      <c r="C2962" s="108"/>
      <c r="D2962" s="261"/>
      <c r="E2962" s="261"/>
    </row>
    <row r="2963" spans="2:5" x14ac:dyDescent="0.3">
      <c r="B2963" s="274"/>
      <c r="C2963" s="108"/>
      <c r="D2963" s="261"/>
      <c r="E2963" s="261"/>
    </row>
    <row r="2964" spans="2:5" x14ac:dyDescent="0.3">
      <c r="B2964" s="274"/>
      <c r="C2964" s="108"/>
      <c r="D2964" s="261"/>
      <c r="E2964" s="261"/>
    </row>
    <row r="2965" spans="2:5" x14ac:dyDescent="0.3">
      <c r="B2965" s="274"/>
      <c r="C2965" s="108"/>
      <c r="D2965" s="261"/>
      <c r="E2965" s="261"/>
    </row>
    <row r="2966" spans="2:5" x14ac:dyDescent="0.3">
      <c r="B2966" s="274"/>
      <c r="C2966" s="108"/>
      <c r="D2966" s="261"/>
      <c r="E2966" s="261"/>
    </row>
    <row r="2967" spans="2:5" x14ac:dyDescent="0.3">
      <c r="B2967" s="274"/>
      <c r="C2967" s="108"/>
      <c r="D2967" s="261"/>
      <c r="E2967" s="261"/>
    </row>
    <row r="2968" spans="2:5" x14ac:dyDescent="0.3">
      <c r="B2968" s="274"/>
      <c r="C2968" s="108"/>
      <c r="D2968" s="261"/>
      <c r="E2968" s="261"/>
    </row>
    <row r="2969" spans="2:5" x14ac:dyDescent="0.3">
      <c r="B2969" s="274"/>
      <c r="C2969" s="108"/>
      <c r="D2969" s="261"/>
      <c r="E2969" s="261"/>
    </row>
    <row r="2970" spans="2:5" x14ac:dyDescent="0.3">
      <c r="B2970" s="274"/>
      <c r="C2970" s="108"/>
      <c r="D2970" s="261"/>
      <c r="E2970" s="261"/>
    </row>
    <row r="2971" spans="2:5" x14ac:dyDescent="0.3">
      <c r="B2971" s="274"/>
      <c r="C2971" s="108"/>
      <c r="D2971" s="261"/>
      <c r="E2971" s="261"/>
    </row>
    <row r="2972" spans="2:5" x14ac:dyDescent="0.3">
      <c r="B2972" s="274"/>
      <c r="C2972" s="108"/>
      <c r="D2972" s="261"/>
      <c r="E2972" s="261"/>
    </row>
    <row r="2973" spans="2:5" x14ac:dyDescent="0.3">
      <c r="B2973" s="274"/>
      <c r="C2973" s="108"/>
      <c r="D2973" s="261"/>
      <c r="E2973" s="261"/>
    </row>
    <row r="2974" spans="2:5" x14ac:dyDescent="0.3">
      <c r="B2974" s="274"/>
      <c r="C2974" s="108"/>
      <c r="D2974" s="261"/>
      <c r="E2974" s="261"/>
    </row>
    <row r="2975" spans="2:5" x14ac:dyDescent="0.3">
      <c r="B2975" s="274"/>
      <c r="C2975" s="108"/>
      <c r="D2975" s="261"/>
      <c r="E2975" s="261"/>
    </row>
    <row r="2976" spans="2:5" x14ac:dyDescent="0.3">
      <c r="B2976" s="274"/>
      <c r="C2976" s="108"/>
      <c r="D2976" s="261"/>
      <c r="E2976" s="261"/>
    </row>
    <row r="2977" spans="2:5" x14ac:dyDescent="0.3">
      <c r="B2977" s="274"/>
      <c r="C2977" s="108"/>
      <c r="D2977" s="261"/>
      <c r="E2977" s="261"/>
    </row>
    <row r="2978" spans="2:5" x14ac:dyDescent="0.3">
      <c r="B2978" s="274"/>
      <c r="C2978" s="108"/>
      <c r="D2978" s="261"/>
      <c r="E2978" s="261"/>
    </row>
    <row r="2979" spans="2:5" x14ac:dyDescent="0.3">
      <c r="B2979" s="274"/>
      <c r="C2979" s="108"/>
      <c r="D2979" s="261"/>
      <c r="E2979" s="261"/>
    </row>
    <row r="2980" spans="2:5" x14ac:dyDescent="0.3">
      <c r="B2980" s="274"/>
      <c r="C2980" s="108"/>
      <c r="D2980" s="261"/>
      <c r="E2980" s="261"/>
    </row>
    <row r="2981" spans="2:5" x14ac:dyDescent="0.3">
      <c r="B2981" s="274"/>
      <c r="C2981" s="108"/>
      <c r="D2981" s="261"/>
      <c r="E2981" s="261"/>
    </row>
    <row r="2982" spans="2:5" x14ac:dyDescent="0.3">
      <c r="B2982" s="274"/>
      <c r="C2982" s="108"/>
      <c r="D2982" s="261"/>
      <c r="E2982" s="261"/>
    </row>
    <row r="2983" spans="2:5" x14ac:dyDescent="0.3">
      <c r="B2983" s="274"/>
      <c r="C2983" s="108"/>
      <c r="D2983" s="261"/>
      <c r="E2983" s="261"/>
    </row>
    <row r="2984" spans="2:5" x14ac:dyDescent="0.3">
      <c r="B2984" s="274"/>
      <c r="C2984" s="108"/>
      <c r="D2984" s="261"/>
      <c r="E2984" s="261"/>
    </row>
    <row r="2985" spans="2:5" x14ac:dyDescent="0.3">
      <c r="B2985" s="274"/>
      <c r="C2985" s="108"/>
      <c r="D2985" s="261"/>
      <c r="E2985" s="261"/>
    </row>
    <row r="2986" spans="2:5" x14ac:dyDescent="0.3">
      <c r="B2986" s="274"/>
      <c r="C2986" s="108"/>
      <c r="D2986" s="261"/>
      <c r="E2986" s="261"/>
    </row>
    <row r="2987" spans="2:5" x14ac:dyDescent="0.3">
      <c r="B2987" s="274"/>
      <c r="C2987" s="108"/>
      <c r="D2987" s="261"/>
      <c r="E2987" s="261"/>
    </row>
    <row r="2988" spans="2:5" x14ac:dyDescent="0.3">
      <c r="B2988" s="274"/>
      <c r="C2988" s="108"/>
      <c r="D2988" s="261"/>
      <c r="E2988" s="261"/>
    </row>
    <row r="2989" spans="2:5" x14ac:dyDescent="0.3">
      <c r="B2989" s="274"/>
      <c r="C2989" s="108"/>
      <c r="D2989" s="261"/>
      <c r="E2989" s="261"/>
    </row>
    <row r="2990" spans="2:5" x14ac:dyDescent="0.3">
      <c r="B2990" s="274"/>
      <c r="C2990" s="108"/>
      <c r="D2990" s="261"/>
      <c r="E2990" s="261"/>
    </row>
    <row r="2991" spans="2:5" x14ac:dyDescent="0.3">
      <c r="B2991" s="274"/>
      <c r="C2991" s="108"/>
      <c r="D2991" s="261"/>
      <c r="E2991" s="261"/>
    </row>
    <row r="2992" spans="2:5" x14ac:dyDescent="0.3">
      <c r="B2992" s="274"/>
      <c r="C2992" s="108"/>
      <c r="D2992" s="261"/>
      <c r="E2992" s="261"/>
    </row>
    <row r="2993" spans="2:5" x14ac:dyDescent="0.3">
      <c r="B2993" s="274"/>
      <c r="C2993" s="108"/>
      <c r="D2993" s="261"/>
      <c r="E2993" s="261"/>
    </row>
    <row r="2994" spans="2:5" x14ac:dyDescent="0.3">
      <c r="B2994" s="274"/>
      <c r="C2994" s="108"/>
      <c r="D2994" s="261"/>
      <c r="E2994" s="261"/>
    </row>
    <row r="2995" spans="2:5" x14ac:dyDescent="0.3">
      <c r="B2995" s="274"/>
      <c r="C2995" s="108"/>
      <c r="D2995" s="261"/>
      <c r="E2995" s="261"/>
    </row>
    <row r="2996" spans="2:5" x14ac:dyDescent="0.3">
      <c r="B2996" s="274"/>
      <c r="C2996" s="108"/>
      <c r="D2996" s="261"/>
      <c r="E2996" s="261"/>
    </row>
    <row r="2997" spans="2:5" x14ac:dyDescent="0.3">
      <c r="B2997" s="274"/>
      <c r="C2997" s="108"/>
      <c r="D2997" s="261"/>
      <c r="E2997" s="261"/>
    </row>
    <row r="2998" spans="2:5" x14ac:dyDescent="0.3">
      <c r="B2998" s="274"/>
      <c r="C2998" s="108"/>
      <c r="D2998" s="261"/>
      <c r="E2998" s="261"/>
    </row>
    <row r="2999" spans="2:5" x14ac:dyDescent="0.3">
      <c r="B2999" s="274"/>
      <c r="C2999" s="108"/>
      <c r="D2999" s="261"/>
      <c r="E2999" s="261"/>
    </row>
    <row r="3000" spans="2:5" x14ac:dyDescent="0.3">
      <c r="B3000" s="274"/>
      <c r="C3000" s="108"/>
      <c r="D3000" s="261"/>
      <c r="E3000" s="261"/>
    </row>
    <row r="3001" spans="2:5" x14ac:dyDescent="0.3">
      <c r="B3001" s="274"/>
      <c r="C3001" s="108"/>
      <c r="D3001" s="261"/>
      <c r="E3001" s="261"/>
    </row>
    <row r="3002" spans="2:5" x14ac:dyDescent="0.3">
      <c r="B3002" s="274"/>
      <c r="C3002" s="108"/>
      <c r="D3002" s="261"/>
      <c r="E3002" s="261"/>
    </row>
    <row r="3003" spans="2:5" x14ac:dyDescent="0.3">
      <c r="B3003" s="274"/>
      <c r="C3003" s="108"/>
      <c r="D3003" s="261"/>
      <c r="E3003" s="261"/>
    </row>
    <row r="3004" spans="2:5" x14ac:dyDescent="0.3">
      <c r="B3004" s="274"/>
      <c r="C3004" s="108"/>
      <c r="D3004" s="261"/>
      <c r="E3004" s="261"/>
    </row>
    <row r="3005" spans="2:5" x14ac:dyDescent="0.3">
      <c r="B3005" s="274"/>
      <c r="C3005" s="108"/>
      <c r="D3005" s="261"/>
      <c r="E3005" s="261"/>
    </row>
    <row r="3006" spans="2:5" x14ac:dyDescent="0.3">
      <c r="B3006" s="274"/>
      <c r="C3006" s="108"/>
      <c r="D3006" s="261"/>
      <c r="E3006" s="261"/>
    </row>
    <row r="3007" spans="2:5" x14ac:dyDescent="0.3">
      <c r="B3007" s="274"/>
      <c r="C3007" s="108"/>
      <c r="D3007" s="261"/>
      <c r="E3007" s="261"/>
    </row>
    <row r="3008" spans="2:5" x14ac:dyDescent="0.3">
      <c r="B3008" s="274"/>
      <c r="C3008" s="108"/>
      <c r="D3008" s="261"/>
      <c r="E3008" s="261"/>
    </row>
    <row r="3009" spans="2:5" x14ac:dyDescent="0.3">
      <c r="B3009" s="274"/>
      <c r="C3009" s="108"/>
      <c r="D3009" s="261"/>
      <c r="E3009" s="261"/>
    </row>
    <row r="3010" spans="2:5" x14ac:dyDescent="0.3">
      <c r="B3010" s="274"/>
      <c r="C3010" s="108"/>
      <c r="D3010" s="261"/>
      <c r="E3010" s="261"/>
    </row>
    <row r="3011" spans="2:5" x14ac:dyDescent="0.3">
      <c r="B3011" s="274"/>
      <c r="C3011" s="108"/>
      <c r="D3011" s="261"/>
      <c r="E3011" s="261"/>
    </row>
    <row r="3012" spans="2:5" x14ac:dyDescent="0.3">
      <c r="B3012" s="274"/>
      <c r="C3012" s="108"/>
      <c r="D3012" s="261"/>
      <c r="E3012" s="261"/>
    </row>
    <row r="3013" spans="2:5" x14ac:dyDescent="0.3">
      <c r="B3013" s="274"/>
      <c r="C3013" s="108"/>
      <c r="D3013" s="261"/>
      <c r="E3013" s="261"/>
    </row>
    <row r="3014" spans="2:5" x14ac:dyDescent="0.3">
      <c r="B3014" s="274"/>
      <c r="C3014" s="108"/>
      <c r="D3014" s="261"/>
      <c r="E3014" s="261"/>
    </row>
    <row r="3015" spans="2:5" x14ac:dyDescent="0.3">
      <c r="B3015" s="274"/>
      <c r="C3015" s="108"/>
      <c r="D3015" s="261"/>
      <c r="E3015" s="261"/>
    </row>
    <row r="3016" spans="2:5" x14ac:dyDescent="0.3">
      <c r="B3016" s="274"/>
      <c r="C3016" s="108"/>
      <c r="D3016" s="261"/>
      <c r="E3016" s="261"/>
    </row>
    <row r="3017" spans="2:5" x14ac:dyDescent="0.3">
      <c r="B3017" s="274"/>
      <c r="C3017" s="108"/>
      <c r="D3017" s="261"/>
      <c r="E3017" s="261"/>
    </row>
    <row r="3018" spans="2:5" x14ac:dyDescent="0.3">
      <c r="B3018" s="274"/>
      <c r="C3018" s="108"/>
      <c r="D3018" s="261"/>
      <c r="E3018" s="261"/>
    </row>
    <row r="3019" spans="2:5" x14ac:dyDescent="0.3">
      <c r="B3019" s="274"/>
      <c r="C3019" s="108"/>
      <c r="D3019" s="261"/>
      <c r="E3019" s="261"/>
    </row>
    <row r="3020" spans="2:5" x14ac:dyDescent="0.3">
      <c r="B3020" s="274"/>
      <c r="C3020" s="108"/>
      <c r="D3020" s="261"/>
      <c r="E3020" s="261"/>
    </row>
    <row r="3021" spans="2:5" x14ac:dyDescent="0.3">
      <c r="B3021" s="274"/>
      <c r="C3021" s="108"/>
      <c r="D3021" s="261"/>
      <c r="E3021" s="261"/>
    </row>
    <row r="3022" spans="2:5" x14ac:dyDescent="0.3">
      <c r="B3022" s="274"/>
      <c r="C3022" s="108"/>
      <c r="D3022" s="261"/>
      <c r="E3022" s="261"/>
    </row>
    <row r="3023" spans="2:5" x14ac:dyDescent="0.3">
      <c r="B3023" s="274"/>
      <c r="C3023" s="108"/>
      <c r="D3023" s="261"/>
      <c r="E3023" s="261"/>
    </row>
    <row r="3024" spans="2:5" x14ac:dyDescent="0.3">
      <c r="B3024" s="274"/>
      <c r="C3024" s="108"/>
      <c r="D3024" s="261"/>
      <c r="E3024" s="261"/>
    </row>
    <row r="3025" spans="2:5" x14ac:dyDescent="0.3">
      <c r="B3025" s="274"/>
      <c r="C3025" s="108"/>
      <c r="D3025" s="261"/>
      <c r="E3025" s="261"/>
    </row>
    <row r="3026" spans="2:5" x14ac:dyDescent="0.3">
      <c r="B3026" s="274"/>
      <c r="C3026" s="108"/>
      <c r="D3026" s="261"/>
      <c r="E3026" s="261"/>
    </row>
    <row r="3027" spans="2:5" x14ac:dyDescent="0.3">
      <c r="B3027" s="274"/>
      <c r="C3027" s="108"/>
      <c r="D3027" s="261"/>
      <c r="E3027" s="261"/>
    </row>
    <row r="3028" spans="2:5" x14ac:dyDescent="0.3">
      <c r="B3028" s="274"/>
      <c r="C3028" s="108"/>
      <c r="D3028" s="261"/>
      <c r="E3028" s="261"/>
    </row>
    <row r="3029" spans="2:5" x14ac:dyDescent="0.3">
      <c r="B3029" s="274"/>
      <c r="C3029" s="108"/>
      <c r="D3029" s="261"/>
      <c r="E3029" s="261"/>
    </row>
    <row r="3030" spans="2:5" x14ac:dyDescent="0.3">
      <c r="B3030" s="274"/>
      <c r="C3030" s="108"/>
      <c r="D3030" s="261"/>
      <c r="E3030" s="261"/>
    </row>
    <row r="3031" spans="2:5" x14ac:dyDescent="0.3">
      <c r="B3031" s="274"/>
      <c r="C3031" s="108"/>
      <c r="D3031" s="261"/>
      <c r="E3031" s="261"/>
    </row>
    <row r="3032" spans="2:5" x14ac:dyDescent="0.3">
      <c r="B3032" s="274"/>
      <c r="C3032" s="108"/>
      <c r="D3032" s="261"/>
      <c r="E3032" s="261"/>
    </row>
    <row r="3033" spans="2:5" x14ac:dyDescent="0.3">
      <c r="B3033" s="274"/>
      <c r="C3033" s="108"/>
      <c r="D3033" s="261"/>
      <c r="E3033" s="261"/>
    </row>
    <row r="3034" spans="2:5" x14ac:dyDescent="0.3">
      <c r="B3034" s="274"/>
      <c r="C3034" s="108"/>
      <c r="D3034" s="261"/>
      <c r="E3034" s="261"/>
    </row>
    <row r="3035" spans="2:5" x14ac:dyDescent="0.3">
      <c r="B3035" s="274"/>
      <c r="C3035" s="108"/>
      <c r="D3035" s="261"/>
      <c r="E3035" s="261"/>
    </row>
    <row r="3036" spans="2:5" x14ac:dyDescent="0.3">
      <c r="B3036" s="274"/>
      <c r="C3036" s="108"/>
      <c r="D3036" s="261"/>
      <c r="E3036" s="261"/>
    </row>
    <row r="3037" spans="2:5" x14ac:dyDescent="0.3">
      <c r="B3037" s="274"/>
      <c r="C3037" s="108"/>
      <c r="D3037" s="261"/>
      <c r="E3037" s="261"/>
    </row>
    <row r="3038" spans="2:5" x14ac:dyDescent="0.3">
      <c r="B3038" s="274"/>
      <c r="C3038" s="108"/>
      <c r="D3038" s="261"/>
      <c r="E3038" s="261"/>
    </row>
    <row r="3039" spans="2:5" x14ac:dyDescent="0.3">
      <c r="B3039" s="274"/>
      <c r="C3039" s="108"/>
      <c r="D3039" s="261"/>
      <c r="E3039" s="261"/>
    </row>
    <row r="3040" spans="2:5" x14ac:dyDescent="0.3">
      <c r="B3040" s="274"/>
      <c r="C3040" s="108"/>
      <c r="D3040" s="261"/>
      <c r="E3040" s="261"/>
    </row>
    <row r="3041" spans="2:5" x14ac:dyDescent="0.3">
      <c r="B3041" s="274"/>
      <c r="C3041" s="108"/>
      <c r="D3041" s="261"/>
      <c r="E3041" s="261"/>
    </row>
    <row r="3042" spans="2:5" x14ac:dyDescent="0.3">
      <c r="B3042" s="274"/>
      <c r="C3042" s="108"/>
      <c r="D3042" s="261"/>
      <c r="E3042" s="261"/>
    </row>
    <row r="3043" spans="2:5" x14ac:dyDescent="0.3">
      <c r="B3043" s="274"/>
      <c r="C3043" s="108"/>
      <c r="D3043" s="261"/>
      <c r="E3043" s="261"/>
    </row>
    <row r="3044" spans="2:5" x14ac:dyDescent="0.3">
      <c r="B3044" s="274"/>
      <c r="C3044" s="108"/>
      <c r="D3044" s="261"/>
      <c r="E3044" s="261"/>
    </row>
    <row r="3045" spans="2:5" x14ac:dyDescent="0.3">
      <c r="B3045" s="274"/>
      <c r="C3045" s="108"/>
      <c r="D3045" s="261"/>
      <c r="E3045" s="261"/>
    </row>
    <row r="3046" spans="2:5" x14ac:dyDescent="0.3">
      <c r="B3046" s="274"/>
      <c r="C3046" s="108"/>
      <c r="D3046" s="261"/>
      <c r="E3046" s="261"/>
    </row>
    <row r="3047" spans="2:5" x14ac:dyDescent="0.3">
      <c r="B3047" s="274"/>
      <c r="C3047" s="108"/>
      <c r="D3047" s="261"/>
      <c r="E3047" s="261"/>
    </row>
    <row r="3048" spans="2:5" x14ac:dyDescent="0.3">
      <c r="B3048" s="274"/>
      <c r="C3048" s="108"/>
      <c r="D3048" s="261"/>
      <c r="E3048" s="261"/>
    </row>
    <row r="3049" spans="2:5" x14ac:dyDescent="0.3">
      <c r="B3049" s="274"/>
      <c r="C3049" s="108"/>
      <c r="D3049" s="261"/>
      <c r="E3049" s="261"/>
    </row>
    <row r="3050" spans="2:5" x14ac:dyDescent="0.3">
      <c r="B3050" s="274"/>
      <c r="C3050" s="108"/>
      <c r="D3050" s="261"/>
      <c r="E3050" s="261"/>
    </row>
    <row r="3051" spans="2:5" x14ac:dyDescent="0.3">
      <c r="B3051" s="274"/>
      <c r="C3051" s="108"/>
      <c r="D3051" s="261"/>
      <c r="E3051" s="261"/>
    </row>
    <row r="3052" spans="2:5" x14ac:dyDescent="0.3">
      <c r="B3052" s="274"/>
      <c r="C3052" s="108"/>
      <c r="D3052" s="261"/>
      <c r="E3052" s="261"/>
    </row>
    <row r="3053" spans="2:5" x14ac:dyDescent="0.3">
      <c r="B3053" s="274"/>
      <c r="C3053" s="108"/>
      <c r="D3053" s="261"/>
      <c r="E3053" s="261"/>
    </row>
    <row r="3054" spans="2:5" x14ac:dyDescent="0.3">
      <c r="B3054" s="274"/>
      <c r="C3054" s="108"/>
      <c r="D3054" s="261"/>
      <c r="E3054" s="261"/>
    </row>
    <row r="3055" spans="2:5" x14ac:dyDescent="0.3">
      <c r="B3055" s="274"/>
      <c r="C3055" s="108"/>
      <c r="D3055" s="261"/>
      <c r="E3055" s="261"/>
    </row>
    <row r="3056" spans="2:5" x14ac:dyDescent="0.3">
      <c r="B3056" s="274"/>
      <c r="C3056" s="108"/>
      <c r="D3056" s="261"/>
      <c r="E3056" s="261"/>
    </row>
    <row r="3057" spans="2:5" x14ac:dyDescent="0.3">
      <c r="B3057" s="274"/>
      <c r="C3057" s="108"/>
      <c r="D3057" s="261"/>
      <c r="E3057" s="261"/>
    </row>
    <row r="3058" spans="2:5" x14ac:dyDescent="0.3">
      <c r="B3058" s="274"/>
      <c r="C3058" s="108"/>
      <c r="D3058" s="261"/>
      <c r="E3058" s="261"/>
    </row>
    <row r="3059" spans="2:5" x14ac:dyDescent="0.3">
      <c r="B3059" s="274"/>
      <c r="C3059" s="108"/>
      <c r="D3059" s="261"/>
      <c r="E3059" s="261"/>
    </row>
    <row r="3060" spans="2:5" x14ac:dyDescent="0.3">
      <c r="B3060" s="274"/>
      <c r="C3060" s="108"/>
      <c r="D3060" s="261"/>
      <c r="E3060" s="261"/>
    </row>
    <row r="3061" spans="2:5" x14ac:dyDescent="0.3">
      <c r="B3061" s="274"/>
      <c r="C3061" s="108"/>
      <c r="D3061" s="261"/>
      <c r="E3061" s="261"/>
    </row>
    <row r="3062" spans="2:5" x14ac:dyDescent="0.3">
      <c r="B3062" s="274"/>
      <c r="C3062" s="108"/>
      <c r="D3062" s="261"/>
      <c r="E3062" s="261"/>
    </row>
    <row r="3063" spans="2:5" x14ac:dyDescent="0.3">
      <c r="B3063" s="274"/>
      <c r="C3063" s="108"/>
      <c r="D3063" s="261"/>
      <c r="E3063" s="261"/>
    </row>
    <row r="3064" spans="2:5" x14ac:dyDescent="0.3">
      <c r="B3064" s="274"/>
      <c r="C3064" s="108"/>
      <c r="D3064" s="261"/>
      <c r="E3064" s="261"/>
    </row>
    <row r="3065" spans="2:5" x14ac:dyDescent="0.3">
      <c r="B3065" s="274"/>
      <c r="C3065" s="108"/>
      <c r="D3065" s="261"/>
      <c r="E3065" s="261"/>
    </row>
    <row r="3066" spans="2:5" x14ac:dyDescent="0.3">
      <c r="B3066" s="274"/>
      <c r="C3066" s="108"/>
      <c r="D3066" s="261"/>
      <c r="E3066" s="261"/>
    </row>
    <row r="3067" spans="2:5" x14ac:dyDescent="0.3">
      <c r="B3067" s="274"/>
      <c r="C3067" s="108"/>
      <c r="D3067" s="261"/>
      <c r="E3067" s="261"/>
    </row>
    <row r="3068" spans="2:5" x14ac:dyDescent="0.3">
      <c r="B3068" s="274"/>
      <c r="C3068" s="108"/>
      <c r="D3068" s="261"/>
      <c r="E3068" s="261"/>
    </row>
    <row r="3069" spans="2:5" x14ac:dyDescent="0.3">
      <c r="B3069" s="274"/>
      <c r="C3069" s="108"/>
      <c r="D3069" s="261"/>
      <c r="E3069" s="261"/>
    </row>
    <row r="3070" spans="2:5" x14ac:dyDescent="0.3">
      <c r="B3070" s="274"/>
      <c r="C3070" s="108"/>
      <c r="D3070" s="261"/>
      <c r="E3070" s="261"/>
    </row>
    <row r="3071" spans="2:5" x14ac:dyDescent="0.3">
      <c r="B3071" s="274"/>
      <c r="C3071" s="108"/>
      <c r="D3071" s="261"/>
      <c r="E3071" s="261"/>
    </row>
    <row r="3072" spans="2:5" x14ac:dyDescent="0.3">
      <c r="B3072" s="274"/>
      <c r="C3072" s="108"/>
      <c r="D3072" s="261"/>
      <c r="E3072" s="261"/>
    </row>
    <row r="3073" spans="2:5" x14ac:dyDescent="0.3">
      <c r="B3073" s="274"/>
      <c r="C3073" s="108"/>
      <c r="D3073" s="261"/>
      <c r="E3073" s="261"/>
    </row>
    <row r="3074" spans="2:5" x14ac:dyDescent="0.3">
      <c r="B3074" s="274"/>
      <c r="C3074" s="108"/>
      <c r="D3074" s="261"/>
      <c r="E3074" s="261"/>
    </row>
    <row r="3075" spans="2:5" x14ac:dyDescent="0.3">
      <c r="B3075" s="274"/>
      <c r="C3075" s="108"/>
      <c r="D3075" s="261"/>
      <c r="E3075" s="261"/>
    </row>
    <row r="3076" spans="2:5" x14ac:dyDescent="0.3">
      <c r="B3076" s="274"/>
      <c r="C3076" s="108"/>
      <c r="D3076" s="261"/>
      <c r="E3076" s="261"/>
    </row>
    <row r="3077" spans="2:5" x14ac:dyDescent="0.3">
      <c r="B3077" s="274"/>
      <c r="C3077" s="108"/>
      <c r="D3077" s="261"/>
      <c r="E3077" s="261"/>
    </row>
    <row r="3078" spans="2:5" x14ac:dyDescent="0.3">
      <c r="B3078" s="274"/>
      <c r="C3078" s="108"/>
      <c r="D3078" s="261"/>
      <c r="E3078" s="261"/>
    </row>
    <row r="3079" spans="2:5" x14ac:dyDescent="0.3">
      <c r="B3079" s="274"/>
      <c r="C3079" s="108"/>
      <c r="D3079" s="261"/>
      <c r="E3079" s="261"/>
    </row>
    <row r="3080" spans="2:5" x14ac:dyDescent="0.3">
      <c r="B3080" s="274"/>
      <c r="C3080" s="108"/>
      <c r="D3080" s="261"/>
      <c r="E3080" s="261"/>
    </row>
    <row r="3081" spans="2:5" x14ac:dyDescent="0.3">
      <c r="B3081" s="274"/>
      <c r="C3081" s="108"/>
      <c r="D3081" s="261"/>
      <c r="E3081" s="261"/>
    </row>
    <row r="3082" spans="2:5" x14ac:dyDescent="0.3">
      <c r="B3082" s="274"/>
      <c r="C3082" s="108"/>
      <c r="D3082" s="261"/>
      <c r="E3082" s="261"/>
    </row>
    <row r="3083" spans="2:5" x14ac:dyDescent="0.3">
      <c r="B3083" s="274"/>
      <c r="C3083" s="108"/>
      <c r="D3083" s="261"/>
      <c r="E3083" s="261"/>
    </row>
    <row r="3084" spans="2:5" x14ac:dyDescent="0.3">
      <c r="B3084" s="274"/>
      <c r="C3084" s="108"/>
      <c r="D3084" s="261"/>
      <c r="E3084" s="261"/>
    </row>
    <row r="3085" spans="2:5" x14ac:dyDescent="0.3">
      <c r="B3085" s="274"/>
      <c r="C3085" s="108"/>
      <c r="D3085" s="261"/>
      <c r="E3085" s="261"/>
    </row>
    <row r="3086" spans="2:5" x14ac:dyDescent="0.3">
      <c r="B3086" s="274"/>
      <c r="C3086" s="108"/>
      <c r="D3086" s="261"/>
      <c r="E3086" s="261"/>
    </row>
    <row r="3087" spans="2:5" x14ac:dyDescent="0.3">
      <c r="B3087" s="274"/>
      <c r="C3087" s="108"/>
      <c r="D3087" s="261"/>
      <c r="E3087" s="261"/>
    </row>
    <row r="3088" spans="2:5" x14ac:dyDescent="0.3">
      <c r="B3088" s="274"/>
      <c r="C3088" s="108"/>
      <c r="D3088" s="261"/>
      <c r="E3088" s="261"/>
    </row>
    <row r="3089" spans="2:5" x14ac:dyDescent="0.3">
      <c r="B3089" s="274"/>
      <c r="C3089" s="108"/>
      <c r="D3089" s="261"/>
      <c r="E3089" s="261"/>
    </row>
    <row r="3090" spans="2:5" x14ac:dyDescent="0.3">
      <c r="B3090" s="274"/>
      <c r="C3090" s="108"/>
      <c r="D3090" s="261"/>
      <c r="E3090" s="261"/>
    </row>
    <row r="3091" spans="2:5" x14ac:dyDescent="0.3">
      <c r="B3091" s="274"/>
      <c r="C3091" s="108"/>
      <c r="D3091" s="261"/>
      <c r="E3091" s="261"/>
    </row>
    <row r="3092" spans="2:5" x14ac:dyDescent="0.3">
      <c r="B3092" s="274"/>
      <c r="C3092" s="108"/>
      <c r="D3092" s="261"/>
      <c r="E3092" s="261"/>
    </row>
    <row r="3093" spans="2:5" x14ac:dyDescent="0.3">
      <c r="B3093" s="274"/>
      <c r="C3093" s="108"/>
      <c r="D3093" s="261"/>
      <c r="E3093" s="261"/>
    </row>
    <row r="3094" spans="2:5" x14ac:dyDescent="0.3">
      <c r="B3094" s="274"/>
      <c r="C3094" s="108"/>
      <c r="D3094" s="261"/>
      <c r="E3094" s="261"/>
    </row>
    <row r="3095" spans="2:5" x14ac:dyDescent="0.3">
      <c r="B3095" s="274"/>
      <c r="C3095" s="108"/>
      <c r="D3095" s="261"/>
      <c r="E3095" s="261"/>
    </row>
    <row r="3096" spans="2:5" x14ac:dyDescent="0.3">
      <c r="B3096" s="274"/>
      <c r="C3096" s="108"/>
      <c r="D3096" s="261"/>
      <c r="E3096" s="261"/>
    </row>
    <row r="3097" spans="2:5" x14ac:dyDescent="0.3">
      <c r="B3097" s="274"/>
      <c r="C3097" s="108"/>
      <c r="D3097" s="261"/>
      <c r="E3097" s="261"/>
    </row>
    <row r="3098" spans="2:5" x14ac:dyDescent="0.3">
      <c r="B3098" s="274"/>
      <c r="C3098" s="108"/>
      <c r="D3098" s="261"/>
      <c r="E3098" s="261"/>
    </row>
    <row r="3099" spans="2:5" x14ac:dyDescent="0.3">
      <c r="B3099" s="274"/>
      <c r="C3099" s="108"/>
      <c r="D3099" s="261"/>
      <c r="E3099" s="261"/>
    </row>
    <row r="3100" spans="2:5" x14ac:dyDescent="0.3">
      <c r="B3100" s="274"/>
      <c r="C3100" s="108"/>
      <c r="D3100" s="261"/>
      <c r="E3100" s="261"/>
    </row>
    <row r="3101" spans="2:5" x14ac:dyDescent="0.3">
      <c r="B3101" s="274"/>
      <c r="C3101" s="108"/>
      <c r="D3101" s="261"/>
      <c r="E3101" s="261"/>
    </row>
    <row r="3102" spans="2:5" x14ac:dyDescent="0.3">
      <c r="B3102" s="274"/>
      <c r="C3102" s="108"/>
      <c r="D3102" s="261"/>
      <c r="E3102" s="261"/>
    </row>
    <row r="3103" spans="2:5" x14ac:dyDescent="0.3">
      <c r="B3103" s="274"/>
      <c r="C3103" s="108"/>
      <c r="D3103" s="261"/>
      <c r="E3103" s="261"/>
    </row>
    <row r="3104" spans="2:5" x14ac:dyDescent="0.3">
      <c r="B3104" s="274"/>
      <c r="C3104" s="108"/>
      <c r="D3104" s="261"/>
      <c r="E3104" s="261"/>
    </row>
    <row r="3105" spans="2:5" x14ac:dyDescent="0.3">
      <c r="B3105" s="274"/>
      <c r="C3105" s="108"/>
      <c r="D3105" s="261"/>
      <c r="E3105" s="261"/>
    </row>
    <row r="3106" spans="2:5" x14ac:dyDescent="0.3">
      <c r="B3106" s="274"/>
      <c r="C3106" s="108"/>
      <c r="D3106" s="261"/>
      <c r="E3106" s="261"/>
    </row>
    <row r="3107" spans="2:5" x14ac:dyDescent="0.3">
      <c r="B3107" s="274"/>
      <c r="C3107" s="108"/>
      <c r="D3107" s="261"/>
      <c r="E3107" s="261"/>
    </row>
    <row r="3108" spans="2:5" x14ac:dyDescent="0.3">
      <c r="B3108" s="274"/>
      <c r="C3108" s="108"/>
      <c r="D3108" s="261"/>
      <c r="E3108" s="261"/>
    </row>
    <row r="3109" spans="2:5" x14ac:dyDescent="0.3">
      <c r="B3109" s="274"/>
      <c r="C3109" s="108"/>
      <c r="D3109" s="261"/>
      <c r="E3109" s="261"/>
    </row>
    <row r="3110" spans="2:5" x14ac:dyDescent="0.3">
      <c r="B3110" s="274"/>
      <c r="C3110" s="108"/>
      <c r="D3110" s="261"/>
      <c r="E3110" s="261"/>
    </row>
    <row r="3111" spans="2:5" x14ac:dyDescent="0.3">
      <c r="B3111" s="274"/>
      <c r="C3111" s="108"/>
      <c r="D3111" s="261"/>
      <c r="E3111" s="261"/>
    </row>
    <row r="3112" spans="2:5" x14ac:dyDescent="0.3">
      <c r="B3112" s="274"/>
      <c r="C3112" s="108"/>
      <c r="D3112" s="261"/>
      <c r="E3112" s="261"/>
    </row>
    <row r="3113" spans="2:5" x14ac:dyDescent="0.3">
      <c r="B3113" s="274"/>
      <c r="C3113" s="108"/>
      <c r="D3113" s="261"/>
      <c r="E3113" s="261"/>
    </row>
    <row r="3114" spans="2:5" x14ac:dyDescent="0.3">
      <c r="B3114" s="274"/>
      <c r="C3114" s="108"/>
      <c r="D3114" s="261"/>
      <c r="E3114" s="261"/>
    </row>
    <row r="3115" spans="2:5" x14ac:dyDescent="0.3">
      <c r="B3115" s="274"/>
      <c r="C3115" s="108"/>
      <c r="D3115" s="261"/>
      <c r="E3115" s="261"/>
    </row>
    <row r="3116" spans="2:5" x14ac:dyDescent="0.3">
      <c r="B3116" s="274"/>
      <c r="C3116" s="108"/>
      <c r="D3116" s="261"/>
      <c r="E3116" s="261"/>
    </row>
    <row r="3117" spans="2:5" x14ac:dyDescent="0.3">
      <c r="B3117" s="274"/>
      <c r="C3117" s="108"/>
      <c r="D3117" s="261"/>
      <c r="E3117" s="261"/>
    </row>
    <row r="3118" spans="2:5" x14ac:dyDescent="0.3">
      <c r="B3118" s="274"/>
      <c r="C3118" s="108"/>
      <c r="D3118" s="261"/>
      <c r="E3118" s="261"/>
    </row>
    <row r="3119" spans="2:5" x14ac:dyDescent="0.3">
      <c r="B3119" s="274"/>
      <c r="C3119" s="108"/>
      <c r="D3119" s="261"/>
      <c r="E3119" s="261"/>
    </row>
    <row r="3120" spans="2:5" x14ac:dyDescent="0.3">
      <c r="B3120" s="274"/>
      <c r="C3120" s="108"/>
      <c r="D3120" s="261"/>
      <c r="E3120" s="261"/>
    </row>
    <row r="3121" spans="2:5" x14ac:dyDescent="0.3">
      <c r="B3121" s="274"/>
      <c r="C3121" s="108"/>
      <c r="D3121" s="261"/>
      <c r="E3121" s="261"/>
    </row>
    <row r="3122" spans="2:5" x14ac:dyDescent="0.3">
      <c r="B3122" s="274"/>
      <c r="C3122" s="108"/>
      <c r="D3122" s="261"/>
      <c r="E3122" s="261"/>
    </row>
    <row r="3123" spans="2:5" x14ac:dyDescent="0.3">
      <c r="B3123" s="274"/>
      <c r="C3123" s="108"/>
      <c r="D3123" s="261"/>
      <c r="E3123" s="261"/>
    </row>
    <row r="3124" spans="2:5" x14ac:dyDescent="0.3">
      <c r="B3124" s="274"/>
      <c r="C3124" s="108"/>
      <c r="D3124" s="261"/>
      <c r="E3124" s="261"/>
    </row>
    <row r="3125" spans="2:5" x14ac:dyDescent="0.3">
      <c r="B3125" s="274"/>
      <c r="C3125" s="108"/>
      <c r="D3125" s="261"/>
      <c r="E3125" s="261"/>
    </row>
    <row r="3126" spans="2:5" x14ac:dyDescent="0.3">
      <c r="B3126" s="274"/>
      <c r="C3126" s="108"/>
      <c r="D3126" s="261"/>
      <c r="E3126" s="261"/>
    </row>
    <row r="3127" spans="2:5" x14ac:dyDescent="0.3">
      <c r="B3127" s="274"/>
      <c r="C3127" s="108"/>
      <c r="D3127" s="261"/>
      <c r="E3127" s="261"/>
    </row>
    <row r="3128" spans="2:5" x14ac:dyDescent="0.3">
      <c r="B3128" s="274"/>
      <c r="C3128" s="108"/>
      <c r="D3128" s="261"/>
      <c r="E3128" s="261"/>
    </row>
    <row r="3129" spans="2:5" x14ac:dyDescent="0.3">
      <c r="B3129" s="274"/>
      <c r="C3129" s="108"/>
      <c r="D3129" s="261"/>
      <c r="E3129" s="261"/>
    </row>
    <row r="3130" spans="2:5" x14ac:dyDescent="0.3">
      <c r="B3130" s="274"/>
      <c r="C3130" s="108"/>
      <c r="D3130" s="261"/>
      <c r="E3130" s="261"/>
    </row>
    <row r="3131" spans="2:5" x14ac:dyDescent="0.3">
      <c r="B3131" s="274"/>
      <c r="C3131" s="108"/>
      <c r="D3131" s="261"/>
      <c r="E3131" s="261"/>
    </row>
    <row r="3132" spans="2:5" x14ac:dyDescent="0.3">
      <c r="B3132" s="274"/>
      <c r="C3132" s="108"/>
      <c r="D3132" s="261"/>
      <c r="E3132" s="261"/>
    </row>
    <row r="3133" spans="2:5" x14ac:dyDescent="0.3">
      <c r="B3133" s="274"/>
      <c r="C3133" s="108"/>
      <c r="D3133" s="261"/>
      <c r="E3133" s="261"/>
    </row>
    <row r="3134" spans="2:5" x14ac:dyDescent="0.3">
      <c r="B3134" s="274"/>
      <c r="C3134" s="108"/>
      <c r="D3134" s="261"/>
      <c r="E3134" s="261"/>
    </row>
    <row r="3135" spans="2:5" x14ac:dyDescent="0.3">
      <c r="B3135" s="274"/>
      <c r="C3135" s="108"/>
      <c r="D3135" s="261"/>
      <c r="E3135" s="261"/>
    </row>
    <row r="3136" spans="2:5" x14ac:dyDescent="0.3">
      <c r="B3136" s="274"/>
      <c r="C3136" s="108"/>
      <c r="D3136" s="261"/>
      <c r="E3136" s="261"/>
    </row>
    <row r="3137" spans="2:5" x14ac:dyDescent="0.3">
      <c r="B3137" s="274"/>
      <c r="C3137" s="108"/>
      <c r="D3137" s="261"/>
      <c r="E3137" s="261"/>
    </row>
    <row r="3138" spans="2:5" x14ac:dyDescent="0.3">
      <c r="B3138" s="274"/>
      <c r="C3138" s="108"/>
      <c r="D3138" s="261"/>
      <c r="E3138" s="261"/>
    </row>
    <row r="3139" spans="2:5" x14ac:dyDescent="0.3">
      <c r="B3139" s="274"/>
      <c r="C3139" s="108"/>
      <c r="D3139" s="261"/>
      <c r="E3139" s="261"/>
    </row>
    <row r="3140" spans="2:5" x14ac:dyDescent="0.3">
      <c r="B3140" s="274"/>
      <c r="C3140" s="108"/>
      <c r="D3140" s="261"/>
      <c r="E3140" s="261"/>
    </row>
    <row r="3141" spans="2:5" x14ac:dyDescent="0.3">
      <c r="B3141" s="274"/>
      <c r="C3141" s="108"/>
      <c r="D3141" s="261"/>
      <c r="E3141" s="261"/>
    </row>
    <row r="3142" spans="2:5" x14ac:dyDescent="0.3">
      <c r="B3142" s="274"/>
      <c r="C3142" s="108"/>
      <c r="D3142" s="261"/>
      <c r="E3142" s="261"/>
    </row>
    <row r="3143" spans="2:5" x14ac:dyDescent="0.3">
      <c r="B3143" s="274"/>
      <c r="C3143" s="108"/>
      <c r="D3143" s="261"/>
      <c r="E3143" s="261"/>
    </row>
    <row r="3144" spans="2:5" x14ac:dyDescent="0.3">
      <c r="B3144" s="274"/>
      <c r="C3144" s="108"/>
      <c r="D3144" s="261"/>
      <c r="E3144" s="261"/>
    </row>
    <row r="3145" spans="2:5" x14ac:dyDescent="0.3">
      <c r="B3145" s="274"/>
      <c r="C3145" s="108"/>
      <c r="D3145" s="261"/>
      <c r="E3145" s="261"/>
    </row>
    <row r="3146" spans="2:5" x14ac:dyDescent="0.3">
      <c r="B3146" s="274"/>
      <c r="C3146" s="108"/>
      <c r="D3146" s="261"/>
      <c r="E3146" s="261"/>
    </row>
    <row r="3147" spans="2:5" x14ac:dyDescent="0.3">
      <c r="B3147" s="274"/>
      <c r="C3147" s="108"/>
      <c r="D3147" s="261"/>
      <c r="E3147" s="261"/>
    </row>
    <row r="3148" spans="2:5" x14ac:dyDescent="0.3">
      <c r="B3148" s="274"/>
      <c r="C3148" s="108"/>
      <c r="D3148" s="261"/>
      <c r="E3148" s="261"/>
    </row>
    <row r="3149" spans="2:5" x14ac:dyDescent="0.3">
      <c r="B3149" s="274"/>
      <c r="C3149" s="108"/>
      <c r="D3149" s="261"/>
      <c r="E3149" s="261"/>
    </row>
    <row r="3150" spans="2:5" x14ac:dyDescent="0.3">
      <c r="B3150" s="274"/>
      <c r="C3150" s="108"/>
      <c r="D3150" s="261"/>
      <c r="E3150" s="261"/>
    </row>
    <row r="3151" spans="2:5" x14ac:dyDescent="0.3">
      <c r="B3151" s="274"/>
      <c r="C3151" s="108"/>
      <c r="D3151" s="261"/>
      <c r="E3151" s="261"/>
    </row>
    <row r="3152" spans="2:5" x14ac:dyDescent="0.3">
      <c r="B3152" s="274"/>
      <c r="C3152" s="108"/>
      <c r="D3152" s="261"/>
      <c r="E3152" s="261"/>
    </row>
    <row r="3153" spans="2:5" x14ac:dyDescent="0.3">
      <c r="B3153" s="274"/>
      <c r="C3153" s="108"/>
      <c r="D3153" s="261"/>
      <c r="E3153" s="261"/>
    </row>
    <row r="3154" spans="2:5" x14ac:dyDescent="0.3">
      <c r="B3154" s="274"/>
      <c r="C3154" s="108"/>
      <c r="D3154" s="261"/>
      <c r="E3154" s="261"/>
    </row>
    <row r="3155" spans="2:5" x14ac:dyDescent="0.3">
      <c r="B3155" s="274"/>
      <c r="C3155" s="108"/>
      <c r="D3155" s="261"/>
      <c r="E3155" s="261"/>
    </row>
    <row r="3156" spans="2:5" x14ac:dyDescent="0.3">
      <c r="B3156" s="274"/>
      <c r="C3156" s="108"/>
      <c r="D3156" s="261"/>
      <c r="E3156" s="261"/>
    </row>
    <row r="3157" spans="2:5" x14ac:dyDescent="0.3">
      <c r="B3157" s="274"/>
      <c r="C3157" s="108"/>
      <c r="D3157" s="261"/>
      <c r="E3157" s="261"/>
    </row>
    <row r="3158" spans="2:5" x14ac:dyDescent="0.3">
      <c r="B3158" s="274"/>
      <c r="C3158" s="108"/>
      <c r="D3158" s="261"/>
      <c r="E3158" s="261"/>
    </row>
    <row r="3159" spans="2:5" x14ac:dyDescent="0.3">
      <c r="B3159" s="274"/>
      <c r="C3159" s="108"/>
      <c r="D3159" s="261"/>
      <c r="E3159" s="261"/>
    </row>
    <row r="3160" spans="2:5" x14ac:dyDescent="0.3">
      <c r="B3160" s="274"/>
      <c r="C3160" s="108"/>
      <c r="D3160" s="261"/>
      <c r="E3160" s="261"/>
    </row>
    <row r="3161" spans="2:5" x14ac:dyDescent="0.3">
      <c r="B3161" s="274"/>
      <c r="C3161" s="108"/>
      <c r="D3161" s="261"/>
      <c r="E3161" s="261"/>
    </row>
    <row r="3162" spans="2:5" x14ac:dyDescent="0.3">
      <c r="B3162" s="274"/>
      <c r="C3162" s="108"/>
      <c r="D3162" s="261"/>
      <c r="E3162" s="261"/>
    </row>
    <row r="3163" spans="2:5" x14ac:dyDescent="0.3">
      <c r="B3163" s="274"/>
      <c r="C3163" s="108"/>
      <c r="D3163" s="261"/>
      <c r="E3163" s="261"/>
    </row>
    <row r="3164" spans="2:5" x14ac:dyDescent="0.3">
      <c r="B3164" s="274"/>
      <c r="C3164" s="108"/>
      <c r="D3164" s="261"/>
      <c r="E3164" s="261"/>
    </row>
    <row r="3165" spans="2:5" x14ac:dyDescent="0.3">
      <c r="B3165" s="274"/>
      <c r="C3165" s="108"/>
      <c r="D3165" s="261"/>
      <c r="E3165" s="261"/>
    </row>
    <row r="3166" spans="2:5" x14ac:dyDescent="0.3">
      <c r="B3166" s="274"/>
      <c r="C3166" s="108"/>
      <c r="D3166" s="261"/>
      <c r="E3166" s="261"/>
    </row>
    <row r="3167" spans="2:5" x14ac:dyDescent="0.3">
      <c r="B3167" s="274"/>
      <c r="C3167" s="108"/>
      <c r="D3167" s="261"/>
      <c r="E3167" s="261"/>
    </row>
    <row r="3168" spans="2:5" x14ac:dyDescent="0.3">
      <c r="B3168" s="274"/>
      <c r="C3168" s="108"/>
      <c r="D3168" s="261"/>
      <c r="E3168" s="261"/>
    </row>
    <row r="3169" spans="2:5" x14ac:dyDescent="0.3">
      <c r="B3169" s="274"/>
      <c r="C3169" s="108"/>
      <c r="D3169" s="261"/>
      <c r="E3169" s="261"/>
    </row>
    <row r="3170" spans="2:5" x14ac:dyDescent="0.3">
      <c r="B3170" s="274"/>
      <c r="C3170" s="108"/>
      <c r="D3170" s="261"/>
      <c r="E3170" s="261"/>
    </row>
    <row r="3171" spans="2:5" x14ac:dyDescent="0.3">
      <c r="B3171" s="274"/>
      <c r="C3171" s="108"/>
      <c r="D3171" s="261"/>
      <c r="E3171" s="261"/>
    </row>
    <row r="3172" spans="2:5" x14ac:dyDescent="0.3">
      <c r="B3172" s="274"/>
      <c r="C3172" s="108"/>
      <c r="D3172" s="261"/>
      <c r="E3172" s="261"/>
    </row>
    <row r="3173" spans="2:5" x14ac:dyDescent="0.3">
      <c r="B3173" s="274"/>
      <c r="C3173" s="108"/>
      <c r="D3173" s="261"/>
      <c r="E3173" s="261"/>
    </row>
    <row r="3174" spans="2:5" x14ac:dyDescent="0.3">
      <c r="B3174" s="274"/>
      <c r="C3174" s="108"/>
      <c r="D3174" s="261"/>
      <c r="E3174" s="261"/>
    </row>
    <row r="3175" spans="2:5" x14ac:dyDescent="0.3">
      <c r="B3175" s="274"/>
      <c r="C3175" s="108"/>
      <c r="D3175" s="261"/>
      <c r="E3175" s="261"/>
    </row>
    <row r="3176" spans="2:5" x14ac:dyDescent="0.3">
      <c r="B3176" s="274"/>
      <c r="C3176" s="108"/>
      <c r="D3176" s="261"/>
      <c r="E3176" s="261"/>
    </row>
    <row r="3177" spans="2:5" x14ac:dyDescent="0.3">
      <c r="B3177" s="274"/>
      <c r="C3177" s="108"/>
      <c r="D3177" s="261"/>
      <c r="E3177" s="261"/>
    </row>
    <row r="3178" spans="2:5" x14ac:dyDescent="0.3">
      <c r="B3178" s="274"/>
      <c r="C3178" s="108"/>
      <c r="D3178" s="261"/>
      <c r="E3178" s="261"/>
    </row>
    <row r="3179" spans="2:5" x14ac:dyDescent="0.3">
      <c r="B3179" s="274"/>
      <c r="C3179" s="108"/>
      <c r="D3179" s="261"/>
      <c r="E3179" s="261"/>
    </row>
    <row r="3180" spans="2:5" x14ac:dyDescent="0.3">
      <c r="B3180" s="274"/>
      <c r="C3180" s="108"/>
      <c r="D3180" s="261"/>
      <c r="E3180" s="261"/>
    </row>
    <row r="3181" spans="2:5" x14ac:dyDescent="0.3">
      <c r="B3181" s="274"/>
      <c r="C3181" s="108"/>
      <c r="D3181" s="261"/>
      <c r="E3181" s="261"/>
    </row>
    <row r="3182" spans="2:5" x14ac:dyDescent="0.3">
      <c r="B3182" s="274"/>
      <c r="C3182" s="108"/>
      <c r="D3182" s="261"/>
      <c r="E3182" s="261"/>
    </row>
    <row r="3183" spans="2:5" x14ac:dyDescent="0.3">
      <c r="B3183" s="274"/>
      <c r="C3183" s="108"/>
      <c r="D3183" s="261"/>
      <c r="E3183" s="261"/>
    </row>
    <row r="3184" spans="2:5" x14ac:dyDescent="0.3">
      <c r="B3184" s="274"/>
      <c r="C3184" s="108"/>
      <c r="D3184" s="261"/>
      <c r="E3184" s="261"/>
    </row>
    <row r="3185" spans="2:5" x14ac:dyDescent="0.3">
      <c r="B3185" s="274"/>
      <c r="C3185" s="108"/>
      <c r="D3185" s="261"/>
      <c r="E3185" s="261"/>
    </row>
    <row r="3186" spans="2:5" x14ac:dyDescent="0.3">
      <c r="B3186" s="274"/>
      <c r="C3186" s="108"/>
      <c r="D3186" s="261"/>
      <c r="E3186" s="261"/>
    </row>
    <row r="3187" spans="2:5" x14ac:dyDescent="0.3">
      <c r="B3187" s="274"/>
      <c r="C3187" s="108"/>
      <c r="D3187" s="261"/>
      <c r="E3187" s="261"/>
    </row>
    <row r="3188" spans="2:5" x14ac:dyDescent="0.3">
      <c r="B3188" s="274"/>
      <c r="C3188" s="108"/>
      <c r="D3188" s="261"/>
      <c r="E3188" s="261"/>
    </row>
    <row r="3189" spans="2:5" x14ac:dyDescent="0.3">
      <c r="B3189" s="274"/>
      <c r="C3189" s="108"/>
      <c r="D3189" s="261"/>
      <c r="E3189" s="261"/>
    </row>
    <row r="3190" spans="2:5" x14ac:dyDescent="0.3">
      <c r="B3190" s="274"/>
      <c r="C3190" s="108"/>
      <c r="D3190" s="261"/>
      <c r="E3190" s="261"/>
    </row>
    <row r="3191" spans="2:5" x14ac:dyDescent="0.3">
      <c r="B3191" s="274"/>
      <c r="C3191" s="108"/>
      <c r="D3191" s="261"/>
      <c r="E3191" s="261"/>
    </row>
    <row r="3192" spans="2:5" x14ac:dyDescent="0.3">
      <c r="B3192" s="274"/>
      <c r="C3192" s="108"/>
      <c r="D3192" s="261"/>
      <c r="E3192" s="261"/>
    </row>
    <row r="3193" spans="2:5" x14ac:dyDescent="0.3">
      <c r="B3193" s="274"/>
      <c r="C3193" s="108"/>
      <c r="D3193" s="261"/>
      <c r="E3193" s="261"/>
    </row>
    <row r="3194" spans="2:5" x14ac:dyDescent="0.3">
      <c r="B3194" s="274"/>
      <c r="C3194" s="108"/>
      <c r="D3194" s="261"/>
      <c r="E3194" s="261"/>
    </row>
    <row r="3195" spans="2:5" x14ac:dyDescent="0.3">
      <c r="B3195" s="274"/>
      <c r="C3195" s="108"/>
      <c r="D3195" s="261"/>
      <c r="E3195" s="261"/>
    </row>
    <row r="3196" spans="2:5" x14ac:dyDescent="0.3">
      <c r="B3196" s="274"/>
      <c r="C3196" s="108"/>
      <c r="D3196" s="261"/>
      <c r="E3196" s="261"/>
    </row>
    <row r="3197" spans="2:5" x14ac:dyDescent="0.3">
      <c r="B3197" s="274"/>
      <c r="C3197" s="108"/>
      <c r="D3197" s="261"/>
      <c r="E3197" s="261"/>
    </row>
    <row r="3198" spans="2:5" x14ac:dyDescent="0.3">
      <c r="B3198" s="274"/>
      <c r="C3198" s="108"/>
      <c r="D3198" s="261"/>
      <c r="E3198" s="261"/>
    </row>
    <row r="3199" spans="2:5" x14ac:dyDescent="0.3">
      <c r="B3199" s="274"/>
      <c r="C3199" s="108"/>
      <c r="D3199" s="261"/>
      <c r="E3199" s="261"/>
    </row>
    <row r="3200" spans="2:5" x14ac:dyDescent="0.3">
      <c r="B3200" s="274"/>
      <c r="C3200" s="108"/>
      <c r="D3200" s="261"/>
      <c r="E3200" s="261"/>
    </row>
    <row r="3201" spans="2:5" x14ac:dyDescent="0.3">
      <c r="B3201" s="274"/>
      <c r="C3201" s="108"/>
      <c r="D3201" s="261"/>
      <c r="E3201" s="261"/>
    </row>
    <row r="3202" spans="2:5" x14ac:dyDescent="0.3">
      <c r="B3202" s="274"/>
      <c r="C3202" s="108"/>
      <c r="D3202" s="261"/>
      <c r="E3202" s="261"/>
    </row>
    <row r="3203" spans="2:5" x14ac:dyDescent="0.3">
      <c r="B3203" s="274"/>
      <c r="C3203" s="108"/>
      <c r="D3203" s="261"/>
      <c r="E3203" s="261"/>
    </row>
    <row r="3204" spans="2:5" x14ac:dyDescent="0.3">
      <c r="B3204" s="274"/>
      <c r="C3204" s="108"/>
      <c r="D3204" s="261"/>
      <c r="E3204" s="261"/>
    </row>
    <row r="3205" spans="2:5" x14ac:dyDescent="0.3">
      <c r="B3205" s="274"/>
      <c r="C3205" s="108"/>
      <c r="D3205" s="261"/>
      <c r="E3205" s="261"/>
    </row>
    <row r="3206" spans="2:5" x14ac:dyDescent="0.3">
      <c r="B3206" s="274"/>
      <c r="C3206" s="108"/>
      <c r="D3206" s="261"/>
      <c r="E3206" s="261"/>
    </row>
    <row r="3207" spans="2:5" x14ac:dyDescent="0.3">
      <c r="B3207" s="274"/>
      <c r="C3207" s="108"/>
      <c r="D3207" s="261"/>
      <c r="E3207" s="261"/>
    </row>
    <row r="3208" spans="2:5" x14ac:dyDescent="0.3">
      <c r="B3208" s="274"/>
      <c r="C3208" s="108"/>
      <c r="D3208" s="261"/>
      <c r="E3208" s="261"/>
    </row>
    <row r="3209" spans="2:5" x14ac:dyDescent="0.3">
      <c r="B3209" s="274"/>
      <c r="C3209" s="108"/>
      <c r="D3209" s="261"/>
      <c r="E3209" s="261"/>
    </row>
    <row r="3210" spans="2:5" x14ac:dyDescent="0.3">
      <c r="B3210" s="274"/>
      <c r="C3210" s="108"/>
      <c r="D3210" s="261"/>
      <c r="E3210" s="261"/>
    </row>
    <row r="3211" spans="2:5" x14ac:dyDescent="0.3">
      <c r="B3211" s="274"/>
      <c r="C3211" s="108"/>
      <c r="D3211" s="261"/>
      <c r="E3211" s="261"/>
    </row>
    <row r="3212" spans="2:5" x14ac:dyDescent="0.3">
      <c r="B3212" s="274"/>
      <c r="C3212" s="108"/>
      <c r="D3212" s="261"/>
      <c r="E3212" s="261"/>
    </row>
    <row r="3213" spans="2:5" x14ac:dyDescent="0.3">
      <c r="B3213" s="274"/>
      <c r="C3213" s="108"/>
      <c r="D3213" s="261"/>
      <c r="E3213" s="261"/>
    </row>
    <row r="3214" spans="2:5" x14ac:dyDescent="0.3">
      <c r="B3214" s="274"/>
      <c r="C3214" s="108"/>
      <c r="D3214" s="261"/>
      <c r="E3214" s="261"/>
    </row>
    <row r="3215" spans="2:5" x14ac:dyDescent="0.3">
      <c r="B3215" s="274"/>
      <c r="C3215" s="108"/>
      <c r="D3215" s="261"/>
      <c r="E3215" s="261"/>
    </row>
    <row r="3216" spans="2:5" x14ac:dyDescent="0.3">
      <c r="B3216" s="274"/>
      <c r="C3216" s="108"/>
      <c r="D3216" s="261"/>
      <c r="E3216" s="261"/>
    </row>
    <row r="3217" spans="2:5" x14ac:dyDescent="0.3">
      <c r="B3217" s="274"/>
      <c r="C3217" s="108"/>
      <c r="D3217" s="261"/>
      <c r="E3217" s="261"/>
    </row>
    <row r="3218" spans="2:5" x14ac:dyDescent="0.3">
      <c r="B3218" s="274"/>
      <c r="C3218" s="108"/>
      <c r="D3218" s="261"/>
      <c r="E3218" s="261"/>
    </row>
    <row r="3219" spans="2:5" x14ac:dyDescent="0.3">
      <c r="B3219" s="274"/>
      <c r="C3219" s="108"/>
      <c r="D3219" s="261"/>
      <c r="E3219" s="261"/>
    </row>
    <row r="3220" spans="2:5" x14ac:dyDescent="0.3">
      <c r="B3220" s="274"/>
      <c r="C3220" s="108"/>
      <c r="D3220" s="261"/>
      <c r="E3220" s="261"/>
    </row>
    <row r="3221" spans="2:5" x14ac:dyDescent="0.3">
      <c r="B3221" s="274"/>
      <c r="C3221" s="108"/>
      <c r="D3221" s="261"/>
      <c r="E3221" s="261"/>
    </row>
    <row r="3222" spans="2:5" x14ac:dyDescent="0.3">
      <c r="B3222" s="274"/>
      <c r="C3222" s="108"/>
      <c r="D3222" s="261"/>
      <c r="E3222" s="261"/>
    </row>
    <row r="3223" spans="2:5" x14ac:dyDescent="0.3">
      <c r="B3223" s="274"/>
      <c r="C3223" s="108"/>
      <c r="D3223" s="261"/>
      <c r="E3223" s="261"/>
    </row>
    <row r="3224" spans="2:5" x14ac:dyDescent="0.3">
      <c r="B3224" s="274"/>
      <c r="C3224" s="108"/>
      <c r="D3224" s="261"/>
      <c r="E3224" s="261"/>
    </row>
    <row r="3225" spans="2:5" x14ac:dyDescent="0.3">
      <c r="B3225" s="274"/>
      <c r="C3225" s="108"/>
      <c r="D3225" s="261"/>
      <c r="E3225" s="261"/>
    </row>
    <row r="3226" spans="2:5" x14ac:dyDescent="0.3">
      <c r="B3226" s="274"/>
      <c r="C3226" s="108"/>
      <c r="D3226" s="261"/>
      <c r="E3226" s="261"/>
    </row>
    <row r="3227" spans="2:5" x14ac:dyDescent="0.3">
      <c r="B3227" s="274"/>
      <c r="C3227" s="108"/>
      <c r="D3227" s="261"/>
      <c r="E3227" s="261"/>
    </row>
    <row r="3228" spans="2:5" x14ac:dyDescent="0.3">
      <c r="B3228" s="274"/>
      <c r="C3228" s="108"/>
      <c r="D3228" s="261"/>
      <c r="E3228" s="261"/>
    </row>
    <row r="3229" spans="2:5" x14ac:dyDescent="0.3">
      <c r="B3229" s="274"/>
      <c r="C3229" s="108"/>
      <c r="D3229" s="261"/>
      <c r="E3229" s="261"/>
    </row>
    <row r="3230" spans="2:5" x14ac:dyDescent="0.3">
      <c r="B3230" s="274"/>
      <c r="C3230" s="108"/>
      <c r="D3230" s="261"/>
      <c r="E3230" s="261"/>
    </row>
    <row r="3231" spans="2:5" x14ac:dyDescent="0.3">
      <c r="B3231" s="274"/>
      <c r="C3231" s="108"/>
      <c r="D3231" s="261"/>
      <c r="E3231" s="261"/>
    </row>
    <row r="3232" spans="2:5" x14ac:dyDescent="0.3">
      <c r="B3232" s="274"/>
      <c r="C3232" s="108"/>
      <c r="D3232" s="261"/>
      <c r="E3232" s="261"/>
    </row>
    <row r="3233" spans="2:5" x14ac:dyDescent="0.3">
      <c r="B3233" s="274"/>
      <c r="C3233" s="108"/>
      <c r="D3233" s="261"/>
      <c r="E3233" s="261"/>
    </row>
    <row r="3234" spans="2:5" x14ac:dyDescent="0.3">
      <c r="B3234" s="274"/>
      <c r="C3234" s="108"/>
      <c r="D3234" s="261"/>
      <c r="E3234" s="261"/>
    </row>
    <row r="3235" spans="2:5" x14ac:dyDescent="0.3">
      <c r="B3235" s="274"/>
      <c r="C3235" s="108"/>
      <c r="D3235" s="261"/>
      <c r="E3235" s="261"/>
    </row>
    <row r="3236" spans="2:5" x14ac:dyDescent="0.3">
      <c r="B3236" s="274"/>
      <c r="C3236" s="108"/>
      <c r="D3236" s="261"/>
      <c r="E3236" s="261"/>
    </row>
    <row r="3237" spans="2:5" x14ac:dyDescent="0.3">
      <c r="B3237" s="274"/>
      <c r="C3237" s="108"/>
      <c r="D3237" s="261"/>
      <c r="E3237" s="261"/>
    </row>
    <row r="3238" spans="2:5" x14ac:dyDescent="0.3">
      <c r="B3238" s="274"/>
      <c r="C3238" s="108"/>
      <c r="D3238" s="261"/>
      <c r="E3238" s="261"/>
    </row>
    <row r="3239" spans="2:5" x14ac:dyDescent="0.3">
      <c r="B3239" s="274"/>
      <c r="C3239" s="108"/>
      <c r="D3239" s="261"/>
      <c r="E3239" s="261"/>
    </row>
    <row r="3240" spans="2:5" x14ac:dyDescent="0.3">
      <c r="B3240" s="274"/>
      <c r="C3240" s="108"/>
      <c r="D3240" s="261"/>
      <c r="E3240" s="261"/>
    </row>
    <row r="3241" spans="2:5" x14ac:dyDescent="0.3">
      <c r="B3241" s="274"/>
      <c r="C3241" s="108"/>
      <c r="D3241" s="261"/>
      <c r="E3241" s="261"/>
    </row>
    <row r="3242" spans="2:5" x14ac:dyDescent="0.3">
      <c r="B3242" s="274"/>
      <c r="C3242" s="108"/>
      <c r="D3242" s="261"/>
      <c r="E3242" s="261"/>
    </row>
    <row r="3243" spans="2:5" x14ac:dyDescent="0.3">
      <c r="B3243" s="274"/>
      <c r="C3243" s="108"/>
      <c r="D3243" s="261"/>
      <c r="E3243" s="261"/>
    </row>
    <row r="3244" spans="2:5" x14ac:dyDescent="0.3">
      <c r="B3244" s="274"/>
      <c r="C3244" s="108"/>
      <c r="D3244" s="261"/>
      <c r="E3244" s="261"/>
    </row>
    <row r="3245" spans="2:5" x14ac:dyDescent="0.3">
      <c r="B3245" s="274"/>
      <c r="C3245" s="108"/>
      <c r="D3245" s="261"/>
      <c r="E3245" s="261"/>
    </row>
    <row r="3246" spans="2:5" x14ac:dyDescent="0.3">
      <c r="B3246" s="274"/>
      <c r="C3246" s="108"/>
      <c r="D3246" s="261"/>
      <c r="E3246" s="261"/>
    </row>
    <row r="3247" spans="2:5" x14ac:dyDescent="0.3">
      <c r="B3247" s="274"/>
      <c r="C3247" s="108"/>
      <c r="D3247" s="261"/>
      <c r="E3247" s="261"/>
    </row>
    <row r="3248" spans="2:5" x14ac:dyDescent="0.3">
      <c r="B3248" s="274"/>
      <c r="C3248" s="108"/>
      <c r="D3248" s="261"/>
      <c r="E3248" s="261"/>
    </row>
    <row r="3249" spans="2:5" x14ac:dyDescent="0.3">
      <c r="B3249" s="274"/>
      <c r="C3249" s="108"/>
      <c r="D3249" s="261"/>
      <c r="E3249" s="261"/>
    </row>
    <row r="3250" spans="2:5" x14ac:dyDescent="0.3">
      <c r="B3250" s="274"/>
      <c r="C3250" s="108"/>
      <c r="D3250" s="261"/>
      <c r="E3250" s="261"/>
    </row>
    <row r="3251" spans="2:5" x14ac:dyDescent="0.3">
      <c r="B3251" s="274"/>
      <c r="C3251" s="108"/>
      <c r="D3251" s="261"/>
      <c r="E3251" s="261"/>
    </row>
    <row r="3252" spans="2:5" x14ac:dyDescent="0.3">
      <c r="B3252" s="274"/>
      <c r="C3252" s="108"/>
      <c r="D3252" s="261"/>
      <c r="E3252" s="261"/>
    </row>
    <row r="3253" spans="2:5" x14ac:dyDescent="0.3">
      <c r="B3253" s="274"/>
      <c r="C3253" s="108"/>
      <c r="D3253" s="261"/>
      <c r="E3253" s="261"/>
    </row>
    <row r="3254" spans="2:5" x14ac:dyDescent="0.3">
      <c r="B3254" s="274"/>
      <c r="C3254" s="108"/>
      <c r="D3254" s="261"/>
      <c r="E3254" s="261"/>
    </row>
    <row r="3255" spans="2:5" x14ac:dyDescent="0.3">
      <c r="B3255" s="274"/>
      <c r="C3255" s="108"/>
      <c r="D3255" s="261"/>
      <c r="E3255" s="261"/>
    </row>
    <row r="3256" spans="2:5" x14ac:dyDescent="0.3">
      <c r="B3256" s="274"/>
      <c r="C3256" s="108"/>
      <c r="D3256" s="261"/>
      <c r="E3256" s="261"/>
    </row>
    <row r="3257" spans="2:5" x14ac:dyDescent="0.3">
      <c r="B3257" s="274"/>
      <c r="C3257" s="108"/>
      <c r="D3257" s="261"/>
      <c r="E3257" s="261"/>
    </row>
    <row r="3258" spans="2:5" x14ac:dyDescent="0.3">
      <c r="B3258" s="274"/>
      <c r="C3258" s="108"/>
      <c r="D3258" s="261"/>
      <c r="E3258" s="261"/>
    </row>
    <row r="3259" spans="2:5" x14ac:dyDescent="0.3">
      <c r="B3259" s="274"/>
      <c r="C3259" s="108"/>
      <c r="D3259" s="261"/>
      <c r="E3259" s="261"/>
    </row>
    <row r="3260" spans="2:5" x14ac:dyDescent="0.3">
      <c r="B3260" s="274"/>
      <c r="C3260" s="108"/>
      <c r="D3260" s="261"/>
      <c r="E3260" s="261"/>
    </row>
    <row r="3261" spans="2:5" x14ac:dyDescent="0.3">
      <c r="B3261" s="274"/>
      <c r="C3261" s="108"/>
      <c r="D3261" s="261"/>
      <c r="E3261" s="261"/>
    </row>
    <row r="3262" spans="2:5" x14ac:dyDescent="0.3">
      <c r="B3262" s="274"/>
      <c r="C3262" s="108"/>
      <c r="D3262" s="261"/>
      <c r="E3262" s="261"/>
    </row>
    <row r="3263" spans="2:5" x14ac:dyDescent="0.3">
      <c r="B3263" s="274"/>
      <c r="C3263" s="108"/>
      <c r="D3263" s="261"/>
      <c r="E3263" s="261"/>
    </row>
    <row r="3264" spans="2:5" x14ac:dyDescent="0.3">
      <c r="B3264" s="274"/>
      <c r="C3264" s="108"/>
      <c r="D3264" s="261"/>
      <c r="E3264" s="261"/>
    </row>
    <row r="3265" spans="2:5" x14ac:dyDescent="0.3">
      <c r="B3265" s="274"/>
      <c r="C3265" s="108"/>
      <c r="D3265" s="261"/>
      <c r="E3265" s="261"/>
    </row>
    <row r="3266" spans="2:5" x14ac:dyDescent="0.3">
      <c r="B3266" s="274"/>
      <c r="C3266" s="108"/>
      <c r="D3266" s="261"/>
      <c r="E3266" s="261"/>
    </row>
    <row r="3267" spans="2:5" x14ac:dyDescent="0.3">
      <c r="B3267" s="274"/>
      <c r="C3267" s="108"/>
      <c r="D3267" s="261"/>
      <c r="E3267" s="261"/>
    </row>
    <row r="3268" spans="2:5" x14ac:dyDescent="0.3">
      <c r="B3268" s="274"/>
      <c r="C3268" s="108"/>
      <c r="D3268" s="261"/>
      <c r="E3268" s="261"/>
    </row>
    <row r="3269" spans="2:5" x14ac:dyDescent="0.3">
      <c r="B3269" s="274"/>
      <c r="C3269" s="108"/>
      <c r="D3269" s="261"/>
      <c r="E3269" s="261"/>
    </row>
    <row r="3270" spans="2:5" x14ac:dyDescent="0.3">
      <c r="B3270" s="274"/>
      <c r="C3270" s="108"/>
      <c r="D3270" s="261"/>
      <c r="E3270" s="261"/>
    </row>
    <row r="3271" spans="2:5" x14ac:dyDescent="0.3">
      <c r="B3271" s="274"/>
      <c r="C3271" s="108"/>
      <c r="D3271" s="261"/>
      <c r="E3271" s="261"/>
    </row>
    <row r="3272" spans="2:5" x14ac:dyDescent="0.3">
      <c r="B3272" s="274"/>
      <c r="C3272" s="108"/>
      <c r="D3272" s="261"/>
      <c r="E3272" s="261"/>
    </row>
    <row r="3273" spans="2:5" x14ac:dyDescent="0.3">
      <c r="B3273" s="274"/>
      <c r="C3273" s="108"/>
      <c r="D3273" s="261"/>
      <c r="E3273" s="261"/>
    </row>
    <row r="3274" spans="2:5" x14ac:dyDescent="0.3">
      <c r="B3274" s="274"/>
      <c r="C3274" s="108"/>
      <c r="D3274" s="261"/>
      <c r="E3274" s="261"/>
    </row>
    <row r="3275" spans="2:5" x14ac:dyDescent="0.3">
      <c r="B3275" s="274"/>
      <c r="C3275" s="108"/>
      <c r="D3275" s="261"/>
      <c r="E3275" s="261"/>
    </row>
    <row r="3276" spans="2:5" x14ac:dyDescent="0.3">
      <c r="B3276" s="274"/>
      <c r="C3276" s="108"/>
      <c r="D3276" s="261"/>
      <c r="E3276" s="261"/>
    </row>
    <row r="3277" spans="2:5" x14ac:dyDescent="0.3">
      <c r="B3277" s="274"/>
      <c r="C3277" s="108"/>
      <c r="D3277" s="261"/>
      <c r="E3277" s="261"/>
    </row>
    <row r="3278" spans="2:5" x14ac:dyDescent="0.3">
      <c r="B3278" s="274"/>
      <c r="C3278" s="108"/>
      <c r="D3278" s="261"/>
      <c r="E3278" s="261"/>
    </row>
    <row r="3279" spans="2:5" x14ac:dyDescent="0.3">
      <c r="B3279" s="274"/>
      <c r="C3279" s="108"/>
      <c r="D3279" s="261"/>
      <c r="E3279" s="261"/>
    </row>
    <row r="3280" spans="2:5" x14ac:dyDescent="0.3">
      <c r="B3280" s="274"/>
      <c r="C3280" s="108"/>
      <c r="D3280" s="261"/>
      <c r="E3280" s="261"/>
    </row>
    <row r="3281" spans="2:5" x14ac:dyDescent="0.3">
      <c r="B3281" s="274"/>
      <c r="C3281" s="108"/>
      <c r="D3281" s="261"/>
      <c r="E3281" s="261"/>
    </row>
    <row r="3282" spans="2:5" x14ac:dyDescent="0.3">
      <c r="B3282" s="274"/>
      <c r="C3282" s="108"/>
      <c r="D3282" s="261"/>
      <c r="E3282" s="261"/>
    </row>
    <row r="3283" spans="2:5" x14ac:dyDescent="0.3">
      <c r="B3283" s="274"/>
      <c r="C3283" s="108"/>
      <c r="D3283" s="261"/>
      <c r="E3283" s="261"/>
    </row>
    <row r="3284" spans="2:5" x14ac:dyDescent="0.3">
      <c r="B3284" s="274"/>
      <c r="C3284" s="108"/>
      <c r="D3284" s="261"/>
      <c r="E3284" s="261"/>
    </row>
    <row r="3285" spans="2:5" x14ac:dyDescent="0.3">
      <c r="B3285" s="274"/>
      <c r="C3285" s="108"/>
      <c r="D3285" s="261"/>
      <c r="E3285" s="261"/>
    </row>
    <row r="3286" spans="2:5" x14ac:dyDescent="0.3">
      <c r="B3286" s="274"/>
      <c r="C3286" s="108"/>
      <c r="D3286" s="261"/>
      <c r="E3286" s="261"/>
    </row>
    <row r="3287" spans="2:5" x14ac:dyDescent="0.3">
      <c r="B3287" s="274"/>
      <c r="C3287" s="108"/>
      <c r="D3287" s="261"/>
      <c r="E3287" s="261"/>
    </row>
    <row r="3288" spans="2:5" x14ac:dyDescent="0.3">
      <c r="B3288" s="274"/>
      <c r="C3288" s="108"/>
      <c r="D3288" s="261"/>
      <c r="E3288" s="261"/>
    </row>
    <row r="3289" spans="2:5" x14ac:dyDescent="0.3">
      <c r="B3289" s="274"/>
      <c r="C3289" s="108"/>
      <c r="D3289" s="261"/>
      <c r="E3289" s="261"/>
    </row>
    <row r="3290" spans="2:5" x14ac:dyDescent="0.3">
      <c r="B3290" s="274"/>
      <c r="C3290" s="108"/>
      <c r="D3290" s="261"/>
      <c r="E3290" s="261"/>
    </row>
    <row r="3291" spans="2:5" x14ac:dyDescent="0.3">
      <c r="B3291" s="274"/>
      <c r="C3291" s="108"/>
      <c r="D3291" s="261"/>
      <c r="E3291" s="261"/>
    </row>
    <row r="3292" spans="2:5" x14ac:dyDescent="0.3">
      <c r="B3292" s="274"/>
      <c r="C3292" s="108"/>
      <c r="D3292" s="261"/>
      <c r="E3292" s="261"/>
    </row>
    <row r="3293" spans="2:5" x14ac:dyDescent="0.3">
      <c r="B3293" s="274"/>
      <c r="C3293" s="108"/>
      <c r="D3293" s="261"/>
      <c r="E3293" s="261"/>
    </row>
    <row r="3294" spans="2:5" x14ac:dyDescent="0.3">
      <c r="B3294" s="274"/>
      <c r="C3294" s="108"/>
      <c r="D3294" s="261"/>
      <c r="E3294" s="261"/>
    </row>
    <row r="3295" spans="2:5" x14ac:dyDescent="0.3">
      <c r="B3295" s="274"/>
      <c r="C3295" s="108"/>
      <c r="D3295" s="261"/>
      <c r="E3295" s="261"/>
    </row>
    <row r="3296" spans="2:5" x14ac:dyDescent="0.3">
      <c r="B3296" s="274"/>
      <c r="C3296" s="108"/>
      <c r="D3296" s="261"/>
      <c r="E3296" s="261"/>
    </row>
    <row r="3297" spans="2:5" x14ac:dyDescent="0.3">
      <c r="B3297" s="274"/>
      <c r="C3297" s="108"/>
      <c r="D3297" s="261"/>
      <c r="E3297" s="261"/>
    </row>
    <row r="3298" spans="2:5" x14ac:dyDescent="0.3">
      <c r="B3298" s="274"/>
      <c r="C3298" s="108"/>
      <c r="D3298" s="261"/>
      <c r="E3298" s="261"/>
    </row>
    <row r="3299" spans="2:5" x14ac:dyDescent="0.3">
      <c r="B3299" s="274"/>
      <c r="C3299" s="108"/>
      <c r="D3299" s="261"/>
      <c r="E3299" s="261"/>
    </row>
    <row r="3300" spans="2:5" x14ac:dyDescent="0.3">
      <c r="B3300" s="274"/>
      <c r="C3300" s="108"/>
      <c r="D3300" s="261"/>
      <c r="E3300" s="261"/>
    </row>
    <row r="3301" spans="2:5" x14ac:dyDescent="0.3">
      <c r="B3301" s="274"/>
      <c r="C3301" s="108"/>
      <c r="D3301" s="261"/>
      <c r="E3301" s="261"/>
    </row>
    <row r="3302" spans="2:5" x14ac:dyDescent="0.3">
      <c r="B3302" s="274"/>
      <c r="C3302" s="108"/>
      <c r="D3302" s="261"/>
      <c r="E3302" s="261"/>
    </row>
    <row r="3303" spans="2:5" x14ac:dyDescent="0.3">
      <c r="B3303" s="274"/>
      <c r="C3303" s="108"/>
      <c r="D3303" s="261"/>
      <c r="E3303" s="261"/>
    </row>
    <row r="3304" spans="2:5" x14ac:dyDescent="0.3">
      <c r="B3304" s="274"/>
      <c r="C3304" s="108"/>
      <c r="D3304" s="261"/>
      <c r="E3304" s="261"/>
    </row>
    <row r="3305" spans="2:5" x14ac:dyDescent="0.3">
      <c r="B3305" s="274"/>
      <c r="C3305" s="108"/>
      <c r="D3305" s="261"/>
      <c r="E3305" s="261"/>
    </row>
    <row r="3306" spans="2:5" x14ac:dyDescent="0.3">
      <c r="B3306" s="274"/>
      <c r="C3306" s="108"/>
      <c r="D3306" s="261"/>
      <c r="E3306" s="261"/>
    </row>
    <row r="3307" spans="2:5" x14ac:dyDescent="0.3">
      <c r="B3307" s="274"/>
      <c r="C3307" s="108"/>
      <c r="D3307" s="261"/>
      <c r="E3307" s="261"/>
    </row>
    <row r="3308" spans="2:5" x14ac:dyDescent="0.3">
      <c r="B3308" s="274"/>
      <c r="C3308" s="108"/>
      <c r="D3308" s="261"/>
      <c r="E3308" s="261"/>
    </row>
    <row r="3309" spans="2:5" x14ac:dyDescent="0.3">
      <c r="B3309" s="274"/>
      <c r="C3309" s="108"/>
      <c r="D3309" s="261"/>
      <c r="E3309" s="261"/>
    </row>
    <row r="3310" spans="2:5" x14ac:dyDescent="0.3">
      <c r="B3310" s="274"/>
      <c r="C3310" s="108"/>
      <c r="D3310" s="261"/>
      <c r="E3310" s="261"/>
    </row>
    <row r="3311" spans="2:5" x14ac:dyDescent="0.3">
      <c r="B3311" s="274"/>
      <c r="C3311" s="108"/>
      <c r="D3311" s="261"/>
      <c r="E3311" s="261"/>
    </row>
    <row r="3312" spans="2:5" x14ac:dyDescent="0.3">
      <c r="B3312" s="274"/>
      <c r="C3312" s="108"/>
      <c r="D3312" s="261"/>
      <c r="E3312" s="261"/>
    </row>
    <row r="3313" spans="2:5" x14ac:dyDescent="0.3">
      <c r="B3313" s="274"/>
      <c r="C3313" s="108"/>
      <c r="D3313" s="261"/>
      <c r="E3313" s="261"/>
    </row>
    <row r="3314" spans="2:5" x14ac:dyDescent="0.3">
      <c r="B3314" s="274"/>
      <c r="C3314" s="108"/>
      <c r="D3314" s="261"/>
      <c r="E3314" s="261"/>
    </row>
    <row r="3315" spans="2:5" x14ac:dyDescent="0.3">
      <c r="B3315" s="274"/>
      <c r="C3315" s="108"/>
      <c r="D3315" s="261"/>
      <c r="E3315" s="261"/>
    </row>
    <row r="3316" spans="2:5" x14ac:dyDescent="0.3">
      <c r="B3316" s="274"/>
      <c r="C3316" s="108"/>
      <c r="D3316" s="261"/>
      <c r="E3316" s="261"/>
    </row>
    <row r="3317" spans="2:5" x14ac:dyDescent="0.3">
      <c r="B3317" s="274"/>
      <c r="C3317" s="108"/>
      <c r="D3317" s="261"/>
      <c r="E3317" s="261"/>
    </row>
    <row r="3318" spans="2:5" x14ac:dyDescent="0.3">
      <c r="B3318" s="274"/>
      <c r="C3318" s="108"/>
      <c r="D3318" s="261"/>
      <c r="E3318" s="261"/>
    </row>
    <row r="3319" spans="2:5" x14ac:dyDescent="0.3">
      <c r="B3319" s="274"/>
      <c r="C3319" s="108"/>
      <c r="D3319" s="261"/>
      <c r="E3319" s="261"/>
    </row>
    <row r="3320" spans="2:5" x14ac:dyDescent="0.3">
      <c r="B3320" s="274"/>
      <c r="C3320" s="108"/>
      <c r="D3320" s="261"/>
      <c r="E3320" s="261"/>
    </row>
    <row r="3321" spans="2:5" x14ac:dyDescent="0.3">
      <c r="B3321" s="274"/>
      <c r="C3321" s="108"/>
      <c r="D3321" s="261"/>
      <c r="E3321" s="261"/>
    </row>
    <row r="3322" spans="2:5" x14ac:dyDescent="0.3">
      <c r="B3322" s="274"/>
      <c r="C3322" s="108"/>
      <c r="D3322" s="261"/>
      <c r="E3322" s="261"/>
    </row>
    <row r="3323" spans="2:5" x14ac:dyDescent="0.3">
      <c r="B3323" s="274"/>
      <c r="C3323" s="108"/>
      <c r="D3323" s="261"/>
      <c r="E3323" s="261"/>
    </row>
    <row r="3324" spans="2:5" x14ac:dyDescent="0.3">
      <c r="B3324" s="274"/>
      <c r="C3324" s="108"/>
      <c r="D3324" s="261"/>
      <c r="E3324" s="261"/>
    </row>
    <row r="3325" spans="2:5" x14ac:dyDescent="0.3">
      <c r="B3325" s="274"/>
      <c r="C3325" s="108"/>
      <c r="D3325" s="261"/>
      <c r="E3325" s="261"/>
    </row>
    <row r="3326" spans="2:5" x14ac:dyDescent="0.3">
      <c r="B3326" s="274"/>
      <c r="C3326" s="108"/>
      <c r="D3326" s="261"/>
      <c r="E3326" s="261"/>
    </row>
    <row r="3327" spans="2:5" x14ac:dyDescent="0.3">
      <c r="B3327" s="274"/>
      <c r="C3327" s="108"/>
      <c r="D3327" s="261"/>
      <c r="E3327" s="261"/>
    </row>
    <row r="3328" spans="2:5" x14ac:dyDescent="0.3">
      <c r="B3328" s="274"/>
      <c r="C3328" s="108"/>
      <c r="D3328" s="261"/>
      <c r="E3328" s="261"/>
    </row>
    <row r="3329" spans="2:5" x14ac:dyDescent="0.3">
      <c r="B3329" s="274"/>
      <c r="C3329" s="108"/>
      <c r="D3329" s="261"/>
      <c r="E3329" s="261"/>
    </row>
    <row r="3330" spans="2:5" x14ac:dyDescent="0.3">
      <c r="B3330" s="274"/>
      <c r="C3330" s="108"/>
      <c r="D3330" s="261"/>
      <c r="E3330" s="261"/>
    </row>
    <row r="3331" spans="2:5" x14ac:dyDescent="0.3">
      <c r="B3331" s="274"/>
      <c r="C3331" s="108"/>
      <c r="D3331" s="261"/>
      <c r="E3331" s="261"/>
    </row>
    <row r="3332" spans="2:5" x14ac:dyDescent="0.3">
      <c r="B3332" s="274"/>
      <c r="C3332" s="108"/>
      <c r="D3332" s="261"/>
      <c r="E3332" s="261"/>
    </row>
    <row r="3333" spans="2:5" x14ac:dyDescent="0.3">
      <c r="B3333" s="274"/>
      <c r="C3333" s="108"/>
      <c r="D3333" s="261"/>
      <c r="E3333" s="261"/>
    </row>
    <row r="3334" spans="2:5" x14ac:dyDescent="0.3">
      <c r="B3334" s="274"/>
      <c r="C3334" s="108"/>
      <c r="D3334" s="261"/>
      <c r="E3334" s="261"/>
    </row>
    <row r="3335" spans="2:5" x14ac:dyDescent="0.3">
      <c r="B3335" s="274"/>
      <c r="C3335" s="108"/>
      <c r="D3335" s="261"/>
      <c r="E3335" s="261"/>
    </row>
    <row r="3336" spans="2:5" x14ac:dyDescent="0.3">
      <c r="B3336" s="274"/>
      <c r="C3336" s="108"/>
      <c r="D3336" s="261"/>
      <c r="E3336" s="261"/>
    </row>
    <row r="3337" spans="2:5" x14ac:dyDescent="0.3">
      <c r="B3337" s="274"/>
      <c r="C3337" s="108"/>
      <c r="D3337" s="261"/>
      <c r="E3337" s="261"/>
    </row>
    <row r="3338" spans="2:5" x14ac:dyDescent="0.3">
      <c r="B3338" s="274"/>
      <c r="C3338" s="108"/>
      <c r="D3338" s="261"/>
      <c r="E3338" s="261"/>
    </row>
    <row r="3339" spans="2:5" x14ac:dyDescent="0.3">
      <c r="B3339" s="274"/>
      <c r="C3339" s="108"/>
      <c r="D3339" s="261"/>
      <c r="E3339" s="261"/>
    </row>
    <row r="3340" spans="2:5" x14ac:dyDescent="0.3">
      <c r="B3340" s="274"/>
      <c r="C3340" s="108"/>
      <c r="D3340" s="261"/>
      <c r="E3340" s="261"/>
    </row>
    <row r="3341" spans="2:5" x14ac:dyDescent="0.3">
      <c r="B3341" s="274"/>
      <c r="C3341" s="108"/>
      <c r="D3341" s="261"/>
      <c r="E3341" s="261"/>
    </row>
    <row r="3342" spans="2:5" x14ac:dyDescent="0.3">
      <c r="B3342" s="274"/>
      <c r="C3342" s="108"/>
      <c r="D3342" s="261"/>
      <c r="E3342" s="261"/>
    </row>
    <row r="3343" spans="2:5" x14ac:dyDescent="0.3">
      <c r="B3343" s="274"/>
      <c r="C3343" s="108"/>
      <c r="D3343" s="261"/>
      <c r="E3343" s="261"/>
    </row>
    <row r="3344" spans="2:5" x14ac:dyDescent="0.3">
      <c r="B3344" s="274"/>
      <c r="C3344" s="108"/>
      <c r="D3344" s="261"/>
      <c r="E3344" s="261"/>
    </row>
    <row r="3345" spans="2:5" x14ac:dyDescent="0.3">
      <c r="B3345" s="274"/>
      <c r="C3345" s="108"/>
      <c r="D3345" s="261"/>
      <c r="E3345" s="261"/>
    </row>
    <row r="3346" spans="2:5" x14ac:dyDescent="0.3">
      <c r="B3346" s="274"/>
      <c r="C3346" s="108"/>
      <c r="D3346" s="261"/>
      <c r="E3346" s="261"/>
    </row>
    <row r="3347" spans="2:5" x14ac:dyDescent="0.3">
      <c r="B3347" s="274"/>
      <c r="C3347" s="108"/>
      <c r="D3347" s="261"/>
      <c r="E3347" s="261"/>
    </row>
    <row r="3348" spans="2:5" x14ac:dyDescent="0.3">
      <c r="B3348" s="274"/>
      <c r="C3348" s="108"/>
      <c r="D3348" s="261"/>
      <c r="E3348" s="261"/>
    </row>
    <row r="3349" spans="2:5" x14ac:dyDescent="0.3">
      <c r="B3349" s="274"/>
      <c r="C3349" s="108"/>
      <c r="D3349" s="261"/>
      <c r="E3349" s="261"/>
    </row>
    <row r="3350" spans="2:5" x14ac:dyDescent="0.3">
      <c r="B3350" s="274"/>
      <c r="C3350" s="108"/>
      <c r="D3350" s="261"/>
      <c r="E3350" s="261"/>
    </row>
    <row r="3351" spans="2:5" x14ac:dyDescent="0.3">
      <c r="B3351" s="274"/>
      <c r="C3351" s="108"/>
      <c r="D3351" s="261"/>
      <c r="E3351" s="261"/>
    </row>
    <row r="3352" spans="2:5" x14ac:dyDescent="0.3">
      <c r="B3352" s="274"/>
      <c r="C3352" s="108"/>
      <c r="D3352" s="261"/>
      <c r="E3352" s="261"/>
    </row>
    <row r="3353" spans="2:5" x14ac:dyDescent="0.3">
      <c r="B3353" s="274"/>
      <c r="C3353" s="108"/>
      <c r="D3353" s="261"/>
      <c r="E3353" s="261"/>
    </row>
    <row r="3354" spans="2:5" x14ac:dyDescent="0.3">
      <c r="B3354" s="274"/>
      <c r="C3354" s="108"/>
      <c r="D3354" s="261"/>
      <c r="E3354" s="261"/>
    </row>
    <row r="3355" spans="2:5" x14ac:dyDescent="0.3">
      <c r="B3355" s="274"/>
      <c r="C3355" s="108"/>
      <c r="D3355" s="261"/>
      <c r="E3355" s="261"/>
    </row>
    <row r="3356" spans="2:5" x14ac:dyDescent="0.3">
      <c r="B3356" s="274"/>
      <c r="C3356" s="108"/>
      <c r="D3356" s="261"/>
      <c r="E3356" s="261"/>
    </row>
    <row r="3357" spans="2:5" x14ac:dyDescent="0.3">
      <c r="B3357" s="274"/>
      <c r="C3357" s="108"/>
      <c r="D3357" s="261"/>
      <c r="E3357" s="261"/>
    </row>
    <row r="3358" spans="2:5" x14ac:dyDescent="0.3">
      <c r="B3358" s="274"/>
      <c r="C3358" s="108"/>
      <c r="D3358" s="261"/>
      <c r="E3358" s="261"/>
    </row>
    <row r="3359" spans="2:5" x14ac:dyDescent="0.3">
      <c r="B3359" s="274"/>
      <c r="C3359" s="108"/>
      <c r="D3359" s="261"/>
      <c r="E3359" s="261"/>
    </row>
    <row r="3360" spans="2:5" x14ac:dyDescent="0.3">
      <c r="B3360" s="274"/>
      <c r="C3360" s="108"/>
      <c r="D3360" s="261"/>
      <c r="E3360" s="261"/>
    </row>
    <row r="3361" spans="2:5" x14ac:dyDescent="0.3">
      <c r="B3361" s="274"/>
      <c r="C3361" s="108"/>
      <c r="D3361" s="261"/>
      <c r="E3361" s="261"/>
    </row>
    <row r="3362" spans="2:5" x14ac:dyDescent="0.3">
      <c r="B3362" s="274"/>
      <c r="C3362" s="108"/>
      <c r="D3362" s="261"/>
      <c r="E3362" s="261"/>
    </row>
    <row r="3363" spans="2:5" x14ac:dyDescent="0.3">
      <c r="B3363" s="274"/>
      <c r="C3363" s="108"/>
      <c r="D3363" s="261"/>
      <c r="E3363" s="261"/>
    </row>
    <row r="3364" spans="2:5" x14ac:dyDescent="0.3">
      <c r="B3364" s="274"/>
      <c r="C3364" s="108"/>
      <c r="D3364" s="261"/>
      <c r="E3364" s="261"/>
    </row>
    <row r="3365" spans="2:5" x14ac:dyDescent="0.3">
      <c r="B3365" s="274"/>
      <c r="C3365" s="108"/>
      <c r="D3365" s="261"/>
      <c r="E3365" s="261"/>
    </row>
    <row r="3366" spans="2:5" x14ac:dyDescent="0.3">
      <c r="B3366" s="274"/>
      <c r="C3366" s="108"/>
      <c r="D3366" s="261"/>
      <c r="E3366" s="261"/>
    </row>
    <row r="3367" spans="2:5" x14ac:dyDescent="0.3">
      <c r="B3367" s="274"/>
      <c r="C3367" s="108"/>
      <c r="D3367" s="261"/>
      <c r="E3367" s="261"/>
    </row>
    <row r="3368" spans="2:5" x14ac:dyDescent="0.3">
      <c r="B3368" s="274"/>
      <c r="C3368" s="108"/>
      <c r="D3368" s="261"/>
      <c r="E3368" s="261"/>
    </row>
    <row r="3369" spans="2:5" x14ac:dyDescent="0.3">
      <c r="B3369" s="274"/>
      <c r="C3369" s="108"/>
      <c r="D3369" s="261"/>
      <c r="E3369" s="261"/>
    </row>
    <row r="3370" spans="2:5" x14ac:dyDescent="0.3">
      <c r="B3370" s="274"/>
      <c r="C3370" s="108"/>
      <c r="D3370" s="261"/>
      <c r="E3370" s="261"/>
    </row>
    <row r="3371" spans="2:5" x14ac:dyDescent="0.3">
      <c r="B3371" s="274"/>
      <c r="C3371" s="108"/>
      <c r="D3371" s="261"/>
      <c r="E3371" s="261"/>
    </row>
    <row r="3372" spans="2:5" x14ac:dyDescent="0.3">
      <c r="B3372" s="274"/>
      <c r="C3372" s="108"/>
      <c r="D3372" s="261"/>
      <c r="E3372" s="261"/>
    </row>
    <row r="3373" spans="2:5" x14ac:dyDescent="0.3">
      <c r="B3373" s="274"/>
      <c r="C3373" s="108"/>
      <c r="D3373" s="261"/>
      <c r="E3373" s="261"/>
    </row>
    <row r="3374" spans="2:5" x14ac:dyDescent="0.3">
      <c r="B3374" s="274"/>
      <c r="C3374" s="108"/>
      <c r="D3374" s="261"/>
      <c r="E3374" s="261"/>
    </row>
    <row r="3375" spans="2:5" x14ac:dyDescent="0.3">
      <c r="B3375" s="274"/>
      <c r="C3375" s="108"/>
      <c r="D3375" s="261"/>
      <c r="E3375" s="261"/>
    </row>
    <row r="3376" spans="2:5" x14ac:dyDescent="0.3">
      <c r="B3376" s="274"/>
      <c r="C3376" s="108"/>
      <c r="D3376" s="261"/>
      <c r="E3376" s="261"/>
    </row>
    <row r="3377" spans="2:5" x14ac:dyDescent="0.3">
      <c r="B3377" s="274"/>
      <c r="C3377" s="108"/>
      <c r="D3377" s="261"/>
      <c r="E3377" s="261"/>
    </row>
    <row r="3378" spans="2:5" x14ac:dyDescent="0.3">
      <c r="B3378" s="274"/>
      <c r="C3378" s="108"/>
      <c r="D3378" s="261"/>
      <c r="E3378" s="261"/>
    </row>
    <row r="3379" spans="2:5" x14ac:dyDescent="0.3">
      <c r="B3379" s="274"/>
      <c r="C3379" s="108"/>
      <c r="D3379" s="261"/>
      <c r="E3379" s="261"/>
    </row>
    <row r="3380" spans="2:5" x14ac:dyDescent="0.3">
      <c r="B3380" s="274"/>
      <c r="C3380" s="108"/>
      <c r="D3380" s="261"/>
      <c r="E3380" s="261"/>
    </row>
    <row r="3381" spans="2:5" x14ac:dyDescent="0.3">
      <c r="B3381" s="274"/>
      <c r="C3381" s="108"/>
      <c r="D3381" s="261"/>
      <c r="E3381" s="261"/>
    </row>
    <row r="3382" spans="2:5" x14ac:dyDescent="0.3">
      <c r="B3382" s="274"/>
      <c r="C3382" s="108"/>
      <c r="D3382" s="261"/>
      <c r="E3382" s="261"/>
    </row>
    <row r="3383" spans="2:5" x14ac:dyDescent="0.3">
      <c r="B3383" s="274"/>
      <c r="C3383" s="108"/>
      <c r="D3383" s="261"/>
      <c r="E3383" s="261"/>
    </row>
    <row r="3384" spans="2:5" x14ac:dyDescent="0.3">
      <c r="B3384" s="274"/>
      <c r="C3384" s="108"/>
      <c r="D3384" s="261"/>
      <c r="E3384" s="261"/>
    </row>
    <row r="3385" spans="2:5" x14ac:dyDescent="0.3">
      <c r="B3385" s="274"/>
      <c r="C3385" s="108"/>
      <c r="D3385" s="261"/>
      <c r="E3385" s="261"/>
    </row>
    <row r="3386" spans="2:5" x14ac:dyDescent="0.3">
      <c r="B3386" s="274"/>
      <c r="C3386" s="108"/>
      <c r="D3386" s="261"/>
      <c r="E3386" s="261"/>
    </row>
    <row r="3387" spans="2:5" x14ac:dyDescent="0.3">
      <c r="B3387" s="274"/>
      <c r="C3387" s="108"/>
      <c r="D3387" s="261"/>
      <c r="E3387" s="261"/>
    </row>
    <row r="3388" spans="2:5" x14ac:dyDescent="0.3">
      <c r="B3388" s="274"/>
      <c r="C3388" s="108"/>
      <c r="D3388" s="261"/>
      <c r="E3388" s="261"/>
    </row>
    <row r="3389" spans="2:5" x14ac:dyDescent="0.3">
      <c r="B3389" s="274"/>
      <c r="C3389" s="108"/>
      <c r="D3389" s="261"/>
      <c r="E3389" s="261"/>
    </row>
    <row r="3390" spans="2:5" x14ac:dyDescent="0.3">
      <c r="B3390" s="274"/>
      <c r="C3390" s="108"/>
      <c r="D3390" s="261"/>
      <c r="E3390" s="261"/>
    </row>
    <row r="3391" spans="2:5" x14ac:dyDescent="0.3">
      <c r="B3391" s="274"/>
      <c r="C3391" s="108"/>
      <c r="D3391" s="261"/>
      <c r="E3391" s="261"/>
    </row>
    <row r="3392" spans="2:5" x14ac:dyDescent="0.3">
      <c r="B3392" s="274"/>
      <c r="C3392" s="108"/>
      <c r="D3392" s="261"/>
      <c r="E3392" s="261"/>
    </row>
    <row r="3393" spans="2:5" x14ac:dyDescent="0.3">
      <c r="B3393" s="274"/>
      <c r="C3393" s="108"/>
      <c r="D3393" s="261"/>
      <c r="E3393" s="261"/>
    </row>
    <row r="3394" spans="2:5" x14ac:dyDescent="0.3">
      <c r="B3394" s="274"/>
      <c r="C3394" s="108"/>
      <c r="D3394" s="261"/>
      <c r="E3394" s="261"/>
    </row>
    <row r="3395" spans="2:5" x14ac:dyDescent="0.3">
      <c r="B3395" s="274"/>
      <c r="C3395" s="108"/>
      <c r="D3395" s="261"/>
      <c r="E3395" s="261"/>
    </row>
    <row r="3396" spans="2:5" x14ac:dyDescent="0.3">
      <c r="B3396" s="274"/>
      <c r="C3396" s="108"/>
      <c r="D3396" s="261"/>
      <c r="E3396" s="261"/>
    </row>
    <row r="3397" spans="2:5" x14ac:dyDescent="0.3">
      <c r="B3397" s="274"/>
      <c r="C3397" s="108"/>
      <c r="D3397" s="261"/>
      <c r="E3397" s="261"/>
    </row>
    <row r="3398" spans="2:5" x14ac:dyDescent="0.3">
      <c r="B3398" s="274"/>
      <c r="C3398" s="108"/>
      <c r="D3398" s="261"/>
      <c r="E3398" s="261"/>
    </row>
    <row r="3399" spans="2:5" x14ac:dyDescent="0.3">
      <c r="B3399" s="274"/>
      <c r="C3399" s="108"/>
      <c r="D3399" s="261"/>
      <c r="E3399" s="261"/>
    </row>
    <row r="3400" spans="2:5" x14ac:dyDescent="0.3">
      <c r="B3400" s="274"/>
      <c r="C3400" s="108"/>
      <c r="D3400" s="261"/>
      <c r="E3400" s="261"/>
    </row>
    <row r="3401" spans="2:5" x14ac:dyDescent="0.3">
      <c r="B3401" s="274"/>
      <c r="C3401" s="108"/>
      <c r="D3401" s="261"/>
      <c r="E3401" s="261"/>
    </row>
    <row r="3402" spans="2:5" x14ac:dyDescent="0.3">
      <c r="B3402" s="274"/>
      <c r="C3402" s="108"/>
      <c r="D3402" s="261"/>
      <c r="E3402" s="261"/>
    </row>
    <row r="3403" spans="2:5" x14ac:dyDescent="0.3">
      <c r="B3403" s="274"/>
      <c r="C3403" s="108"/>
      <c r="D3403" s="261"/>
      <c r="E3403" s="261"/>
    </row>
    <row r="3404" spans="2:5" x14ac:dyDescent="0.3">
      <c r="B3404" s="274"/>
      <c r="C3404" s="108"/>
      <c r="D3404" s="261"/>
      <c r="E3404" s="261"/>
    </row>
    <row r="3405" spans="2:5" x14ac:dyDescent="0.3">
      <c r="B3405" s="274"/>
      <c r="C3405" s="108"/>
      <c r="D3405" s="261"/>
      <c r="E3405" s="261"/>
    </row>
    <row r="3406" spans="2:5" x14ac:dyDescent="0.3">
      <c r="B3406" s="274"/>
      <c r="C3406" s="108"/>
      <c r="D3406" s="261"/>
      <c r="E3406" s="261"/>
    </row>
    <row r="3407" spans="2:5" x14ac:dyDescent="0.3">
      <c r="B3407" s="274"/>
      <c r="C3407" s="108"/>
      <c r="D3407" s="261"/>
      <c r="E3407" s="261"/>
    </row>
    <row r="3408" spans="2:5" x14ac:dyDescent="0.3">
      <c r="B3408" s="274"/>
      <c r="C3408" s="108"/>
      <c r="D3408" s="261"/>
      <c r="E3408" s="261"/>
    </row>
    <row r="3409" spans="2:5" x14ac:dyDescent="0.3">
      <c r="B3409" s="274"/>
      <c r="C3409" s="108"/>
      <c r="D3409" s="261"/>
      <c r="E3409" s="261"/>
    </row>
    <row r="3410" spans="2:5" x14ac:dyDescent="0.3">
      <c r="B3410" s="274"/>
      <c r="C3410" s="108"/>
      <c r="D3410" s="261"/>
      <c r="E3410" s="261"/>
    </row>
    <row r="3411" spans="2:5" x14ac:dyDescent="0.3">
      <c r="B3411" s="274"/>
      <c r="C3411" s="108"/>
      <c r="D3411" s="261"/>
      <c r="E3411" s="261"/>
    </row>
    <row r="3412" spans="2:5" x14ac:dyDescent="0.3">
      <c r="B3412" s="274"/>
      <c r="C3412" s="108"/>
      <c r="D3412" s="261"/>
      <c r="E3412" s="261"/>
    </row>
    <row r="3413" spans="2:5" x14ac:dyDescent="0.3">
      <c r="B3413" s="274"/>
      <c r="C3413" s="108"/>
      <c r="D3413" s="261"/>
      <c r="E3413" s="261"/>
    </row>
    <row r="3414" spans="2:5" x14ac:dyDescent="0.3">
      <c r="B3414" s="274"/>
      <c r="C3414" s="108"/>
      <c r="D3414" s="261"/>
      <c r="E3414" s="261"/>
    </row>
    <row r="3415" spans="2:5" x14ac:dyDescent="0.3">
      <c r="B3415" s="274"/>
      <c r="C3415" s="108"/>
      <c r="D3415" s="261"/>
      <c r="E3415" s="261"/>
    </row>
    <row r="3416" spans="2:5" x14ac:dyDescent="0.3">
      <c r="B3416" s="274"/>
      <c r="C3416" s="108"/>
      <c r="D3416" s="261"/>
      <c r="E3416" s="261"/>
    </row>
    <row r="3417" spans="2:5" x14ac:dyDescent="0.3">
      <c r="B3417" s="274"/>
      <c r="C3417" s="108"/>
      <c r="D3417" s="261"/>
      <c r="E3417" s="261"/>
    </row>
    <row r="3418" spans="2:5" x14ac:dyDescent="0.3">
      <c r="B3418" s="274"/>
      <c r="C3418" s="108"/>
      <c r="D3418" s="261"/>
      <c r="E3418" s="261"/>
    </row>
    <row r="3419" spans="2:5" x14ac:dyDescent="0.3">
      <c r="B3419" s="274"/>
      <c r="C3419" s="108"/>
      <c r="D3419" s="261"/>
      <c r="E3419" s="261"/>
    </row>
    <row r="3420" spans="2:5" x14ac:dyDescent="0.3">
      <c r="B3420" s="274"/>
      <c r="C3420" s="108"/>
      <c r="D3420" s="261"/>
      <c r="E3420" s="261"/>
    </row>
    <row r="3421" spans="2:5" x14ac:dyDescent="0.3">
      <c r="B3421" s="274"/>
      <c r="C3421" s="108"/>
      <c r="D3421" s="261"/>
      <c r="E3421" s="261"/>
    </row>
    <row r="3422" spans="2:5" x14ac:dyDescent="0.3">
      <c r="B3422" s="274"/>
      <c r="C3422" s="108"/>
      <c r="D3422" s="261"/>
      <c r="E3422" s="261"/>
    </row>
    <row r="3423" spans="2:5" x14ac:dyDescent="0.3">
      <c r="B3423" s="274"/>
      <c r="C3423" s="108"/>
      <c r="D3423" s="261"/>
      <c r="E3423" s="261"/>
    </row>
    <row r="3424" spans="2:5" x14ac:dyDescent="0.3">
      <c r="B3424" s="274"/>
      <c r="C3424" s="108"/>
      <c r="D3424" s="261"/>
      <c r="E3424" s="261"/>
    </row>
    <row r="3425" spans="2:5" x14ac:dyDescent="0.3">
      <c r="B3425" s="274"/>
      <c r="C3425" s="108"/>
      <c r="D3425" s="261"/>
      <c r="E3425" s="261"/>
    </row>
    <row r="3426" spans="2:5" x14ac:dyDescent="0.3">
      <c r="B3426" s="274"/>
      <c r="C3426" s="108"/>
      <c r="D3426" s="261"/>
      <c r="E3426" s="261"/>
    </row>
    <row r="3427" spans="2:5" x14ac:dyDescent="0.3">
      <c r="B3427" s="274"/>
      <c r="C3427" s="108"/>
      <c r="D3427" s="261"/>
      <c r="E3427" s="261"/>
    </row>
    <row r="3428" spans="2:5" x14ac:dyDescent="0.3">
      <c r="B3428" s="274"/>
      <c r="C3428" s="108"/>
      <c r="D3428" s="261"/>
      <c r="E3428" s="261"/>
    </row>
    <row r="3429" spans="2:5" x14ac:dyDescent="0.3">
      <c r="B3429" s="274"/>
      <c r="C3429" s="108"/>
      <c r="D3429" s="261"/>
      <c r="E3429" s="261"/>
    </row>
    <row r="3430" spans="2:5" x14ac:dyDescent="0.3">
      <c r="B3430" s="274"/>
      <c r="C3430" s="108"/>
      <c r="D3430" s="261"/>
      <c r="E3430" s="261"/>
    </row>
    <row r="3431" spans="2:5" x14ac:dyDescent="0.3">
      <c r="B3431" s="274"/>
      <c r="C3431" s="108"/>
      <c r="D3431" s="261"/>
      <c r="E3431" s="261"/>
    </row>
    <row r="3432" spans="2:5" x14ac:dyDescent="0.3">
      <c r="B3432" s="274"/>
      <c r="C3432" s="108"/>
      <c r="D3432" s="261"/>
      <c r="E3432" s="261"/>
    </row>
    <row r="3433" spans="2:5" x14ac:dyDescent="0.3">
      <c r="B3433" s="274"/>
      <c r="C3433" s="108"/>
      <c r="D3433" s="261"/>
      <c r="E3433" s="261"/>
    </row>
    <row r="3434" spans="2:5" x14ac:dyDescent="0.3">
      <c r="B3434" s="274"/>
      <c r="C3434" s="108"/>
      <c r="D3434" s="261"/>
      <c r="E3434" s="261"/>
    </row>
    <row r="3435" spans="2:5" x14ac:dyDescent="0.3">
      <c r="B3435" s="274"/>
      <c r="C3435" s="108"/>
      <c r="D3435" s="261"/>
      <c r="E3435" s="261"/>
    </row>
    <row r="3436" spans="2:5" x14ac:dyDescent="0.3">
      <c r="B3436" s="274"/>
      <c r="C3436" s="108"/>
      <c r="D3436" s="261"/>
      <c r="E3436" s="261"/>
    </row>
    <row r="3437" spans="2:5" x14ac:dyDescent="0.3">
      <c r="B3437" s="274"/>
      <c r="C3437" s="108"/>
      <c r="D3437" s="261"/>
      <c r="E3437" s="261"/>
    </row>
    <row r="3438" spans="2:5" x14ac:dyDescent="0.3">
      <c r="B3438" s="274"/>
      <c r="C3438" s="108"/>
      <c r="D3438" s="261"/>
      <c r="E3438" s="261"/>
    </row>
    <row r="3439" spans="2:5" x14ac:dyDescent="0.3">
      <c r="B3439" s="274"/>
      <c r="C3439" s="108"/>
      <c r="D3439" s="261"/>
      <c r="E3439" s="261"/>
    </row>
    <row r="3440" spans="2:5" x14ac:dyDescent="0.3">
      <c r="B3440" s="274"/>
      <c r="C3440" s="108"/>
      <c r="D3440" s="261"/>
      <c r="E3440" s="261"/>
    </row>
    <row r="3441" spans="2:5" x14ac:dyDescent="0.3">
      <c r="B3441" s="274"/>
      <c r="C3441" s="108"/>
      <c r="D3441" s="261"/>
      <c r="E3441" s="261"/>
    </row>
    <row r="3442" spans="2:5" x14ac:dyDescent="0.3">
      <c r="B3442" s="274"/>
      <c r="C3442" s="108"/>
      <c r="D3442" s="261"/>
      <c r="E3442" s="261"/>
    </row>
    <row r="3443" spans="2:5" x14ac:dyDescent="0.3">
      <c r="B3443" s="274"/>
      <c r="C3443" s="108"/>
      <c r="D3443" s="261"/>
      <c r="E3443" s="261"/>
    </row>
    <row r="3444" spans="2:5" x14ac:dyDescent="0.3">
      <c r="B3444" s="274"/>
      <c r="C3444" s="108"/>
      <c r="D3444" s="261"/>
      <c r="E3444" s="261"/>
    </row>
    <row r="3445" spans="2:5" x14ac:dyDescent="0.3">
      <c r="B3445" s="274"/>
      <c r="C3445" s="108"/>
      <c r="D3445" s="261"/>
      <c r="E3445" s="261"/>
    </row>
    <row r="3446" spans="2:5" x14ac:dyDescent="0.3">
      <c r="B3446" s="274"/>
      <c r="C3446" s="108"/>
      <c r="D3446" s="261"/>
      <c r="E3446" s="261"/>
    </row>
    <row r="3447" spans="2:5" x14ac:dyDescent="0.3">
      <c r="B3447" s="274"/>
      <c r="C3447" s="108"/>
      <c r="D3447" s="261"/>
      <c r="E3447" s="261"/>
    </row>
    <row r="3448" spans="2:5" x14ac:dyDescent="0.3">
      <c r="B3448" s="274"/>
      <c r="C3448" s="108"/>
      <c r="D3448" s="261"/>
      <c r="E3448" s="261"/>
    </row>
    <row r="3449" spans="2:5" x14ac:dyDescent="0.3">
      <c r="B3449" s="274"/>
      <c r="C3449" s="108"/>
      <c r="D3449" s="261"/>
      <c r="E3449" s="261"/>
    </row>
    <row r="3450" spans="2:5" x14ac:dyDescent="0.3">
      <c r="B3450" s="274"/>
      <c r="C3450" s="108"/>
      <c r="D3450" s="261"/>
      <c r="E3450" s="261"/>
    </row>
    <row r="3451" spans="2:5" x14ac:dyDescent="0.3">
      <c r="B3451" s="274"/>
      <c r="C3451" s="108"/>
      <c r="D3451" s="261"/>
      <c r="E3451" s="261"/>
    </row>
    <row r="3452" spans="2:5" x14ac:dyDescent="0.3">
      <c r="B3452" s="274"/>
      <c r="C3452" s="108"/>
      <c r="D3452" s="261"/>
      <c r="E3452" s="261"/>
    </row>
    <row r="3453" spans="2:5" x14ac:dyDescent="0.3">
      <c r="B3453" s="274"/>
      <c r="C3453" s="108"/>
      <c r="D3453" s="261"/>
      <c r="E3453" s="261"/>
    </row>
    <row r="3454" spans="2:5" x14ac:dyDescent="0.3">
      <c r="B3454" s="274"/>
      <c r="C3454" s="108"/>
      <c r="D3454" s="261"/>
      <c r="E3454" s="261"/>
    </row>
    <row r="3455" spans="2:5" x14ac:dyDescent="0.3">
      <c r="B3455" s="274"/>
      <c r="C3455" s="108"/>
      <c r="D3455" s="261"/>
      <c r="E3455" s="261"/>
    </row>
    <row r="3456" spans="2:5" x14ac:dyDescent="0.3">
      <c r="B3456" s="274"/>
      <c r="C3456" s="108"/>
      <c r="D3456" s="261"/>
      <c r="E3456" s="261"/>
    </row>
    <row r="3457" spans="2:5" x14ac:dyDescent="0.3">
      <c r="B3457" s="274"/>
      <c r="C3457" s="108"/>
      <c r="D3457" s="261"/>
      <c r="E3457" s="261"/>
    </row>
    <row r="3458" spans="2:5" x14ac:dyDescent="0.3">
      <c r="B3458" s="274"/>
      <c r="C3458" s="108"/>
      <c r="D3458" s="261"/>
      <c r="E3458" s="261"/>
    </row>
    <row r="3459" spans="2:5" x14ac:dyDescent="0.3">
      <c r="B3459" s="274"/>
      <c r="C3459" s="108"/>
      <c r="D3459" s="261"/>
      <c r="E3459" s="261"/>
    </row>
    <row r="3460" spans="2:5" x14ac:dyDescent="0.3">
      <c r="B3460" s="274"/>
      <c r="C3460" s="108"/>
      <c r="D3460" s="261"/>
      <c r="E3460" s="261"/>
    </row>
    <row r="3461" spans="2:5" x14ac:dyDescent="0.3">
      <c r="B3461" s="274"/>
      <c r="C3461" s="108"/>
      <c r="D3461" s="261"/>
      <c r="E3461" s="261"/>
    </row>
    <row r="3462" spans="2:5" x14ac:dyDescent="0.3">
      <c r="B3462" s="274"/>
      <c r="C3462" s="108"/>
      <c r="D3462" s="261"/>
      <c r="E3462" s="261"/>
    </row>
    <row r="3463" spans="2:5" x14ac:dyDescent="0.3">
      <c r="B3463" s="274"/>
      <c r="C3463" s="108"/>
      <c r="D3463" s="261"/>
      <c r="E3463" s="261"/>
    </row>
    <row r="3464" spans="2:5" x14ac:dyDescent="0.3">
      <c r="B3464" s="274"/>
      <c r="C3464" s="108"/>
      <c r="D3464" s="261"/>
      <c r="E3464" s="261"/>
    </row>
    <row r="3465" spans="2:5" x14ac:dyDescent="0.3">
      <c r="B3465" s="274"/>
      <c r="C3465" s="108"/>
      <c r="D3465" s="261"/>
      <c r="E3465" s="261"/>
    </row>
    <row r="3466" spans="2:5" x14ac:dyDescent="0.3">
      <c r="B3466" s="274"/>
      <c r="C3466" s="108"/>
      <c r="D3466" s="261"/>
      <c r="E3466" s="261"/>
    </row>
    <row r="3467" spans="2:5" x14ac:dyDescent="0.3">
      <c r="B3467" s="274"/>
      <c r="C3467" s="108"/>
      <c r="D3467" s="261"/>
      <c r="E3467" s="261"/>
    </row>
    <row r="3468" spans="2:5" x14ac:dyDescent="0.3">
      <c r="B3468" s="274"/>
      <c r="C3468" s="108"/>
      <c r="D3468" s="261"/>
      <c r="E3468" s="261"/>
    </row>
    <row r="3469" spans="2:5" x14ac:dyDescent="0.3">
      <c r="B3469" s="274"/>
      <c r="C3469" s="108"/>
      <c r="D3469" s="261"/>
      <c r="E3469" s="261"/>
    </row>
    <row r="3470" spans="2:5" x14ac:dyDescent="0.3">
      <c r="B3470" s="274"/>
      <c r="C3470" s="108"/>
      <c r="D3470" s="261"/>
      <c r="E3470" s="261"/>
    </row>
    <row r="3471" spans="2:5" x14ac:dyDescent="0.3">
      <c r="B3471" s="274"/>
      <c r="C3471" s="108"/>
      <c r="D3471" s="261"/>
      <c r="E3471" s="261"/>
    </row>
    <row r="3472" spans="2:5" x14ac:dyDescent="0.3">
      <c r="B3472" s="274"/>
      <c r="C3472" s="108"/>
      <c r="D3472" s="261"/>
      <c r="E3472" s="261"/>
    </row>
    <row r="3473" spans="2:5" x14ac:dyDescent="0.3">
      <c r="B3473" s="274"/>
      <c r="C3473" s="108"/>
      <c r="D3473" s="261"/>
      <c r="E3473" s="261"/>
    </row>
    <row r="3474" spans="2:5" x14ac:dyDescent="0.3">
      <c r="B3474" s="274"/>
      <c r="C3474" s="108"/>
      <c r="D3474" s="261"/>
      <c r="E3474" s="261"/>
    </row>
    <row r="3475" spans="2:5" x14ac:dyDescent="0.3">
      <c r="B3475" s="274"/>
      <c r="C3475" s="108"/>
      <c r="D3475" s="261"/>
      <c r="E3475" s="261"/>
    </row>
    <row r="3476" spans="2:5" x14ac:dyDescent="0.3">
      <c r="B3476" s="274"/>
      <c r="C3476" s="108"/>
      <c r="D3476" s="261"/>
      <c r="E3476" s="261"/>
    </row>
    <row r="3477" spans="2:5" x14ac:dyDescent="0.3">
      <c r="B3477" s="274"/>
      <c r="C3477" s="108"/>
      <c r="D3477" s="261"/>
      <c r="E3477" s="261"/>
    </row>
    <row r="3478" spans="2:5" x14ac:dyDescent="0.3">
      <c r="B3478" s="274"/>
      <c r="C3478" s="108"/>
      <c r="D3478" s="261"/>
      <c r="E3478" s="261"/>
    </row>
    <row r="3479" spans="2:5" x14ac:dyDescent="0.3">
      <c r="B3479" s="274"/>
      <c r="C3479" s="108"/>
      <c r="D3479" s="261"/>
      <c r="E3479" s="261"/>
    </row>
    <row r="3480" spans="2:5" x14ac:dyDescent="0.3">
      <c r="B3480" s="274"/>
      <c r="C3480" s="108"/>
      <c r="D3480" s="261"/>
      <c r="E3480" s="261"/>
    </row>
    <row r="3481" spans="2:5" x14ac:dyDescent="0.3">
      <c r="B3481" s="274"/>
      <c r="C3481" s="108"/>
      <c r="D3481" s="261"/>
      <c r="E3481" s="261"/>
    </row>
    <row r="3482" spans="2:5" x14ac:dyDescent="0.3">
      <c r="B3482" s="274"/>
      <c r="C3482" s="108"/>
      <c r="D3482" s="261"/>
      <c r="E3482" s="261"/>
    </row>
    <row r="3483" spans="2:5" x14ac:dyDescent="0.3">
      <c r="B3483" s="274"/>
      <c r="C3483" s="108"/>
      <c r="D3483" s="261"/>
      <c r="E3483" s="261"/>
    </row>
    <row r="3484" spans="2:5" x14ac:dyDescent="0.3">
      <c r="B3484" s="274"/>
      <c r="C3484" s="108"/>
      <c r="D3484" s="261"/>
      <c r="E3484" s="261"/>
    </row>
    <row r="3485" spans="2:5" x14ac:dyDescent="0.3">
      <c r="B3485" s="274"/>
      <c r="C3485" s="108"/>
      <c r="D3485" s="261"/>
      <c r="E3485" s="261"/>
    </row>
    <row r="3486" spans="2:5" x14ac:dyDescent="0.3">
      <c r="B3486" s="274"/>
      <c r="C3486" s="108"/>
      <c r="D3486" s="261"/>
      <c r="E3486" s="261"/>
    </row>
    <row r="3487" spans="2:5" x14ac:dyDescent="0.3">
      <c r="B3487" s="274"/>
      <c r="C3487" s="108"/>
      <c r="D3487" s="261"/>
      <c r="E3487" s="261"/>
    </row>
    <row r="3488" spans="2:5" x14ac:dyDescent="0.3">
      <c r="B3488" s="274"/>
      <c r="C3488" s="108"/>
      <c r="D3488" s="261"/>
      <c r="E3488" s="261"/>
    </row>
    <row r="3489" spans="2:5" x14ac:dyDescent="0.3">
      <c r="B3489" s="274"/>
      <c r="C3489" s="108"/>
      <c r="D3489" s="261"/>
      <c r="E3489" s="261"/>
    </row>
    <row r="3490" spans="2:5" x14ac:dyDescent="0.3">
      <c r="B3490" s="274"/>
      <c r="C3490" s="108"/>
      <c r="D3490" s="261"/>
      <c r="E3490" s="261"/>
    </row>
    <row r="3491" spans="2:5" x14ac:dyDescent="0.3">
      <c r="B3491" s="274"/>
      <c r="C3491" s="108"/>
      <c r="D3491" s="261"/>
      <c r="E3491" s="261"/>
    </row>
    <row r="3492" spans="2:5" x14ac:dyDescent="0.3">
      <c r="B3492" s="274"/>
      <c r="C3492" s="108"/>
      <c r="D3492" s="261"/>
      <c r="E3492" s="261"/>
    </row>
    <row r="3493" spans="2:5" x14ac:dyDescent="0.3">
      <c r="B3493" s="274"/>
      <c r="C3493" s="108"/>
      <c r="D3493" s="261"/>
      <c r="E3493" s="261"/>
    </row>
    <row r="3494" spans="2:5" x14ac:dyDescent="0.3">
      <c r="B3494" s="274"/>
      <c r="C3494" s="108"/>
      <c r="D3494" s="261"/>
      <c r="E3494" s="261"/>
    </row>
    <row r="3495" spans="2:5" x14ac:dyDescent="0.3">
      <c r="B3495" s="274"/>
      <c r="C3495" s="108"/>
      <c r="D3495" s="261"/>
      <c r="E3495" s="261"/>
    </row>
    <row r="3496" spans="2:5" x14ac:dyDescent="0.3">
      <c r="B3496" s="274"/>
      <c r="C3496" s="108"/>
      <c r="D3496" s="261"/>
      <c r="E3496" s="261"/>
    </row>
    <row r="3497" spans="2:5" x14ac:dyDescent="0.3">
      <c r="B3497" s="274"/>
      <c r="C3497" s="108"/>
      <c r="D3497" s="261"/>
      <c r="E3497" s="261"/>
    </row>
    <row r="3498" spans="2:5" x14ac:dyDescent="0.3">
      <c r="B3498" s="274"/>
      <c r="C3498" s="108"/>
      <c r="D3498" s="261"/>
      <c r="E3498" s="261"/>
    </row>
    <row r="3499" spans="2:5" x14ac:dyDescent="0.3">
      <c r="B3499" s="274"/>
      <c r="C3499" s="108"/>
      <c r="D3499" s="261"/>
      <c r="E3499" s="261"/>
    </row>
    <row r="3500" spans="2:5" x14ac:dyDescent="0.3">
      <c r="B3500" s="274"/>
      <c r="C3500" s="108"/>
      <c r="D3500" s="261"/>
      <c r="E3500" s="261"/>
    </row>
    <row r="3501" spans="2:5" x14ac:dyDescent="0.3">
      <c r="B3501" s="274"/>
      <c r="C3501" s="108"/>
      <c r="D3501" s="261"/>
      <c r="E3501" s="261"/>
    </row>
    <row r="3502" spans="2:5" x14ac:dyDescent="0.3">
      <c r="B3502" s="274"/>
      <c r="C3502" s="108"/>
      <c r="D3502" s="261"/>
      <c r="E3502" s="261"/>
    </row>
    <row r="3503" spans="2:5" x14ac:dyDescent="0.3">
      <c r="B3503" s="274"/>
      <c r="C3503" s="108"/>
      <c r="D3503" s="261"/>
      <c r="E3503" s="261"/>
    </row>
    <row r="3504" spans="2:5" x14ac:dyDescent="0.3">
      <c r="B3504" s="274"/>
      <c r="C3504" s="108"/>
      <c r="D3504" s="261"/>
      <c r="E3504" s="261"/>
    </row>
    <row r="3505" spans="2:5" x14ac:dyDescent="0.3">
      <c r="B3505" s="274"/>
      <c r="C3505" s="108"/>
      <c r="D3505" s="261"/>
      <c r="E3505" s="261"/>
    </row>
    <row r="3506" spans="2:5" x14ac:dyDescent="0.3">
      <c r="B3506" s="274"/>
      <c r="C3506" s="108"/>
      <c r="D3506" s="261"/>
      <c r="E3506" s="261"/>
    </row>
    <row r="3507" spans="2:5" x14ac:dyDescent="0.3">
      <c r="B3507" s="274"/>
      <c r="C3507" s="108"/>
      <c r="D3507" s="261"/>
      <c r="E3507" s="261"/>
    </row>
    <row r="3508" spans="2:5" x14ac:dyDescent="0.3">
      <c r="B3508" s="274"/>
      <c r="C3508" s="108"/>
      <c r="D3508" s="261"/>
      <c r="E3508" s="261"/>
    </row>
    <row r="3509" spans="2:5" x14ac:dyDescent="0.3">
      <c r="B3509" s="274"/>
      <c r="C3509" s="108"/>
      <c r="D3509" s="261"/>
      <c r="E3509" s="261"/>
    </row>
    <row r="3510" spans="2:5" x14ac:dyDescent="0.3">
      <c r="B3510" s="274"/>
      <c r="C3510" s="108"/>
      <c r="D3510" s="261"/>
      <c r="E3510" s="261"/>
    </row>
    <row r="3511" spans="2:5" x14ac:dyDescent="0.3">
      <c r="B3511" s="274"/>
      <c r="C3511" s="108"/>
      <c r="D3511" s="261"/>
      <c r="E3511" s="261"/>
    </row>
    <row r="3512" spans="2:5" x14ac:dyDescent="0.3">
      <c r="B3512" s="274"/>
      <c r="C3512" s="108"/>
      <c r="D3512" s="261"/>
      <c r="E3512" s="261"/>
    </row>
    <row r="3513" spans="2:5" x14ac:dyDescent="0.3">
      <c r="B3513" s="274"/>
      <c r="C3513" s="108"/>
      <c r="D3513" s="261"/>
      <c r="E3513" s="261"/>
    </row>
    <row r="3514" spans="2:5" x14ac:dyDescent="0.3">
      <c r="B3514" s="274"/>
      <c r="C3514" s="108"/>
      <c r="D3514" s="261"/>
      <c r="E3514" s="261"/>
    </row>
    <row r="3515" spans="2:5" x14ac:dyDescent="0.3">
      <c r="B3515" s="274"/>
      <c r="C3515" s="108"/>
      <c r="D3515" s="261"/>
      <c r="E3515" s="261"/>
    </row>
    <row r="3516" spans="2:5" x14ac:dyDescent="0.3">
      <c r="B3516" s="274"/>
      <c r="C3516" s="108"/>
      <c r="D3516" s="261"/>
      <c r="E3516" s="261"/>
    </row>
    <row r="3517" spans="2:5" x14ac:dyDescent="0.3">
      <c r="B3517" s="274"/>
      <c r="C3517" s="108"/>
      <c r="D3517" s="261"/>
      <c r="E3517" s="261"/>
    </row>
    <row r="3518" spans="2:5" x14ac:dyDescent="0.3">
      <c r="B3518" s="274"/>
      <c r="C3518" s="108"/>
      <c r="D3518" s="261"/>
      <c r="E3518" s="261"/>
    </row>
    <row r="3519" spans="2:5" x14ac:dyDescent="0.3">
      <c r="B3519" s="274"/>
      <c r="C3519" s="108"/>
      <c r="D3519" s="261"/>
      <c r="E3519" s="261"/>
    </row>
    <row r="3520" spans="2:5" x14ac:dyDescent="0.3">
      <c r="B3520" s="274"/>
      <c r="C3520" s="108"/>
      <c r="D3520" s="261"/>
      <c r="E3520" s="261"/>
    </row>
    <row r="3521" spans="2:5" x14ac:dyDescent="0.3">
      <c r="B3521" s="274"/>
      <c r="C3521" s="108"/>
      <c r="D3521" s="261"/>
      <c r="E3521" s="261"/>
    </row>
    <row r="3522" spans="2:5" x14ac:dyDescent="0.3">
      <c r="B3522" s="274"/>
      <c r="C3522" s="108"/>
      <c r="D3522" s="261"/>
      <c r="E3522" s="261"/>
    </row>
    <row r="3523" spans="2:5" x14ac:dyDescent="0.3">
      <c r="B3523" s="274"/>
      <c r="C3523" s="108"/>
      <c r="D3523" s="261"/>
      <c r="E3523" s="261"/>
    </row>
    <row r="3524" spans="2:5" x14ac:dyDescent="0.3">
      <c r="B3524" s="274"/>
      <c r="C3524" s="108"/>
      <c r="D3524" s="261"/>
      <c r="E3524" s="261"/>
    </row>
    <row r="3525" spans="2:5" x14ac:dyDescent="0.3">
      <c r="B3525" s="274"/>
      <c r="C3525" s="108"/>
      <c r="D3525" s="261"/>
      <c r="E3525" s="261"/>
    </row>
    <row r="3526" spans="2:5" x14ac:dyDescent="0.3">
      <c r="B3526" s="274"/>
      <c r="C3526" s="108"/>
      <c r="D3526" s="261"/>
      <c r="E3526" s="261"/>
    </row>
    <row r="3527" spans="2:5" x14ac:dyDescent="0.3">
      <c r="B3527" s="274"/>
      <c r="C3527" s="108"/>
      <c r="D3527" s="261"/>
      <c r="E3527" s="261"/>
    </row>
    <row r="3528" spans="2:5" x14ac:dyDescent="0.3">
      <c r="B3528" s="274"/>
      <c r="C3528" s="108"/>
      <c r="D3528" s="261"/>
      <c r="E3528" s="261"/>
    </row>
    <row r="3529" spans="2:5" x14ac:dyDescent="0.3">
      <c r="B3529" s="274"/>
      <c r="C3529" s="108"/>
      <c r="D3529" s="261"/>
      <c r="E3529" s="261"/>
    </row>
    <row r="3530" spans="2:5" x14ac:dyDescent="0.3">
      <c r="B3530" s="274"/>
      <c r="C3530" s="108"/>
      <c r="D3530" s="261"/>
      <c r="E3530" s="261"/>
    </row>
    <row r="3531" spans="2:5" x14ac:dyDescent="0.3">
      <c r="B3531" s="274"/>
      <c r="C3531" s="108"/>
      <c r="D3531" s="261"/>
      <c r="E3531" s="261"/>
    </row>
    <row r="3532" spans="2:5" x14ac:dyDescent="0.3">
      <c r="B3532" s="274"/>
      <c r="C3532" s="108"/>
      <c r="D3532" s="261"/>
      <c r="E3532" s="261"/>
    </row>
    <row r="3533" spans="2:5" x14ac:dyDescent="0.3">
      <c r="B3533" s="274"/>
      <c r="C3533" s="108"/>
      <c r="D3533" s="261"/>
      <c r="E3533" s="261"/>
    </row>
    <row r="3534" spans="2:5" x14ac:dyDescent="0.3">
      <c r="B3534" s="274"/>
      <c r="C3534" s="108"/>
      <c r="D3534" s="261"/>
      <c r="E3534" s="261"/>
    </row>
    <row r="3535" spans="2:5" x14ac:dyDescent="0.3">
      <c r="B3535" s="274"/>
      <c r="C3535" s="108"/>
      <c r="D3535" s="261"/>
      <c r="E3535" s="261"/>
    </row>
    <row r="3536" spans="2:5" x14ac:dyDescent="0.3">
      <c r="B3536" s="274"/>
      <c r="C3536" s="108"/>
      <c r="D3536" s="261"/>
      <c r="E3536" s="261"/>
    </row>
    <row r="3537" spans="2:5" x14ac:dyDescent="0.3">
      <c r="B3537" s="274"/>
      <c r="C3537" s="108"/>
      <c r="D3537" s="261"/>
      <c r="E3537" s="261"/>
    </row>
    <row r="3538" spans="2:5" x14ac:dyDescent="0.3">
      <c r="B3538" s="274"/>
      <c r="C3538" s="108"/>
      <c r="D3538" s="261"/>
      <c r="E3538" s="261"/>
    </row>
    <row r="3539" spans="2:5" x14ac:dyDescent="0.3">
      <c r="B3539" s="274"/>
      <c r="C3539" s="108"/>
      <c r="D3539" s="261"/>
      <c r="E3539" s="261"/>
    </row>
    <row r="3540" spans="2:5" x14ac:dyDescent="0.3">
      <c r="B3540" s="274"/>
      <c r="C3540" s="108"/>
      <c r="D3540" s="261"/>
      <c r="E3540" s="261"/>
    </row>
    <row r="3541" spans="2:5" x14ac:dyDescent="0.3">
      <c r="B3541" s="274"/>
      <c r="C3541" s="108"/>
      <c r="D3541" s="261"/>
      <c r="E3541" s="261"/>
    </row>
    <row r="3542" spans="2:5" x14ac:dyDescent="0.3">
      <c r="B3542" s="274"/>
      <c r="C3542" s="108"/>
      <c r="D3542" s="261"/>
      <c r="E3542" s="261"/>
    </row>
    <row r="3543" spans="2:5" x14ac:dyDescent="0.3">
      <c r="B3543" s="274"/>
      <c r="C3543" s="108"/>
      <c r="D3543" s="261"/>
      <c r="E3543" s="261"/>
    </row>
    <row r="3544" spans="2:5" x14ac:dyDescent="0.3">
      <c r="B3544" s="274"/>
      <c r="C3544" s="108"/>
      <c r="D3544" s="261"/>
      <c r="E3544" s="261"/>
    </row>
    <row r="3545" spans="2:5" x14ac:dyDescent="0.3">
      <c r="B3545" s="274"/>
      <c r="C3545" s="108"/>
      <c r="D3545" s="261"/>
      <c r="E3545" s="261"/>
    </row>
    <row r="3546" spans="2:5" x14ac:dyDescent="0.3">
      <c r="B3546" s="274"/>
      <c r="C3546" s="108"/>
      <c r="D3546" s="261"/>
      <c r="E3546" s="261"/>
    </row>
    <row r="3547" spans="2:5" x14ac:dyDescent="0.3">
      <c r="B3547" s="274"/>
      <c r="C3547" s="108"/>
      <c r="D3547" s="261"/>
      <c r="E3547" s="261"/>
    </row>
    <row r="3548" spans="2:5" x14ac:dyDescent="0.3">
      <c r="B3548" s="274"/>
      <c r="C3548" s="108"/>
      <c r="D3548" s="261"/>
      <c r="E3548" s="261"/>
    </row>
    <row r="3549" spans="2:5" x14ac:dyDescent="0.3">
      <c r="B3549" s="274"/>
      <c r="C3549" s="108"/>
      <c r="D3549" s="261"/>
      <c r="E3549" s="261"/>
    </row>
    <row r="3550" spans="2:5" x14ac:dyDescent="0.3">
      <c r="B3550" s="274"/>
      <c r="C3550" s="108"/>
      <c r="D3550" s="261"/>
      <c r="E3550" s="261"/>
    </row>
    <row r="3551" spans="2:5" x14ac:dyDescent="0.3">
      <c r="B3551" s="274"/>
      <c r="C3551" s="108"/>
      <c r="D3551" s="261"/>
      <c r="E3551" s="261"/>
    </row>
    <row r="3552" spans="2:5" x14ac:dyDescent="0.3">
      <c r="B3552" s="274"/>
      <c r="C3552" s="108"/>
      <c r="D3552" s="261"/>
      <c r="E3552" s="261"/>
    </row>
    <row r="3553" spans="2:5" x14ac:dyDescent="0.3">
      <c r="B3553" s="274"/>
      <c r="C3553" s="108"/>
      <c r="D3553" s="261"/>
      <c r="E3553" s="261"/>
    </row>
    <row r="3554" spans="2:5" x14ac:dyDescent="0.3">
      <c r="B3554" s="274"/>
      <c r="C3554" s="108"/>
      <c r="D3554" s="261"/>
      <c r="E3554" s="261"/>
    </row>
    <row r="3555" spans="2:5" x14ac:dyDescent="0.3">
      <c r="B3555" s="274"/>
      <c r="C3555" s="108"/>
      <c r="D3555" s="261"/>
      <c r="E3555" s="261"/>
    </row>
    <row r="3556" spans="2:5" x14ac:dyDescent="0.3">
      <c r="B3556" s="274"/>
      <c r="C3556" s="108"/>
      <c r="D3556" s="261"/>
      <c r="E3556" s="261"/>
    </row>
    <row r="3557" spans="2:5" x14ac:dyDescent="0.3">
      <c r="B3557" s="274"/>
      <c r="C3557" s="108"/>
      <c r="D3557" s="261"/>
      <c r="E3557" s="261"/>
    </row>
    <row r="3558" spans="2:5" x14ac:dyDescent="0.3">
      <c r="B3558" s="274"/>
      <c r="C3558" s="108"/>
      <c r="D3558" s="261"/>
      <c r="E3558" s="261"/>
    </row>
    <row r="3559" spans="2:5" x14ac:dyDescent="0.3">
      <c r="B3559" s="274"/>
      <c r="C3559" s="108"/>
      <c r="D3559" s="261"/>
      <c r="E3559" s="261"/>
    </row>
    <row r="3560" spans="2:5" x14ac:dyDescent="0.3">
      <c r="B3560" s="274"/>
      <c r="C3560" s="108"/>
      <c r="D3560" s="261"/>
      <c r="E3560" s="261"/>
    </row>
    <row r="3561" spans="2:5" x14ac:dyDescent="0.3">
      <c r="B3561" s="274"/>
      <c r="C3561" s="108"/>
      <c r="D3561" s="261"/>
      <c r="E3561" s="261"/>
    </row>
    <row r="3562" spans="2:5" x14ac:dyDescent="0.3">
      <c r="B3562" s="274"/>
      <c r="C3562" s="108"/>
      <c r="D3562" s="261"/>
      <c r="E3562" s="261"/>
    </row>
    <row r="3563" spans="2:5" x14ac:dyDescent="0.3">
      <c r="B3563" s="274"/>
      <c r="C3563" s="108"/>
      <c r="D3563" s="261"/>
      <c r="E3563" s="261"/>
    </row>
    <row r="3564" spans="2:5" x14ac:dyDescent="0.3">
      <c r="B3564" s="274"/>
      <c r="C3564" s="108"/>
      <c r="D3564" s="261"/>
      <c r="E3564" s="261"/>
    </row>
    <row r="3565" spans="2:5" x14ac:dyDescent="0.3">
      <c r="B3565" s="274"/>
      <c r="C3565" s="108"/>
      <c r="D3565" s="261"/>
      <c r="E3565" s="261"/>
    </row>
    <row r="3566" spans="2:5" x14ac:dyDescent="0.3">
      <c r="B3566" s="274"/>
      <c r="C3566" s="108"/>
      <c r="D3566" s="261"/>
      <c r="E3566" s="261"/>
    </row>
    <row r="3567" spans="2:5" x14ac:dyDescent="0.3">
      <c r="B3567" s="274"/>
      <c r="C3567" s="108"/>
      <c r="D3567" s="261"/>
      <c r="E3567" s="261"/>
    </row>
    <row r="3568" spans="2:5" x14ac:dyDescent="0.3">
      <c r="B3568" s="274"/>
      <c r="C3568" s="108"/>
      <c r="D3568" s="261"/>
      <c r="E3568" s="261"/>
    </row>
    <row r="3569" spans="2:5" x14ac:dyDescent="0.3">
      <c r="B3569" s="274"/>
      <c r="C3569" s="108"/>
      <c r="D3569" s="261"/>
      <c r="E3569" s="261"/>
    </row>
    <row r="3570" spans="2:5" x14ac:dyDescent="0.3">
      <c r="B3570" s="274"/>
      <c r="C3570" s="108"/>
      <c r="D3570" s="261"/>
      <c r="E3570" s="261"/>
    </row>
    <row r="3571" spans="2:5" x14ac:dyDescent="0.3">
      <c r="B3571" s="274"/>
      <c r="C3571" s="108"/>
      <c r="D3571" s="261"/>
      <c r="E3571" s="261"/>
    </row>
    <row r="3572" spans="2:5" x14ac:dyDescent="0.3">
      <c r="B3572" s="274"/>
      <c r="C3572" s="108"/>
      <c r="D3572" s="261"/>
      <c r="E3572" s="261"/>
    </row>
    <row r="3573" spans="2:5" x14ac:dyDescent="0.3">
      <c r="B3573" s="274"/>
      <c r="C3573" s="108"/>
      <c r="D3573" s="261"/>
      <c r="E3573" s="261"/>
    </row>
    <row r="3574" spans="2:5" x14ac:dyDescent="0.3">
      <c r="B3574" s="274"/>
      <c r="C3574" s="108"/>
      <c r="D3574" s="261"/>
      <c r="E3574" s="261"/>
    </row>
    <row r="3575" spans="2:5" x14ac:dyDescent="0.3">
      <c r="B3575" s="274"/>
      <c r="C3575" s="108"/>
      <c r="D3575" s="261"/>
      <c r="E3575" s="261"/>
    </row>
    <row r="3576" spans="2:5" x14ac:dyDescent="0.3">
      <c r="B3576" s="274"/>
      <c r="C3576" s="108"/>
      <c r="D3576" s="261"/>
      <c r="E3576" s="261"/>
    </row>
    <row r="3577" spans="2:5" x14ac:dyDescent="0.3">
      <c r="B3577" s="274"/>
      <c r="C3577" s="108"/>
      <c r="D3577" s="261"/>
      <c r="E3577" s="261"/>
    </row>
    <row r="3578" spans="2:5" x14ac:dyDescent="0.3">
      <c r="B3578" s="274"/>
      <c r="C3578" s="108"/>
      <c r="D3578" s="261"/>
      <c r="E3578" s="261"/>
    </row>
    <row r="3579" spans="2:5" x14ac:dyDescent="0.3">
      <c r="B3579" s="274"/>
      <c r="C3579" s="108"/>
      <c r="D3579" s="261"/>
      <c r="E3579" s="261"/>
    </row>
    <row r="3580" spans="2:5" x14ac:dyDescent="0.3">
      <c r="B3580" s="274"/>
      <c r="C3580" s="108"/>
      <c r="D3580" s="261"/>
      <c r="E3580" s="261"/>
    </row>
    <row r="3581" spans="2:5" x14ac:dyDescent="0.3">
      <c r="B3581" s="274"/>
      <c r="C3581" s="108"/>
      <c r="D3581" s="261"/>
      <c r="E3581" s="261"/>
    </row>
    <row r="3582" spans="2:5" x14ac:dyDescent="0.3">
      <c r="B3582" s="274"/>
      <c r="C3582" s="108"/>
      <c r="D3582" s="261"/>
      <c r="E3582" s="261"/>
    </row>
    <row r="3583" spans="2:5" x14ac:dyDescent="0.3">
      <c r="B3583" s="274"/>
      <c r="C3583" s="108"/>
      <c r="D3583" s="261"/>
      <c r="E3583" s="261"/>
    </row>
    <row r="3584" spans="2:5" x14ac:dyDescent="0.3">
      <c r="B3584" s="274"/>
      <c r="C3584" s="108"/>
      <c r="D3584" s="261"/>
      <c r="E3584" s="261"/>
    </row>
    <row r="3585" spans="2:5" x14ac:dyDescent="0.3">
      <c r="B3585" s="274"/>
      <c r="C3585" s="108"/>
      <c r="D3585" s="261"/>
      <c r="E3585" s="261"/>
    </row>
    <row r="3586" spans="2:5" x14ac:dyDescent="0.3">
      <c r="B3586" s="274"/>
      <c r="C3586" s="108"/>
      <c r="D3586" s="261"/>
      <c r="E3586" s="261"/>
    </row>
    <row r="3587" spans="2:5" x14ac:dyDescent="0.3">
      <c r="B3587" s="274"/>
      <c r="C3587" s="108"/>
      <c r="D3587" s="261"/>
      <c r="E3587" s="261"/>
    </row>
    <row r="3588" spans="2:5" x14ac:dyDescent="0.3">
      <c r="B3588" s="274"/>
      <c r="C3588" s="108"/>
      <c r="D3588" s="261"/>
      <c r="E3588" s="261"/>
    </row>
    <row r="3589" spans="2:5" x14ac:dyDescent="0.3">
      <c r="B3589" s="274"/>
      <c r="C3589" s="108"/>
      <c r="D3589" s="261"/>
      <c r="E3589" s="261"/>
    </row>
    <row r="3590" spans="2:5" x14ac:dyDescent="0.3">
      <c r="B3590" s="274"/>
      <c r="C3590" s="108"/>
      <c r="D3590" s="261"/>
      <c r="E3590" s="261"/>
    </row>
    <row r="3591" spans="2:5" x14ac:dyDescent="0.3">
      <c r="B3591" s="274"/>
      <c r="C3591" s="108"/>
      <c r="D3591" s="261"/>
      <c r="E3591" s="261"/>
    </row>
    <row r="3592" spans="2:5" x14ac:dyDescent="0.3">
      <c r="B3592" s="274"/>
      <c r="C3592" s="108"/>
      <c r="D3592" s="261"/>
      <c r="E3592" s="261"/>
    </row>
    <row r="3593" spans="2:5" x14ac:dyDescent="0.3">
      <c r="B3593" s="274"/>
      <c r="C3593" s="108"/>
      <c r="D3593" s="261"/>
      <c r="E3593" s="261"/>
    </row>
    <row r="3594" spans="2:5" x14ac:dyDescent="0.3">
      <c r="B3594" s="274"/>
      <c r="C3594" s="108"/>
      <c r="D3594" s="261"/>
      <c r="E3594" s="261"/>
    </row>
    <row r="3595" spans="2:5" x14ac:dyDescent="0.3">
      <c r="B3595" s="274"/>
      <c r="C3595" s="108"/>
      <c r="D3595" s="261"/>
      <c r="E3595" s="261"/>
    </row>
    <row r="3596" spans="2:5" x14ac:dyDescent="0.3">
      <c r="B3596" s="274"/>
      <c r="C3596" s="108"/>
      <c r="D3596" s="261"/>
      <c r="E3596" s="261"/>
    </row>
    <row r="3597" spans="2:5" x14ac:dyDescent="0.3">
      <c r="B3597" s="274"/>
      <c r="C3597" s="108"/>
      <c r="D3597" s="261"/>
      <c r="E3597" s="261"/>
    </row>
    <row r="3598" spans="2:5" x14ac:dyDescent="0.3">
      <c r="B3598" s="274"/>
      <c r="C3598" s="108"/>
      <c r="D3598" s="261"/>
      <c r="E3598" s="261"/>
    </row>
    <row r="3599" spans="2:5" x14ac:dyDescent="0.3">
      <c r="B3599" s="274"/>
      <c r="C3599" s="108"/>
      <c r="D3599" s="261"/>
      <c r="E3599" s="261"/>
    </row>
    <row r="3600" spans="2:5" x14ac:dyDescent="0.3">
      <c r="B3600" s="274"/>
      <c r="C3600" s="108"/>
      <c r="D3600" s="261"/>
      <c r="E3600" s="261"/>
    </row>
    <row r="3601" spans="2:5" x14ac:dyDescent="0.3">
      <c r="B3601" s="274"/>
      <c r="C3601" s="108"/>
      <c r="D3601" s="261"/>
      <c r="E3601" s="261"/>
    </row>
    <row r="3602" spans="2:5" x14ac:dyDescent="0.3">
      <c r="B3602" s="274"/>
      <c r="C3602" s="108"/>
      <c r="D3602" s="261"/>
      <c r="E3602" s="261"/>
    </row>
    <row r="3603" spans="2:5" x14ac:dyDescent="0.3">
      <c r="B3603" s="274"/>
      <c r="C3603" s="108"/>
      <c r="D3603" s="261"/>
      <c r="E3603" s="261"/>
    </row>
    <row r="3604" spans="2:5" x14ac:dyDescent="0.3">
      <c r="B3604" s="274"/>
      <c r="C3604" s="108"/>
      <c r="D3604" s="261"/>
      <c r="E3604" s="261"/>
    </row>
    <row r="3605" spans="2:5" x14ac:dyDescent="0.3">
      <c r="B3605" s="274"/>
      <c r="C3605" s="108"/>
      <c r="D3605" s="261"/>
      <c r="E3605" s="261"/>
    </row>
    <row r="3606" spans="2:5" x14ac:dyDescent="0.3">
      <c r="B3606" s="274"/>
      <c r="C3606" s="108"/>
      <c r="D3606" s="261"/>
      <c r="E3606" s="261"/>
    </row>
    <row r="3607" spans="2:5" x14ac:dyDescent="0.3">
      <c r="B3607" s="274"/>
      <c r="C3607" s="108"/>
      <c r="D3607" s="261"/>
      <c r="E3607" s="261"/>
    </row>
    <row r="3608" spans="2:5" x14ac:dyDescent="0.3">
      <c r="B3608" s="274"/>
      <c r="C3608" s="108"/>
      <c r="D3608" s="261"/>
      <c r="E3608" s="261"/>
    </row>
    <row r="3609" spans="2:5" x14ac:dyDescent="0.3">
      <c r="B3609" s="274"/>
      <c r="C3609" s="108"/>
      <c r="D3609" s="261"/>
      <c r="E3609" s="261"/>
    </row>
    <row r="3610" spans="2:5" x14ac:dyDescent="0.3">
      <c r="B3610" s="274"/>
      <c r="C3610" s="108"/>
      <c r="D3610" s="261"/>
      <c r="E3610" s="261"/>
    </row>
    <row r="3611" spans="2:5" x14ac:dyDescent="0.3">
      <c r="B3611" s="274"/>
      <c r="C3611" s="108"/>
      <c r="D3611" s="261"/>
      <c r="E3611" s="261"/>
    </row>
    <row r="3612" spans="2:5" x14ac:dyDescent="0.3">
      <c r="B3612" s="274"/>
      <c r="C3612" s="108"/>
      <c r="D3612" s="261"/>
      <c r="E3612" s="261"/>
    </row>
    <row r="3613" spans="2:5" x14ac:dyDescent="0.3">
      <c r="B3613" s="274"/>
      <c r="C3613" s="108"/>
      <c r="D3613" s="261"/>
      <c r="E3613" s="261"/>
    </row>
    <row r="3614" spans="2:5" x14ac:dyDescent="0.3">
      <c r="B3614" s="274"/>
      <c r="C3614" s="108"/>
      <c r="D3614" s="261"/>
      <c r="E3614" s="261"/>
    </row>
    <row r="3615" spans="2:5" x14ac:dyDescent="0.3">
      <c r="B3615" s="274"/>
      <c r="C3615" s="108"/>
      <c r="D3615" s="261"/>
      <c r="E3615" s="261"/>
    </row>
    <row r="3616" spans="2:5" x14ac:dyDescent="0.3">
      <c r="B3616" s="274"/>
      <c r="C3616" s="108"/>
      <c r="D3616" s="261"/>
      <c r="E3616" s="261"/>
    </row>
    <row r="3617" spans="2:5" x14ac:dyDescent="0.3">
      <c r="B3617" s="274"/>
      <c r="C3617" s="108"/>
      <c r="D3617" s="261"/>
      <c r="E3617" s="261"/>
    </row>
    <row r="3618" spans="2:5" x14ac:dyDescent="0.3">
      <c r="B3618" s="274"/>
      <c r="C3618" s="108"/>
      <c r="D3618" s="261"/>
      <c r="E3618" s="261"/>
    </row>
    <row r="3619" spans="2:5" x14ac:dyDescent="0.3">
      <c r="B3619" s="274"/>
      <c r="C3619" s="108"/>
      <c r="D3619" s="261"/>
      <c r="E3619" s="261"/>
    </row>
    <row r="3620" spans="2:5" x14ac:dyDescent="0.3">
      <c r="B3620" s="274"/>
      <c r="C3620" s="108"/>
      <c r="D3620" s="261"/>
      <c r="E3620" s="261"/>
    </row>
    <row r="3621" spans="2:5" x14ac:dyDescent="0.3">
      <c r="B3621" s="274"/>
      <c r="C3621" s="108"/>
      <c r="D3621" s="261"/>
      <c r="E3621" s="261"/>
    </row>
    <row r="3622" spans="2:5" x14ac:dyDescent="0.3">
      <c r="B3622" s="274"/>
      <c r="C3622" s="108"/>
      <c r="D3622" s="261"/>
      <c r="E3622" s="261"/>
    </row>
    <row r="3623" spans="2:5" x14ac:dyDescent="0.3">
      <c r="B3623" s="274"/>
      <c r="C3623" s="108"/>
      <c r="D3623" s="261"/>
      <c r="E3623" s="261"/>
    </row>
    <row r="3624" spans="2:5" x14ac:dyDescent="0.3">
      <c r="B3624" s="274"/>
      <c r="C3624" s="108"/>
      <c r="D3624" s="261"/>
      <c r="E3624" s="261"/>
    </row>
    <row r="3625" spans="2:5" x14ac:dyDescent="0.3">
      <c r="B3625" s="274"/>
      <c r="C3625" s="108"/>
      <c r="D3625" s="261"/>
      <c r="E3625" s="261"/>
    </row>
    <row r="3626" spans="2:5" x14ac:dyDescent="0.3">
      <c r="B3626" s="274"/>
      <c r="C3626" s="108"/>
      <c r="D3626" s="261"/>
      <c r="E3626" s="261"/>
    </row>
    <row r="3627" spans="2:5" x14ac:dyDescent="0.3">
      <c r="B3627" s="274"/>
      <c r="C3627" s="108"/>
      <c r="D3627" s="261"/>
      <c r="E3627" s="261"/>
    </row>
    <row r="3628" spans="2:5" x14ac:dyDescent="0.3">
      <c r="B3628" s="274"/>
      <c r="C3628" s="108"/>
      <c r="D3628" s="261"/>
      <c r="E3628" s="261"/>
    </row>
    <row r="3629" spans="2:5" x14ac:dyDescent="0.3">
      <c r="B3629" s="274"/>
      <c r="C3629" s="108"/>
      <c r="D3629" s="261"/>
      <c r="E3629" s="261"/>
    </row>
    <row r="3630" spans="2:5" x14ac:dyDescent="0.3">
      <c r="B3630" s="274"/>
      <c r="C3630" s="108"/>
      <c r="D3630" s="261"/>
      <c r="E3630" s="261"/>
    </row>
    <row r="3631" spans="2:5" x14ac:dyDescent="0.3">
      <c r="B3631" s="274"/>
      <c r="C3631" s="108"/>
      <c r="D3631" s="261"/>
      <c r="E3631" s="261"/>
    </row>
    <row r="3632" spans="2:5" x14ac:dyDescent="0.3">
      <c r="B3632" s="274"/>
      <c r="C3632" s="108"/>
      <c r="D3632" s="261"/>
      <c r="E3632" s="261"/>
    </row>
    <row r="3633" spans="2:5" x14ac:dyDescent="0.3">
      <c r="B3633" s="274"/>
      <c r="C3633" s="108"/>
      <c r="D3633" s="261"/>
      <c r="E3633" s="261"/>
    </row>
    <row r="3634" spans="2:5" x14ac:dyDescent="0.3">
      <c r="B3634" s="274"/>
      <c r="C3634" s="108"/>
      <c r="D3634" s="261"/>
      <c r="E3634" s="261"/>
    </row>
    <row r="3635" spans="2:5" x14ac:dyDescent="0.3">
      <c r="B3635" s="274"/>
      <c r="C3635" s="108"/>
      <c r="D3635" s="261"/>
      <c r="E3635" s="261"/>
    </row>
    <row r="3636" spans="2:5" x14ac:dyDescent="0.3">
      <c r="B3636" s="274"/>
      <c r="C3636" s="108"/>
      <c r="D3636" s="261"/>
      <c r="E3636" s="261"/>
    </row>
    <row r="3637" spans="2:5" x14ac:dyDescent="0.3">
      <c r="B3637" s="274"/>
      <c r="C3637" s="108"/>
      <c r="D3637" s="261"/>
      <c r="E3637" s="261"/>
    </row>
    <row r="3638" spans="2:5" x14ac:dyDescent="0.3">
      <c r="B3638" s="274"/>
      <c r="C3638" s="108"/>
      <c r="D3638" s="261"/>
      <c r="E3638" s="261"/>
    </row>
    <row r="3639" spans="2:5" x14ac:dyDescent="0.3">
      <c r="B3639" s="274"/>
      <c r="C3639" s="108"/>
      <c r="D3639" s="261"/>
      <c r="E3639" s="261"/>
    </row>
    <row r="3640" spans="2:5" x14ac:dyDescent="0.3">
      <c r="B3640" s="274"/>
      <c r="C3640" s="108"/>
      <c r="D3640" s="261"/>
      <c r="E3640" s="261"/>
    </row>
    <row r="3641" spans="2:5" x14ac:dyDescent="0.3">
      <c r="B3641" s="274"/>
      <c r="C3641" s="108"/>
      <c r="D3641" s="261"/>
      <c r="E3641" s="261"/>
    </row>
    <row r="3642" spans="2:5" x14ac:dyDescent="0.3">
      <c r="B3642" s="274"/>
      <c r="C3642" s="108"/>
      <c r="D3642" s="261"/>
      <c r="E3642" s="261"/>
    </row>
    <row r="3643" spans="2:5" x14ac:dyDescent="0.3">
      <c r="B3643" s="274"/>
      <c r="C3643" s="108"/>
      <c r="D3643" s="261"/>
      <c r="E3643" s="261"/>
    </row>
    <row r="3644" spans="2:5" x14ac:dyDescent="0.3">
      <c r="B3644" s="274"/>
      <c r="C3644" s="108"/>
      <c r="D3644" s="261"/>
      <c r="E3644" s="261"/>
    </row>
    <row r="3645" spans="2:5" x14ac:dyDescent="0.3">
      <c r="B3645" s="274"/>
      <c r="C3645" s="108"/>
      <c r="D3645" s="261"/>
      <c r="E3645" s="261"/>
    </row>
    <row r="3646" spans="2:5" x14ac:dyDescent="0.3">
      <c r="B3646" s="274"/>
      <c r="C3646" s="108"/>
      <c r="D3646" s="261"/>
      <c r="E3646" s="261"/>
    </row>
    <row r="3647" spans="2:5" x14ac:dyDescent="0.3">
      <c r="B3647" s="274"/>
      <c r="C3647" s="108"/>
      <c r="D3647" s="261"/>
      <c r="E3647" s="261"/>
    </row>
    <row r="3648" spans="2:5" x14ac:dyDescent="0.3">
      <c r="B3648" s="274"/>
      <c r="C3648" s="108"/>
      <c r="D3648" s="261"/>
      <c r="E3648" s="261"/>
    </row>
    <row r="3649" spans="2:5" x14ac:dyDescent="0.3">
      <c r="B3649" s="274"/>
      <c r="C3649" s="108"/>
      <c r="D3649" s="261"/>
      <c r="E3649" s="261"/>
    </row>
    <row r="3650" spans="2:5" x14ac:dyDescent="0.3">
      <c r="B3650" s="274"/>
      <c r="C3650" s="108"/>
      <c r="D3650" s="261"/>
      <c r="E3650" s="261"/>
    </row>
    <row r="3651" spans="2:5" x14ac:dyDescent="0.3">
      <c r="B3651" s="274"/>
      <c r="C3651" s="108"/>
      <c r="D3651" s="261"/>
      <c r="E3651" s="261"/>
    </row>
    <row r="3652" spans="2:5" x14ac:dyDescent="0.3">
      <c r="B3652" s="274"/>
      <c r="C3652" s="108"/>
      <c r="D3652" s="261"/>
      <c r="E3652" s="261"/>
    </row>
    <row r="3653" spans="2:5" x14ac:dyDescent="0.3">
      <c r="B3653" s="274"/>
      <c r="C3653" s="108"/>
      <c r="D3653" s="261"/>
      <c r="E3653" s="261"/>
    </row>
    <row r="3654" spans="2:5" x14ac:dyDescent="0.3">
      <c r="B3654" s="274"/>
      <c r="C3654" s="108"/>
      <c r="D3654" s="261"/>
      <c r="E3654" s="261"/>
    </row>
    <row r="3655" spans="2:5" x14ac:dyDescent="0.3">
      <c r="B3655" s="274"/>
      <c r="C3655" s="108"/>
      <c r="D3655" s="261"/>
      <c r="E3655" s="261"/>
    </row>
    <row r="3656" spans="2:5" x14ac:dyDescent="0.3">
      <c r="B3656" s="274"/>
      <c r="C3656" s="108"/>
      <c r="D3656" s="261"/>
      <c r="E3656" s="261"/>
    </row>
    <row r="3657" spans="2:5" x14ac:dyDescent="0.3">
      <c r="B3657" s="274"/>
      <c r="C3657" s="108"/>
      <c r="D3657" s="261"/>
      <c r="E3657" s="261"/>
    </row>
    <row r="3658" spans="2:5" x14ac:dyDescent="0.3">
      <c r="B3658" s="274"/>
      <c r="C3658" s="108"/>
      <c r="D3658" s="261"/>
      <c r="E3658" s="261"/>
    </row>
    <row r="3659" spans="2:5" x14ac:dyDescent="0.3">
      <c r="B3659" s="274"/>
      <c r="C3659" s="108"/>
      <c r="D3659" s="261"/>
      <c r="E3659" s="261"/>
    </row>
    <row r="3660" spans="2:5" x14ac:dyDescent="0.3">
      <c r="B3660" s="274"/>
      <c r="C3660" s="108"/>
      <c r="D3660" s="261"/>
      <c r="E3660" s="261"/>
    </row>
    <row r="3661" spans="2:5" x14ac:dyDescent="0.3">
      <c r="B3661" s="274"/>
      <c r="C3661" s="108"/>
      <c r="D3661" s="261"/>
      <c r="E3661" s="261"/>
    </row>
    <row r="3662" spans="2:5" x14ac:dyDescent="0.3">
      <c r="B3662" s="274"/>
      <c r="C3662" s="108"/>
      <c r="D3662" s="261"/>
      <c r="E3662" s="261"/>
    </row>
    <row r="3663" spans="2:5" x14ac:dyDescent="0.3">
      <c r="B3663" s="274"/>
      <c r="C3663" s="108"/>
      <c r="D3663" s="261"/>
      <c r="E3663" s="261"/>
    </row>
    <row r="3664" spans="2:5" x14ac:dyDescent="0.3">
      <c r="B3664" s="274"/>
      <c r="C3664" s="108"/>
      <c r="D3664" s="261"/>
      <c r="E3664" s="261"/>
    </row>
    <row r="3665" spans="2:5" x14ac:dyDescent="0.3">
      <c r="B3665" s="274"/>
      <c r="C3665" s="108"/>
      <c r="D3665" s="261"/>
      <c r="E3665" s="261"/>
    </row>
    <row r="3666" spans="2:5" x14ac:dyDescent="0.3">
      <c r="B3666" s="274"/>
      <c r="C3666" s="108"/>
      <c r="D3666" s="261"/>
      <c r="E3666" s="261"/>
    </row>
    <row r="3667" spans="2:5" x14ac:dyDescent="0.3">
      <c r="B3667" s="274"/>
      <c r="C3667" s="108"/>
      <c r="D3667" s="261"/>
      <c r="E3667" s="261"/>
    </row>
    <row r="3668" spans="2:5" x14ac:dyDescent="0.3">
      <c r="B3668" s="274"/>
      <c r="C3668" s="108"/>
      <c r="D3668" s="261"/>
      <c r="E3668" s="261"/>
    </row>
    <row r="3669" spans="2:5" x14ac:dyDescent="0.3">
      <c r="B3669" s="274"/>
      <c r="C3669" s="108"/>
      <c r="D3669" s="261"/>
      <c r="E3669" s="261"/>
    </row>
    <row r="3670" spans="2:5" x14ac:dyDescent="0.3">
      <c r="B3670" s="274"/>
      <c r="C3670" s="108"/>
      <c r="D3670" s="261"/>
      <c r="E3670" s="261"/>
    </row>
    <row r="3671" spans="2:5" x14ac:dyDescent="0.3">
      <c r="B3671" s="274"/>
      <c r="C3671" s="108"/>
      <c r="D3671" s="261"/>
      <c r="E3671" s="261"/>
    </row>
    <row r="3672" spans="2:5" x14ac:dyDescent="0.3">
      <c r="B3672" s="274"/>
      <c r="C3672" s="108"/>
      <c r="D3672" s="261"/>
      <c r="E3672" s="261"/>
    </row>
    <row r="3673" spans="2:5" x14ac:dyDescent="0.3">
      <c r="B3673" s="274"/>
      <c r="C3673" s="108"/>
      <c r="D3673" s="261"/>
      <c r="E3673" s="261"/>
    </row>
    <row r="3674" spans="2:5" x14ac:dyDescent="0.3">
      <c r="B3674" s="274"/>
      <c r="C3674" s="108"/>
      <c r="D3674" s="261"/>
      <c r="E3674" s="261"/>
    </row>
    <row r="3675" spans="2:5" x14ac:dyDescent="0.3">
      <c r="B3675" s="274"/>
      <c r="C3675" s="108"/>
      <c r="D3675" s="261"/>
      <c r="E3675" s="261"/>
    </row>
    <row r="3676" spans="2:5" x14ac:dyDescent="0.3">
      <c r="B3676" s="274"/>
      <c r="C3676" s="108"/>
      <c r="D3676" s="261"/>
      <c r="E3676" s="261"/>
    </row>
    <row r="3677" spans="2:5" x14ac:dyDescent="0.3">
      <c r="B3677" s="274"/>
      <c r="C3677" s="108"/>
      <c r="D3677" s="261"/>
      <c r="E3677" s="261"/>
    </row>
    <row r="3678" spans="2:5" x14ac:dyDescent="0.3">
      <c r="B3678" s="274"/>
      <c r="C3678" s="108"/>
      <c r="D3678" s="261"/>
      <c r="E3678" s="261"/>
    </row>
    <row r="3679" spans="2:5" x14ac:dyDescent="0.3">
      <c r="B3679" s="274"/>
      <c r="C3679" s="108"/>
      <c r="D3679" s="261"/>
      <c r="E3679" s="261"/>
    </row>
    <row r="3680" spans="2:5" x14ac:dyDescent="0.3">
      <c r="B3680" s="274"/>
      <c r="C3680" s="108"/>
      <c r="D3680" s="261"/>
      <c r="E3680" s="261"/>
    </row>
    <row r="3681" spans="2:5" x14ac:dyDescent="0.3">
      <c r="B3681" s="274"/>
      <c r="C3681" s="108"/>
      <c r="D3681" s="261"/>
      <c r="E3681" s="261"/>
    </row>
    <row r="3682" spans="2:5" x14ac:dyDescent="0.3">
      <c r="B3682" s="274"/>
      <c r="C3682" s="108"/>
      <c r="D3682" s="261"/>
      <c r="E3682" s="261"/>
    </row>
    <row r="3683" spans="2:5" x14ac:dyDescent="0.3">
      <c r="B3683" s="274"/>
      <c r="C3683" s="108"/>
      <c r="D3683" s="261"/>
      <c r="E3683" s="261"/>
    </row>
    <row r="3684" spans="2:5" x14ac:dyDescent="0.3">
      <c r="B3684" s="274"/>
      <c r="C3684" s="108"/>
      <c r="D3684" s="261"/>
      <c r="E3684" s="261"/>
    </row>
    <row r="3685" spans="2:5" x14ac:dyDescent="0.3">
      <c r="B3685" s="274"/>
      <c r="C3685" s="108"/>
      <c r="D3685" s="261"/>
      <c r="E3685" s="261"/>
    </row>
    <row r="3686" spans="2:5" x14ac:dyDescent="0.3">
      <c r="B3686" s="274"/>
      <c r="C3686" s="108"/>
      <c r="D3686" s="261"/>
      <c r="E3686" s="261"/>
    </row>
    <row r="3687" spans="2:5" x14ac:dyDescent="0.3">
      <c r="B3687" s="274"/>
      <c r="C3687" s="108"/>
      <c r="D3687" s="261"/>
      <c r="E3687" s="261"/>
    </row>
    <row r="3688" spans="2:5" x14ac:dyDescent="0.3">
      <c r="B3688" s="274"/>
      <c r="C3688" s="108"/>
      <c r="D3688" s="261"/>
      <c r="E3688" s="261"/>
    </row>
    <row r="3689" spans="2:5" x14ac:dyDescent="0.3">
      <c r="B3689" s="274"/>
      <c r="C3689" s="108"/>
      <c r="D3689" s="261"/>
      <c r="E3689" s="261"/>
    </row>
    <row r="3690" spans="2:5" x14ac:dyDescent="0.3">
      <c r="B3690" s="274"/>
      <c r="C3690" s="108"/>
      <c r="D3690" s="261"/>
      <c r="E3690" s="261"/>
    </row>
    <row r="3691" spans="2:5" x14ac:dyDescent="0.3">
      <c r="B3691" s="274"/>
      <c r="C3691" s="108"/>
      <c r="D3691" s="261"/>
      <c r="E3691" s="261"/>
    </row>
    <row r="3692" spans="2:5" x14ac:dyDescent="0.3">
      <c r="B3692" s="274"/>
      <c r="C3692" s="108"/>
      <c r="D3692" s="261"/>
      <c r="E3692" s="261"/>
    </row>
    <row r="3693" spans="2:5" x14ac:dyDescent="0.3">
      <c r="B3693" s="274"/>
      <c r="C3693" s="108"/>
      <c r="D3693" s="261"/>
      <c r="E3693" s="261"/>
    </row>
    <row r="3694" spans="2:5" x14ac:dyDescent="0.3">
      <c r="B3694" s="274"/>
      <c r="C3694" s="108"/>
      <c r="D3694" s="261"/>
      <c r="E3694" s="261"/>
    </row>
    <row r="3695" spans="2:5" x14ac:dyDescent="0.3">
      <c r="B3695" s="274"/>
      <c r="C3695" s="108"/>
      <c r="D3695" s="261"/>
      <c r="E3695" s="261"/>
    </row>
    <row r="3696" spans="2:5" x14ac:dyDescent="0.3">
      <c r="B3696" s="274"/>
      <c r="C3696" s="108"/>
      <c r="D3696" s="261"/>
      <c r="E3696" s="261"/>
    </row>
    <row r="3697" spans="2:5" x14ac:dyDescent="0.3">
      <c r="B3697" s="274"/>
      <c r="C3697" s="108"/>
      <c r="D3697" s="261"/>
      <c r="E3697" s="261"/>
    </row>
    <row r="3698" spans="2:5" x14ac:dyDescent="0.3">
      <c r="B3698" s="274"/>
      <c r="C3698" s="108"/>
      <c r="D3698" s="261"/>
      <c r="E3698" s="261"/>
    </row>
    <row r="3699" spans="2:5" x14ac:dyDescent="0.3">
      <c r="B3699" s="274"/>
      <c r="C3699" s="108"/>
      <c r="D3699" s="261"/>
      <c r="E3699" s="261"/>
    </row>
    <row r="3700" spans="2:5" x14ac:dyDescent="0.3">
      <c r="B3700" s="274"/>
      <c r="C3700" s="108"/>
      <c r="D3700" s="261"/>
      <c r="E3700" s="261"/>
    </row>
    <row r="3701" spans="2:5" x14ac:dyDescent="0.3">
      <c r="B3701" s="274"/>
      <c r="C3701" s="108"/>
      <c r="D3701" s="261"/>
      <c r="E3701" s="261"/>
    </row>
    <row r="3702" spans="2:5" x14ac:dyDescent="0.3">
      <c r="B3702" s="274"/>
      <c r="C3702" s="108"/>
      <c r="D3702" s="261"/>
      <c r="E3702" s="261"/>
    </row>
    <row r="3703" spans="2:5" x14ac:dyDescent="0.3">
      <c r="B3703" s="274"/>
      <c r="C3703" s="108"/>
      <c r="D3703" s="261"/>
      <c r="E3703" s="261"/>
    </row>
    <row r="3704" spans="2:5" x14ac:dyDescent="0.3">
      <c r="B3704" s="274"/>
      <c r="C3704" s="108"/>
      <c r="D3704" s="261"/>
      <c r="E3704" s="261"/>
    </row>
    <row r="3705" spans="2:5" x14ac:dyDescent="0.3">
      <c r="B3705" s="274"/>
      <c r="C3705" s="108"/>
      <c r="D3705" s="261"/>
      <c r="E3705" s="261"/>
    </row>
    <row r="3706" spans="2:5" x14ac:dyDescent="0.3">
      <c r="B3706" s="274"/>
      <c r="C3706" s="108"/>
      <c r="D3706" s="261"/>
      <c r="E3706" s="261"/>
    </row>
    <row r="3707" spans="2:5" x14ac:dyDescent="0.3">
      <c r="B3707" s="274"/>
      <c r="C3707" s="108"/>
      <c r="D3707" s="261"/>
      <c r="E3707" s="261"/>
    </row>
    <row r="3708" spans="2:5" x14ac:dyDescent="0.3">
      <c r="B3708" s="274"/>
      <c r="C3708" s="108"/>
      <c r="D3708" s="261"/>
      <c r="E3708" s="261"/>
    </row>
    <row r="3709" spans="2:5" x14ac:dyDescent="0.3">
      <c r="B3709" s="274"/>
      <c r="C3709" s="108"/>
      <c r="D3709" s="261"/>
      <c r="E3709" s="261"/>
    </row>
    <row r="3710" spans="2:5" x14ac:dyDescent="0.3">
      <c r="B3710" s="274"/>
      <c r="C3710" s="108"/>
      <c r="D3710" s="261"/>
      <c r="E3710" s="261"/>
    </row>
    <row r="3711" spans="2:5" x14ac:dyDescent="0.3">
      <c r="B3711" s="274"/>
      <c r="C3711" s="108"/>
      <c r="D3711" s="261"/>
      <c r="E3711" s="261"/>
    </row>
    <row r="3712" spans="2:5" x14ac:dyDescent="0.3">
      <c r="B3712" s="274"/>
      <c r="C3712" s="108"/>
      <c r="D3712" s="261"/>
      <c r="E3712" s="261"/>
    </row>
    <row r="3713" spans="2:5" x14ac:dyDescent="0.3">
      <c r="B3713" s="274"/>
      <c r="C3713" s="108"/>
      <c r="D3713" s="261"/>
      <c r="E3713" s="261"/>
    </row>
    <row r="3714" spans="2:5" x14ac:dyDescent="0.3">
      <c r="B3714" s="274"/>
      <c r="C3714" s="108"/>
      <c r="D3714" s="261"/>
      <c r="E3714" s="261"/>
    </row>
    <row r="3715" spans="2:5" x14ac:dyDescent="0.3">
      <c r="B3715" s="274"/>
      <c r="C3715" s="108"/>
      <c r="D3715" s="261"/>
      <c r="E3715" s="261"/>
    </row>
    <row r="3716" spans="2:5" x14ac:dyDescent="0.3">
      <c r="B3716" s="274"/>
      <c r="C3716" s="108"/>
      <c r="D3716" s="261"/>
      <c r="E3716" s="261"/>
    </row>
    <row r="3717" spans="2:5" x14ac:dyDescent="0.3">
      <c r="B3717" s="274"/>
      <c r="C3717" s="108"/>
      <c r="D3717" s="261"/>
      <c r="E3717" s="261"/>
    </row>
    <row r="3718" spans="2:5" x14ac:dyDescent="0.3">
      <c r="B3718" s="274"/>
      <c r="C3718" s="108"/>
      <c r="D3718" s="261"/>
      <c r="E3718" s="261"/>
    </row>
    <row r="3719" spans="2:5" x14ac:dyDescent="0.3">
      <c r="B3719" s="274"/>
      <c r="C3719" s="108"/>
      <c r="D3719" s="261"/>
      <c r="E3719" s="261"/>
    </row>
    <row r="3720" spans="2:5" x14ac:dyDescent="0.3">
      <c r="B3720" s="274"/>
      <c r="C3720" s="108"/>
      <c r="D3720" s="261"/>
      <c r="E3720" s="261"/>
    </row>
    <row r="3721" spans="2:5" x14ac:dyDescent="0.3">
      <c r="B3721" s="274"/>
      <c r="C3721" s="108"/>
      <c r="D3721" s="261"/>
      <c r="E3721" s="261"/>
    </row>
    <row r="3722" spans="2:5" x14ac:dyDescent="0.3">
      <c r="B3722" s="274"/>
      <c r="C3722" s="108"/>
      <c r="D3722" s="261"/>
      <c r="E3722" s="261"/>
    </row>
    <row r="3723" spans="2:5" x14ac:dyDescent="0.3">
      <c r="B3723" s="274"/>
      <c r="C3723" s="108"/>
      <c r="D3723" s="261"/>
      <c r="E3723" s="261"/>
    </row>
    <row r="3724" spans="2:5" x14ac:dyDescent="0.3">
      <c r="B3724" s="274"/>
      <c r="C3724" s="108"/>
      <c r="D3724" s="261"/>
      <c r="E3724" s="261"/>
    </row>
    <row r="3725" spans="2:5" x14ac:dyDescent="0.3">
      <c r="B3725" s="274"/>
      <c r="C3725" s="108"/>
      <c r="D3725" s="261"/>
      <c r="E3725" s="261"/>
    </row>
    <row r="3726" spans="2:5" x14ac:dyDescent="0.3">
      <c r="B3726" s="274"/>
      <c r="C3726" s="108"/>
      <c r="D3726" s="261"/>
      <c r="E3726" s="261"/>
    </row>
    <row r="3727" spans="2:5" x14ac:dyDescent="0.3">
      <c r="B3727" s="274"/>
      <c r="C3727" s="108"/>
      <c r="D3727" s="261"/>
      <c r="E3727" s="261"/>
    </row>
    <row r="3728" spans="2:5" x14ac:dyDescent="0.3">
      <c r="B3728" s="274"/>
      <c r="C3728" s="108"/>
      <c r="D3728" s="261"/>
      <c r="E3728" s="261"/>
    </row>
    <row r="3729" spans="2:5" x14ac:dyDescent="0.3">
      <c r="B3729" s="274"/>
      <c r="C3729" s="108"/>
      <c r="D3729" s="261"/>
      <c r="E3729" s="261"/>
    </row>
    <row r="3730" spans="2:5" x14ac:dyDescent="0.3">
      <c r="B3730" s="274"/>
      <c r="C3730" s="108"/>
      <c r="D3730" s="261"/>
      <c r="E3730" s="261"/>
    </row>
    <row r="3731" spans="2:5" x14ac:dyDescent="0.3">
      <c r="B3731" s="274"/>
      <c r="C3731" s="108"/>
      <c r="D3731" s="261"/>
      <c r="E3731" s="261"/>
    </row>
    <row r="3732" spans="2:5" x14ac:dyDescent="0.3">
      <c r="B3732" s="274"/>
      <c r="C3732" s="108"/>
      <c r="D3732" s="261"/>
      <c r="E3732" s="261"/>
    </row>
    <row r="3733" spans="2:5" x14ac:dyDescent="0.3">
      <c r="B3733" s="274"/>
      <c r="C3733" s="108"/>
      <c r="D3733" s="261"/>
      <c r="E3733" s="261"/>
    </row>
    <row r="3734" spans="2:5" x14ac:dyDescent="0.3">
      <c r="B3734" s="274"/>
      <c r="C3734" s="108"/>
      <c r="D3734" s="261"/>
      <c r="E3734" s="261"/>
    </row>
    <row r="3735" spans="2:5" x14ac:dyDescent="0.3">
      <c r="B3735" s="274"/>
      <c r="C3735" s="108"/>
      <c r="D3735" s="261"/>
      <c r="E3735" s="261"/>
    </row>
    <row r="3736" spans="2:5" x14ac:dyDescent="0.3">
      <c r="B3736" s="274"/>
      <c r="C3736" s="108"/>
      <c r="D3736" s="261"/>
      <c r="E3736" s="261"/>
    </row>
    <row r="3737" spans="2:5" x14ac:dyDescent="0.3">
      <c r="B3737" s="274"/>
      <c r="C3737" s="108"/>
      <c r="D3737" s="261"/>
      <c r="E3737" s="261"/>
    </row>
    <row r="3738" spans="2:5" x14ac:dyDescent="0.3">
      <c r="B3738" s="274"/>
      <c r="C3738" s="108"/>
      <c r="D3738" s="261"/>
      <c r="E3738" s="261"/>
    </row>
    <row r="3739" spans="2:5" x14ac:dyDescent="0.3">
      <c r="B3739" s="274"/>
      <c r="C3739" s="108"/>
      <c r="D3739" s="261"/>
      <c r="E3739" s="261"/>
    </row>
    <row r="3740" spans="2:5" x14ac:dyDescent="0.3">
      <c r="B3740" s="274"/>
      <c r="C3740" s="108"/>
      <c r="D3740" s="261"/>
      <c r="E3740" s="261"/>
    </row>
    <row r="3741" spans="2:5" x14ac:dyDescent="0.3">
      <c r="B3741" s="274"/>
      <c r="C3741" s="108"/>
      <c r="D3741" s="261"/>
      <c r="E3741" s="261"/>
    </row>
    <row r="3742" spans="2:5" x14ac:dyDescent="0.3">
      <c r="B3742" s="274"/>
      <c r="C3742" s="108"/>
      <c r="D3742" s="261"/>
      <c r="E3742" s="261"/>
    </row>
    <row r="3743" spans="2:5" x14ac:dyDescent="0.3">
      <c r="B3743" s="274"/>
      <c r="C3743" s="108"/>
      <c r="D3743" s="261"/>
      <c r="E3743" s="261"/>
    </row>
    <row r="3744" spans="2:5" x14ac:dyDescent="0.3">
      <c r="B3744" s="274"/>
      <c r="C3744" s="108"/>
      <c r="D3744" s="261"/>
      <c r="E3744" s="261"/>
    </row>
    <row r="3745" spans="2:5" x14ac:dyDescent="0.3">
      <c r="B3745" s="274"/>
      <c r="C3745" s="108"/>
      <c r="D3745" s="261"/>
      <c r="E3745" s="261"/>
    </row>
    <row r="3746" spans="2:5" x14ac:dyDescent="0.3">
      <c r="B3746" s="274"/>
      <c r="C3746" s="108"/>
      <c r="D3746" s="261"/>
      <c r="E3746" s="261"/>
    </row>
    <row r="3747" spans="2:5" x14ac:dyDescent="0.3">
      <c r="B3747" s="274"/>
      <c r="C3747" s="108"/>
      <c r="D3747" s="261"/>
      <c r="E3747" s="261"/>
    </row>
    <row r="3748" spans="2:5" x14ac:dyDescent="0.3">
      <c r="B3748" s="274"/>
      <c r="C3748" s="108"/>
      <c r="D3748" s="261"/>
      <c r="E3748" s="261"/>
    </row>
    <row r="3749" spans="2:5" x14ac:dyDescent="0.3">
      <c r="B3749" s="274"/>
      <c r="C3749" s="108"/>
      <c r="D3749" s="261"/>
      <c r="E3749" s="261"/>
    </row>
    <row r="3750" spans="2:5" x14ac:dyDescent="0.3">
      <c r="B3750" s="274"/>
      <c r="C3750" s="108"/>
      <c r="D3750" s="261"/>
      <c r="E3750" s="261"/>
    </row>
    <row r="3751" spans="2:5" x14ac:dyDescent="0.3">
      <c r="B3751" s="274"/>
      <c r="C3751" s="108"/>
      <c r="D3751" s="261"/>
      <c r="E3751" s="261"/>
    </row>
    <row r="3752" spans="2:5" x14ac:dyDescent="0.3">
      <c r="B3752" s="274"/>
      <c r="C3752" s="108"/>
      <c r="D3752" s="261"/>
      <c r="E3752" s="261"/>
    </row>
    <row r="3753" spans="2:5" x14ac:dyDescent="0.3">
      <c r="B3753" s="274"/>
      <c r="C3753" s="108"/>
      <c r="D3753" s="261"/>
      <c r="E3753" s="261"/>
    </row>
    <row r="3754" spans="2:5" x14ac:dyDescent="0.3">
      <c r="B3754" s="274"/>
      <c r="C3754" s="108"/>
      <c r="D3754" s="261"/>
      <c r="E3754" s="261"/>
    </row>
    <row r="3755" spans="2:5" x14ac:dyDescent="0.3">
      <c r="B3755" s="274"/>
      <c r="C3755" s="108"/>
      <c r="D3755" s="261"/>
      <c r="E3755" s="261"/>
    </row>
    <row r="3756" spans="2:5" x14ac:dyDescent="0.3">
      <c r="B3756" s="274"/>
      <c r="C3756" s="108"/>
      <c r="D3756" s="261"/>
      <c r="E3756" s="261"/>
    </row>
    <row r="3757" spans="2:5" x14ac:dyDescent="0.3">
      <c r="B3757" s="274"/>
      <c r="C3757" s="108"/>
      <c r="D3757" s="261"/>
      <c r="E3757" s="261"/>
    </row>
    <row r="3758" spans="2:5" x14ac:dyDescent="0.3">
      <c r="B3758" s="274"/>
      <c r="C3758" s="108"/>
      <c r="D3758" s="261"/>
      <c r="E3758" s="261"/>
    </row>
    <row r="3759" spans="2:5" x14ac:dyDescent="0.3">
      <c r="B3759" s="274"/>
      <c r="C3759" s="108"/>
      <c r="D3759" s="261"/>
      <c r="E3759" s="261"/>
    </row>
    <row r="3760" spans="2:5" x14ac:dyDescent="0.3">
      <c r="B3760" s="274"/>
      <c r="C3760" s="108"/>
      <c r="D3760" s="261"/>
      <c r="E3760" s="261"/>
    </row>
    <row r="3761" spans="2:5" x14ac:dyDescent="0.3">
      <c r="B3761" s="274"/>
      <c r="C3761" s="108"/>
      <c r="D3761" s="261"/>
      <c r="E3761" s="261"/>
    </row>
    <row r="3762" spans="2:5" x14ac:dyDescent="0.3">
      <c r="B3762" s="274"/>
      <c r="C3762" s="108"/>
      <c r="D3762" s="261"/>
      <c r="E3762" s="261"/>
    </row>
    <row r="3763" spans="2:5" x14ac:dyDescent="0.3">
      <c r="B3763" s="274"/>
      <c r="C3763" s="108"/>
      <c r="D3763" s="261"/>
      <c r="E3763" s="261"/>
    </row>
    <row r="3764" spans="2:5" x14ac:dyDescent="0.3">
      <c r="B3764" s="274"/>
      <c r="C3764" s="108"/>
      <c r="D3764" s="261"/>
      <c r="E3764" s="261"/>
    </row>
    <row r="3765" spans="2:5" x14ac:dyDescent="0.3">
      <c r="B3765" s="274"/>
      <c r="C3765" s="108"/>
      <c r="D3765" s="261"/>
      <c r="E3765" s="261"/>
    </row>
    <row r="3766" spans="2:5" x14ac:dyDescent="0.3">
      <c r="B3766" s="274"/>
      <c r="C3766" s="108"/>
      <c r="D3766" s="261"/>
      <c r="E3766" s="261"/>
    </row>
    <row r="3767" spans="2:5" x14ac:dyDescent="0.3">
      <c r="B3767" s="274"/>
      <c r="C3767" s="108"/>
      <c r="D3767" s="261"/>
      <c r="E3767" s="261"/>
    </row>
    <row r="3768" spans="2:5" x14ac:dyDescent="0.3">
      <c r="B3768" s="274"/>
      <c r="C3768" s="108"/>
      <c r="D3768" s="261"/>
      <c r="E3768" s="261"/>
    </row>
    <row r="3769" spans="2:5" x14ac:dyDescent="0.3">
      <c r="B3769" s="274"/>
      <c r="C3769" s="108"/>
      <c r="D3769" s="261"/>
      <c r="E3769" s="261"/>
    </row>
    <row r="3770" spans="2:5" x14ac:dyDescent="0.3">
      <c r="B3770" s="274"/>
      <c r="C3770" s="108"/>
      <c r="D3770" s="261"/>
      <c r="E3770" s="261"/>
    </row>
    <row r="3771" spans="2:5" x14ac:dyDescent="0.3">
      <c r="B3771" s="274"/>
      <c r="C3771" s="108"/>
      <c r="D3771" s="261"/>
      <c r="E3771" s="261"/>
    </row>
    <row r="3772" spans="2:5" x14ac:dyDescent="0.3">
      <c r="B3772" s="274"/>
      <c r="C3772" s="108"/>
      <c r="D3772" s="261"/>
      <c r="E3772" s="261"/>
    </row>
    <row r="3773" spans="2:5" x14ac:dyDescent="0.3">
      <c r="B3773" s="274"/>
      <c r="C3773" s="108"/>
      <c r="D3773" s="261"/>
      <c r="E3773" s="261"/>
    </row>
    <row r="3774" spans="2:5" x14ac:dyDescent="0.3">
      <c r="B3774" s="274"/>
      <c r="C3774" s="108"/>
      <c r="D3774" s="261"/>
      <c r="E3774" s="261"/>
    </row>
    <row r="3775" spans="2:5" x14ac:dyDescent="0.3">
      <c r="B3775" s="274"/>
      <c r="C3775" s="108"/>
      <c r="D3775" s="261"/>
      <c r="E3775" s="261"/>
    </row>
    <row r="3776" spans="2:5" x14ac:dyDescent="0.3">
      <c r="B3776" s="274"/>
      <c r="C3776" s="108"/>
      <c r="D3776" s="261"/>
      <c r="E3776" s="261"/>
    </row>
    <row r="3777" spans="2:5" x14ac:dyDescent="0.3">
      <c r="B3777" s="274"/>
      <c r="C3777" s="108"/>
      <c r="D3777" s="261"/>
      <c r="E3777" s="261"/>
    </row>
    <row r="3778" spans="2:5" x14ac:dyDescent="0.3">
      <c r="B3778" s="274"/>
      <c r="C3778" s="108"/>
      <c r="D3778" s="261"/>
      <c r="E3778" s="261"/>
    </row>
    <row r="3779" spans="2:5" x14ac:dyDescent="0.3">
      <c r="B3779" s="274"/>
      <c r="C3779" s="108"/>
      <c r="D3779" s="261"/>
      <c r="E3779" s="261"/>
    </row>
    <row r="3780" spans="2:5" x14ac:dyDescent="0.3">
      <c r="B3780" s="274"/>
      <c r="C3780" s="108"/>
      <c r="D3780" s="261"/>
      <c r="E3780" s="261"/>
    </row>
    <row r="3781" spans="2:5" x14ac:dyDescent="0.3">
      <c r="B3781" s="274"/>
      <c r="C3781" s="108"/>
      <c r="D3781" s="261"/>
      <c r="E3781" s="261"/>
    </row>
    <row r="3782" spans="2:5" x14ac:dyDescent="0.3">
      <c r="B3782" s="274"/>
      <c r="C3782" s="108"/>
      <c r="D3782" s="261"/>
      <c r="E3782" s="261"/>
    </row>
    <row r="3783" spans="2:5" x14ac:dyDescent="0.3">
      <c r="B3783" s="274"/>
      <c r="C3783" s="108"/>
      <c r="D3783" s="261"/>
      <c r="E3783" s="261"/>
    </row>
    <row r="3784" spans="2:5" x14ac:dyDescent="0.3">
      <c r="B3784" s="274"/>
      <c r="C3784" s="108"/>
      <c r="D3784" s="261"/>
      <c r="E3784" s="261"/>
    </row>
    <row r="3785" spans="2:5" x14ac:dyDescent="0.3">
      <c r="B3785" s="274"/>
      <c r="C3785" s="108"/>
      <c r="D3785" s="261"/>
      <c r="E3785" s="261"/>
    </row>
    <row r="3786" spans="2:5" x14ac:dyDescent="0.3">
      <c r="B3786" s="274"/>
      <c r="C3786" s="108"/>
      <c r="D3786" s="261"/>
      <c r="E3786" s="261"/>
    </row>
    <row r="3787" spans="2:5" x14ac:dyDescent="0.3">
      <c r="B3787" s="274"/>
      <c r="C3787" s="108"/>
      <c r="D3787" s="261"/>
      <c r="E3787" s="261"/>
    </row>
    <row r="3788" spans="2:5" x14ac:dyDescent="0.3">
      <c r="B3788" s="274"/>
      <c r="C3788" s="108"/>
      <c r="D3788" s="261"/>
      <c r="E3788" s="261"/>
    </row>
    <row r="3789" spans="2:5" x14ac:dyDescent="0.3">
      <c r="B3789" s="274"/>
      <c r="C3789" s="108"/>
      <c r="D3789" s="261"/>
      <c r="E3789" s="261"/>
    </row>
    <row r="3790" spans="2:5" x14ac:dyDescent="0.3">
      <c r="B3790" s="274"/>
      <c r="C3790" s="108"/>
      <c r="D3790" s="261"/>
      <c r="E3790" s="261"/>
    </row>
    <row r="3791" spans="2:5" x14ac:dyDescent="0.3">
      <c r="B3791" s="274"/>
      <c r="C3791" s="108"/>
      <c r="D3791" s="261"/>
      <c r="E3791" s="261"/>
    </row>
    <row r="3792" spans="2:5" x14ac:dyDescent="0.3">
      <c r="B3792" s="274"/>
      <c r="C3792" s="108"/>
      <c r="D3792" s="261"/>
      <c r="E3792" s="261"/>
    </row>
    <row r="3793" spans="2:5" x14ac:dyDescent="0.3">
      <c r="B3793" s="274"/>
      <c r="C3793" s="108"/>
      <c r="D3793" s="261"/>
      <c r="E3793" s="261"/>
    </row>
    <row r="3794" spans="2:5" x14ac:dyDescent="0.3">
      <c r="B3794" s="274"/>
      <c r="C3794" s="108"/>
      <c r="D3794" s="261"/>
      <c r="E3794" s="261"/>
    </row>
    <row r="3795" spans="2:5" x14ac:dyDescent="0.3">
      <c r="B3795" s="274"/>
      <c r="C3795" s="108"/>
      <c r="D3795" s="261"/>
      <c r="E3795" s="261"/>
    </row>
    <row r="3796" spans="2:5" x14ac:dyDescent="0.3">
      <c r="B3796" s="274"/>
      <c r="C3796" s="108"/>
      <c r="D3796" s="261"/>
      <c r="E3796" s="261"/>
    </row>
    <row r="3797" spans="2:5" x14ac:dyDescent="0.3">
      <c r="B3797" s="274"/>
      <c r="C3797" s="108"/>
      <c r="D3797" s="261"/>
      <c r="E3797" s="261"/>
    </row>
    <row r="3798" spans="2:5" x14ac:dyDescent="0.3">
      <c r="B3798" s="274"/>
      <c r="C3798" s="108"/>
      <c r="D3798" s="261"/>
      <c r="E3798" s="261"/>
    </row>
    <row r="3799" spans="2:5" x14ac:dyDescent="0.3">
      <c r="B3799" s="274"/>
      <c r="C3799" s="108"/>
      <c r="D3799" s="261"/>
      <c r="E3799" s="261"/>
    </row>
    <row r="3800" spans="2:5" x14ac:dyDescent="0.3">
      <c r="B3800" s="274"/>
      <c r="C3800" s="108"/>
      <c r="D3800" s="261"/>
      <c r="E3800" s="261"/>
    </row>
    <row r="3801" spans="2:5" x14ac:dyDescent="0.3">
      <c r="B3801" s="274"/>
      <c r="C3801" s="108"/>
      <c r="D3801" s="261"/>
      <c r="E3801" s="261"/>
    </row>
    <row r="3802" spans="2:5" x14ac:dyDescent="0.3">
      <c r="B3802" s="274"/>
      <c r="C3802" s="108"/>
      <c r="D3802" s="261"/>
      <c r="E3802" s="261"/>
    </row>
    <row r="3803" spans="2:5" x14ac:dyDescent="0.3">
      <c r="B3803" s="274"/>
      <c r="C3803" s="108"/>
      <c r="D3803" s="261"/>
      <c r="E3803" s="261"/>
    </row>
    <row r="3804" spans="2:5" x14ac:dyDescent="0.3">
      <c r="B3804" s="274"/>
      <c r="C3804" s="108"/>
      <c r="D3804" s="261"/>
      <c r="E3804" s="261"/>
    </row>
    <row r="3805" spans="2:5" x14ac:dyDescent="0.3">
      <c r="B3805" s="274"/>
      <c r="C3805" s="108"/>
      <c r="D3805" s="261"/>
      <c r="E3805" s="261"/>
    </row>
    <row r="3806" spans="2:5" x14ac:dyDescent="0.3">
      <c r="B3806" s="274"/>
      <c r="C3806" s="108"/>
      <c r="D3806" s="261"/>
      <c r="E3806" s="261"/>
    </row>
    <row r="3807" spans="2:5" x14ac:dyDescent="0.3">
      <c r="B3807" s="274"/>
      <c r="C3807" s="108"/>
      <c r="D3807" s="261"/>
      <c r="E3807" s="261"/>
    </row>
    <row r="3808" spans="2:5" x14ac:dyDescent="0.3">
      <c r="B3808" s="274"/>
      <c r="C3808" s="108"/>
      <c r="D3808" s="261"/>
      <c r="E3808" s="261"/>
    </row>
    <row r="3809" spans="2:5" x14ac:dyDescent="0.3">
      <c r="B3809" s="274"/>
      <c r="C3809" s="108"/>
      <c r="D3809" s="261"/>
      <c r="E3809" s="261"/>
    </row>
    <row r="3810" spans="2:5" x14ac:dyDescent="0.3">
      <c r="B3810" s="274"/>
      <c r="C3810" s="108"/>
      <c r="D3810" s="261"/>
      <c r="E3810" s="261"/>
    </row>
    <row r="3811" spans="2:5" x14ac:dyDescent="0.3">
      <c r="B3811" s="274"/>
      <c r="C3811" s="108"/>
      <c r="D3811" s="261"/>
      <c r="E3811" s="261"/>
    </row>
    <row r="3812" spans="2:5" x14ac:dyDescent="0.3">
      <c r="B3812" s="274"/>
      <c r="C3812" s="108"/>
      <c r="D3812" s="261"/>
      <c r="E3812" s="261"/>
    </row>
    <row r="3813" spans="2:5" x14ac:dyDescent="0.3">
      <c r="B3813" s="274"/>
      <c r="C3813" s="108"/>
      <c r="D3813" s="261"/>
      <c r="E3813" s="261"/>
    </row>
    <row r="3814" spans="2:5" x14ac:dyDescent="0.3">
      <c r="B3814" s="274"/>
      <c r="C3814" s="108"/>
      <c r="D3814" s="261"/>
      <c r="E3814" s="261"/>
    </row>
    <row r="3815" spans="2:5" x14ac:dyDescent="0.3">
      <c r="B3815" s="274"/>
      <c r="C3815" s="108"/>
      <c r="D3815" s="261"/>
      <c r="E3815" s="261"/>
    </row>
    <row r="3816" spans="2:5" x14ac:dyDescent="0.3">
      <c r="B3816" s="274"/>
      <c r="C3816" s="108"/>
      <c r="D3816" s="261"/>
      <c r="E3816" s="261"/>
    </row>
    <row r="3817" spans="2:5" x14ac:dyDescent="0.3">
      <c r="B3817" s="274"/>
      <c r="C3817" s="108"/>
      <c r="D3817" s="261"/>
      <c r="E3817" s="261"/>
    </row>
    <row r="3818" spans="2:5" x14ac:dyDescent="0.3">
      <c r="B3818" s="274"/>
      <c r="C3818" s="108"/>
      <c r="D3818" s="261"/>
      <c r="E3818" s="261"/>
    </row>
    <row r="3819" spans="2:5" x14ac:dyDescent="0.3">
      <c r="B3819" s="274"/>
      <c r="C3819" s="108"/>
      <c r="D3819" s="261"/>
      <c r="E3819" s="261"/>
    </row>
    <row r="3820" spans="2:5" x14ac:dyDescent="0.3">
      <c r="B3820" s="274"/>
      <c r="C3820" s="108"/>
      <c r="D3820" s="261"/>
      <c r="E3820" s="261"/>
    </row>
    <row r="3821" spans="2:5" x14ac:dyDescent="0.3">
      <c r="B3821" s="274"/>
      <c r="C3821" s="108"/>
      <c r="D3821" s="261"/>
      <c r="E3821" s="261"/>
    </row>
    <row r="3822" spans="2:5" x14ac:dyDescent="0.3">
      <c r="B3822" s="274"/>
      <c r="C3822" s="108"/>
      <c r="D3822" s="261"/>
      <c r="E3822" s="261"/>
    </row>
    <row r="3823" spans="2:5" x14ac:dyDescent="0.3">
      <c r="B3823" s="274"/>
      <c r="C3823" s="108"/>
      <c r="D3823" s="261"/>
      <c r="E3823" s="261"/>
    </row>
    <row r="3824" spans="2:5" x14ac:dyDescent="0.3">
      <c r="B3824" s="274"/>
      <c r="C3824" s="108"/>
      <c r="D3824" s="261"/>
      <c r="E3824" s="261"/>
    </row>
    <row r="3825" spans="2:5" x14ac:dyDescent="0.3">
      <c r="B3825" s="274"/>
      <c r="C3825" s="108"/>
      <c r="D3825" s="261"/>
      <c r="E3825" s="261"/>
    </row>
    <row r="3826" spans="2:5" x14ac:dyDescent="0.3">
      <c r="B3826" s="274"/>
      <c r="C3826" s="108"/>
      <c r="D3826" s="261"/>
      <c r="E3826" s="261"/>
    </row>
    <row r="3827" spans="2:5" x14ac:dyDescent="0.3">
      <c r="B3827" s="274"/>
      <c r="C3827" s="108"/>
      <c r="D3827" s="261"/>
      <c r="E3827" s="261"/>
    </row>
    <row r="3828" spans="2:5" x14ac:dyDescent="0.3">
      <c r="B3828" s="274"/>
      <c r="C3828" s="108"/>
      <c r="D3828" s="261"/>
      <c r="E3828" s="261"/>
    </row>
    <row r="3829" spans="2:5" x14ac:dyDescent="0.3">
      <c r="B3829" s="274"/>
      <c r="C3829" s="108"/>
      <c r="D3829" s="261"/>
      <c r="E3829" s="261"/>
    </row>
    <row r="3830" spans="2:5" x14ac:dyDescent="0.3">
      <c r="B3830" s="274"/>
      <c r="C3830" s="108"/>
      <c r="D3830" s="261"/>
      <c r="E3830" s="261"/>
    </row>
    <row r="3831" spans="2:5" x14ac:dyDescent="0.3">
      <c r="B3831" s="274"/>
      <c r="C3831" s="108"/>
      <c r="D3831" s="261"/>
      <c r="E3831" s="261"/>
    </row>
    <row r="3832" spans="2:5" x14ac:dyDescent="0.3">
      <c r="B3832" s="274"/>
      <c r="C3832" s="108"/>
      <c r="D3832" s="261"/>
      <c r="E3832" s="261"/>
    </row>
    <row r="3833" spans="2:5" x14ac:dyDescent="0.3">
      <c r="B3833" s="274"/>
      <c r="C3833" s="108"/>
      <c r="D3833" s="261"/>
      <c r="E3833" s="261"/>
    </row>
    <row r="3834" spans="2:5" x14ac:dyDescent="0.3">
      <c r="B3834" s="274"/>
      <c r="C3834" s="108"/>
      <c r="D3834" s="261"/>
      <c r="E3834" s="261"/>
    </row>
    <row r="3835" spans="2:5" x14ac:dyDescent="0.3">
      <c r="B3835" s="274"/>
      <c r="C3835" s="108"/>
      <c r="D3835" s="261"/>
      <c r="E3835" s="261"/>
    </row>
    <row r="3836" spans="2:5" x14ac:dyDescent="0.3">
      <c r="B3836" s="274"/>
      <c r="C3836" s="108"/>
      <c r="D3836" s="261"/>
      <c r="E3836" s="261"/>
    </row>
    <row r="3837" spans="2:5" x14ac:dyDescent="0.3">
      <c r="B3837" s="274"/>
      <c r="C3837" s="108"/>
      <c r="D3837" s="261"/>
      <c r="E3837" s="261"/>
    </row>
    <row r="3838" spans="2:5" x14ac:dyDescent="0.3">
      <c r="B3838" s="274"/>
      <c r="C3838" s="108"/>
      <c r="D3838" s="261"/>
      <c r="E3838" s="261"/>
    </row>
    <row r="3839" spans="2:5" x14ac:dyDescent="0.3">
      <c r="B3839" s="274"/>
      <c r="C3839" s="108"/>
      <c r="D3839" s="261"/>
      <c r="E3839" s="261"/>
    </row>
    <row r="3840" spans="2:5" x14ac:dyDescent="0.3">
      <c r="B3840" s="274"/>
      <c r="C3840" s="108"/>
      <c r="D3840" s="261"/>
      <c r="E3840" s="261"/>
    </row>
    <row r="3841" spans="2:5" x14ac:dyDescent="0.3">
      <c r="B3841" s="274"/>
      <c r="C3841" s="108"/>
      <c r="D3841" s="261"/>
      <c r="E3841" s="261"/>
    </row>
    <row r="3842" spans="2:5" x14ac:dyDescent="0.3">
      <c r="B3842" s="274"/>
      <c r="C3842" s="108"/>
      <c r="D3842" s="261"/>
      <c r="E3842" s="261"/>
    </row>
    <row r="3843" spans="2:5" x14ac:dyDescent="0.3">
      <c r="B3843" s="274"/>
      <c r="C3843" s="108"/>
      <c r="D3843" s="261"/>
      <c r="E3843" s="261"/>
    </row>
    <row r="3844" spans="2:5" x14ac:dyDescent="0.3">
      <c r="B3844" s="274"/>
      <c r="C3844" s="108"/>
      <c r="D3844" s="261"/>
      <c r="E3844" s="261"/>
    </row>
    <row r="3845" spans="2:5" x14ac:dyDescent="0.3">
      <c r="B3845" s="274"/>
      <c r="C3845" s="108"/>
      <c r="D3845" s="261"/>
      <c r="E3845" s="261"/>
    </row>
    <row r="3846" spans="2:5" x14ac:dyDescent="0.3">
      <c r="B3846" s="274"/>
      <c r="C3846" s="108"/>
      <c r="D3846" s="261"/>
      <c r="E3846" s="261"/>
    </row>
    <row r="3847" spans="2:5" x14ac:dyDescent="0.3">
      <c r="B3847" s="274"/>
      <c r="C3847" s="108"/>
      <c r="D3847" s="261"/>
      <c r="E3847" s="261"/>
    </row>
    <row r="3848" spans="2:5" x14ac:dyDescent="0.3">
      <c r="B3848" s="274"/>
      <c r="C3848" s="108"/>
      <c r="D3848" s="261"/>
      <c r="E3848" s="261"/>
    </row>
    <row r="3849" spans="2:5" x14ac:dyDescent="0.3">
      <c r="B3849" s="274"/>
      <c r="C3849" s="108"/>
      <c r="D3849" s="261"/>
      <c r="E3849" s="261"/>
    </row>
    <row r="3850" spans="2:5" x14ac:dyDescent="0.3">
      <c r="B3850" s="274"/>
      <c r="C3850" s="108"/>
      <c r="D3850" s="261"/>
      <c r="E3850" s="261"/>
    </row>
    <row r="3851" spans="2:5" x14ac:dyDescent="0.3">
      <c r="B3851" s="274"/>
      <c r="C3851" s="108"/>
      <c r="D3851" s="261"/>
      <c r="E3851" s="261"/>
    </row>
    <row r="3852" spans="2:5" x14ac:dyDescent="0.3">
      <c r="B3852" s="274"/>
      <c r="C3852" s="108"/>
      <c r="D3852" s="261"/>
      <c r="E3852" s="261"/>
    </row>
    <row r="3853" spans="2:5" x14ac:dyDescent="0.3">
      <c r="B3853" s="274"/>
      <c r="C3853" s="108"/>
      <c r="D3853" s="261"/>
      <c r="E3853" s="261"/>
    </row>
    <row r="3854" spans="2:5" x14ac:dyDescent="0.3">
      <c r="B3854" s="274"/>
      <c r="C3854" s="108"/>
      <c r="D3854" s="261"/>
      <c r="E3854" s="261"/>
    </row>
    <row r="3855" spans="2:5" x14ac:dyDescent="0.3">
      <c r="B3855" s="274"/>
      <c r="C3855" s="108"/>
      <c r="D3855" s="261"/>
      <c r="E3855" s="261"/>
    </row>
    <row r="3856" spans="2:5" x14ac:dyDescent="0.3">
      <c r="B3856" s="274"/>
      <c r="C3856" s="108"/>
      <c r="D3856" s="261"/>
      <c r="E3856" s="261"/>
    </row>
    <row r="3857" spans="2:5" x14ac:dyDescent="0.3">
      <c r="B3857" s="274"/>
      <c r="C3857" s="108"/>
      <c r="D3857" s="261"/>
      <c r="E3857" s="261"/>
    </row>
    <row r="3858" spans="2:5" x14ac:dyDescent="0.3">
      <c r="B3858" s="274"/>
      <c r="C3858" s="108"/>
      <c r="D3858" s="261"/>
      <c r="E3858" s="261"/>
    </row>
    <row r="3859" spans="2:5" x14ac:dyDescent="0.3">
      <c r="B3859" s="274"/>
      <c r="C3859" s="108"/>
      <c r="D3859" s="261"/>
      <c r="E3859" s="261"/>
    </row>
    <row r="3860" spans="2:5" x14ac:dyDescent="0.3">
      <c r="B3860" s="274"/>
      <c r="C3860" s="108"/>
      <c r="D3860" s="261"/>
      <c r="E3860" s="261"/>
    </row>
    <row r="3861" spans="2:5" x14ac:dyDescent="0.3">
      <c r="B3861" s="274"/>
      <c r="C3861" s="108"/>
      <c r="D3861" s="261"/>
      <c r="E3861" s="261"/>
    </row>
    <row r="3862" spans="2:5" x14ac:dyDescent="0.3">
      <c r="B3862" s="274"/>
      <c r="C3862" s="108"/>
      <c r="D3862" s="261"/>
      <c r="E3862" s="261"/>
    </row>
    <row r="3863" spans="2:5" x14ac:dyDescent="0.3">
      <c r="B3863" s="274"/>
      <c r="C3863" s="108"/>
      <c r="D3863" s="261"/>
      <c r="E3863" s="261"/>
    </row>
    <row r="3864" spans="2:5" x14ac:dyDescent="0.3">
      <c r="B3864" s="274"/>
      <c r="C3864" s="108"/>
      <c r="D3864" s="261"/>
      <c r="E3864" s="261"/>
    </row>
    <row r="3865" spans="2:5" x14ac:dyDescent="0.3">
      <c r="B3865" s="274"/>
      <c r="C3865" s="108"/>
      <c r="D3865" s="261"/>
      <c r="E3865" s="261"/>
    </row>
    <row r="3866" spans="2:5" x14ac:dyDescent="0.3">
      <c r="B3866" s="274"/>
      <c r="C3866" s="108"/>
      <c r="D3866" s="261"/>
      <c r="E3866" s="261"/>
    </row>
    <row r="3867" spans="2:5" x14ac:dyDescent="0.3">
      <c r="B3867" s="274"/>
      <c r="C3867" s="108"/>
      <c r="D3867" s="261"/>
      <c r="E3867" s="261"/>
    </row>
    <row r="3868" spans="2:5" x14ac:dyDescent="0.3">
      <c r="B3868" s="274"/>
      <c r="C3868" s="108"/>
      <c r="D3868" s="261"/>
      <c r="E3868" s="261"/>
    </row>
    <row r="3869" spans="2:5" x14ac:dyDescent="0.3">
      <c r="B3869" s="274"/>
      <c r="C3869" s="108"/>
      <c r="D3869" s="261"/>
      <c r="E3869" s="261"/>
    </row>
    <row r="3870" spans="2:5" x14ac:dyDescent="0.3">
      <c r="B3870" s="274"/>
      <c r="C3870" s="108"/>
      <c r="D3870" s="261"/>
      <c r="E3870" s="261"/>
    </row>
    <row r="3871" spans="2:5" x14ac:dyDescent="0.3">
      <c r="B3871" s="274"/>
      <c r="C3871" s="108"/>
      <c r="D3871" s="261"/>
      <c r="E3871" s="261"/>
    </row>
    <row r="3872" spans="2:5" x14ac:dyDescent="0.3">
      <c r="B3872" s="274"/>
      <c r="C3872" s="108"/>
      <c r="D3872" s="261"/>
      <c r="E3872" s="261"/>
    </row>
    <row r="3873" spans="2:5" x14ac:dyDescent="0.3">
      <c r="B3873" s="274"/>
      <c r="C3873" s="108"/>
      <c r="D3873" s="261"/>
      <c r="E3873" s="261"/>
    </row>
    <row r="3874" spans="2:5" x14ac:dyDescent="0.3">
      <c r="B3874" s="274"/>
      <c r="C3874" s="108"/>
      <c r="D3874" s="261"/>
      <c r="E3874" s="261"/>
    </row>
    <row r="3875" spans="2:5" x14ac:dyDescent="0.3">
      <c r="B3875" s="274"/>
      <c r="C3875" s="108"/>
      <c r="D3875" s="261"/>
      <c r="E3875" s="261"/>
    </row>
    <row r="3876" spans="2:5" x14ac:dyDescent="0.3">
      <c r="B3876" s="274"/>
      <c r="C3876" s="108"/>
      <c r="D3876" s="261"/>
      <c r="E3876" s="261"/>
    </row>
    <row r="3877" spans="2:5" x14ac:dyDescent="0.3">
      <c r="B3877" s="274"/>
      <c r="C3877" s="108"/>
      <c r="D3877" s="261"/>
      <c r="E3877" s="261"/>
    </row>
    <row r="3878" spans="2:5" x14ac:dyDescent="0.3">
      <c r="B3878" s="274"/>
      <c r="C3878" s="108"/>
      <c r="D3878" s="261"/>
      <c r="E3878" s="261"/>
    </row>
    <row r="3879" spans="2:5" x14ac:dyDescent="0.3">
      <c r="B3879" s="274"/>
      <c r="C3879" s="108"/>
      <c r="D3879" s="261"/>
      <c r="E3879" s="261"/>
    </row>
    <row r="3880" spans="2:5" x14ac:dyDescent="0.3">
      <c r="B3880" s="274"/>
      <c r="C3880" s="108"/>
      <c r="D3880" s="261"/>
      <c r="E3880" s="261"/>
    </row>
    <row r="3881" spans="2:5" x14ac:dyDescent="0.3">
      <c r="B3881" s="274"/>
      <c r="C3881" s="108"/>
      <c r="D3881" s="261"/>
      <c r="E3881" s="261"/>
    </row>
    <row r="3882" spans="2:5" x14ac:dyDescent="0.3">
      <c r="B3882" s="274"/>
      <c r="C3882" s="108"/>
      <c r="D3882" s="261"/>
      <c r="E3882" s="261"/>
    </row>
    <row r="3883" spans="2:5" x14ac:dyDescent="0.3">
      <c r="B3883" s="274"/>
      <c r="C3883" s="108"/>
      <c r="D3883" s="261"/>
      <c r="E3883" s="261"/>
    </row>
    <row r="3884" spans="2:5" x14ac:dyDescent="0.3">
      <c r="B3884" s="274"/>
      <c r="C3884" s="108"/>
      <c r="D3884" s="261"/>
      <c r="E3884" s="261"/>
    </row>
    <row r="3885" spans="2:5" x14ac:dyDescent="0.3">
      <c r="B3885" s="274"/>
      <c r="C3885" s="108"/>
      <c r="D3885" s="261"/>
      <c r="E3885" s="261"/>
    </row>
    <row r="3886" spans="2:5" x14ac:dyDescent="0.3">
      <c r="B3886" s="274"/>
      <c r="C3886" s="108"/>
      <c r="D3886" s="261"/>
      <c r="E3886" s="261"/>
    </row>
    <row r="3887" spans="2:5" x14ac:dyDescent="0.3">
      <c r="B3887" s="274"/>
      <c r="C3887" s="108"/>
      <c r="D3887" s="261"/>
      <c r="E3887" s="261"/>
    </row>
    <row r="3888" spans="2:5" x14ac:dyDescent="0.3">
      <c r="B3888" s="274"/>
      <c r="C3888" s="108"/>
      <c r="D3888" s="261"/>
      <c r="E3888" s="261"/>
    </row>
    <row r="3889" spans="2:5" x14ac:dyDescent="0.3">
      <c r="B3889" s="274"/>
      <c r="C3889" s="108"/>
      <c r="D3889" s="261"/>
      <c r="E3889" s="261"/>
    </row>
    <row r="3890" spans="2:5" x14ac:dyDescent="0.3">
      <c r="B3890" s="274"/>
      <c r="C3890" s="108"/>
      <c r="D3890" s="261"/>
      <c r="E3890" s="261"/>
    </row>
    <row r="3891" spans="2:5" x14ac:dyDescent="0.3">
      <c r="B3891" s="274"/>
      <c r="C3891" s="108"/>
      <c r="D3891" s="261"/>
      <c r="E3891" s="261"/>
    </row>
    <row r="3892" spans="2:5" x14ac:dyDescent="0.3">
      <c r="B3892" s="274"/>
      <c r="C3892" s="108"/>
      <c r="D3892" s="261"/>
      <c r="E3892" s="261"/>
    </row>
    <row r="3893" spans="2:5" x14ac:dyDescent="0.3">
      <c r="B3893" s="274"/>
      <c r="C3893" s="108"/>
      <c r="D3893" s="261"/>
      <c r="E3893" s="261"/>
    </row>
    <row r="3894" spans="2:5" x14ac:dyDescent="0.3">
      <c r="B3894" s="274"/>
      <c r="C3894" s="108"/>
      <c r="D3894" s="261"/>
      <c r="E3894" s="261"/>
    </row>
    <row r="3895" spans="2:5" x14ac:dyDescent="0.3">
      <c r="B3895" s="274"/>
      <c r="C3895" s="108"/>
      <c r="D3895" s="261"/>
      <c r="E3895" s="261"/>
    </row>
    <row r="3896" spans="2:5" x14ac:dyDescent="0.3">
      <c r="B3896" s="274"/>
      <c r="C3896" s="108"/>
      <c r="D3896" s="261"/>
      <c r="E3896" s="261"/>
    </row>
    <row r="3897" spans="2:5" x14ac:dyDescent="0.3">
      <c r="B3897" s="274"/>
      <c r="C3897" s="108"/>
      <c r="D3897" s="261"/>
      <c r="E3897" s="261"/>
    </row>
    <row r="3898" spans="2:5" x14ac:dyDescent="0.3">
      <c r="B3898" s="274"/>
      <c r="C3898" s="108"/>
      <c r="D3898" s="261"/>
      <c r="E3898" s="261"/>
    </row>
    <row r="3899" spans="2:5" x14ac:dyDescent="0.3">
      <c r="B3899" s="274"/>
      <c r="C3899" s="108"/>
      <c r="D3899" s="261"/>
      <c r="E3899" s="261"/>
    </row>
    <row r="3900" spans="2:5" x14ac:dyDescent="0.3">
      <c r="B3900" s="274"/>
      <c r="C3900" s="108"/>
      <c r="D3900" s="261"/>
      <c r="E3900" s="261"/>
    </row>
    <row r="3901" spans="2:5" x14ac:dyDescent="0.3">
      <c r="B3901" s="274"/>
      <c r="C3901" s="108"/>
      <c r="D3901" s="261"/>
      <c r="E3901" s="261"/>
    </row>
    <row r="3902" spans="2:5" x14ac:dyDescent="0.3">
      <c r="B3902" s="274"/>
      <c r="C3902" s="108"/>
      <c r="D3902" s="261"/>
      <c r="E3902" s="261"/>
    </row>
    <row r="3903" spans="2:5" x14ac:dyDescent="0.3">
      <c r="B3903" s="274"/>
      <c r="C3903" s="108"/>
      <c r="D3903" s="261"/>
      <c r="E3903" s="261"/>
    </row>
    <row r="3904" spans="2:5" x14ac:dyDescent="0.3">
      <c r="B3904" s="274"/>
      <c r="C3904" s="108"/>
      <c r="D3904" s="261"/>
      <c r="E3904" s="261"/>
    </row>
    <row r="3905" spans="2:5" x14ac:dyDescent="0.3">
      <c r="B3905" s="274"/>
      <c r="C3905" s="108"/>
      <c r="D3905" s="261"/>
      <c r="E3905" s="261"/>
    </row>
    <row r="3906" spans="2:5" x14ac:dyDescent="0.3">
      <c r="B3906" s="274"/>
      <c r="C3906" s="108"/>
      <c r="D3906" s="261"/>
      <c r="E3906" s="261"/>
    </row>
    <row r="3907" spans="2:5" x14ac:dyDescent="0.3">
      <c r="B3907" s="274"/>
      <c r="C3907" s="108"/>
      <c r="D3907" s="261"/>
      <c r="E3907" s="261"/>
    </row>
    <row r="3908" spans="2:5" x14ac:dyDescent="0.3">
      <c r="B3908" s="274"/>
      <c r="C3908" s="108"/>
      <c r="D3908" s="261"/>
      <c r="E3908" s="261"/>
    </row>
    <row r="3909" spans="2:5" x14ac:dyDescent="0.3">
      <c r="B3909" s="274"/>
      <c r="C3909" s="108"/>
      <c r="D3909" s="261"/>
      <c r="E3909" s="261"/>
    </row>
    <row r="3910" spans="2:5" x14ac:dyDescent="0.3">
      <c r="B3910" s="274"/>
      <c r="C3910" s="108"/>
      <c r="D3910" s="261"/>
      <c r="E3910" s="261"/>
    </row>
    <row r="3911" spans="2:5" x14ac:dyDescent="0.3">
      <c r="B3911" s="274"/>
      <c r="C3911" s="108"/>
      <c r="D3911" s="261"/>
      <c r="E3911" s="261"/>
    </row>
    <row r="3912" spans="2:5" x14ac:dyDescent="0.3">
      <c r="B3912" s="274"/>
      <c r="C3912" s="108"/>
      <c r="D3912" s="261"/>
      <c r="E3912" s="261"/>
    </row>
    <row r="3913" spans="2:5" x14ac:dyDescent="0.3">
      <c r="B3913" s="274"/>
      <c r="C3913" s="108"/>
      <c r="D3913" s="261"/>
      <c r="E3913" s="261"/>
    </row>
    <row r="3914" spans="2:5" x14ac:dyDescent="0.3">
      <c r="B3914" s="274"/>
      <c r="C3914" s="108"/>
      <c r="D3914" s="261"/>
      <c r="E3914" s="261"/>
    </row>
    <row r="3915" spans="2:5" x14ac:dyDescent="0.3">
      <c r="B3915" s="274"/>
      <c r="C3915" s="108"/>
      <c r="D3915" s="261"/>
      <c r="E3915" s="261"/>
    </row>
    <row r="3916" spans="2:5" x14ac:dyDescent="0.3">
      <c r="B3916" s="274"/>
      <c r="C3916" s="108"/>
      <c r="D3916" s="261"/>
      <c r="E3916" s="261"/>
    </row>
    <row r="3917" spans="2:5" x14ac:dyDescent="0.3">
      <c r="B3917" s="274"/>
      <c r="C3917" s="108"/>
      <c r="D3917" s="261"/>
      <c r="E3917" s="261"/>
    </row>
    <row r="3918" spans="2:5" x14ac:dyDescent="0.3">
      <c r="B3918" s="274"/>
      <c r="C3918" s="108"/>
      <c r="D3918" s="261"/>
      <c r="E3918" s="261"/>
    </row>
    <row r="3919" spans="2:5" x14ac:dyDescent="0.3">
      <c r="B3919" s="274"/>
      <c r="C3919" s="108"/>
      <c r="D3919" s="261"/>
      <c r="E3919" s="261"/>
    </row>
    <row r="3920" spans="2:5" x14ac:dyDescent="0.3">
      <c r="B3920" s="274"/>
      <c r="C3920" s="108"/>
      <c r="D3920" s="261"/>
      <c r="E3920" s="261"/>
    </row>
    <row r="3921" spans="2:5" x14ac:dyDescent="0.3">
      <c r="B3921" s="274"/>
      <c r="C3921" s="108"/>
      <c r="D3921" s="261"/>
      <c r="E3921" s="261"/>
    </row>
    <row r="3922" spans="2:5" x14ac:dyDescent="0.3">
      <c r="B3922" s="274"/>
      <c r="C3922" s="108"/>
      <c r="D3922" s="261"/>
      <c r="E3922" s="261"/>
    </row>
    <row r="3923" spans="2:5" x14ac:dyDescent="0.3">
      <c r="B3923" s="274"/>
      <c r="C3923" s="108"/>
      <c r="D3923" s="261"/>
      <c r="E3923" s="261"/>
    </row>
    <row r="3924" spans="2:5" x14ac:dyDescent="0.3">
      <c r="B3924" s="274"/>
      <c r="C3924" s="108"/>
      <c r="D3924" s="261"/>
      <c r="E3924" s="261"/>
    </row>
    <row r="3925" spans="2:5" x14ac:dyDescent="0.3">
      <c r="B3925" s="274"/>
      <c r="C3925" s="108"/>
      <c r="D3925" s="261"/>
      <c r="E3925" s="261"/>
    </row>
    <row r="3926" spans="2:5" x14ac:dyDescent="0.3">
      <c r="B3926" s="274"/>
      <c r="C3926" s="108"/>
      <c r="D3926" s="261"/>
      <c r="E3926" s="261"/>
    </row>
    <row r="3927" spans="2:5" x14ac:dyDescent="0.3">
      <c r="B3927" s="274"/>
      <c r="C3927" s="108"/>
      <c r="D3927" s="261"/>
      <c r="E3927" s="261"/>
    </row>
    <row r="3928" spans="2:5" x14ac:dyDescent="0.3">
      <c r="B3928" s="274"/>
      <c r="C3928" s="108"/>
      <c r="D3928" s="261"/>
      <c r="E3928" s="261"/>
    </row>
    <row r="3929" spans="2:5" x14ac:dyDescent="0.3">
      <c r="B3929" s="274"/>
      <c r="C3929" s="108"/>
      <c r="D3929" s="261"/>
      <c r="E3929" s="261"/>
    </row>
    <row r="3930" spans="2:5" x14ac:dyDescent="0.3">
      <c r="B3930" s="274"/>
      <c r="C3930" s="108"/>
      <c r="D3930" s="261"/>
      <c r="E3930" s="261"/>
    </row>
    <row r="3931" spans="2:5" x14ac:dyDescent="0.3">
      <c r="B3931" s="274"/>
      <c r="C3931" s="108"/>
      <c r="D3931" s="261"/>
      <c r="E3931" s="261"/>
    </row>
    <row r="3932" spans="2:5" x14ac:dyDescent="0.3">
      <c r="B3932" s="274"/>
      <c r="C3932" s="108"/>
      <c r="D3932" s="261"/>
      <c r="E3932" s="261"/>
    </row>
    <row r="3933" spans="2:5" x14ac:dyDescent="0.3">
      <c r="B3933" s="274"/>
      <c r="C3933" s="108"/>
      <c r="D3933" s="261"/>
      <c r="E3933" s="261"/>
    </row>
    <row r="3934" spans="2:5" x14ac:dyDescent="0.3">
      <c r="B3934" s="274"/>
      <c r="C3934" s="108"/>
      <c r="D3934" s="261"/>
      <c r="E3934" s="261"/>
    </row>
    <row r="3935" spans="2:5" x14ac:dyDescent="0.3">
      <c r="B3935" s="274"/>
      <c r="C3935" s="108"/>
      <c r="D3935" s="261"/>
      <c r="E3935" s="261"/>
    </row>
    <row r="3936" spans="2:5" x14ac:dyDescent="0.3">
      <c r="B3936" s="274"/>
      <c r="C3936" s="108"/>
      <c r="D3936" s="261"/>
      <c r="E3936" s="261"/>
    </row>
    <row r="3937" spans="2:5" x14ac:dyDescent="0.3">
      <c r="B3937" s="274"/>
      <c r="C3937" s="108"/>
      <c r="D3937" s="261"/>
      <c r="E3937" s="261"/>
    </row>
    <row r="3938" spans="2:5" x14ac:dyDescent="0.3">
      <c r="B3938" s="274"/>
      <c r="C3938" s="108"/>
      <c r="D3938" s="261"/>
      <c r="E3938" s="261"/>
    </row>
    <row r="3939" spans="2:5" x14ac:dyDescent="0.3">
      <c r="B3939" s="274"/>
      <c r="C3939" s="108"/>
      <c r="D3939" s="261"/>
      <c r="E3939" s="261"/>
    </row>
    <row r="3940" spans="2:5" x14ac:dyDescent="0.3">
      <c r="B3940" s="274"/>
      <c r="C3940" s="108"/>
      <c r="D3940" s="261"/>
      <c r="E3940" s="261"/>
    </row>
    <row r="3941" spans="2:5" x14ac:dyDescent="0.3">
      <c r="B3941" s="274"/>
      <c r="C3941" s="108"/>
      <c r="D3941" s="261"/>
      <c r="E3941" s="261"/>
    </row>
    <row r="3942" spans="2:5" x14ac:dyDescent="0.3">
      <c r="B3942" s="274"/>
      <c r="C3942" s="108"/>
      <c r="D3942" s="261"/>
      <c r="E3942" s="261"/>
    </row>
    <row r="3943" spans="2:5" x14ac:dyDescent="0.3">
      <c r="B3943" s="274"/>
      <c r="C3943" s="108"/>
      <c r="D3943" s="261"/>
      <c r="E3943" s="261"/>
    </row>
    <row r="3944" spans="2:5" x14ac:dyDescent="0.3">
      <c r="B3944" s="274"/>
      <c r="C3944" s="108"/>
      <c r="D3944" s="261"/>
      <c r="E3944" s="261"/>
    </row>
    <row r="3945" spans="2:5" x14ac:dyDescent="0.3">
      <c r="B3945" s="274"/>
      <c r="C3945" s="108"/>
      <c r="D3945" s="261"/>
      <c r="E3945" s="261"/>
    </row>
    <row r="3946" spans="2:5" x14ac:dyDescent="0.3">
      <c r="B3946" s="274"/>
      <c r="C3946" s="108"/>
      <c r="D3946" s="261"/>
      <c r="E3946" s="261"/>
    </row>
    <row r="3947" spans="2:5" x14ac:dyDescent="0.3">
      <c r="B3947" s="274"/>
      <c r="C3947" s="108"/>
      <c r="D3947" s="261"/>
      <c r="E3947" s="261"/>
    </row>
    <row r="3948" spans="2:5" x14ac:dyDescent="0.3">
      <c r="B3948" s="274"/>
      <c r="C3948" s="108"/>
      <c r="D3948" s="261"/>
      <c r="E3948" s="261"/>
    </row>
    <row r="3949" spans="2:5" x14ac:dyDescent="0.3">
      <c r="B3949" s="274"/>
      <c r="C3949" s="108"/>
      <c r="D3949" s="261"/>
      <c r="E3949" s="261"/>
    </row>
    <row r="3950" spans="2:5" x14ac:dyDescent="0.3">
      <c r="B3950" s="274"/>
      <c r="C3950" s="108"/>
      <c r="D3950" s="261"/>
      <c r="E3950" s="261"/>
    </row>
    <row r="3951" spans="2:5" x14ac:dyDescent="0.3">
      <c r="B3951" s="274"/>
      <c r="C3951" s="108"/>
      <c r="D3951" s="261"/>
      <c r="E3951" s="261"/>
    </row>
    <row r="3952" spans="2:5" x14ac:dyDescent="0.3">
      <c r="B3952" s="274"/>
      <c r="C3952" s="108"/>
      <c r="D3952" s="261"/>
      <c r="E3952" s="261"/>
    </row>
    <row r="3953" spans="2:5" x14ac:dyDescent="0.3">
      <c r="B3953" s="274"/>
      <c r="C3953" s="108"/>
      <c r="D3953" s="261"/>
      <c r="E3953" s="261"/>
    </row>
    <row r="3954" spans="2:5" x14ac:dyDescent="0.3">
      <c r="B3954" s="274"/>
      <c r="C3954" s="108"/>
      <c r="D3954" s="261"/>
      <c r="E3954" s="261"/>
    </row>
    <row r="3955" spans="2:5" x14ac:dyDescent="0.3">
      <c r="B3955" s="274"/>
      <c r="C3955" s="108"/>
      <c r="D3955" s="261"/>
      <c r="E3955" s="261"/>
    </row>
    <row r="3956" spans="2:5" x14ac:dyDescent="0.3">
      <c r="B3956" s="274"/>
      <c r="C3956" s="108"/>
      <c r="D3956" s="261"/>
      <c r="E3956" s="261"/>
    </row>
    <row r="3957" spans="2:5" x14ac:dyDescent="0.3">
      <c r="B3957" s="274"/>
      <c r="C3957" s="108"/>
      <c r="D3957" s="261"/>
      <c r="E3957" s="261"/>
    </row>
    <row r="3958" spans="2:5" x14ac:dyDescent="0.3">
      <c r="B3958" s="274"/>
      <c r="C3958" s="108"/>
      <c r="D3958" s="261"/>
      <c r="E3958" s="261"/>
    </row>
    <row r="3959" spans="2:5" x14ac:dyDescent="0.3">
      <c r="B3959" s="274"/>
      <c r="C3959" s="108"/>
      <c r="D3959" s="261"/>
      <c r="E3959" s="261"/>
    </row>
    <row r="3960" spans="2:5" x14ac:dyDescent="0.3">
      <c r="B3960" s="274"/>
      <c r="C3960" s="108"/>
      <c r="D3960" s="261"/>
      <c r="E3960" s="261"/>
    </row>
    <row r="3961" spans="2:5" x14ac:dyDescent="0.3">
      <c r="B3961" s="274"/>
      <c r="C3961" s="108"/>
      <c r="D3961" s="261"/>
      <c r="E3961" s="261"/>
    </row>
    <row r="3962" spans="2:5" x14ac:dyDescent="0.3">
      <c r="B3962" s="274"/>
      <c r="C3962" s="108"/>
      <c r="D3962" s="261"/>
      <c r="E3962" s="261"/>
    </row>
    <row r="3963" spans="2:5" x14ac:dyDescent="0.3">
      <c r="B3963" s="274"/>
      <c r="C3963" s="108"/>
      <c r="D3963" s="261"/>
      <c r="E3963" s="261"/>
    </row>
    <row r="3964" spans="2:5" x14ac:dyDescent="0.3">
      <c r="B3964" s="274"/>
      <c r="C3964" s="108"/>
      <c r="D3964" s="261"/>
      <c r="E3964" s="261"/>
    </row>
    <row r="3965" spans="2:5" x14ac:dyDescent="0.3">
      <c r="B3965" s="274"/>
      <c r="C3965" s="108"/>
      <c r="D3965" s="261"/>
      <c r="E3965" s="261"/>
    </row>
    <row r="3966" spans="2:5" x14ac:dyDescent="0.3">
      <c r="B3966" s="274"/>
      <c r="C3966" s="108"/>
      <c r="D3966" s="261"/>
      <c r="E3966" s="261"/>
    </row>
    <row r="3967" spans="2:5" x14ac:dyDescent="0.3">
      <c r="B3967" s="274"/>
      <c r="C3967" s="108"/>
      <c r="D3967" s="261"/>
      <c r="E3967" s="261"/>
    </row>
    <row r="3968" spans="2:5" x14ac:dyDescent="0.3">
      <c r="B3968" s="274"/>
      <c r="C3968" s="108"/>
      <c r="D3968" s="261"/>
      <c r="E3968" s="261"/>
    </row>
    <row r="3969" spans="2:5" x14ac:dyDescent="0.3">
      <c r="B3969" s="274"/>
      <c r="C3969" s="108"/>
      <c r="D3969" s="261"/>
      <c r="E3969" s="261"/>
    </row>
    <row r="3970" spans="2:5" x14ac:dyDescent="0.3">
      <c r="B3970" s="274"/>
      <c r="C3970" s="108"/>
      <c r="D3970" s="261"/>
      <c r="E3970" s="261"/>
    </row>
    <row r="3971" spans="2:5" x14ac:dyDescent="0.3">
      <c r="B3971" s="274"/>
      <c r="C3971" s="108"/>
      <c r="D3971" s="261"/>
      <c r="E3971" s="261"/>
    </row>
    <row r="3972" spans="2:5" x14ac:dyDescent="0.3">
      <c r="B3972" s="274"/>
      <c r="C3972" s="108"/>
      <c r="D3972" s="261"/>
      <c r="E3972" s="261"/>
    </row>
    <row r="3973" spans="2:5" x14ac:dyDescent="0.3">
      <c r="B3973" s="274"/>
      <c r="C3973" s="108"/>
      <c r="D3973" s="261"/>
      <c r="E3973" s="261"/>
    </row>
    <row r="3974" spans="2:5" x14ac:dyDescent="0.3">
      <c r="B3974" s="274"/>
      <c r="C3974" s="108"/>
      <c r="D3974" s="261"/>
      <c r="E3974" s="261"/>
    </row>
    <row r="3975" spans="2:5" x14ac:dyDescent="0.3">
      <c r="B3975" s="274"/>
      <c r="C3975" s="108"/>
      <c r="D3975" s="261"/>
      <c r="E3975" s="261"/>
    </row>
    <row r="3976" spans="2:5" x14ac:dyDescent="0.3">
      <c r="B3976" s="274"/>
      <c r="C3976" s="108"/>
      <c r="D3976" s="261"/>
      <c r="E3976" s="261"/>
    </row>
    <row r="3977" spans="2:5" x14ac:dyDescent="0.3">
      <c r="B3977" s="274"/>
      <c r="C3977" s="108"/>
      <c r="D3977" s="261"/>
      <c r="E3977" s="261"/>
    </row>
    <row r="3978" spans="2:5" x14ac:dyDescent="0.3">
      <c r="B3978" s="274"/>
      <c r="C3978" s="108"/>
      <c r="D3978" s="261"/>
      <c r="E3978" s="261"/>
    </row>
    <row r="3979" spans="2:5" x14ac:dyDescent="0.3">
      <c r="B3979" s="274"/>
      <c r="C3979" s="108"/>
      <c r="D3979" s="261"/>
      <c r="E3979" s="261"/>
    </row>
    <row r="3980" spans="2:5" x14ac:dyDescent="0.3">
      <c r="B3980" s="274"/>
      <c r="C3980" s="108"/>
      <c r="D3980" s="261"/>
      <c r="E3980" s="261"/>
    </row>
    <row r="3981" spans="2:5" x14ac:dyDescent="0.3">
      <c r="B3981" s="274"/>
      <c r="C3981" s="108"/>
      <c r="D3981" s="261"/>
      <c r="E3981" s="261"/>
    </row>
    <row r="3982" spans="2:5" x14ac:dyDescent="0.3">
      <c r="B3982" s="274"/>
      <c r="C3982" s="108"/>
      <c r="D3982" s="261"/>
      <c r="E3982" s="261"/>
    </row>
    <row r="3983" spans="2:5" x14ac:dyDescent="0.3">
      <c r="B3983" s="274"/>
      <c r="C3983" s="108"/>
      <c r="D3983" s="261"/>
      <c r="E3983" s="261"/>
    </row>
    <row r="3984" spans="2:5" x14ac:dyDescent="0.3">
      <c r="B3984" s="274"/>
      <c r="C3984" s="108"/>
      <c r="D3984" s="261"/>
      <c r="E3984" s="261"/>
    </row>
    <row r="3985" spans="2:5" x14ac:dyDescent="0.3">
      <c r="B3985" s="274"/>
      <c r="C3985" s="108"/>
      <c r="D3985" s="261"/>
      <c r="E3985" s="261"/>
    </row>
    <row r="3986" spans="2:5" x14ac:dyDescent="0.3">
      <c r="B3986" s="274"/>
      <c r="C3986" s="108"/>
      <c r="D3986" s="261"/>
      <c r="E3986" s="261"/>
    </row>
    <row r="3987" spans="2:5" x14ac:dyDescent="0.3">
      <c r="B3987" s="274"/>
      <c r="C3987" s="108"/>
      <c r="D3987" s="261"/>
      <c r="E3987" s="261"/>
    </row>
    <row r="3988" spans="2:5" x14ac:dyDescent="0.3">
      <c r="B3988" s="274"/>
      <c r="C3988" s="108"/>
      <c r="D3988" s="261"/>
      <c r="E3988" s="261"/>
    </row>
    <row r="3989" spans="2:5" x14ac:dyDescent="0.3">
      <c r="B3989" s="274"/>
      <c r="C3989" s="108"/>
      <c r="D3989" s="261"/>
      <c r="E3989" s="261"/>
    </row>
    <row r="3990" spans="2:5" x14ac:dyDescent="0.3">
      <c r="B3990" s="274"/>
      <c r="C3990" s="108"/>
      <c r="D3990" s="261"/>
      <c r="E3990" s="261"/>
    </row>
    <row r="3991" spans="2:5" x14ac:dyDescent="0.3">
      <c r="B3991" s="274"/>
      <c r="C3991" s="108"/>
      <c r="D3991" s="261"/>
      <c r="E3991" s="261"/>
    </row>
    <row r="3992" spans="2:5" x14ac:dyDescent="0.3">
      <c r="B3992" s="274"/>
      <c r="C3992" s="108"/>
      <c r="D3992" s="261"/>
      <c r="E3992" s="261"/>
    </row>
    <row r="3993" spans="2:5" x14ac:dyDescent="0.3">
      <c r="B3993" s="274"/>
      <c r="C3993" s="108"/>
      <c r="D3993" s="261"/>
      <c r="E3993" s="261"/>
    </row>
    <row r="3994" spans="2:5" x14ac:dyDescent="0.3">
      <c r="B3994" s="274"/>
      <c r="C3994" s="108"/>
      <c r="D3994" s="261"/>
      <c r="E3994" s="261"/>
    </row>
    <row r="3995" spans="2:5" x14ac:dyDescent="0.3">
      <c r="B3995" s="274"/>
      <c r="C3995" s="108"/>
      <c r="D3995" s="261"/>
      <c r="E3995" s="261"/>
    </row>
    <row r="3996" spans="2:5" x14ac:dyDescent="0.3">
      <c r="B3996" s="274"/>
      <c r="C3996" s="108"/>
      <c r="D3996" s="261"/>
      <c r="E3996" s="261"/>
    </row>
    <row r="3997" spans="2:5" x14ac:dyDescent="0.3">
      <c r="B3997" s="274"/>
      <c r="C3997" s="108"/>
      <c r="D3997" s="261"/>
      <c r="E3997" s="261"/>
    </row>
    <row r="3998" spans="2:5" x14ac:dyDescent="0.3">
      <c r="B3998" s="274"/>
      <c r="C3998" s="108"/>
      <c r="D3998" s="261"/>
      <c r="E3998" s="261"/>
    </row>
    <row r="3999" spans="2:5" x14ac:dyDescent="0.3">
      <c r="B3999" s="274"/>
      <c r="C3999" s="108"/>
      <c r="D3999" s="261"/>
      <c r="E3999" s="261"/>
    </row>
    <row r="4000" spans="2:5" x14ac:dyDescent="0.3">
      <c r="B4000" s="274"/>
      <c r="C4000" s="108"/>
      <c r="D4000" s="261"/>
      <c r="E4000" s="261"/>
    </row>
    <row r="4001" spans="2:5" x14ac:dyDescent="0.3">
      <c r="B4001" s="274"/>
      <c r="C4001" s="108"/>
      <c r="D4001" s="261"/>
      <c r="E4001" s="261"/>
    </row>
    <row r="4002" spans="2:5" x14ac:dyDescent="0.3">
      <c r="B4002" s="274"/>
      <c r="C4002" s="108"/>
      <c r="D4002" s="261"/>
      <c r="E4002" s="261"/>
    </row>
    <row r="4003" spans="2:5" x14ac:dyDescent="0.3">
      <c r="B4003" s="274"/>
      <c r="C4003" s="108"/>
      <c r="D4003" s="261"/>
      <c r="E4003" s="261"/>
    </row>
    <row r="4004" spans="2:5" x14ac:dyDescent="0.3">
      <c r="B4004" s="274"/>
      <c r="C4004" s="108"/>
      <c r="D4004" s="261"/>
      <c r="E4004" s="261"/>
    </row>
    <row r="4005" spans="2:5" x14ac:dyDescent="0.3">
      <c r="B4005" s="274"/>
      <c r="C4005" s="108"/>
      <c r="D4005" s="261"/>
      <c r="E4005" s="261"/>
    </row>
    <row r="4006" spans="2:5" x14ac:dyDescent="0.3">
      <c r="B4006" s="274"/>
      <c r="C4006" s="108"/>
      <c r="D4006" s="261"/>
      <c r="E4006" s="261"/>
    </row>
    <row r="4007" spans="2:5" x14ac:dyDescent="0.3">
      <c r="B4007" s="274"/>
      <c r="C4007" s="108"/>
      <c r="D4007" s="261"/>
      <c r="E4007" s="261"/>
    </row>
    <row r="4008" spans="2:5" x14ac:dyDescent="0.3">
      <c r="B4008" s="274"/>
      <c r="C4008" s="108"/>
      <c r="D4008" s="261"/>
      <c r="E4008" s="261"/>
    </row>
    <row r="4009" spans="2:5" x14ac:dyDescent="0.3">
      <c r="B4009" s="274"/>
      <c r="C4009" s="108"/>
      <c r="D4009" s="261"/>
      <c r="E4009" s="261"/>
    </row>
    <row r="4010" spans="2:5" x14ac:dyDescent="0.3">
      <c r="B4010" s="274"/>
      <c r="C4010" s="108"/>
      <c r="D4010" s="261"/>
      <c r="E4010" s="261"/>
    </row>
    <row r="4011" spans="2:5" x14ac:dyDescent="0.3">
      <c r="B4011" s="274"/>
      <c r="C4011" s="108"/>
      <c r="D4011" s="261"/>
      <c r="E4011" s="261"/>
    </row>
    <row r="4012" spans="2:5" x14ac:dyDescent="0.3">
      <c r="B4012" s="274"/>
      <c r="C4012" s="108"/>
      <c r="D4012" s="261"/>
      <c r="E4012" s="261"/>
    </row>
    <row r="4013" spans="2:5" x14ac:dyDescent="0.3">
      <c r="B4013" s="274"/>
      <c r="C4013" s="108"/>
      <c r="D4013" s="261"/>
      <c r="E4013" s="261"/>
    </row>
    <row r="4014" spans="2:5" x14ac:dyDescent="0.3">
      <c r="B4014" s="274"/>
      <c r="C4014" s="108"/>
      <c r="D4014" s="261"/>
      <c r="E4014" s="261"/>
    </row>
    <row r="4015" spans="2:5" x14ac:dyDescent="0.3">
      <c r="B4015" s="274"/>
      <c r="C4015" s="108"/>
      <c r="D4015" s="261"/>
      <c r="E4015" s="261"/>
    </row>
    <row r="4016" spans="2:5" x14ac:dyDescent="0.3">
      <c r="B4016" s="274"/>
      <c r="C4016" s="108"/>
      <c r="D4016" s="261"/>
      <c r="E4016" s="261"/>
    </row>
    <row r="4017" spans="2:5" x14ac:dyDescent="0.3">
      <c r="B4017" s="274"/>
      <c r="C4017" s="108"/>
      <c r="D4017" s="261"/>
      <c r="E4017" s="261"/>
    </row>
    <row r="4018" spans="2:5" x14ac:dyDescent="0.3">
      <c r="B4018" s="274"/>
      <c r="C4018" s="108"/>
      <c r="D4018" s="261"/>
      <c r="E4018" s="261"/>
    </row>
    <row r="4019" spans="2:5" x14ac:dyDescent="0.3">
      <c r="B4019" s="274"/>
      <c r="C4019" s="108"/>
      <c r="D4019" s="261"/>
      <c r="E4019" s="261"/>
    </row>
    <row r="4020" spans="2:5" x14ac:dyDescent="0.3">
      <c r="B4020" s="274"/>
      <c r="C4020" s="108"/>
      <c r="D4020" s="261"/>
      <c r="E4020" s="261"/>
    </row>
    <row r="4021" spans="2:5" x14ac:dyDescent="0.3">
      <c r="B4021" s="274"/>
      <c r="C4021" s="108"/>
      <c r="D4021" s="261"/>
      <c r="E4021" s="261"/>
    </row>
    <row r="4022" spans="2:5" x14ac:dyDescent="0.3">
      <c r="B4022" s="274"/>
      <c r="C4022" s="108"/>
      <c r="D4022" s="261"/>
      <c r="E4022" s="261"/>
    </row>
    <row r="4023" spans="2:5" x14ac:dyDescent="0.3">
      <c r="B4023" s="274"/>
      <c r="C4023" s="108"/>
      <c r="D4023" s="261"/>
      <c r="E4023" s="261"/>
    </row>
    <row r="4024" spans="2:5" x14ac:dyDescent="0.3">
      <c r="B4024" s="274"/>
      <c r="C4024" s="108"/>
      <c r="D4024" s="261"/>
      <c r="E4024" s="261"/>
    </row>
    <row r="4025" spans="2:5" x14ac:dyDescent="0.3">
      <c r="B4025" s="274"/>
      <c r="C4025" s="108"/>
      <c r="D4025" s="261"/>
      <c r="E4025" s="261"/>
    </row>
    <row r="4026" spans="2:5" x14ac:dyDescent="0.3">
      <c r="B4026" s="274"/>
      <c r="C4026" s="108"/>
      <c r="D4026" s="261"/>
      <c r="E4026" s="261"/>
    </row>
    <row r="4027" spans="2:5" x14ac:dyDescent="0.3">
      <c r="B4027" s="274"/>
      <c r="C4027" s="108"/>
      <c r="D4027" s="261"/>
      <c r="E4027" s="261"/>
    </row>
    <row r="4028" spans="2:5" x14ac:dyDescent="0.3">
      <c r="B4028" s="274"/>
      <c r="C4028" s="108"/>
      <c r="D4028" s="261"/>
      <c r="E4028" s="261"/>
    </row>
    <row r="4029" spans="2:5" x14ac:dyDescent="0.3">
      <c r="B4029" s="274"/>
      <c r="C4029" s="108"/>
      <c r="D4029" s="261"/>
      <c r="E4029" s="261"/>
    </row>
    <row r="4030" spans="2:5" x14ac:dyDescent="0.3">
      <c r="B4030" s="274"/>
      <c r="C4030" s="108"/>
      <c r="D4030" s="261"/>
      <c r="E4030" s="261"/>
    </row>
    <row r="4031" spans="2:5" x14ac:dyDescent="0.3">
      <c r="B4031" s="274"/>
      <c r="C4031" s="108"/>
      <c r="D4031" s="261"/>
      <c r="E4031" s="261"/>
    </row>
    <row r="4032" spans="2:5" x14ac:dyDescent="0.3">
      <c r="B4032" s="274"/>
      <c r="C4032" s="108"/>
      <c r="D4032" s="261"/>
      <c r="E4032" s="261"/>
    </row>
    <row r="4033" spans="2:5" x14ac:dyDescent="0.3">
      <c r="B4033" s="274"/>
      <c r="C4033" s="108"/>
      <c r="D4033" s="261"/>
      <c r="E4033" s="261"/>
    </row>
    <row r="4034" spans="2:5" x14ac:dyDescent="0.3">
      <c r="B4034" s="274"/>
      <c r="C4034" s="108"/>
      <c r="D4034" s="261"/>
      <c r="E4034" s="261"/>
    </row>
    <row r="4035" spans="2:5" x14ac:dyDescent="0.3">
      <c r="B4035" s="274"/>
      <c r="C4035" s="108"/>
      <c r="D4035" s="261"/>
      <c r="E4035" s="261"/>
    </row>
    <row r="4036" spans="2:5" x14ac:dyDescent="0.3">
      <c r="B4036" s="274"/>
      <c r="C4036" s="108"/>
      <c r="D4036" s="261"/>
      <c r="E4036" s="261"/>
    </row>
    <row r="4037" spans="2:5" x14ac:dyDescent="0.3">
      <c r="B4037" s="274"/>
      <c r="C4037" s="108"/>
      <c r="D4037" s="261"/>
      <c r="E4037" s="261"/>
    </row>
    <row r="4038" spans="2:5" x14ac:dyDescent="0.3">
      <c r="B4038" s="274"/>
      <c r="C4038" s="108"/>
      <c r="D4038" s="261"/>
      <c r="E4038" s="261"/>
    </row>
    <row r="4039" spans="2:5" x14ac:dyDescent="0.3">
      <c r="B4039" s="274"/>
      <c r="C4039" s="108"/>
      <c r="D4039" s="261"/>
      <c r="E4039" s="261"/>
    </row>
    <row r="4040" spans="2:5" x14ac:dyDescent="0.3">
      <c r="B4040" s="274"/>
      <c r="C4040" s="108"/>
      <c r="D4040" s="261"/>
      <c r="E4040" s="261"/>
    </row>
    <row r="4041" spans="2:5" x14ac:dyDescent="0.3">
      <c r="B4041" s="274"/>
      <c r="C4041" s="108"/>
      <c r="D4041" s="261"/>
      <c r="E4041" s="261"/>
    </row>
    <row r="4042" spans="2:5" x14ac:dyDescent="0.3">
      <c r="B4042" s="274"/>
      <c r="C4042" s="108"/>
      <c r="D4042" s="261"/>
      <c r="E4042" s="261"/>
    </row>
    <row r="4043" spans="2:5" x14ac:dyDescent="0.3">
      <c r="B4043" s="274"/>
      <c r="C4043" s="108"/>
      <c r="D4043" s="261"/>
      <c r="E4043" s="261"/>
    </row>
    <row r="4044" spans="2:5" x14ac:dyDescent="0.3">
      <c r="B4044" s="274"/>
      <c r="C4044" s="108"/>
      <c r="D4044" s="261"/>
      <c r="E4044" s="261"/>
    </row>
    <row r="4045" spans="2:5" x14ac:dyDescent="0.3">
      <c r="B4045" s="274"/>
      <c r="C4045" s="108"/>
      <c r="D4045" s="261"/>
      <c r="E4045" s="261"/>
    </row>
    <row r="4046" spans="2:5" x14ac:dyDescent="0.3">
      <c r="B4046" s="274"/>
      <c r="C4046" s="108"/>
      <c r="D4046" s="261"/>
      <c r="E4046" s="261"/>
    </row>
    <row r="4047" spans="2:5" x14ac:dyDescent="0.3">
      <c r="B4047" s="274"/>
      <c r="C4047" s="108"/>
      <c r="D4047" s="261"/>
      <c r="E4047" s="261"/>
    </row>
    <row r="4048" spans="2:5" x14ac:dyDescent="0.3">
      <c r="B4048" s="274"/>
      <c r="C4048" s="108"/>
      <c r="D4048" s="261"/>
      <c r="E4048" s="261"/>
    </row>
    <row r="4049" spans="2:5" x14ac:dyDescent="0.3">
      <c r="B4049" s="274"/>
      <c r="C4049" s="108"/>
      <c r="D4049" s="261"/>
      <c r="E4049" s="261"/>
    </row>
    <row r="4050" spans="2:5" x14ac:dyDescent="0.3">
      <c r="B4050" s="274"/>
      <c r="C4050" s="108"/>
      <c r="D4050" s="261"/>
      <c r="E4050" s="261"/>
    </row>
    <row r="4051" spans="2:5" x14ac:dyDescent="0.3">
      <c r="B4051" s="274"/>
      <c r="C4051" s="108"/>
      <c r="D4051" s="261"/>
      <c r="E4051" s="261"/>
    </row>
    <row r="4052" spans="2:5" x14ac:dyDescent="0.3">
      <c r="B4052" s="274"/>
      <c r="C4052" s="108"/>
      <c r="D4052" s="261"/>
      <c r="E4052" s="261"/>
    </row>
    <row r="4053" spans="2:5" x14ac:dyDescent="0.3">
      <c r="B4053" s="274"/>
      <c r="C4053" s="108"/>
      <c r="D4053" s="261"/>
      <c r="E4053" s="261"/>
    </row>
    <row r="4054" spans="2:5" x14ac:dyDescent="0.3">
      <c r="B4054" s="274"/>
      <c r="C4054" s="108"/>
      <c r="D4054" s="261"/>
      <c r="E4054" s="261"/>
    </row>
    <row r="4055" spans="2:5" x14ac:dyDescent="0.3">
      <c r="B4055" s="274"/>
      <c r="C4055" s="108"/>
      <c r="D4055" s="261"/>
      <c r="E4055" s="261"/>
    </row>
    <row r="4056" spans="2:5" x14ac:dyDescent="0.3">
      <c r="B4056" s="274"/>
      <c r="C4056" s="108"/>
      <c r="D4056" s="261"/>
      <c r="E4056" s="261"/>
    </row>
    <row r="4057" spans="2:5" x14ac:dyDescent="0.3">
      <c r="B4057" s="274"/>
      <c r="C4057" s="108"/>
      <c r="D4057" s="261"/>
      <c r="E4057" s="261"/>
    </row>
    <row r="4058" spans="2:5" x14ac:dyDescent="0.3">
      <c r="B4058" s="274"/>
      <c r="C4058" s="108"/>
      <c r="D4058" s="261"/>
      <c r="E4058" s="261"/>
    </row>
    <row r="4059" spans="2:5" x14ac:dyDescent="0.3">
      <c r="B4059" s="274"/>
      <c r="C4059" s="108"/>
      <c r="D4059" s="261"/>
      <c r="E4059" s="261"/>
    </row>
    <row r="4060" spans="2:5" x14ac:dyDescent="0.3">
      <c r="B4060" s="274"/>
      <c r="C4060" s="108"/>
      <c r="D4060" s="261"/>
      <c r="E4060" s="261"/>
    </row>
    <row r="4061" spans="2:5" x14ac:dyDescent="0.3">
      <c r="B4061" s="274"/>
      <c r="C4061" s="108"/>
      <c r="D4061" s="261"/>
      <c r="E4061" s="261"/>
    </row>
    <row r="4062" spans="2:5" x14ac:dyDescent="0.3">
      <c r="B4062" s="274"/>
      <c r="C4062" s="108"/>
      <c r="D4062" s="261"/>
      <c r="E4062" s="261"/>
    </row>
    <row r="4063" spans="2:5" x14ac:dyDescent="0.3">
      <c r="B4063" s="274"/>
      <c r="C4063" s="108"/>
      <c r="D4063" s="261"/>
      <c r="E4063" s="261"/>
    </row>
    <row r="4064" spans="2:5" x14ac:dyDescent="0.3">
      <c r="B4064" s="274"/>
      <c r="C4064" s="108"/>
      <c r="D4064" s="261"/>
      <c r="E4064" s="261"/>
    </row>
    <row r="4065" spans="2:5" x14ac:dyDescent="0.3">
      <c r="B4065" s="274"/>
      <c r="C4065" s="108"/>
      <c r="D4065" s="261"/>
      <c r="E4065" s="261"/>
    </row>
    <row r="4066" spans="2:5" x14ac:dyDescent="0.3">
      <c r="B4066" s="274"/>
      <c r="C4066" s="108"/>
      <c r="D4066" s="261"/>
      <c r="E4066" s="261"/>
    </row>
    <row r="4067" spans="2:5" x14ac:dyDescent="0.3">
      <c r="B4067" s="274"/>
      <c r="C4067" s="108"/>
      <c r="D4067" s="261"/>
      <c r="E4067" s="261"/>
    </row>
    <row r="4068" spans="2:5" x14ac:dyDescent="0.3">
      <c r="B4068" s="274"/>
      <c r="C4068" s="108"/>
      <c r="D4068" s="261"/>
      <c r="E4068" s="261"/>
    </row>
    <row r="4069" spans="2:5" x14ac:dyDescent="0.3">
      <c r="B4069" s="274"/>
      <c r="C4069" s="108"/>
      <c r="D4069" s="261"/>
      <c r="E4069" s="261"/>
    </row>
    <row r="4070" spans="2:5" x14ac:dyDescent="0.3">
      <c r="B4070" s="274"/>
      <c r="C4070" s="108"/>
      <c r="D4070" s="261"/>
      <c r="E4070" s="261"/>
    </row>
    <row r="4071" spans="2:5" x14ac:dyDescent="0.3">
      <c r="B4071" s="274"/>
      <c r="C4071" s="108"/>
      <c r="D4071" s="261"/>
      <c r="E4071" s="261"/>
    </row>
    <row r="4072" spans="2:5" x14ac:dyDescent="0.3">
      <c r="B4072" s="274"/>
      <c r="C4072" s="108"/>
      <c r="D4072" s="261"/>
      <c r="E4072" s="261"/>
    </row>
    <row r="4073" spans="2:5" x14ac:dyDescent="0.3">
      <c r="B4073" s="274"/>
      <c r="C4073" s="108"/>
      <c r="D4073" s="261"/>
      <c r="E4073" s="261"/>
    </row>
    <row r="4074" spans="2:5" x14ac:dyDescent="0.3">
      <c r="B4074" s="274"/>
      <c r="C4074" s="108"/>
      <c r="D4074" s="261"/>
      <c r="E4074" s="261"/>
    </row>
    <row r="4075" spans="2:5" x14ac:dyDescent="0.3">
      <c r="B4075" s="274"/>
      <c r="C4075" s="108"/>
      <c r="D4075" s="261"/>
      <c r="E4075" s="261"/>
    </row>
    <row r="4076" spans="2:5" x14ac:dyDescent="0.3">
      <c r="B4076" s="274"/>
      <c r="C4076" s="108"/>
      <c r="D4076" s="261"/>
      <c r="E4076" s="261"/>
    </row>
    <row r="4077" spans="2:5" x14ac:dyDescent="0.3">
      <c r="B4077" s="274"/>
      <c r="C4077" s="108"/>
      <c r="D4077" s="261"/>
      <c r="E4077" s="261"/>
    </row>
    <row r="4078" spans="2:5" x14ac:dyDescent="0.3">
      <c r="B4078" s="274"/>
      <c r="C4078" s="108"/>
      <c r="D4078" s="261"/>
      <c r="E4078" s="261"/>
    </row>
    <row r="4079" spans="2:5" x14ac:dyDescent="0.3">
      <c r="B4079" s="274"/>
      <c r="C4079" s="108"/>
      <c r="D4079" s="261"/>
      <c r="E4079" s="261"/>
    </row>
    <row r="4080" spans="2:5" x14ac:dyDescent="0.3">
      <c r="B4080" s="274"/>
      <c r="C4080" s="108"/>
      <c r="D4080" s="261"/>
      <c r="E4080" s="261"/>
    </row>
    <row r="4081" spans="2:5" x14ac:dyDescent="0.3">
      <c r="B4081" s="274"/>
      <c r="C4081" s="108"/>
      <c r="D4081" s="261"/>
      <c r="E4081" s="261"/>
    </row>
    <row r="4082" spans="2:5" x14ac:dyDescent="0.3">
      <c r="B4082" s="274"/>
      <c r="C4082" s="108"/>
      <c r="D4082" s="261"/>
      <c r="E4082" s="261"/>
    </row>
    <row r="4083" spans="2:5" x14ac:dyDescent="0.3">
      <c r="B4083" s="274"/>
      <c r="C4083" s="108"/>
      <c r="D4083" s="261"/>
      <c r="E4083" s="261"/>
    </row>
    <row r="4084" spans="2:5" x14ac:dyDescent="0.3">
      <c r="B4084" s="274"/>
      <c r="C4084" s="108"/>
      <c r="D4084" s="261"/>
      <c r="E4084" s="261"/>
    </row>
    <row r="4085" spans="2:5" x14ac:dyDescent="0.3">
      <c r="B4085" s="274"/>
      <c r="C4085" s="108"/>
      <c r="D4085" s="261"/>
      <c r="E4085" s="261"/>
    </row>
    <row r="4086" spans="2:5" x14ac:dyDescent="0.3">
      <c r="B4086" s="274"/>
      <c r="C4086" s="108"/>
      <c r="D4086" s="261"/>
      <c r="E4086" s="261"/>
    </row>
    <row r="4087" spans="2:5" x14ac:dyDescent="0.3">
      <c r="B4087" s="274"/>
      <c r="C4087" s="108"/>
      <c r="D4087" s="261"/>
      <c r="E4087" s="261"/>
    </row>
    <row r="4088" spans="2:5" x14ac:dyDescent="0.3">
      <c r="B4088" s="274"/>
      <c r="C4088" s="108"/>
      <c r="D4088" s="261"/>
      <c r="E4088" s="261"/>
    </row>
    <row r="4089" spans="2:5" x14ac:dyDescent="0.3">
      <c r="B4089" s="274"/>
      <c r="C4089" s="108"/>
      <c r="D4089" s="261"/>
      <c r="E4089" s="261"/>
    </row>
    <row r="4090" spans="2:5" x14ac:dyDescent="0.3">
      <c r="B4090" s="274"/>
      <c r="C4090" s="108"/>
      <c r="D4090" s="261"/>
      <c r="E4090" s="261"/>
    </row>
    <row r="4091" spans="2:5" x14ac:dyDescent="0.3">
      <c r="B4091" s="274"/>
      <c r="C4091" s="108"/>
      <c r="D4091" s="261"/>
      <c r="E4091" s="261"/>
    </row>
    <row r="4092" spans="2:5" x14ac:dyDescent="0.3">
      <c r="B4092" s="274"/>
      <c r="C4092" s="108"/>
      <c r="D4092" s="261"/>
      <c r="E4092" s="261"/>
    </row>
    <row r="4093" spans="2:5" x14ac:dyDescent="0.3">
      <c r="B4093" s="274"/>
      <c r="C4093" s="108"/>
      <c r="D4093" s="261"/>
      <c r="E4093" s="261"/>
    </row>
    <row r="4094" spans="2:5" x14ac:dyDescent="0.3">
      <c r="B4094" s="274"/>
      <c r="C4094" s="108"/>
      <c r="D4094" s="261"/>
      <c r="E4094" s="261"/>
    </row>
    <row r="4095" spans="2:5" x14ac:dyDescent="0.3">
      <c r="B4095" s="274"/>
      <c r="C4095" s="108"/>
      <c r="D4095" s="261"/>
      <c r="E4095" s="261"/>
    </row>
    <row r="4096" spans="2:5" x14ac:dyDescent="0.3">
      <c r="B4096" s="274"/>
      <c r="C4096" s="108"/>
      <c r="D4096" s="261"/>
      <c r="E4096" s="261"/>
    </row>
    <row r="4097" spans="2:5" x14ac:dyDescent="0.3">
      <c r="B4097" s="274"/>
      <c r="C4097" s="108"/>
      <c r="D4097" s="261"/>
      <c r="E4097" s="261"/>
    </row>
    <row r="4098" spans="2:5" x14ac:dyDescent="0.3">
      <c r="B4098" s="274"/>
      <c r="C4098" s="108"/>
      <c r="D4098" s="261"/>
      <c r="E4098" s="261"/>
    </row>
    <row r="4099" spans="2:5" x14ac:dyDescent="0.3">
      <c r="B4099" s="274"/>
      <c r="C4099" s="108"/>
      <c r="D4099" s="261"/>
      <c r="E4099" s="261"/>
    </row>
    <row r="4100" spans="2:5" x14ac:dyDescent="0.3">
      <c r="B4100" s="274"/>
      <c r="C4100" s="108"/>
      <c r="D4100" s="261"/>
      <c r="E4100" s="261"/>
    </row>
    <row r="4101" spans="2:5" x14ac:dyDescent="0.3">
      <c r="B4101" s="274"/>
      <c r="C4101" s="108"/>
      <c r="D4101" s="261"/>
      <c r="E4101" s="261"/>
    </row>
    <row r="4102" spans="2:5" x14ac:dyDescent="0.3">
      <c r="B4102" s="274"/>
      <c r="C4102" s="108"/>
      <c r="D4102" s="261"/>
      <c r="E4102" s="261"/>
    </row>
    <row r="4103" spans="2:5" x14ac:dyDescent="0.3">
      <c r="B4103" s="274"/>
      <c r="C4103" s="108"/>
      <c r="D4103" s="261"/>
      <c r="E4103" s="261"/>
    </row>
    <row r="4104" spans="2:5" x14ac:dyDescent="0.3">
      <c r="B4104" s="274"/>
      <c r="C4104" s="108"/>
      <c r="D4104" s="261"/>
      <c r="E4104" s="261"/>
    </row>
    <row r="4105" spans="2:5" x14ac:dyDescent="0.3">
      <c r="B4105" s="274"/>
      <c r="C4105" s="108"/>
      <c r="D4105" s="261"/>
      <c r="E4105" s="261"/>
    </row>
    <row r="4106" spans="2:5" x14ac:dyDescent="0.3">
      <c r="B4106" s="274"/>
      <c r="C4106" s="108"/>
      <c r="D4106" s="261"/>
      <c r="E4106" s="261"/>
    </row>
    <row r="4107" spans="2:5" x14ac:dyDescent="0.3">
      <c r="B4107" s="274"/>
      <c r="C4107" s="108"/>
      <c r="D4107" s="261"/>
      <c r="E4107" s="261"/>
    </row>
    <row r="4108" spans="2:5" x14ac:dyDescent="0.3">
      <c r="B4108" s="274"/>
      <c r="C4108" s="108"/>
      <c r="D4108" s="261"/>
      <c r="E4108" s="261"/>
    </row>
    <row r="4109" spans="2:5" x14ac:dyDescent="0.3">
      <c r="B4109" s="274"/>
      <c r="C4109" s="108"/>
      <c r="D4109" s="261"/>
      <c r="E4109" s="261"/>
    </row>
    <row r="4110" spans="2:5" x14ac:dyDescent="0.3">
      <c r="B4110" s="274"/>
      <c r="C4110" s="108"/>
      <c r="D4110" s="261"/>
      <c r="E4110" s="261"/>
    </row>
    <row r="4111" spans="2:5" x14ac:dyDescent="0.3">
      <c r="B4111" s="274"/>
      <c r="C4111" s="108"/>
      <c r="D4111" s="261"/>
      <c r="E4111" s="261"/>
    </row>
    <row r="4112" spans="2:5" x14ac:dyDescent="0.3">
      <c r="B4112" s="274"/>
      <c r="C4112" s="108"/>
      <c r="D4112" s="261"/>
      <c r="E4112" s="261"/>
    </row>
    <row r="4113" spans="2:5" x14ac:dyDescent="0.3">
      <c r="B4113" s="274"/>
      <c r="C4113" s="108"/>
      <c r="D4113" s="261"/>
      <c r="E4113" s="261"/>
    </row>
    <row r="4114" spans="2:5" x14ac:dyDescent="0.3">
      <c r="B4114" s="274"/>
      <c r="C4114" s="108"/>
      <c r="D4114" s="261"/>
      <c r="E4114" s="261"/>
    </row>
    <row r="4115" spans="2:5" x14ac:dyDescent="0.3">
      <c r="B4115" s="274"/>
      <c r="C4115" s="108"/>
      <c r="D4115" s="261"/>
      <c r="E4115" s="261"/>
    </row>
    <row r="4116" spans="2:5" x14ac:dyDescent="0.3">
      <c r="B4116" s="274"/>
      <c r="C4116" s="108"/>
      <c r="D4116" s="261"/>
      <c r="E4116" s="261"/>
    </row>
    <row r="4117" spans="2:5" x14ac:dyDescent="0.3">
      <c r="B4117" s="274"/>
      <c r="C4117" s="108"/>
      <c r="D4117" s="261"/>
      <c r="E4117" s="261"/>
    </row>
    <row r="4118" spans="2:5" x14ac:dyDescent="0.3">
      <c r="B4118" s="274"/>
      <c r="C4118" s="108"/>
      <c r="D4118" s="261"/>
      <c r="E4118" s="261"/>
    </row>
    <row r="4119" spans="2:5" x14ac:dyDescent="0.3">
      <c r="B4119" s="274"/>
      <c r="C4119" s="108"/>
      <c r="D4119" s="261"/>
      <c r="E4119" s="261"/>
    </row>
    <row r="4120" spans="2:5" x14ac:dyDescent="0.3">
      <c r="B4120" s="274"/>
      <c r="C4120" s="108"/>
      <c r="D4120" s="261"/>
      <c r="E4120" s="261"/>
    </row>
    <row r="4121" spans="2:5" x14ac:dyDescent="0.3">
      <c r="B4121" s="274"/>
      <c r="C4121" s="108"/>
      <c r="D4121" s="261"/>
      <c r="E4121" s="261"/>
    </row>
    <row r="4122" spans="2:5" x14ac:dyDescent="0.3">
      <c r="B4122" s="274"/>
      <c r="C4122" s="108"/>
      <c r="D4122" s="261"/>
      <c r="E4122" s="261"/>
    </row>
    <row r="4123" spans="2:5" x14ac:dyDescent="0.3">
      <c r="B4123" s="274"/>
      <c r="C4123" s="108"/>
      <c r="D4123" s="261"/>
      <c r="E4123" s="261"/>
    </row>
    <row r="4124" spans="2:5" x14ac:dyDescent="0.3">
      <c r="B4124" s="274"/>
      <c r="C4124" s="108"/>
      <c r="D4124" s="261"/>
      <c r="E4124" s="261"/>
    </row>
    <row r="4125" spans="2:5" x14ac:dyDescent="0.3">
      <c r="B4125" s="274"/>
      <c r="C4125" s="108"/>
      <c r="D4125" s="261"/>
      <c r="E4125" s="261"/>
    </row>
    <row r="4126" spans="2:5" x14ac:dyDescent="0.3">
      <c r="B4126" s="274"/>
      <c r="C4126" s="108"/>
      <c r="D4126" s="261"/>
      <c r="E4126" s="261"/>
    </row>
    <row r="4127" spans="2:5" x14ac:dyDescent="0.3">
      <c r="B4127" s="274"/>
      <c r="C4127" s="108"/>
      <c r="D4127" s="261"/>
      <c r="E4127" s="261"/>
    </row>
    <row r="4128" spans="2:5" x14ac:dyDescent="0.3">
      <c r="B4128" s="274"/>
      <c r="C4128" s="108"/>
      <c r="D4128" s="261"/>
      <c r="E4128" s="261"/>
    </row>
    <row r="4129" spans="2:5" x14ac:dyDescent="0.3">
      <c r="B4129" s="274"/>
      <c r="C4129" s="108"/>
      <c r="D4129" s="261"/>
      <c r="E4129" s="261"/>
    </row>
    <row r="4130" spans="2:5" x14ac:dyDescent="0.3">
      <c r="B4130" s="274"/>
      <c r="C4130" s="108"/>
      <c r="D4130" s="261"/>
      <c r="E4130" s="261"/>
    </row>
    <row r="4131" spans="2:5" x14ac:dyDescent="0.3">
      <c r="B4131" s="274"/>
      <c r="C4131" s="108"/>
      <c r="D4131" s="261"/>
      <c r="E4131" s="261"/>
    </row>
    <row r="4132" spans="2:5" x14ac:dyDescent="0.3">
      <c r="B4132" s="274"/>
      <c r="C4132" s="108"/>
      <c r="D4132" s="261"/>
      <c r="E4132" s="261"/>
    </row>
    <row r="4133" spans="2:5" x14ac:dyDescent="0.3">
      <c r="B4133" s="274"/>
      <c r="C4133" s="108"/>
      <c r="D4133" s="261"/>
      <c r="E4133" s="261"/>
    </row>
    <row r="4134" spans="2:5" x14ac:dyDescent="0.3">
      <c r="B4134" s="274"/>
      <c r="C4134" s="108"/>
      <c r="D4134" s="261"/>
      <c r="E4134" s="261"/>
    </row>
    <row r="4135" spans="2:5" x14ac:dyDescent="0.3">
      <c r="B4135" s="274"/>
      <c r="C4135" s="108"/>
      <c r="D4135" s="261"/>
      <c r="E4135" s="261"/>
    </row>
    <row r="4136" spans="2:5" x14ac:dyDescent="0.3">
      <c r="B4136" s="274"/>
      <c r="C4136" s="108"/>
      <c r="D4136" s="261"/>
      <c r="E4136" s="261"/>
    </row>
    <row r="4137" spans="2:5" x14ac:dyDescent="0.3">
      <c r="B4137" s="274"/>
      <c r="C4137" s="108"/>
      <c r="D4137" s="261"/>
      <c r="E4137" s="261"/>
    </row>
    <row r="4138" spans="2:5" x14ac:dyDescent="0.3">
      <c r="B4138" s="274"/>
      <c r="C4138" s="108"/>
      <c r="D4138" s="261"/>
      <c r="E4138" s="261"/>
    </row>
    <row r="4139" spans="2:5" x14ac:dyDescent="0.3">
      <c r="B4139" s="274"/>
      <c r="C4139" s="108"/>
      <c r="D4139" s="261"/>
      <c r="E4139" s="261"/>
    </row>
    <row r="4140" spans="2:5" x14ac:dyDescent="0.3">
      <c r="B4140" s="274"/>
      <c r="C4140" s="108"/>
      <c r="D4140" s="261"/>
      <c r="E4140" s="261"/>
    </row>
    <row r="4141" spans="2:5" x14ac:dyDescent="0.3">
      <c r="B4141" s="274"/>
      <c r="C4141" s="108"/>
      <c r="D4141" s="261"/>
      <c r="E4141" s="261"/>
    </row>
    <row r="4142" spans="2:5" x14ac:dyDescent="0.3">
      <c r="B4142" s="274"/>
      <c r="C4142" s="108"/>
      <c r="D4142" s="261"/>
      <c r="E4142" s="261"/>
    </row>
    <row r="4143" spans="2:5" x14ac:dyDescent="0.3">
      <c r="B4143" s="274"/>
      <c r="C4143" s="108"/>
      <c r="D4143" s="261"/>
      <c r="E4143" s="261"/>
    </row>
    <row r="4144" spans="2:5" x14ac:dyDescent="0.3">
      <c r="B4144" s="274"/>
      <c r="C4144" s="108"/>
      <c r="D4144" s="261"/>
      <c r="E4144" s="261"/>
    </row>
    <row r="4145" spans="2:5" x14ac:dyDescent="0.3">
      <c r="B4145" s="274"/>
      <c r="C4145" s="108"/>
      <c r="D4145" s="261"/>
      <c r="E4145" s="261"/>
    </row>
    <row r="4146" spans="2:5" x14ac:dyDescent="0.3">
      <c r="B4146" s="274"/>
      <c r="C4146" s="108"/>
      <c r="D4146" s="261"/>
      <c r="E4146" s="261"/>
    </row>
    <row r="4147" spans="2:5" x14ac:dyDescent="0.3">
      <c r="B4147" s="274"/>
      <c r="C4147" s="108"/>
      <c r="D4147" s="261"/>
      <c r="E4147" s="261"/>
    </row>
    <row r="4148" spans="2:5" x14ac:dyDescent="0.3">
      <c r="B4148" s="274"/>
      <c r="C4148" s="108"/>
      <c r="D4148" s="261"/>
      <c r="E4148" s="261"/>
    </row>
    <row r="4149" spans="2:5" x14ac:dyDescent="0.3">
      <c r="B4149" s="274"/>
      <c r="C4149" s="108"/>
      <c r="D4149" s="261"/>
      <c r="E4149" s="261"/>
    </row>
    <row r="4150" spans="2:5" x14ac:dyDescent="0.3">
      <c r="B4150" s="274"/>
      <c r="C4150" s="108"/>
      <c r="D4150" s="261"/>
      <c r="E4150" s="261"/>
    </row>
    <row r="4151" spans="2:5" x14ac:dyDescent="0.3">
      <c r="B4151" s="274"/>
      <c r="C4151" s="108"/>
      <c r="D4151" s="261"/>
      <c r="E4151" s="261"/>
    </row>
    <row r="4152" spans="2:5" x14ac:dyDescent="0.3">
      <c r="B4152" s="274"/>
      <c r="C4152" s="108"/>
      <c r="D4152" s="261"/>
      <c r="E4152" s="261"/>
    </row>
    <row r="4153" spans="2:5" x14ac:dyDescent="0.3">
      <c r="B4153" s="274"/>
      <c r="C4153" s="108"/>
      <c r="D4153" s="261"/>
      <c r="E4153" s="261"/>
    </row>
    <row r="4154" spans="2:5" x14ac:dyDescent="0.3">
      <c r="B4154" s="274"/>
      <c r="C4154" s="108"/>
      <c r="D4154" s="261"/>
      <c r="E4154" s="261"/>
    </row>
    <row r="4155" spans="2:5" x14ac:dyDescent="0.3">
      <c r="B4155" s="274"/>
      <c r="C4155" s="108"/>
      <c r="D4155" s="261"/>
      <c r="E4155" s="261"/>
    </row>
    <row r="4156" spans="2:5" x14ac:dyDescent="0.3">
      <c r="B4156" s="274"/>
      <c r="C4156" s="108"/>
      <c r="D4156" s="261"/>
      <c r="E4156" s="261"/>
    </row>
    <row r="4157" spans="2:5" x14ac:dyDescent="0.3">
      <c r="B4157" s="274"/>
      <c r="C4157" s="108"/>
      <c r="D4157" s="261"/>
      <c r="E4157" s="261"/>
    </row>
    <row r="4158" spans="2:5" x14ac:dyDescent="0.3">
      <c r="B4158" s="274"/>
      <c r="C4158" s="108"/>
      <c r="D4158" s="261"/>
      <c r="E4158" s="261"/>
    </row>
    <row r="4159" spans="2:5" x14ac:dyDescent="0.3">
      <c r="B4159" s="274"/>
      <c r="C4159" s="108"/>
      <c r="D4159" s="261"/>
      <c r="E4159" s="261"/>
    </row>
    <row r="4160" spans="2:5" x14ac:dyDescent="0.3">
      <c r="B4160" s="274"/>
      <c r="C4160" s="108"/>
      <c r="D4160" s="261"/>
      <c r="E4160" s="261"/>
    </row>
    <row r="4161" spans="2:5" x14ac:dyDescent="0.3">
      <c r="B4161" s="274"/>
      <c r="C4161" s="108"/>
      <c r="D4161" s="261"/>
      <c r="E4161" s="261"/>
    </row>
    <row r="4162" spans="2:5" x14ac:dyDescent="0.3">
      <c r="B4162" s="274"/>
      <c r="C4162" s="108"/>
      <c r="D4162" s="261"/>
      <c r="E4162" s="261"/>
    </row>
    <row r="4163" spans="2:5" x14ac:dyDescent="0.3">
      <c r="B4163" s="274"/>
      <c r="C4163" s="108"/>
      <c r="D4163" s="261"/>
      <c r="E4163" s="261"/>
    </row>
    <row r="4164" spans="2:5" x14ac:dyDescent="0.3">
      <c r="B4164" s="274"/>
      <c r="C4164" s="108"/>
      <c r="D4164" s="261"/>
      <c r="E4164" s="261"/>
    </row>
    <row r="4165" spans="2:5" x14ac:dyDescent="0.3">
      <c r="B4165" s="274"/>
      <c r="C4165" s="108"/>
      <c r="D4165" s="261"/>
      <c r="E4165" s="261"/>
    </row>
    <row r="4166" spans="2:5" x14ac:dyDescent="0.3">
      <c r="B4166" s="274"/>
      <c r="C4166" s="108"/>
      <c r="D4166" s="261"/>
      <c r="E4166" s="261"/>
    </row>
    <row r="4167" spans="2:5" x14ac:dyDescent="0.3">
      <c r="B4167" s="274"/>
      <c r="C4167" s="108"/>
      <c r="D4167" s="261"/>
      <c r="E4167" s="261"/>
    </row>
    <row r="4168" spans="2:5" x14ac:dyDescent="0.3">
      <c r="B4168" s="274"/>
      <c r="C4168" s="108"/>
      <c r="D4168" s="261"/>
      <c r="E4168" s="261"/>
    </row>
    <row r="4169" spans="2:5" x14ac:dyDescent="0.3">
      <c r="B4169" s="274"/>
      <c r="C4169" s="108"/>
      <c r="D4169" s="261"/>
      <c r="E4169" s="261"/>
    </row>
    <row r="4170" spans="2:5" x14ac:dyDescent="0.3">
      <c r="B4170" s="274"/>
      <c r="C4170" s="108"/>
      <c r="D4170" s="261"/>
      <c r="E4170" s="261"/>
    </row>
    <row r="4171" spans="2:5" x14ac:dyDescent="0.3">
      <c r="B4171" s="274"/>
      <c r="C4171" s="108"/>
      <c r="D4171" s="261"/>
      <c r="E4171" s="261"/>
    </row>
    <row r="4172" spans="2:5" x14ac:dyDescent="0.3">
      <c r="B4172" s="274"/>
      <c r="C4172" s="108"/>
      <c r="D4172" s="261"/>
      <c r="E4172" s="261"/>
    </row>
    <row r="4173" spans="2:5" x14ac:dyDescent="0.3">
      <c r="B4173" s="274"/>
      <c r="C4173" s="108"/>
      <c r="D4173" s="261"/>
      <c r="E4173" s="261"/>
    </row>
    <row r="4174" spans="2:5" x14ac:dyDescent="0.3">
      <c r="B4174" s="274"/>
      <c r="C4174" s="108"/>
      <c r="D4174" s="261"/>
      <c r="E4174" s="261"/>
    </row>
    <row r="4175" spans="2:5" x14ac:dyDescent="0.3">
      <c r="B4175" s="274"/>
      <c r="C4175" s="108"/>
      <c r="D4175" s="261"/>
      <c r="E4175" s="261"/>
    </row>
    <row r="4176" spans="2:5" x14ac:dyDescent="0.3">
      <c r="B4176" s="274"/>
      <c r="C4176" s="108"/>
      <c r="D4176" s="261"/>
      <c r="E4176" s="261"/>
    </row>
    <row r="4177" spans="2:5" x14ac:dyDescent="0.3">
      <c r="B4177" s="274"/>
      <c r="C4177" s="108"/>
      <c r="D4177" s="261"/>
      <c r="E4177" s="261"/>
    </row>
    <row r="4178" spans="2:5" x14ac:dyDescent="0.3">
      <c r="B4178" s="274"/>
      <c r="C4178" s="108"/>
      <c r="D4178" s="261"/>
      <c r="E4178" s="261"/>
    </row>
    <row r="4179" spans="2:5" x14ac:dyDescent="0.3">
      <c r="B4179" s="274"/>
      <c r="C4179" s="108"/>
      <c r="D4179" s="261"/>
      <c r="E4179" s="261"/>
    </row>
    <row r="4180" spans="2:5" x14ac:dyDescent="0.3">
      <c r="B4180" s="274"/>
      <c r="C4180" s="108"/>
      <c r="D4180" s="261"/>
      <c r="E4180" s="261"/>
    </row>
    <row r="4181" spans="2:5" x14ac:dyDescent="0.3">
      <c r="B4181" s="274"/>
      <c r="C4181" s="108"/>
      <c r="D4181" s="261"/>
      <c r="E4181" s="261"/>
    </row>
    <row r="4182" spans="2:5" x14ac:dyDescent="0.3">
      <c r="B4182" s="274"/>
      <c r="C4182" s="108"/>
      <c r="D4182" s="261"/>
      <c r="E4182" s="261"/>
    </row>
    <row r="4183" spans="2:5" x14ac:dyDescent="0.3">
      <c r="B4183" s="274"/>
      <c r="C4183" s="108"/>
      <c r="D4183" s="261"/>
      <c r="E4183" s="261"/>
    </row>
    <row r="4184" spans="2:5" x14ac:dyDescent="0.3">
      <c r="B4184" s="274"/>
      <c r="C4184" s="108"/>
      <c r="D4184" s="261"/>
      <c r="E4184" s="261"/>
    </row>
    <row r="4185" spans="2:5" x14ac:dyDescent="0.3">
      <c r="B4185" s="274"/>
      <c r="C4185" s="108"/>
      <c r="D4185" s="261"/>
      <c r="E4185" s="261"/>
    </row>
    <row r="4186" spans="2:5" x14ac:dyDescent="0.3">
      <c r="B4186" s="274"/>
      <c r="C4186" s="108"/>
      <c r="D4186" s="261"/>
      <c r="E4186" s="261"/>
    </row>
    <row r="4187" spans="2:5" x14ac:dyDescent="0.3">
      <c r="B4187" s="274"/>
      <c r="C4187" s="108"/>
      <c r="D4187" s="261"/>
      <c r="E4187" s="261"/>
    </row>
    <row r="4188" spans="2:5" x14ac:dyDescent="0.3">
      <c r="B4188" s="274"/>
      <c r="C4188" s="108"/>
      <c r="D4188" s="261"/>
      <c r="E4188" s="261"/>
    </row>
    <row r="4189" spans="2:5" x14ac:dyDescent="0.3">
      <c r="B4189" s="274"/>
      <c r="C4189" s="108"/>
      <c r="D4189" s="261"/>
      <c r="E4189" s="261"/>
    </row>
    <row r="4190" spans="2:5" x14ac:dyDescent="0.3">
      <c r="B4190" s="274"/>
      <c r="C4190" s="108"/>
      <c r="D4190" s="261"/>
      <c r="E4190" s="261"/>
    </row>
    <row r="4191" spans="2:5" x14ac:dyDescent="0.3">
      <c r="B4191" s="274"/>
      <c r="C4191" s="108"/>
      <c r="D4191" s="261"/>
      <c r="E4191" s="261"/>
    </row>
    <row r="4192" spans="2:5" x14ac:dyDescent="0.3">
      <c r="B4192" s="274"/>
      <c r="C4192" s="108"/>
      <c r="D4192" s="261"/>
      <c r="E4192" s="261"/>
    </row>
    <row r="4193" spans="2:5" x14ac:dyDescent="0.3">
      <c r="B4193" s="274"/>
      <c r="C4193" s="108"/>
      <c r="D4193" s="261"/>
      <c r="E4193" s="261"/>
    </row>
    <row r="4194" spans="2:5" x14ac:dyDescent="0.3">
      <c r="B4194" s="274"/>
      <c r="C4194" s="108"/>
      <c r="D4194" s="261"/>
      <c r="E4194" s="261"/>
    </row>
    <row r="4195" spans="2:5" x14ac:dyDescent="0.3">
      <c r="B4195" s="274"/>
      <c r="C4195" s="108"/>
      <c r="D4195" s="261"/>
      <c r="E4195" s="261"/>
    </row>
    <row r="4196" spans="2:5" x14ac:dyDescent="0.3">
      <c r="B4196" s="274"/>
      <c r="C4196" s="108"/>
      <c r="D4196" s="261"/>
      <c r="E4196" s="261"/>
    </row>
    <row r="4197" spans="2:5" x14ac:dyDescent="0.3">
      <c r="B4197" s="274"/>
      <c r="C4197" s="108"/>
      <c r="D4197" s="261"/>
      <c r="E4197" s="261"/>
    </row>
    <row r="4198" spans="2:5" x14ac:dyDescent="0.3">
      <c r="B4198" s="274"/>
      <c r="C4198" s="108"/>
      <c r="D4198" s="261"/>
      <c r="E4198" s="261"/>
    </row>
    <row r="4199" spans="2:5" x14ac:dyDescent="0.3">
      <c r="B4199" s="274"/>
      <c r="C4199" s="108"/>
      <c r="D4199" s="261"/>
      <c r="E4199" s="261"/>
    </row>
    <row r="4200" spans="2:5" x14ac:dyDescent="0.3">
      <c r="B4200" s="274"/>
      <c r="C4200" s="108"/>
      <c r="D4200" s="261"/>
      <c r="E4200" s="261"/>
    </row>
    <row r="4201" spans="2:5" x14ac:dyDescent="0.3">
      <c r="B4201" s="274"/>
      <c r="C4201" s="108"/>
      <c r="D4201" s="261"/>
      <c r="E4201" s="261"/>
    </row>
    <row r="4202" spans="2:5" x14ac:dyDescent="0.3">
      <c r="B4202" s="274"/>
      <c r="C4202" s="108"/>
      <c r="D4202" s="261"/>
      <c r="E4202" s="261"/>
    </row>
    <row r="4203" spans="2:5" x14ac:dyDescent="0.3">
      <c r="B4203" s="274"/>
      <c r="C4203" s="108"/>
      <c r="D4203" s="261"/>
      <c r="E4203" s="261"/>
    </row>
    <row r="4204" spans="2:5" x14ac:dyDescent="0.3">
      <c r="B4204" s="274"/>
      <c r="C4204" s="108"/>
      <c r="D4204" s="261"/>
      <c r="E4204" s="261"/>
    </row>
    <row r="4205" spans="2:5" x14ac:dyDescent="0.3">
      <c r="B4205" s="274"/>
      <c r="C4205" s="108"/>
      <c r="D4205" s="261"/>
      <c r="E4205" s="261"/>
    </row>
    <row r="4206" spans="2:5" x14ac:dyDescent="0.3">
      <c r="B4206" s="274"/>
      <c r="C4206" s="108"/>
      <c r="D4206" s="261"/>
      <c r="E4206" s="261"/>
    </row>
    <row r="4207" spans="2:5" x14ac:dyDescent="0.3">
      <c r="B4207" s="274"/>
      <c r="C4207" s="108"/>
      <c r="D4207" s="261"/>
      <c r="E4207" s="261"/>
    </row>
    <row r="4208" spans="2:5" x14ac:dyDescent="0.3">
      <c r="B4208" s="274"/>
      <c r="C4208" s="108"/>
      <c r="D4208" s="261"/>
      <c r="E4208" s="261"/>
    </row>
    <row r="4209" spans="2:5" x14ac:dyDescent="0.3">
      <c r="B4209" s="274"/>
      <c r="C4209" s="108"/>
      <c r="D4209" s="261"/>
      <c r="E4209" s="261"/>
    </row>
    <row r="4210" spans="2:5" x14ac:dyDescent="0.3">
      <c r="B4210" s="274"/>
      <c r="C4210" s="108"/>
      <c r="D4210" s="261"/>
      <c r="E4210" s="261"/>
    </row>
    <row r="4211" spans="2:5" x14ac:dyDescent="0.3">
      <c r="B4211" s="274"/>
      <c r="C4211" s="108"/>
      <c r="D4211" s="261"/>
      <c r="E4211" s="261"/>
    </row>
    <row r="4212" spans="2:5" x14ac:dyDescent="0.3">
      <c r="B4212" s="274"/>
      <c r="C4212" s="108"/>
      <c r="D4212" s="261"/>
      <c r="E4212" s="261"/>
    </row>
    <row r="4213" spans="2:5" x14ac:dyDescent="0.3">
      <c r="B4213" s="274"/>
      <c r="C4213" s="108"/>
      <c r="D4213" s="261"/>
      <c r="E4213" s="261"/>
    </row>
    <row r="4214" spans="2:5" x14ac:dyDescent="0.3">
      <c r="B4214" s="274"/>
      <c r="C4214" s="108"/>
      <c r="D4214" s="261"/>
      <c r="E4214" s="261"/>
    </row>
    <row r="4215" spans="2:5" x14ac:dyDescent="0.3">
      <c r="B4215" s="274"/>
      <c r="C4215" s="108"/>
      <c r="D4215" s="261"/>
      <c r="E4215" s="261"/>
    </row>
    <row r="4216" spans="2:5" x14ac:dyDescent="0.3">
      <c r="B4216" s="274"/>
      <c r="C4216" s="108"/>
      <c r="D4216" s="261"/>
      <c r="E4216" s="261"/>
    </row>
    <row r="4217" spans="2:5" x14ac:dyDescent="0.3">
      <c r="B4217" s="274"/>
      <c r="C4217" s="108"/>
      <c r="D4217" s="261"/>
      <c r="E4217" s="261"/>
    </row>
    <row r="4218" spans="2:5" x14ac:dyDescent="0.3">
      <c r="B4218" s="274"/>
      <c r="C4218" s="108"/>
      <c r="D4218" s="261"/>
      <c r="E4218" s="261"/>
    </row>
    <row r="4219" spans="2:5" x14ac:dyDescent="0.3">
      <c r="B4219" s="274"/>
      <c r="C4219" s="108"/>
      <c r="D4219" s="261"/>
      <c r="E4219" s="261"/>
    </row>
    <row r="4220" spans="2:5" x14ac:dyDescent="0.3">
      <c r="B4220" s="274"/>
      <c r="C4220" s="108"/>
      <c r="D4220" s="261"/>
      <c r="E4220" s="261"/>
    </row>
    <row r="4221" spans="2:5" x14ac:dyDescent="0.3">
      <c r="B4221" s="274"/>
      <c r="C4221" s="108"/>
      <c r="D4221" s="261"/>
      <c r="E4221" s="261"/>
    </row>
    <row r="4222" spans="2:5" x14ac:dyDescent="0.3">
      <c r="B4222" s="274"/>
      <c r="C4222" s="108"/>
      <c r="D4222" s="261"/>
      <c r="E4222" s="261"/>
    </row>
    <row r="4223" spans="2:5" x14ac:dyDescent="0.3">
      <c r="B4223" s="274"/>
      <c r="C4223" s="108"/>
      <c r="D4223" s="261"/>
      <c r="E4223" s="261"/>
    </row>
    <row r="4224" spans="2:5" x14ac:dyDescent="0.3">
      <c r="B4224" s="274"/>
      <c r="C4224" s="108"/>
      <c r="D4224" s="261"/>
      <c r="E4224" s="261"/>
    </row>
    <row r="4225" spans="2:5" x14ac:dyDescent="0.3">
      <c r="B4225" s="274"/>
      <c r="C4225" s="108"/>
      <c r="D4225" s="261"/>
      <c r="E4225" s="261"/>
    </row>
    <row r="4226" spans="2:5" x14ac:dyDescent="0.3">
      <c r="B4226" s="274"/>
      <c r="C4226" s="108"/>
      <c r="D4226" s="261"/>
      <c r="E4226" s="261"/>
    </row>
    <row r="4227" spans="2:5" x14ac:dyDescent="0.3">
      <c r="B4227" s="274"/>
      <c r="C4227" s="108"/>
      <c r="D4227" s="261"/>
      <c r="E4227" s="261"/>
    </row>
    <row r="4228" spans="2:5" x14ac:dyDescent="0.3">
      <c r="B4228" s="274"/>
      <c r="C4228" s="108"/>
      <c r="D4228" s="261"/>
      <c r="E4228" s="261"/>
    </row>
    <row r="4229" spans="2:5" x14ac:dyDescent="0.3">
      <c r="B4229" s="274"/>
      <c r="C4229" s="108"/>
      <c r="D4229" s="261"/>
      <c r="E4229" s="261"/>
    </row>
    <row r="4230" spans="2:5" x14ac:dyDescent="0.3">
      <c r="B4230" s="274"/>
      <c r="C4230" s="108"/>
      <c r="D4230" s="261"/>
      <c r="E4230" s="261"/>
    </row>
    <row r="4231" spans="2:5" x14ac:dyDescent="0.3">
      <c r="B4231" s="274"/>
      <c r="C4231" s="108"/>
      <c r="D4231" s="261"/>
      <c r="E4231" s="261"/>
    </row>
    <row r="4232" spans="2:5" x14ac:dyDescent="0.3">
      <c r="B4232" s="274"/>
      <c r="C4232" s="108"/>
      <c r="D4232" s="261"/>
      <c r="E4232" s="261"/>
    </row>
    <row r="4233" spans="2:5" x14ac:dyDescent="0.3">
      <c r="B4233" s="274"/>
      <c r="C4233" s="108"/>
      <c r="D4233" s="261"/>
      <c r="E4233" s="261"/>
    </row>
    <row r="4234" spans="2:5" x14ac:dyDescent="0.3">
      <c r="B4234" s="274"/>
      <c r="C4234" s="108"/>
      <c r="D4234" s="261"/>
      <c r="E4234" s="261"/>
    </row>
    <row r="4235" spans="2:5" x14ac:dyDescent="0.3">
      <c r="B4235" s="274"/>
      <c r="C4235" s="108"/>
      <c r="D4235" s="261"/>
      <c r="E4235" s="261"/>
    </row>
    <row r="4236" spans="2:5" x14ac:dyDescent="0.3">
      <c r="B4236" s="274"/>
      <c r="C4236" s="108"/>
      <c r="D4236" s="261"/>
      <c r="E4236" s="261"/>
    </row>
    <row r="4237" spans="2:5" x14ac:dyDescent="0.3">
      <c r="B4237" s="274"/>
      <c r="C4237" s="108"/>
      <c r="D4237" s="261"/>
      <c r="E4237" s="261"/>
    </row>
    <row r="4238" spans="2:5" x14ac:dyDescent="0.3">
      <c r="B4238" s="274"/>
      <c r="C4238" s="108"/>
      <c r="D4238" s="261"/>
      <c r="E4238" s="261"/>
    </row>
    <row r="4239" spans="2:5" x14ac:dyDescent="0.3">
      <c r="B4239" s="274"/>
      <c r="C4239" s="108"/>
      <c r="D4239" s="261"/>
      <c r="E4239" s="261"/>
    </row>
    <row r="4240" spans="2:5" x14ac:dyDescent="0.3">
      <c r="B4240" s="274"/>
      <c r="C4240" s="108"/>
      <c r="D4240" s="261"/>
      <c r="E4240" s="261"/>
    </row>
    <row r="4241" spans="2:5" x14ac:dyDescent="0.3">
      <c r="B4241" s="274"/>
      <c r="C4241" s="108"/>
      <c r="D4241" s="261"/>
      <c r="E4241" s="261"/>
    </row>
    <row r="4242" spans="2:5" x14ac:dyDescent="0.3">
      <c r="B4242" s="274"/>
      <c r="C4242" s="108"/>
      <c r="D4242" s="261"/>
      <c r="E4242" s="261"/>
    </row>
    <row r="4243" spans="2:5" x14ac:dyDescent="0.3">
      <c r="B4243" s="274"/>
      <c r="C4243" s="108"/>
      <c r="D4243" s="261"/>
      <c r="E4243" s="261"/>
    </row>
    <row r="4244" spans="2:5" x14ac:dyDescent="0.3">
      <c r="B4244" s="274"/>
      <c r="C4244" s="108"/>
      <c r="D4244" s="261"/>
      <c r="E4244" s="261"/>
    </row>
    <row r="4245" spans="2:5" x14ac:dyDescent="0.3">
      <c r="B4245" s="274"/>
      <c r="C4245" s="108"/>
      <c r="D4245" s="261"/>
      <c r="E4245" s="261"/>
    </row>
    <row r="4246" spans="2:5" x14ac:dyDescent="0.3">
      <c r="B4246" s="274"/>
      <c r="C4246" s="108"/>
      <c r="D4246" s="261"/>
      <c r="E4246" s="261"/>
    </row>
    <row r="4247" spans="2:5" x14ac:dyDescent="0.3">
      <c r="B4247" s="274"/>
      <c r="C4247" s="108"/>
      <c r="D4247" s="261"/>
      <c r="E4247" s="261"/>
    </row>
    <row r="4248" spans="2:5" x14ac:dyDescent="0.3">
      <c r="B4248" s="274"/>
      <c r="C4248" s="108"/>
      <c r="D4248" s="261"/>
      <c r="E4248" s="261"/>
    </row>
    <row r="4249" spans="2:5" x14ac:dyDescent="0.3">
      <c r="B4249" s="274"/>
      <c r="C4249" s="108"/>
      <c r="D4249" s="261"/>
      <c r="E4249" s="261"/>
    </row>
    <row r="4250" spans="2:5" x14ac:dyDescent="0.3">
      <c r="B4250" s="274"/>
      <c r="C4250" s="108"/>
      <c r="D4250" s="261"/>
      <c r="E4250" s="261"/>
    </row>
    <row r="4251" spans="2:5" x14ac:dyDescent="0.3">
      <c r="B4251" s="274"/>
      <c r="C4251" s="108"/>
      <c r="D4251" s="261"/>
      <c r="E4251" s="261"/>
    </row>
    <row r="4252" spans="2:5" x14ac:dyDescent="0.3">
      <c r="B4252" s="274"/>
      <c r="C4252" s="108"/>
      <c r="D4252" s="261"/>
      <c r="E4252" s="261"/>
    </row>
    <row r="4253" spans="2:5" x14ac:dyDescent="0.3">
      <c r="B4253" s="274"/>
      <c r="C4253" s="108"/>
      <c r="D4253" s="261"/>
      <c r="E4253" s="261"/>
    </row>
    <row r="4254" spans="2:5" x14ac:dyDescent="0.3">
      <c r="B4254" s="274"/>
      <c r="C4254" s="108"/>
      <c r="D4254" s="261"/>
      <c r="E4254" s="261"/>
    </row>
    <row r="4255" spans="2:5" x14ac:dyDescent="0.3">
      <c r="B4255" s="274"/>
      <c r="C4255" s="108"/>
      <c r="D4255" s="261"/>
      <c r="E4255" s="261"/>
    </row>
    <row r="4256" spans="2:5" x14ac:dyDescent="0.3">
      <c r="B4256" s="274"/>
      <c r="C4256" s="108"/>
      <c r="D4256" s="261"/>
      <c r="E4256" s="261"/>
    </row>
    <row r="4257" spans="2:5" x14ac:dyDescent="0.3">
      <c r="B4257" s="274"/>
      <c r="C4257" s="108"/>
      <c r="D4257" s="261"/>
      <c r="E4257" s="261"/>
    </row>
    <row r="4258" spans="2:5" x14ac:dyDescent="0.3">
      <c r="B4258" s="274"/>
      <c r="C4258" s="108"/>
      <c r="D4258" s="261"/>
      <c r="E4258" s="261"/>
    </row>
    <row r="4259" spans="2:5" x14ac:dyDescent="0.3">
      <c r="B4259" s="274"/>
      <c r="C4259" s="108"/>
      <c r="D4259" s="261"/>
      <c r="E4259" s="261"/>
    </row>
    <row r="4260" spans="2:5" x14ac:dyDescent="0.3">
      <c r="B4260" s="274"/>
      <c r="C4260" s="108"/>
      <c r="D4260" s="261"/>
      <c r="E4260" s="261"/>
    </row>
    <row r="4261" spans="2:5" x14ac:dyDescent="0.3">
      <c r="B4261" s="274"/>
      <c r="C4261" s="108"/>
      <c r="D4261" s="261"/>
      <c r="E4261" s="261"/>
    </row>
    <row r="4262" spans="2:5" x14ac:dyDescent="0.3">
      <c r="B4262" s="274"/>
      <c r="C4262" s="108"/>
      <c r="D4262" s="261"/>
      <c r="E4262" s="261"/>
    </row>
    <row r="4263" spans="2:5" x14ac:dyDescent="0.3">
      <c r="B4263" s="274"/>
      <c r="C4263" s="108"/>
      <c r="D4263" s="261"/>
      <c r="E4263" s="261"/>
    </row>
    <row r="4264" spans="2:5" x14ac:dyDescent="0.3">
      <c r="B4264" s="274"/>
      <c r="C4264" s="108"/>
      <c r="D4264" s="261"/>
      <c r="E4264" s="261"/>
    </row>
    <row r="4265" spans="2:5" x14ac:dyDescent="0.3">
      <c r="B4265" s="274"/>
      <c r="C4265" s="108"/>
      <c r="D4265" s="261"/>
      <c r="E4265" s="261"/>
    </row>
    <row r="4266" spans="2:5" x14ac:dyDescent="0.3">
      <c r="B4266" s="274"/>
      <c r="C4266" s="108"/>
      <c r="D4266" s="261"/>
      <c r="E4266" s="261"/>
    </row>
    <row r="4267" spans="2:5" x14ac:dyDescent="0.3">
      <c r="B4267" s="274"/>
      <c r="C4267" s="108"/>
      <c r="D4267" s="261"/>
      <c r="E4267" s="261"/>
    </row>
    <row r="4268" spans="2:5" x14ac:dyDescent="0.3">
      <c r="B4268" s="274"/>
      <c r="C4268" s="108"/>
      <c r="D4268" s="261"/>
      <c r="E4268" s="261"/>
    </row>
    <row r="4269" spans="2:5" x14ac:dyDescent="0.3">
      <c r="B4269" s="274"/>
      <c r="C4269" s="108"/>
      <c r="D4269" s="261"/>
      <c r="E4269" s="261"/>
    </row>
    <row r="4270" spans="2:5" x14ac:dyDescent="0.3">
      <c r="B4270" s="274"/>
      <c r="C4270" s="108"/>
      <c r="D4270" s="261"/>
      <c r="E4270" s="261"/>
    </row>
    <row r="4271" spans="2:5" x14ac:dyDescent="0.3">
      <c r="B4271" s="274"/>
      <c r="C4271" s="108"/>
      <c r="D4271" s="261"/>
      <c r="E4271" s="261"/>
    </row>
    <row r="4272" spans="2:5" x14ac:dyDescent="0.3">
      <c r="B4272" s="274"/>
      <c r="C4272" s="108"/>
      <c r="D4272" s="261"/>
      <c r="E4272" s="261"/>
    </row>
    <row r="4273" spans="2:5" x14ac:dyDescent="0.3">
      <c r="B4273" s="274"/>
      <c r="C4273" s="108"/>
      <c r="D4273" s="261"/>
      <c r="E4273" s="261"/>
    </row>
    <row r="4274" spans="2:5" x14ac:dyDescent="0.3">
      <c r="B4274" s="274"/>
      <c r="C4274" s="108"/>
      <c r="D4274" s="261"/>
      <c r="E4274" s="261"/>
    </row>
    <row r="4275" spans="2:5" x14ac:dyDescent="0.3">
      <c r="B4275" s="274"/>
      <c r="C4275" s="108"/>
      <c r="D4275" s="261"/>
      <c r="E4275" s="261"/>
    </row>
    <row r="4276" spans="2:5" x14ac:dyDescent="0.3">
      <c r="B4276" s="274"/>
      <c r="C4276" s="108"/>
      <c r="D4276" s="261"/>
      <c r="E4276" s="261"/>
    </row>
    <row r="4277" spans="2:5" x14ac:dyDescent="0.3">
      <c r="B4277" s="274"/>
      <c r="C4277" s="108"/>
      <c r="D4277" s="261"/>
      <c r="E4277" s="261"/>
    </row>
    <row r="4278" spans="2:5" x14ac:dyDescent="0.3">
      <c r="B4278" s="274"/>
      <c r="C4278" s="108"/>
      <c r="D4278" s="261"/>
      <c r="E4278" s="261"/>
    </row>
    <row r="4279" spans="2:5" x14ac:dyDescent="0.3">
      <c r="B4279" s="274"/>
      <c r="C4279" s="108"/>
      <c r="D4279" s="261"/>
      <c r="E4279" s="261"/>
    </row>
    <row r="4280" spans="2:5" x14ac:dyDescent="0.3">
      <c r="B4280" s="274"/>
      <c r="C4280" s="108"/>
      <c r="D4280" s="261"/>
      <c r="E4280" s="261"/>
    </row>
    <row r="4281" spans="2:5" x14ac:dyDescent="0.3">
      <c r="B4281" s="274"/>
      <c r="C4281" s="108"/>
      <c r="D4281" s="261"/>
      <c r="E4281" s="261"/>
    </row>
    <row r="4282" spans="2:5" x14ac:dyDescent="0.3">
      <c r="B4282" s="274"/>
      <c r="C4282" s="108"/>
      <c r="D4282" s="261"/>
      <c r="E4282" s="261"/>
    </row>
    <row r="4283" spans="2:5" x14ac:dyDescent="0.3">
      <c r="B4283" s="274"/>
      <c r="C4283" s="108"/>
      <c r="D4283" s="261"/>
      <c r="E4283" s="261"/>
    </row>
    <row r="4284" spans="2:5" x14ac:dyDescent="0.3">
      <c r="B4284" s="274"/>
      <c r="C4284" s="108"/>
      <c r="D4284" s="261"/>
      <c r="E4284" s="261"/>
    </row>
    <row r="4285" spans="2:5" x14ac:dyDescent="0.3">
      <c r="B4285" s="274"/>
      <c r="C4285" s="108"/>
      <c r="D4285" s="261"/>
      <c r="E4285" s="261"/>
    </row>
    <row r="4286" spans="2:5" x14ac:dyDescent="0.3">
      <c r="B4286" s="274"/>
      <c r="C4286" s="108"/>
      <c r="D4286" s="261"/>
      <c r="E4286" s="261"/>
    </row>
    <row r="4287" spans="2:5" x14ac:dyDescent="0.3">
      <c r="B4287" s="274"/>
      <c r="C4287" s="108"/>
      <c r="D4287" s="261"/>
      <c r="E4287" s="261"/>
    </row>
    <row r="4288" spans="2:5" x14ac:dyDescent="0.3">
      <c r="B4288" s="274"/>
      <c r="C4288" s="108"/>
      <c r="D4288" s="261"/>
      <c r="E4288" s="261"/>
    </row>
    <row r="4289" spans="2:5" x14ac:dyDescent="0.3">
      <c r="B4289" s="274"/>
      <c r="C4289" s="108"/>
      <c r="D4289" s="261"/>
      <c r="E4289" s="261"/>
    </row>
    <row r="4290" spans="2:5" x14ac:dyDescent="0.3">
      <c r="B4290" s="274"/>
      <c r="C4290" s="108"/>
      <c r="D4290" s="261"/>
      <c r="E4290" s="261"/>
    </row>
    <row r="4291" spans="2:5" x14ac:dyDescent="0.3">
      <c r="B4291" s="274"/>
      <c r="C4291" s="108"/>
      <c r="D4291" s="261"/>
      <c r="E4291" s="261"/>
    </row>
    <row r="4292" spans="2:5" x14ac:dyDescent="0.3">
      <c r="B4292" s="274"/>
      <c r="C4292" s="108"/>
      <c r="D4292" s="261"/>
      <c r="E4292" s="261"/>
    </row>
    <row r="4293" spans="2:5" x14ac:dyDescent="0.3">
      <c r="B4293" s="274"/>
      <c r="C4293" s="108"/>
      <c r="D4293" s="261"/>
      <c r="E4293" s="261"/>
    </row>
    <row r="4294" spans="2:5" x14ac:dyDescent="0.3">
      <c r="B4294" s="274"/>
      <c r="C4294" s="108"/>
      <c r="D4294" s="261"/>
      <c r="E4294" s="261"/>
    </row>
    <row r="4295" spans="2:5" x14ac:dyDescent="0.3">
      <c r="B4295" s="274"/>
      <c r="C4295" s="108"/>
      <c r="D4295" s="261"/>
      <c r="E4295" s="261"/>
    </row>
    <row r="4296" spans="2:5" x14ac:dyDescent="0.3">
      <c r="B4296" s="274"/>
      <c r="C4296" s="108"/>
      <c r="D4296" s="261"/>
      <c r="E4296" s="261"/>
    </row>
    <row r="4297" spans="2:5" x14ac:dyDescent="0.3">
      <c r="B4297" s="274"/>
      <c r="C4297" s="108"/>
      <c r="D4297" s="261"/>
      <c r="E4297" s="261"/>
    </row>
    <row r="4298" spans="2:5" x14ac:dyDescent="0.3">
      <c r="B4298" s="274"/>
      <c r="C4298" s="108"/>
      <c r="D4298" s="261"/>
      <c r="E4298" s="261"/>
    </row>
    <row r="4299" spans="2:5" x14ac:dyDescent="0.3">
      <c r="B4299" s="274"/>
      <c r="C4299" s="108"/>
      <c r="D4299" s="261"/>
      <c r="E4299" s="261"/>
    </row>
    <row r="4300" spans="2:5" x14ac:dyDescent="0.3">
      <c r="B4300" s="274"/>
      <c r="C4300" s="108"/>
      <c r="D4300" s="261"/>
      <c r="E4300" s="261"/>
    </row>
    <row r="4301" spans="2:5" x14ac:dyDescent="0.3">
      <c r="B4301" s="274"/>
      <c r="C4301" s="108"/>
      <c r="D4301" s="261"/>
      <c r="E4301" s="261"/>
    </row>
    <row r="4302" spans="2:5" x14ac:dyDescent="0.3">
      <c r="B4302" s="274"/>
      <c r="C4302" s="108"/>
      <c r="D4302" s="261"/>
      <c r="E4302" s="261"/>
    </row>
    <row r="4303" spans="2:5" x14ac:dyDescent="0.3">
      <c r="B4303" s="274"/>
      <c r="C4303" s="108"/>
      <c r="D4303" s="261"/>
      <c r="E4303" s="261"/>
    </row>
    <row r="4304" spans="2:5" x14ac:dyDescent="0.3">
      <c r="B4304" s="274"/>
      <c r="C4304" s="108"/>
      <c r="D4304" s="261"/>
      <c r="E4304" s="261"/>
    </row>
    <row r="4305" spans="2:5" x14ac:dyDescent="0.3">
      <c r="B4305" s="274"/>
      <c r="C4305" s="108"/>
      <c r="D4305" s="261"/>
      <c r="E4305" s="261"/>
    </row>
    <row r="4306" spans="2:5" x14ac:dyDescent="0.3">
      <c r="B4306" s="274"/>
      <c r="C4306" s="108"/>
      <c r="D4306" s="261"/>
      <c r="E4306" s="261"/>
    </row>
    <row r="4307" spans="2:5" x14ac:dyDescent="0.3">
      <c r="B4307" s="274"/>
      <c r="C4307" s="108"/>
      <c r="D4307" s="261"/>
      <c r="E4307" s="261"/>
    </row>
    <row r="4308" spans="2:5" x14ac:dyDescent="0.3">
      <c r="B4308" s="274"/>
      <c r="C4308" s="108"/>
      <c r="D4308" s="261"/>
      <c r="E4308" s="261"/>
    </row>
    <row r="4309" spans="2:5" x14ac:dyDescent="0.3">
      <c r="B4309" s="274"/>
      <c r="C4309" s="108"/>
      <c r="D4309" s="261"/>
      <c r="E4309" s="261"/>
    </row>
    <row r="4310" spans="2:5" x14ac:dyDescent="0.3">
      <c r="B4310" s="274"/>
      <c r="C4310" s="108"/>
      <c r="D4310" s="261"/>
      <c r="E4310" s="261"/>
    </row>
    <row r="4311" spans="2:5" x14ac:dyDescent="0.3">
      <c r="B4311" s="274"/>
      <c r="C4311" s="108"/>
      <c r="D4311" s="261"/>
      <c r="E4311" s="261"/>
    </row>
    <row r="4312" spans="2:5" x14ac:dyDescent="0.3">
      <c r="B4312" s="274"/>
      <c r="C4312" s="108"/>
      <c r="D4312" s="261"/>
      <c r="E4312" s="261"/>
    </row>
    <row r="4313" spans="2:5" x14ac:dyDescent="0.3">
      <c r="B4313" s="274"/>
      <c r="C4313" s="108"/>
      <c r="D4313" s="261"/>
      <c r="E4313" s="261"/>
    </row>
    <row r="4314" spans="2:5" x14ac:dyDescent="0.3">
      <c r="B4314" s="274"/>
      <c r="C4314" s="108"/>
      <c r="D4314" s="261"/>
      <c r="E4314" s="261"/>
    </row>
    <row r="4315" spans="2:5" x14ac:dyDescent="0.3">
      <c r="B4315" s="274"/>
      <c r="C4315" s="108"/>
      <c r="D4315" s="261"/>
      <c r="E4315" s="261"/>
    </row>
    <row r="4316" spans="2:5" x14ac:dyDescent="0.3">
      <c r="B4316" s="274"/>
      <c r="C4316" s="108"/>
      <c r="D4316" s="261"/>
      <c r="E4316" s="261"/>
    </row>
    <row r="4317" spans="2:5" x14ac:dyDescent="0.3">
      <c r="B4317" s="274"/>
      <c r="C4317" s="108"/>
      <c r="D4317" s="261"/>
      <c r="E4317" s="261"/>
    </row>
    <row r="4318" spans="2:5" x14ac:dyDescent="0.3">
      <c r="B4318" s="274"/>
      <c r="C4318" s="108"/>
      <c r="D4318" s="261"/>
      <c r="E4318" s="261"/>
    </row>
    <row r="4319" spans="2:5" x14ac:dyDescent="0.3">
      <c r="B4319" s="274"/>
      <c r="C4319" s="108"/>
      <c r="D4319" s="261"/>
      <c r="E4319" s="261"/>
    </row>
    <row r="4320" spans="2:5" x14ac:dyDescent="0.3">
      <c r="B4320" s="274"/>
      <c r="C4320" s="108"/>
      <c r="D4320" s="261"/>
      <c r="E4320" s="261"/>
    </row>
    <row r="4321" spans="2:5" x14ac:dyDescent="0.3">
      <c r="B4321" s="274"/>
      <c r="C4321" s="108"/>
      <c r="D4321" s="261"/>
      <c r="E4321" s="261"/>
    </row>
    <row r="4322" spans="2:5" x14ac:dyDescent="0.3">
      <c r="B4322" s="274"/>
      <c r="C4322" s="108"/>
      <c r="D4322" s="261"/>
      <c r="E4322" s="261"/>
    </row>
    <row r="4323" spans="2:5" x14ac:dyDescent="0.3">
      <c r="B4323" s="274"/>
      <c r="C4323" s="108"/>
      <c r="D4323" s="261"/>
      <c r="E4323" s="261"/>
    </row>
    <row r="4324" spans="2:5" x14ac:dyDescent="0.3">
      <c r="B4324" s="274"/>
      <c r="C4324" s="108"/>
      <c r="D4324" s="261"/>
      <c r="E4324" s="261"/>
    </row>
    <row r="4325" spans="2:5" x14ac:dyDescent="0.3">
      <c r="B4325" s="274"/>
      <c r="C4325" s="108"/>
      <c r="D4325" s="261"/>
      <c r="E4325" s="261"/>
    </row>
    <row r="4326" spans="2:5" x14ac:dyDescent="0.3">
      <c r="B4326" s="274"/>
      <c r="C4326" s="108"/>
      <c r="D4326" s="261"/>
      <c r="E4326" s="261"/>
    </row>
    <row r="4327" spans="2:5" x14ac:dyDescent="0.3">
      <c r="B4327" s="274"/>
      <c r="C4327" s="108"/>
      <c r="D4327" s="261"/>
      <c r="E4327" s="261"/>
    </row>
    <row r="4328" spans="2:5" x14ac:dyDescent="0.3">
      <c r="B4328" s="274"/>
      <c r="C4328" s="108"/>
      <c r="D4328" s="261"/>
      <c r="E4328" s="261"/>
    </row>
    <row r="4329" spans="2:5" x14ac:dyDescent="0.3">
      <c r="B4329" s="274"/>
      <c r="C4329" s="108"/>
      <c r="D4329" s="261"/>
      <c r="E4329" s="261"/>
    </row>
    <row r="4330" spans="2:5" x14ac:dyDescent="0.3">
      <c r="B4330" s="274"/>
      <c r="C4330" s="108"/>
      <c r="D4330" s="261"/>
      <c r="E4330" s="261"/>
    </row>
    <row r="4331" spans="2:5" x14ac:dyDescent="0.3">
      <c r="B4331" s="274"/>
      <c r="C4331" s="108"/>
      <c r="D4331" s="261"/>
      <c r="E4331" s="261"/>
    </row>
    <row r="4332" spans="2:5" x14ac:dyDescent="0.3">
      <c r="B4332" s="274"/>
      <c r="C4332" s="108"/>
      <c r="D4332" s="261"/>
      <c r="E4332" s="261"/>
    </row>
    <row r="4333" spans="2:5" x14ac:dyDescent="0.3">
      <c r="B4333" s="274"/>
      <c r="C4333" s="108"/>
      <c r="D4333" s="261"/>
      <c r="E4333" s="261"/>
    </row>
    <row r="4334" spans="2:5" x14ac:dyDescent="0.3">
      <c r="B4334" s="274"/>
      <c r="C4334" s="108"/>
      <c r="D4334" s="261"/>
      <c r="E4334" s="261"/>
    </row>
    <row r="4335" spans="2:5" x14ac:dyDescent="0.3">
      <c r="B4335" s="274"/>
      <c r="C4335" s="108"/>
      <c r="D4335" s="261"/>
      <c r="E4335" s="261"/>
    </row>
    <row r="4336" spans="2:5" x14ac:dyDescent="0.3">
      <c r="B4336" s="274"/>
      <c r="C4336" s="108"/>
      <c r="D4336" s="261"/>
      <c r="E4336" s="261"/>
    </row>
    <row r="4337" spans="2:5" x14ac:dyDescent="0.3">
      <c r="B4337" s="274"/>
      <c r="C4337" s="108"/>
      <c r="D4337" s="261"/>
      <c r="E4337" s="261"/>
    </row>
    <row r="4338" spans="2:5" x14ac:dyDescent="0.3">
      <c r="B4338" s="274"/>
      <c r="C4338" s="108"/>
      <c r="D4338" s="261"/>
      <c r="E4338" s="261"/>
    </row>
    <row r="4339" spans="2:5" x14ac:dyDescent="0.3">
      <c r="B4339" s="274"/>
      <c r="C4339" s="108"/>
      <c r="D4339" s="261"/>
      <c r="E4339" s="261"/>
    </row>
    <row r="4340" spans="2:5" x14ac:dyDescent="0.3">
      <c r="B4340" s="274"/>
      <c r="C4340" s="108"/>
      <c r="D4340" s="261"/>
      <c r="E4340" s="261"/>
    </row>
    <row r="4341" spans="2:5" x14ac:dyDescent="0.3">
      <c r="B4341" s="274"/>
      <c r="C4341" s="108"/>
      <c r="D4341" s="261"/>
      <c r="E4341" s="261"/>
    </row>
    <row r="4342" spans="2:5" x14ac:dyDescent="0.3">
      <c r="B4342" s="274"/>
      <c r="C4342" s="108"/>
      <c r="D4342" s="261"/>
      <c r="E4342" s="261"/>
    </row>
    <row r="4343" spans="2:5" x14ac:dyDescent="0.3">
      <c r="B4343" s="274"/>
      <c r="C4343" s="108"/>
      <c r="D4343" s="261"/>
      <c r="E4343" s="261"/>
    </row>
    <row r="4344" spans="2:5" x14ac:dyDescent="0.3">
      <c r="B4344" s="274"/>
      <c r="C4344" s="108"/>
      <c r="D4344" s="261"/>
      <c r="E4344" s="261"/>
    </row>
    <row r="4345" spans="2:5" x14ac:dyDescent="0.3">
      <c r="B4345" s="274"/>
      <c r="C4345" s="108"/>
      <c r="D4345" s="261"/>
      <c r="E4345" s="261"/>
    </row>
    <row r="4346" spans="2:5" x14ac:dyDescent="0.3">
      <c r="B4346" s="274"/>
      <c r="C4346" s="108"/>
      <c r="D4346" s="261"/>
      <c r="E4346" s="261"/>
    </row>
    <row r="4347" spans="2:5" x14ac:dyDescent="0.3">
      <c r="B4347" s="274"/>
      <c r="C4347" s="108"/>
      <c r="D4347" s="261"/>
      <c r="E4347" s="261"/>
    </row>
    <row r="4348" spans="2:5" x14ac:dyDescent="0.3">
      <c r="B4348" s="274"/>
      <c r="C4348" s="108"/>
      <c r="D4348" s="261"/>
      <c r="E4348" s="261"/>
    </row>
    <row r="4349" spans="2:5" x14ac:dyDescent="0.3">
      <c r="B4349" s="274"/>
      <c r="C4349" s="108"/>
      <c r="D4349" s="261"/>
      <c r="E4349" s="261"/>
    </row>
    <row r="4350" spans="2:5" x14ac:dyDescent="0.3">
      <c r="B4350" s="274"/>
      <c r="C4350" s="108"/>
      <c r="D4350" s="261"/>
      <c r="E4350" s="261"/>
    </row>
    <row r="4351" spans="2:5" x14ac:dyDescent="0.3">
      <c r="B4351" s="274"/>
      <c r="C4351" s="108"/>
      <c r="D4351" s="261"/>
      <c r="E4351" s="261"/>
    </row>
    <row r="4352" spans="2:5" x14ac:dyDescent="0.3">
      <c r="B4352" s="274"/>
      <c r="C4352" s="108"/>
      <c r="D4352" s="261"/>
      <c r="E4352" s="261"/>
    </row>
    <row r="4353" spans="2:5" x14ac:dyDescent="0.3">
      <c r="B4353" s="274"/>
      <c r="C4353" s="108"/>
      <c r="D4353" s="261"/>
      <c r="E4353" s="261"/>
    </row>
    <row r="4354" spans="2:5" x14ac:dyDescent="0.3">
      <c r="B4354" s="274"/>
      <c r="C4354" s="108"/>
      <c r="D4354" s="261"/>
      <c r="E4354" s="261"/>
    </row>
    <row r="4355" spans="2:5" x14ac:dyDescent="0.3">
      <c r="B4355" s="274"/>
      <c r="C4355" s="108"/>
      <c r="D4355" s="261"/>
      <c r="E4355" s="261"/>
    </row>
    <row r="4356" spans="2:5" x14ac:dyDescent="0.3">
      <c r="B4356" s="274"/>
      <c r="C4356" s="108"/>
      <c r="D4356" s="261"/>
      <c r="E4356" s="261"/>
    </row>
    <row r="4357" spans="2:5" x14ac:dyDescent="0.3">
      <c r="B4357" s="274"/>
      <c r="C4357" s="108"/>
      <c r="D4357" s="261"/>
      <c r="E4357" s="261"/>
    </row>
    <row r="4358" spans="2:5" x14ac:dyDescent="0.3">
      <c r="B4358" s="274"/>
      <c r="C4358" s="108"/>
      <c r="D4358" s="261"/>
      <c r="E4358" s="261"/>
    </row>
    <row r="4359" spans="2:5" x14ac:dyDescent="0.3">
      <c r="B4359" s="274"/>
      <c r="C4359" s="108"/>
      <c r="D4359" s="261"/>
      <c r="E4359" s="261"/>
    </row>
    <row r="4360" spans="2:5" x14ac:dyDescent="0.3">
      <c r="B4360" s="274"/>
      <c r="C4360" s="108"/>
      <c r="D4360" s="261"/>
      <c r="E4360" s="261"/>
    </row>
    <row r="4361" spans="2:5" x14ac:dyDescent="0.3">
      <c r="B4361" s="274"/>
      <c r="C4361" s="108"/>
      <c r="D4361" s="261"/>
      <c r="E4361" s="261"/>
    </row>
    <row r="4362" spans="2:5" x14ac:dyDescent="0.3">
      <c r="B4362" s="274"/>
      <c r="C4362" s="108"/>
      <c r="D4362" s="261"/>
      <c r="E4362" s="261"/>
    </row>
    <row r="4363" spans="2:5" x14ac:dyDescent="0.3">
      <c r="B4363" s="274"/>
      <c r="C4363" s="108"/>
      <c r="D4363" s="261"/>
      <c r="E4363" s="261"/>
    </row>
    <row r="4364" spans="2:5" x14ac:dyDescent="0.3">
      <c r="B4364" s="274"/>
      <c r="C4364" s="108"/>
      <c r="D4364" s="261"/>
      <c r="E4364" s="261"/>
    </row>
    <row r="4365" spans="2:5" x14ac:dyDescent="0.3">
      <c r="B4365" s="274"/>
      <c r="C4365" s="108"/>
      <c r="D4365" s="261"/>
      <c r="E4365" s="261"/>
    </row>
    <row r="4366" spans="2:5" x14ac:dyDescent="0.3">
      <c r="B4366" s="274"/>
      <c r="C4366" s="108"/>
      <c r="D4366" s="261"/>
      <c r="E4366" s="261"/>
    </row>
    <row r="4367" spans="2:5" x14ac:dyDescent="0.3">
      <c r="B4367" s="274"/>
      <c r="C4367" s="108"/>
      <c r="D4367" s="261"/>
      <c r="E4367" s="261"/>
    </row>
    <row r="4368" spans="2:5" x14ac:dyDescent="0.3">
      <c r="B4368" s="274"/>
      <c r="C4368" s="108"/>
      <c r="D4368" s="261"/>
      <c r="E4368" s="261"/>
    </row>
    <row r="4369" spans="2:5" x14ac:dyDescent="0.3">
      <c r="B4369" s="274"/>
      <c r="C4369" s="108"/>
      <c r="D4369" s="261"/>
      <c r="E4369" s="261"/>
    </row>
    <row r="4370" spans="2:5" x14ac:dyDescent="0.3">
      <c r="B4370" s="274"/>
      <c r="C4370" s="108"/>
      <c r="D4370" s="261"/>
      <c r="E4370" s="261"/>
    </row>
    <row r="4371" spans="2:5" x14ac:dyDescent="0.3">
      <c r="B4371" s="274"/>
      <c r="C4371" s="108"/>
      <c r="D4371" s="261"/>
      <c r="E4371" s="261"/>
    </row>
    <row r="4372" spans="2:5" x14ac:dyDescent="0.3">
      <c r="B4372" s="274"/>
      <c r="C4372" s="108"/>
      <c r="D4372" s="261"/>
      <c r="E4372" s="261"/>
    </row>
    <row r="4373" spans="2:5" x14ac:dyDescent="0.3">
      <c r="B4373" s="274"/>
      <c r="C4373" s="108"/>
      <c r="D4373" s="261"/>
      <c r="E4373" s="261"/>
    </row>
    <row r="4374" spans="2:5" x14ac:dyDescent="0.3">
      <c r="B4374" s="274"/>
      <c r="C4374" s="108"/>
      <c r="D4374" s="261"/>
      <c r="E4374" s="261"/>
    </row>
    <row r="4375" spans="2:5" x14ac:dyDescent="0.3">
      <c r="B4375" s="274"/>
      <c r="C4375" s="108"/>
      <c r="D4375" s="261"/>
      <c r="E4375" s="261"/>
    </row>
    <row r="4376" spans="2:5" x14ac:dyDescent="0.3">
      <c r="B4376" s="274"/>
      <c r="C4376" s="108"/>
      <c r="D4376" s="261"/>
      <c r="E4376" s="261"/>
    </row>
    <row r="4377" spans="2:5" x14ac:dyDescent="0.3">
      <c r="B4377" s="274"/>
      <c r="C4377" s="108"/>
      <c r="D4377" s="261"/>
      <c r="E4377" s="261"/>
    </row>
    <row r="4378" spans="2:5" x14ac:dyDescent="0.3">
      <c r="B4378" s="274"/>
      <c r="C4378" s="108"/>
      <c r="D4378" s="261"/>
      <c r="E4378" s="261"/>
    </row>
    <row r="4379" spans="2:5" x14ac:dyDescent="0.3">
      <c r="B4379" s="274"/>
      <c r="C4379" s="108"/>
      <c r="D4379" s="261"/>
      <c r="E4379" s="261"/>
    </row>
    <row r="4380" spans="2:5" x14ac:dyDescent="0.3">
      <c r="B4380" s="274"/>
      <c r="C4380" s="108"/>
      <c r="D4380" s="261"/>
      <c r="E4380" s="261"/>
    </row>
    <row r="4381" spans="2:5" x14ac:dyDescent="0.3">
      <c r="B4381" s="274"/>
      <c r="C4381" s="108"/>
      <c r="D4381" s="261"/>
      <c r="E4381" s="261"/>
    </row>
    <row r="4382" spans="2:5" x14ac:dyDescent="0.3">
      <c r="B4382" s="274"/>
      <c r="C4382" s="108"/>
      <c r="D4382" s="261"/>
      <c r="E4382" s="261"/>
    </row>
    <row r="4383" spans="2:5" x14ac:dyDescent="0.3">
      <c r="B4383" s="274"/>
      <c r="C4383" s="108"/>
      <c r="D4383" s="261"/>
      <c r="E4383" s="261"/>
    </row>
    <row r="4384" spans="2:5" x14ac:dyDescent="0.3">
      <c r="B4384" s="274"/>
      <c r="C4384" s="108"/>
      <c r="D4384" s="261"/>
      <c r="E4384" s="261"/>
    </row>
    <row r="4385" spans="2:5" x14ac:dyDescent="0.3">
      <c r="B4385" s="274"/>
      <c r="C4385" s="108"/>
      <c r="D4385" s="261"/>
      <c r="E4385" s="261"/>
    </row>
    <row r="4386" spans="2:5" x14ac:dyDescent="0.3">
      <c r="B4386" s="274"/>
      <c r="C4386" s="108"/>
      <c r="D4386" s="261"/>
      <c r="E4386" s="261"/>
    </row>
    <row r="4387" spans="2:5" x14ac:dyDescent="0.3">
      <c r="B4387" s="274"/>
      <c r="C4387" s="108"/>
      <c r="D4387" s="261"/>
      <c r="E4387" s="261"/>
    </row>
    <row r="4388" spans="2:5" x14ac:dyDescent="0.3">
      <c r="B4388" s="274"/>
      <c r="C4388" s="108"/>
      <c r="D4388" s="261"/>
      <c r="E4388" s="261"/>
    </row>
    <row r="4389" spans="2:5" x14ac:dyDescent="0.3">
      <c r="B4389" s="274"/>
      <c r="C4389" s="108"/>
      <c r="D4389" s="261"/>
      <c r="E4389" s="261"/>
    </row>
    <row r="4390" spans="2:5" x14ac:dyDescent="0.3">
      <c r="B4390" s="274"/>
      <c r="C4390" s="108"/>
      <c r="D4390" s="261"/>
      <c r="E4390" s="261"/>
    </row>
    <row r="4391" spans="2:5" x14ac:dyDescent="0.3">
      <c r="B4391" s="274"/>
      <c r="C4391" s="108"/>
      <c r="D4391" s="261"/>
      <c r="E4391" s="261"/>
    </row>
    <row r="4392" spans="2:5" x14ac:dyDescent="0.3">
      <c r="B4392" s="274"/>
      <c r="C4392" s="108"/>
      <c r="D4392" s="261"/>
      <c r="E4392" s="261"/>
    </row>
    <row r="4393" spans="2:5" x14ac:dyDescent="0.3">
      <c r="B4393" s="274"/>
      <c r="C4393" s="108"/>
      <c r="D4393" s="261"/>
      <c r="E4393" s="261"/>
    </row>
    <row r="4394" spans="2:5" x14ac:dyDescent="0.3">
      <c r="B4394" s="274"/>
      <c r="C4394" s="108"/>
      <c r="D4394" s="261"/>
      <c r="E4394" s="261"/>
    </row>
    <row r="4395" spans="2:5" x14ac:dyDescent="0.3">
      <c r="B4395" s="274"/>
      <c r="C4395" s="108"/>
      <c r="D4395" s="261"/>
      <c r="E4395" s="261"/>
    </row>
    <row r="4396" spans="2:5" x14ac:dyDescent="0.3">
      <c r="B4396" s="274"/>
      <c r="C4396" s="108"/>
      <c r="D4396" s="261"/>
      <c r="E4396" s="261"/>
    </row>
    <row r="4397" spans="2:5" x14ac:dyDescent="0.3">
      <c r="B4397" s="274"/>
      <c r="C4397" s="108"/>
      <c r="D4397" s="261"/>
      <c r="E4397" s="261"/>
    </row>
    <row r="4398" spans="2:5" x14ac:dyDescent="0.3">
      <c r="B4398" s="274"/>
      <c r="C4398" s="108"/>
      <c r="D4398" s="261"/>
      <c r="E4398" s="261"/>
    </row>
    <row r="4399" spans="2:5" x14ac:dyDescent="0.3">
      <c r="B4399" s="274"/>
      <c r="C4399" s="108"/>
      <c r="D4399" s="261"/>
      <c r="E4399" s="261"/>
    </row>
    <row r="4400" spans="2:5" x14ac:dyDescent="0.3">
      <c r="B4400" s="274"/>
      <c r="C4400" s="108"/>
      <c r="D4400" s="261"/>
      <c r="E4400" s="261"/>
    </row>
    <row r="4401" spans="2:5" x14ac:dyDescent="0.3">
      <c r="B4401" s="274"/>
      <c r="C4401" s="108"/>
      <c r="D4401" s="261"/>
      <c r="E4401" s="261"/>
    </row>
    <row r="4402" spans="2:5" x14ac:dyDescent="0.3">
      <c r="B4402" s="274"/>
      <c r="C4402" s="108"/>
      <c r="D4402" s="261"/>
      <c r="E4402" s="261"/>
    </row>
    <row r="4403" spans="2:5" x14ac:dyDescent="0.3">
      <c r="B4403" s="274"/>
      <c r="C4403" s="108"/>
      <c r="D4403" s="261"/>
      <c r="E4403" s="261"/>
    </row>
    <row r="4404" spans="2:5" x14ac:dyDescent="0.3">
      <c r="B4404" s="274"/>
      <c r="C4404" s="108"/>
      <c r="D4404" s="261"/>
      <c r="E4404" s="261"/>
    </row>
    <row r="4405" spans="2:5" x14ac:dyDescent="0.3">
      <c r="B4405" s="274"/>
      <c r="C4405" s="108"/>
      <c r="D4405" s="261"/>
      <c r="E4405" s="261"/>
    </row>
    <row r="4406" spans="2:5" x14ac:dyDescent="0.3">
      <c r="B4406" s="274"/>
      <c r="C4406" s="108"/>
      <c r="D4406" s="261"/>
      <c r="E4406" s="261"/>
    </row>
    <row r="4407" spans="2:5" x14ac:dyDescent="0.3">
      <c r="B4407" s="274"/>
      <c r="C4407" s="108"/>
      <c r="D4407" s="261"/>
      <c r="E4407" s="261"/>
    </row>
    <row r="4408" spans="2:5" x14ac:dyDescent="0.3">
      <c r="B4408" s="274"/>
      <c r="C4408" s="108"/>
      <c r="D4408" s="261"/>
      <c r="E4408" s="261"/>
    </row>
    <row r="4409" spans="2:5" x14ac:dyDescent="0.3">
      <c r="B4409" s="274"/>
      <c r="C4409" s="108"/>
      <c r="D4409" s="261"/>
      <c r="E4409" s="261"/>
    </row>
    <row r="4410" spans="2:5" x14ac:dyDescent="0.3">
      <c r="B4410" s="274"/>
      <c r="C4410" s="108"/>
      <c r="D4410" s="261"/>
      <c r="E4410" s="261"/>
    </row>
    <row r="4411" spans="2:5" x14ac:dyDescent="0.3">
      <c r="B4411" s="274"/>
      <c r="C4411" s="108"/>
      <c r="D4411" s="261"/>
      <c r="E4411" s="261"/>
    </row>
    <row r="4412" spans="2:5" x14ac:dyDescent="0.3">
      <c r="B4412" s="274"/>
      <c r="C4412" s="108"/>
      <c r="D4412" s="261"/>
      <c r="E4412" s="261"/>
    </row>
    <row r="4413" spans="2:5" x14ac:dyDescent="0.3">
      <c r="B4413" s="274"/>
      <c r="C4413" s="108"/>
      <c r="D4413" s="261"/>
      <c r="E4413" s="261"/>
    </row>
    <row r="4414" spans="2:5" x14ac:dyDescent="0.3">
      <c r="B4414" s="274"/>
      <c r="C4414" s="108"/>
      <c r="D4414" s="261"/>
      <c r="E4414" s="261"/>
    </row>
    <row r="4415" spans="2:5" x14ac:dyDescent="0.3">
      <c r="B4415" s="274"/>
      <c r="C4415" s="108"/>
      <c r="D4415" s="261"/>
      <c r="E4415" s="261"/>
    </row>
    <row r="4416" spans="2:5" x14ac:dyDescent="0.3">
      <c r="B4416" s="274"/>
      <c r="C4416" s="108"/>
      <c r="D4416" s="261"/>
      <c r="E4416" s="261"/>
    </row>
    <row r="4417" spans="2:5" x14ac:dyDescent="0.3">
      <c r="B4417" s="274"/>
      <c r="C4417" s="108"/>
      <c r="D4417" s="261"/>
      <c r="E4417" s="261"/>
    </row>
    <row r="4418" spans="2:5" x14ac:dyDescent="0.3">
      <c r="B4418" s="274"/>
      <c r="C4418" s="108"/>
      <c r="D4418" s="261"/>
      <c r="E4418" s="261"/>
    </row>
    <row r="4419" spans="2:5" x14ac:dyDescent="0.3">
      <c r="B4419" s="274"/>
      <c r="C4419" s="108"/>
      <c r="D4419" s="261"/>
      <c r="E4419" s="261"/>
    </row>
    <row r="4420" spans="2:5" x14ac:dyDescent="0.3">
      <c r="B4420" s="274"/>
      <c r="C4420" s="108"/>
      <c r="D4420" s="261"/>
      <c r="E4420" s="261"/>
    </row>
    <row r="4421" spans="2:5" x14ac:dyDescent="0.3">
      <c r="B4421" s="274"/>
      <c r="C4421" s="108"/>
      <c r="D4421" s="261"/>
      <c r="E4421" s="261"/>
    </row>
    <row r="4422" spans="2:5" x14ac:dyDescent="0.3">
      <c r="B4422" s="274"/>
      <c r="C4422" s="108"/>
      <c r="D4422" s="261"/>
      <c r="E4422" s="261"/>
    </row>
    <row r="4423" spans="2:5" x14ac:dyDescent="0.3">
      <c r="B4423" s="274"/>
      <c r="C4423" s="108"/>
      <c r="D4423" s="261"/>
      <c r="E4423" s="261"/>
    </row>
    <row r="4424" spans="2:5" x14ac:dyDescent="0.3">
      <c r="B4424" s="274"/>
      <c r="C4424" s="108"/>
      <c r="D4424" s="261"/>
      <c r="E4424" s="261"/>
    </row>
    <row r="4425" spans="2:5" x14ac:dyDescent="0.3">
      <c r="B4425" s="274"/>
      <c r="C4425" s="108"/>
      <c r="D4425" s="261"/>
      <c r="E4425" s="261"/>
    </row>
    <row r="4426" spans="2:5" x14ac:dyDescent="0.3">
      <c r="B4426" s="274"/>
      <c r="C4426" s="108"/>
      <c r="D4426" s="261"/>
      <c r="E4426" s="261"/>
    </row>
    <row r="4427" spans="2:5" x14ac:dyDescent="0.3">
      <c r="B4427" s="274"/>
      <c r="C4427" s="108"/>
      <c r="D4427" s="261"/>
      <c r="E4427" s="261"/>
    </row>
    <row r="4428" spans="2:5" x14ac:dyDescent="0.3">
      <c r="B4428" s="274"/>
      <c r="C4428" s="108"/>
      <c r="D4428" s="261"/>
      <c r="E4428" s="261"/>
    </row>
    <row r="4429" spans="2:5" x14ac:dyDescent="0.3">
      <c r="B4429" s="274"/>
      <c r="C4429" s="108"/>
      <c r="D4429" s="261"/>
      <c r="E4429" s="261"/>
    </row>
    <row r="4430" spans="2:5" x14ac:dyDescent="0.3">
      <c r="B4430" s="274"/>
      <c r="C4430" s="108"/>
      <c r="D4430" s="261"/>
      <c r="E4430" s="261"/>
    </row>
    <row r="4431" spans="2:5" x14ac:dyDescent="0.3">
      <c r="B4431" s="274"/>
      <c r="C4431" s="108"/>
      <c r="D4431" s="261"/>
      <c r="E4431" s="261"/>
    </row>
    <row r="4432" spans="2:5" x14ac:dyDescent="0.3">
      <c r="B4432" s="274"/>
      <c r="C4432" s="108"/>
      <c r="D4432" s="261"/>
      <c r="E4432" s="261"/>
    </row>
    <row r="4433" spans="2:5" x14ac:dyDescent="0.3">
      <c r="B4433" s="274"/>
      <c r="C4433" s="108"/>
      <c r="D4433" s="261"/>
      <c r="E4433" s="261"/>
    </row>
    <row r="4434" spans="2:5" x14ac:dyDescent="0.3">
      <c r="B4434" s="274"/>
      <c r="C4434" s="108"/>
      <c r="D4434" s="261"/>
      <c r="E4434" s="261"/>
    </row>
    <row r="4435" spans="2:5" x14ac:dyDescent="0.3">
      <c r="B4435" s="274"/>
      <c r="C4435" s="108"/>
      <c r="D4435" s="261"/>
      <c r="E4435" s="261"/>
    </row>
    <row r="4436" spans="2:5" x14ac:dyDescent="0.3">
      <c r="B4436" s="274"/>
      <c r="C4436" s="108"/>
      <c r="D4436" s="261"/>
      <c r="E4436" s="261"/>
    </row>
    <row r="4437" spans="2:5" x14ac:dyDescent="0.3">
      <c r="B4437" s="274"/>
      <c r="C4437" s="108"/>
      <c r="D4437" s="261"/>
      <c r="E4437" s="261"/>
    </row>
    <row r="4438" spans="2:5" x14ac:dyDescent="0.3">
      <c r="B4438" s="274"/>
      <c r="C4438" s="108"/>
      <c r="D4438" s="261"/>
      <c r="E4438" s="261"/>
    </row>
    <row r="4439" spans="2:5" x14ac:dyDescent="0.3">
      <c r="B4439" s="274"/>
      <c r="C4439" s="108"/>
      <c r="D4439" s="261"/>
      <c r="E4439" s="261"/>
    </row>
    <row r="4440" spans="2:5" x14ac:dyDescent="0.3">
      <c r="B4440" s="274"/>
      <c r="C4440" s="108"/>
      <c r="D4440" s="261"/>
      <c r="E4440" s="261"/>
    </row>
    <row r="4441" spans="2:5" x14ac:dyDescent="0.3">
      <c r="B4441" s="274"/>
      <c r="C4441" s="108"/>
      <c r="D4441" s="261"/>
      <c r="E4441" s="261"/>
    </row>
    <row r="4442" spans="2:5" x14ac:dyDescent="0.3">
      <c r="B4442" s="274"/>
      <c r="C4442" s="108"/>
      <c r="D4442" s="261"/>
      <c r="E4442" s="261"/>
    </row>
    <row r="4443" spans="2:5" x14ac:dyDescent="0.3">
      <c r="B4443" s="274"/>
      <c r="C4443" s="108"/>
      <c r="D4443" s="261"/>
      <c r="E4443" s="261"/>
    </row>
    <row r="4444" spans="2:5" x14ac:dyDescent="0.3">
      <c r="B4444" s="274"/>
      <c r="C4444" s="108"/>
      <c r="D4444" s="261"/>
      <c r="E4444" s="261"/>
    </row>
    <row r="4445" spans="2:5" x14ac:dyDescent="0.3">
      <c r="B4445" s="274"/>
      <c r="C4445" s="108"/>
      <c r="D4445" s="261"/>
      <c r="E4445" s="261"/>
    </row>
    <row r="4446" spans="2:5" x14ac:dyDescent="0.3">
      <c r="B4446" s="274"/>
      <c r="C4446" s="108"/>
      <c r="D4446" s="261"/>
      <c r="E4446" s="261"/>
    </row>
    <row r="4447" spans="2:5" x14ac:dyDescent="0.3">
      <c r="B4447" s="274"/>
      <c r="C4447" s="108"/>
      <c r="D4447" s="261"/>
      <c r="E4447" s="261"/>
    </row>
    <row r="4448" spans="2:5" x14ac:dyDescent="0.3">
      <c r="B4448" s="274"/>
      <c r="C4448" s="108"/>
      <c r="D4448" s="261"/>
      <c r="E4448" s="261"/>
    </row>
    <row r="4449" spans="2:5" x14ac:dyDescent="0.3">
      <c r="B4449" s="274"/>
      <c r="C4449" s="108"/>
      <c r="D4449" s="261"/>
      <c r="E4449" s="261"/>
    </row>
    <row r="4450" spans="2:5" x14ac:dyDescent="0.3">
      <c r="B4450" s="274"/>
      <c r="C4450" s="108"/>
      <c r="D4450" s="261"/>
      <c r="E4450" s="261"/>
    </row>
    <row r="4451" spans="2:5" x14ac:dyDescent="0.3">
      <c r="B4451" s="274"/>
      <c r="C4451" s="108"/>
      <c r="D4451" s="261"/>
      <c r="E4451" s="261"/>
    </row>
    <row r="4452" spans="2:5" x14ac:dyDescent="0.3">
      <c r="B4452" s="274"/>
      <c r="C4452" s="108"/>
      <c r="D4452" s="261"/>
      <c r="E4452" s="261"/>
    </row>
    <row r="4453" spans="2:5" x14ac:dyDescent="0.3">
      <c r="B4453" s="274"/>
      <c r="C4453" s="108"/>
      <c r="D4453" s="261"/>
      <c r="E4453" s="261"/>
    </row>
    <row r="4454" spans="2:5" x14ac:dyDescent="0.3">
      <c r="B4454" s="274"/>
      <c r="C4454" s="108"/>
      <c r="D4454" s="261"/>
      <c r="E4454" s="261"/>
    </row>
    <row r="4455" spans="2:5" x14ac:dyDescent="0.3">
      <c r="B4455" s="274"/>
      <c r="C4455" s="108"/>
      <c r="D4455" s="261"/>
      <c r="E4455" s="261"/>
    </row>
    <row r="4456" spans="2:5" x14ac:dyDescent="0.3">
      <c r="B4456" s="274"/>
      <c r="C4456" s="108"/>
      <c r="D4456" s="261"/>
      <c r="E4456" s="261"/>
    </row>
    <row r="4457" spans="2:5" x14ac:dyDescent="0.3">
      <c r="B4457" s="274"/>
      <c r="C4457" s="108"/>
      <c r="D4457" s="261"/>
      <c r="E4457" s="261"/>
    </row>
    <row r="4458" spans="2:5" x14ac:dyDescent="0.3">
      <c r="B4458" s="274"/>
      <c r="C4458" s="108"/>
      <c r="D4458" s="261"/>
      <c r="E4458" s="261"/>
    </row>
    <row r="4459" spans="2:5" x14ac:dyDescent="0.3">
      <c r="B4459" s="274"/>
      <c r="C4459" s="108"/>
      <c r="D4459" s="261"/>
      <c r="E4459" s="261"/>
    </row>
    <row r="4460" spans="2:5" x14ac:dyDescent="0.3">
      <c r="B4460" s="274"/>
      <c r="C4460" s="108"/>
      <c r="D4460" s="261"/>
      <c r="E4460" s="261"/>
    </row>
    <row r="4461" spans="2:5" x14ac:dyDescent="0.3">
      <c r="B4461" s="274"/>
      <c r="C4461" s="108"/>
      <c r="D4461" s="261"/>
      <c r="E4461" s="261"/>
    </row>
    <row r="4462" spans="2:5" x14ac:dyDescent="0.3">
      <c r="B4462" s="274"/>
      <c r="C4462" s="108"/>
      <c r="D4462" s="261"/>
      <c r="E4462" s="261"/>
    </row>
    <row r="4463" spans="2:5" x14ac:dyDescent="0.3">
      <c r="B4463" s="274"/>
      <c r="C4463" s="108"/>
      <c r="D4463" s="261"/>
      <c r="E4463" s="261"/>
    </row>
    <row r="4464" spans="2:5" x14ac:dyDescent="0.3">
      <c r="B4464" s="274"/>
      <c r="C4464" s="108"/>
      <c r="D4464" s="261"/>
      <c r="E4464" s="261"/>
    </row>
    <row r="4465" spans="2:5" x14ac:dyDescent="0.3">
      <c r="B4465" s="274"/>
      <c r="C4465" s="108"/>
      <c r="D4465" s="261"/>
      <c r="E4465" s="261"/>
    </row>
    <row r="4466" spans="2:5" x14ac:dyDescent="0.3">
      <c r="B4466" s="274"/>
      <c r="C4466" s="108"/>
      <c r="D4466" s="261"/>
      <c r="E4466" s="261"/>
    </row>
    <row r="4467" spans="2:5" x14ac:dyDescent="0.3">
      <c r="B4467" s="274"/>
      <c r="C4467" s="108"/>
      <c r="D4467" s="261"/>
      <c r="E4467" s="261"/>
    </row>
    <row r="4468" spans="2:5" x14ac:dyDescent="0.3">
      <c r="B4468" s="274"/>
      <c r="C4468" s="108"/>
      <c r="D4468" s="261"/>
      <c r="E4468" s="261"/>
    </row>
    <row r="4469" spans="2:5" x14ac:dyDescent="0.3">
      <c r="B4469" s="274"/>
      <c r="C4469" s="108"/>
      <c r="D4469" s="261"/>
      <c r="E4469" s="261"/>
    </row>
    <row r="4470" spans="2:5" x14ac:dyDescent="0.3">
      <c r="B4470" s="274"/>
      <c r="C4470" s="108"/>
      <c r="D4470" s="261"/>
      <c r="E4470" s="261"/>
    </row>
    <row r="4471" spans="2:5" x14ac:dyDescent="0.3">
      <c r="B4471" s="274"/>
      <c r="C4471" s="108"/>
      <c r="D4471" s="261"/>
      <c r="E4471" s="261"/>
    </row>
    <row r="4472" spans="2:5" x14ac:dyDescent="0.3">
      <c r="B4472" s="274"/>
      <c r="C4472" s="108"/>
      <c r="D4472" s="261"/>
      <c r="E4472" s="261"/>
    </row>
    <row r="4473" spans="2:5" x14ac:dyDescent="0.3">
      <c r="B4473" s="274"/>
      <c r="C4473" s="108"/>
      <c r="D4473" s="261"/>
      <c r="E4473" s="261"/>
    </row>
    <row r="4474" spans="2:5" x14ac:dyDescent="0.3">
      <c r="B4474" s="274"/>
      <c r="C4474" s="108"/>
      <c r="D4474" s="261"/>
      <c r="E4474" s="261"/>
    </row>
    <row r="4475" spans="2:5" x14ac:dyDescent="0.3">
      <c r="B4475" s="274"/>
      <c r="C4475" s="108"/>
      <c r="D4475" s="261"/>
      <c r="E4475" s="261"/>
    </row>
    <row r="4476" spans="2:5" x14ac:dyDescent="0.3">
      <c r="B4476" s="274"/>
      <c r="C4476" s="108"/>
      <c r="D4476" s="261"/>
      <c r="E4476" s="261"/>
    </row>
    <row r="4477" spans="2:5" x14ac:dyDescent="0.3">
      <c r="B4477" s="274"/>
      <c r="C4477" s="108"/>
      <c r="D4477" s="261"/>
      <c r="E4477" s="261"/>
    </row>
    <row r="4478" spans="2:5" x14ac:dyDescent="0.3">
      <c r="B4478" s="274"/>
      <c r="C4478" s="108"/>
      <c r="D4478" s="261"/>
      <c r="E4478" s="261"/>
    </row>
    <row r="4479" spans="2:5" x14ac:dyDescent="0.3">
      <c r="B4479" s="274"/>
      <c r="C4479" s="108"/>
      <c r="D4479" s="261"/>
      <c r="E4479" s="261"/>
    </row>
    <row r="4480" spans="2:5" x14ac:dyDescent="0.3">
      <c r="B4480" s="274"/>
      <c r="C4480" s="108"/>
      <c r="D4480" s="261"/>
      <c r="E4480" s="261"/>
    </row>
    <row r="4481" spans="2:5" x14ac:dyDescent="0.3">
      <c r="B4481" s="274"/>
      <c r="C4481" s="108"/>
      <c r="D4481" s="261"/>
      <c r="E4481" s="261"/>
    </row>
    <row r="4482" spans="2:5" x14ac:dyDescent="0.3">
      <c r="B4482" s="274"/>
      <c r="C4482" s="108"/>
      <c r="D4482" s="261"/>
      <c r="E4482" s="261"/>
    </row>
    <row r="4483" spans="2:5" x14ac:dyDescent="0.3">
      <c r="B4483" s="274"/>
      <c r="C4483" s="108"/>
      <c r="D4483" s="261"/>
      <c r="E4483" s="261"/>
    </row>
    <row r="4484" spans="2:5" x14ac:dyDescent="0.3">
      <c r="B4484" s="274"/>
      <c r="C4484" s="108"/>
      <c r="D4484" s="261"/>
      <c r="E4484" s="261"/>
    </row>
    <row r="4485" spans="2:5" x14ac:dyDescent="0.3">
      <c r="B4485" s="274"/>
      <c r="C4485" s="108"/>
      <c r="D4485" s="261"/>
      <c r="E4485" s="261"/>
    </row>
    <row r="4486" spans="2:5" x14ac:dyDescent="0.3">
      <c r="B4486" s="274"/>
      <c r="C4486" s="108"/>
      <c r="D4486" s="261"/>
      <c r="E4486" s="261"/>
    </row>
    <row r="4487" spans="2:5" x14ac:dyDescent="0.3">
      <c r="B4487" s="274"/>
      <c r="C4487" s="108"/>
      <c r="D4487" s="261"/>
      <c r="E4487" s="261"/>
    </row>
    <row r="4488" spans="2:5" x14ac:dyDescent="0.3">
      <c r="B4488" s="274"/>
      <c r="C4488" s="108"/>
      <c r="D4488" s="261"/>
      <c r="E4488" s="261"/>
    </row>
    <row r="4489" spans="2:5" x14ac:dyDescent="0.3">
      <c r="B4489" s="274"/>
      <c r="C4489" s="108"/>
      <c r="D4489" s="261"/>
      <c r="E4489" s="261"/>
    </row>
    <row r="4490" spans="2:5" x14ac:dyDescent="0.3">
      <c r="B4490" s="274"/>
      <c r="C4490" s="108"/>
      <c r="D4490" s="261"/>
      <c r="E4490" s="261"/>
    </row>
    <row r="4491" spans="2:5" x14ac:dyDescent="0.3">
      <c r="B4491" s="274"/>
      <c r="C4491" s="108"/>
      <c r="D4491" s="261"/>
      <c r="E4491" s="261"/>
    </row>
    <row r="4492" spans="2:5" x14ac:dyDescent="0.3">
      <c r="B4492" s="274"/>
      <c r="C4492" s="108"/>
      <c r="D4492" s="261"/>
      <c r="E4492" s="261"/>
    </row>
    <row r="4493" spans="2:5" x14ac:dyDescent="0.3">
      <c r="B4493" s="274"/>
      <c r="C4493" s="108"/>
      <c r="D4493" s="261"/>
      <c r="E4493" s="261"/>
    </row>
    <row r="4494" spans="2:5" x14ac:dyDescent="0.3">
      <c r="B4494" s="274"/>
      <c r="C4494" s="108"/>
      <c r="D4494" s="261"/>
      <c r="E4494" s="261"/>
    </row>
    <row r="4495" spans="2:5" x14ac:dyDescent="0.3">
      <c r="B4495" s="274"/>
      <c r="C4495" s="108"/>
      <c r="D4495" s="261"/>
      <c r="E4495" s="261"/>
    </row>
    <row r="4496" spans="2:5" x14ac:dyDescent="0.3">
      <c r="B4496" s="274"/>
      <c r="C4496" s="108"/>
      <c r="D4496" s="261"/>
      <c r="E4496" s="261"/>
    </row>
    <row r="4497" spans="2:5" x14ac:dyDescent="0.3">
      <c r="B4497" s="274"/>
      <c r="C4497" s="108"/>
      <c r="D4497" s="261"/>
      <c r="E4497" s="261"/>
    </row>
    <row r="4498" spans="2:5" x14ac:dyDescent="0.3">
      <c r="B4498" s="274"/>
      <c r="C4498" s="108"/>
      <c r="D4498" s="261"/>
      <c r="E4498" s="261"/>
    </row>
    <row r="4499" spans="2:5" x14ac:dyDescent="0.3">
      <c r="B4499" s="274"/>
      <c r="C4499" s="108"/>
      <c r="D4499" s="261"/>
      <c r="E4499" s="261"/>
    </row>
    <row r="4500" spans="2:5" x14ac:dyDescent="0.3">
      <c r="B4500" s="274"/>
      <c r="C4500" s="108"/>
      <c r="D4500" s="261"/>
      <c r="E4500" s="261"/>
    </row>
    <row r="4501" spans="2:5" x14ac:dyDescent="0.3">
      <c r="B4501" s="274"/>
      <c r="C4501" s="108"/>
      <c r="D4501" s="261"/>
      <c r="E4501" s="261"/>
    </row>
    <row r="4502" spans="2:5" x14ac:dyDescent="0.3">
      <c r="B4502" s="274"/>
      <c r="C4502" s="108"/>
      <c r="D4502" s="261"/>
      <c r="E4502" s="261"/>
    </row>
    <row r="4503" spans="2:5" x14ac:dyDescent="0.3">
      <c r="B4503" s="274"/>
      <c r="C4503" s="108"/>
      <c r="D4503" s="261"/>
      <c r="E4503" s="261"/>
    </row>
    <row r="4504" spans="2:5" x14ac:dyDescent="0.3">
      <c r="B4504" s="274"/>
      <c r="C4504" s="108"/>
      <c r="D4504" s="261"/>
      <c r="E4504" s="261"/>
    </row>
    <row r="4505" spans="2:5" x14ac:dyDescent="0.3">
      <c r="B4505" s="274"/>
      <c r="C4505" s="108"/>
      <c r="D4505" s="261"/>
      <c r="E4505" s="261"/>
    </row>
    <row r="4506" spans="2:5" x14ac:dyDescent="0.3">
      <c r="B4506" s="274"/>
      <c r="C4506" s="108"/>
      <c r="D4506" s="261"/>
      <c r="E4506" s="261"/>
    </row>
    <row r="4507" spans="2:5" x14ac:dyDescent="0.3">
      <c r="B4507" s="274"/>
      <c r="C4507" s="108"/>
      <c r="D4507" s="261"/>
      <c r="E4507" s="261"/>
    </row>
    <row r="4508" spans="2:5" x14ac:dyDescent="0.3">
      <c r="B4508" s="274"/>
      <c r="C4508" s="108"/>
      <c r="D4508" s="261"/>
      <c r="E4508" s="261"/>
    </row>
    <row r="4509" spans="2:5" x14ac:dyDescent="0.3">
      <c r="B4509" s="274"/>
      <c r="C4509" s="108"/>
      <c r="D4509" s="261"/>
      <c r="E4509" s="261"/>
    </row>
    <row r="4510" spans="2:5" x14ac:dyDescent="0.3">
      <c r="B4510" s="274"/>
      <c r="C4510" s="108"/>
      <c r="D4510" s="261"/>
      <c r="E4510" s="261"/>
    </row>
    <row r="4511" spans="2:5" x14ac:dyDescent="0.3">
      <c r="B4511" s="274"/>
      <c r="C4511" s="108"/>
      <c r="D4511" s="261"/>
      <c r="E4511" s="261"/>
    </row>
    <row r="4512" spans="2:5" x14ac:dyDescent="0.3">
      <c r="B4512" s="274"/>
      <c r="C4512" s="108"/>
      <c r="D4512" s="261"/>
      <c r="E4512" s="261"/>
    </row>
    <row r="4513" spans="2:5" x14ac:dyDescent="0.3">
      <c r="B4513" s="274"/>
      <c r="C4513" s="108"/>
      <c r="D4513" s="261"/>
      <c r="E4513" s="261"/>
    </row>
    <row r="4514" spans="2:5" x14ac:dyDescent="0.3">
      <c r="B4514" s="274"/>
      <c r="C4514" s="108"/>
      <c r="D4514" s="261"/>
      <c r="E4514" s="261"/>
    </row>
    <row r="4515" spans="2:5" x14ac:dyDescent="0.3">
      <c r="B4515" s="274"/>
      <c r="C4515" s="108"/>
      <c r="D4515" s="261"/>
      <c r="E4515" s="261"/>
    </row>
    <row r="4516" spans="2:5" x14ac:dyDescent="0.3">
      <c r="B4516" s="274"/>
      <c r="C4516" s="108"/>
      <c r="D4516" s="261"/>
      <c r="E4516" s="261"/>
    </row>
    <row r="4517" spans="2:5" x14ac:dyDescent="0.3">
      <c r="B4517" s="274"/>
      <c r="C4517" s="108"/>
      <c r="D4517" s="261"/>
      <c r="E4517" s="261"/>
    </row>
    <row r="4518" spans="2:5" x14ac:dyDescent="0.3">
      <c r="B4518" s="274"/>
      <c r="C4518" s="108"/>
      <c r="D4518" s="261"/>
      <c r="E4518" s="261"/>
    </row>
    <row r="4519" spans="2:5" x14ac:dyDescent="0.3">
      <c r="B4519" s="274"/>
      <c r="C4519" s="108"/>
      <c r="D4519" s="261"/>
      <c r="E4519" s="261"/>
    </row>
    <row r="4520" spans="2:5" x14ac:dyDescent="0.3">
      <c r="B4520" s="274"/>
      <c r="C4520" s="108"/>
      <c r="D4520" s="261"/>
      <c r="E4520" s="261"/>
    </row>
    <row r="4521" spans="2:5" x14ac:dyDescent="0.3">
      <c r="B4521" s="274"/>
      <c r="C4521" s="108"/>
      <c r="D4521" s="261"/>
      <c r="E4521" s="261"/>
    </row>
    <row r="4522" spans="2:5" x14ac:dyDescent="0.3">
      <c r="B4522" s="274"/>
      <c r="C4522" s="108"/>
      <c r="D4522" s="261"/>
      <c r="E4522" s="261"/>
    </row>
    <row r="4523" spans="2:5" x14ac:dyDescent="0.3">
      <c r="B4523" s="274"/>
      <c r="C4523" s="108"/>
      <c r="D4523" s="261"/>
      <c r="E4523" s="261"/>
    </row>
    <row r="4524" spans="2:5" x14ac:dyDescent="0.3">
      <c r="B4524" s="274"/>
      <c r="C4524" s="108"/>
      <c r="D4524" s="261"/>
      <c r="E4524" s="261"/>
    </row>
    <row r="4525" spans="2:5" x14ac:dyDescent="0.3">
      <c r="B4525" s="274"/>
      <c r="C4525" s="108"/>
      <c r="D4525" s="261"/>
      <c r="E4525" s="261"/>
    </row>
    <row r="4526" spans="2:5" x14ac:dyDescent="0.3">
      <c r="B4526" s="274"/>
      <c r="C4526" s="108"/>
      <c r="D4526" s="261"/>
      <c r="E4526" s="261"/>
    </row>
    <row r="4527" spans="2:5" x14ac:dyDescent="0.3">
      <c r="B4527" s="274"/>
      <c r="C4527" s="108"/>
      <c r="D4527" s="261"/>
      <c r="E4527" s="261"/>
    </row>
    <row r="4528" spans="2:5" x14ac:dyDescent="0.3">
      <c r="B4528" s="274"/>
      <c r="C4528" s="108"/>
      <c r="D4528" s="261"/>
      <c r="E4528" s="261"/>
    </row>
    <row r="4529" spans="2:5" x14ac:dyDescent="0.3">
      <c r="B4529" s="274"/>
      <c r="C4529" s="108"/>
      <c r="D4529" s="261"/>
      <c r="E4529" s="261"/>
    </row>
    <row r="4530" spans="2:5" x14ac:dyDescent="0.3">
      <c r="B4530" s="274"/>
      <c r="C4530" s="108"/>
      <c r="D4530" s="261"/>
      <c r="E4530" s="261"/>
    </row>
    <row r="4531" spans="2:5" x14ac:dyDescent="0.3">
      <c r="B4531" s="274"/>
      <c r="C4531" s="108"/>
      <c r="D4531" s="261"/>
      <c r="E4531" s="261"/>
    </row>
    <row r="4532" spans="2:5" x14ac:dyDescent="0.3">
      <c r="B4532" s="274"/>
      <c r="C4532" s="108"/>
      <c r="D4532" s="261"/>
      <c r="E4532" s="261"/>
    </row>
    <row r="4533" spans="2:5" x14ac:dyDescent="0.3">
      <c r="B4533" s="274"/>
      <c r="C4533" s="108"/>
      <c r="D4533" s="261"/>
      <c r="E4533" s="261"/>
    </row>
    <row r="4534" spans="2:5" x14ac:dyDescent="0.3">
      <c r="B4534" s="274"/>
      <c r="C4534" s="108"/>
      <c r="D4534" s="261"/>
      <c r="E4534" s="261"/>
    </row>
    <row r="4535" spans="2:5" x14ac:dyDescent="0.3">
      <c r="B4535" s="274"/>
      <c r="C4535" s="108"/>
      <c r="D4535" s="261"/>
      <c r="E4535" s="261"/>
    </row>
    <row r="4536" spans="2:5" x14ac:dyDescent="0.3">
      <c r="B4536" s="274"/>
      <c r="C4536" s="108"/>
      <c r="D4536" s="261"/>
      <c r="E4536" s="261"/>
    </row>
    <row r="4537" spans="2:5" x14ac:dyDescent="0.3">
      <c r="B4537" s="274"/>
      <c r="C4537" s="108"/>
      <c r="D4537" s="261"/>
      <c r="E4537" s="261"/>
    </row>
    <row r="4538" spans="2:5" x14ac:dyDescent="0.3">
      <c r="B4538" s="274"/>
      <c r="C4538" s="108"/>
      <c r="D4538" s="261"/>
      <c r="E4538" s="261"/>
    </row>
    <row r="4539" spans="2:5" x14ac:dyDescent="0.3">
      <c r="B4539" s="274"/>
      <c r="C4539" s="108"/>
      <c r="D4539" s="261"/>
      <c r="E4539" s="261"/>
    </row>
    <row r="4540" spans="2:5" x14ac:dyDescent="0.3">
      <c r="B4540" s="274"/>
      <c r="C4540" s="108"/>
      <c r="D4540" s="261"/>
      <c r="E4540" s="261"/>
    </row>
    <row r="4541" spans="2:5" x14ac:dyDescent="0.3">
      <c r="B4541" s="274"/>
      <c r="C4541" s="108"/>
      <c r="D4541" s="261"/>
      <c r="E4541" s="261"/>
    </row>
    <row r="4542" spans="2:5" x14ac:dyDescent="0.3">
      <c r="B4542" s="274"/>
      <c r="C4542" s="108"/>
      <c r="D4542" s="261"/>
      <c r="E4542" s="261"/>
    </row>
    <row r="4543" spans="2:5" x14ac:dyDescent="0.3">
      <c r="B4543" s="274"/>
      <c r="C4543" s="108"/>
      <c r="D4543" s="261"/>
      <c r="E4543" s="261"/>
    </row>
    <row r="4544" spans="2:5" x14ac:dyDescent="0.3">
      <c r="B4544" s="274"/>
      <c r="C4544" s="108"/>
      <c r="D4544" s="261"/>
      <c r="E4544" s="261"/>
    </row>
    <row r="4545" spans="2:5" x14ac:dyDescent="0.3">
      <c r="B4545" s="274"/>
      <c r="C4545" s="108"/>
      <c r="D4545" s="261"/>
      <c r="E4545" s="261"/>
    </row>
    <row r="4546" spans="2:5" x14ac:dyDescent="0.3">
      <c r="B4546" s="274"/>
      <c r="C4546" s="108"/>
      <c r="D4546" s="261"/>
      <c r="E4546" s="261"/>
    </row>
    <row r="4547" spans="2:5" x14ac:dyDescent="0.3">
      <c r="B4547" s="274"/>
      <c r="C4547" s="108"/>
      <c r="D4547" s="261"/>
      <c r="E4547" s="261"/>
    </row>
    <row r="4548" spans="2:5" x14ac:dyDescent="0.3">
      <c r="B4548" s="274"/>
      <c r="C4548" s="108"/>
      <c r="D4548" s="261"/>
      <c r="E4548" s="261"/>
    </row>
    <row r="4549" spans="2:5" x14ac:dyDescent="0.3">
      <c r="B4549" s="274"/>
      <c r="C4549" s="108"/>
      <c r="D4549" s="261"/>
      <c r="E4549" s="261"/>
    </row>
    <row r="4550" spans="2:5" x14ac:dyDescent="0.3">
      <c r="B4550" s="274"/>
      <c r="C4550" s="108"/>
      <c r="D4550" s="261"/>
      <c r="E4550" s="261"/>
    </row>
    <row r="4551" spans="2:5" x14ac:dyDescent="0.3">
      <c r="B4551" s="274"/>
      <c r="C4551" s="108"/>
      <c r="D4551" s="261"/>
      <c r="E4551" s="261"/>
    </row>
    <row r="4552" spans="2:5" x14ac:dyDescent="0.3">
      <c r="B4552" s="274"/>
      <c r="C4552" s="108"/>
      <c r="D4552" s="261"/>
      <c r="E4552" s="261"/>
    </row>
    <row r="4553" spans="2:5" x14ac:dyDescent="0.3">
      <c r="B4553" s="274"/>
      <c r="C4553" s="108"/>
      <c r="D4553" s="261"/>
      <c r="E4553" s="261"/>
    </row>
    <row r="4554" spans="2:5" x14ac:dyDescent="0.3">
      <c r="B4554" s="274"/>
      <c r="C4554" s="108"/>
      <c r="D4554" s="261"/>
      <c r="E4554" s="261"/>
    </row>
    <row r="4555" spans="2:5" x14ac:dyDescent="0.3">
      <c r="B4555" s="274"/>
      <c r="C4555" s="108"/>
      <c r="D4555" s="261"/>
      <c r="E4555" s="261"/>
    </row>
    <row r="4556" spans="2:5" x14ac:dyDescent="0.3">
      <c r="B4556" s="274"/>
      <c r="C4556" s="108"/>
      <c r="D4556" s="261"/>
      <c r="E4556" s="261"/>
    </row>
    <row r="4557" spans="2:5" x14ac:dyDescent="0.3">
      <c r="B4557" s="274"/>
      <c r="C4557" s="108"/>
      <c r="D4557" s="261"/>
      <c r="E4557" s="261"/>
    </row>
    <row r="4558" spans="2:5" x14ac:dyDescent="0.3">
      <c r="B4558" s="274"/>
      <c r="C4558" s="108"/>
      <c r="D4558" s="261"/>
      <c r="E4558" s="261"/>
    </row>
    <row r="4559" spans="2:5" x14ac:dyDescent="0.3">
      <c r="B4559" s="274"/>
      <c r="C4559" s="108"/>
      <c r="D4559" s="261"/>
      <c r="E4559" s="261"/>
    </row>
    <row r="4560" spans="2:5" x14ac:dyDescent="0.3">
      <c r="B4560" s="274"/>
      <c r="C4560" s="108"/>
      <c r="D4560" s="261"/>
      <c r="E4560" s="261"/>
    </row>
    <row r="4561" spans="2:5" x14ac:dyDescent="0.3">
      <c r="B4561" s="274"/>
      <c r="C4561" s="108"/>
      <c r="D4561" s="261"/>
      <c r="E4561" s="261"/>
    </row>
    <row r="4562" spans="2:5" x14ac:dyDescent="0.3">
      <c r="B4562" s="274"/>
      <c r="C4562" s="108"/>
      <c r="D4562" s="261"/>
      <c r="E4562" s="261"/>
    </row>
    <row r="4563" spans="2:5" x14ac:dyDescent="0.3">
      <c r="B4563" s="274"/>
      <c r="C4563" s="108"/>
      <c r="D4563" s="261"/>
      <c r="E4563" s="261"/>
    </row>
    <row r="4564" spans="2:5" x14ac:dyDescent="0.3">
      <c r="B4564" s="274"/>
      <c r="C4564" s="108"/>
      <c r="D4564" s="261"/>
      <c r="E4564" s="261"/>
    </row>
    <row r="4565" spans="2:5" x14ac:dyDescent="0.3">
      <c r="B4565" s="274"/>
      <c r="C4565" s="108"/>
      <c r="D4565" s="261"/>
      <c r="E4565" s="261"/>
    </row>
    <row r="4566" spans="2:5" x14ac:dyDescent="0.3">
      <c r="B4566" s="274"/>
      <c r="C4566" s="108"/>
      <c r="D4566" s="261"/>
      <c r="E4566" s="261"/>
    </row>
    <row r="4567" spans="2:5" x14ac:dyDescent="0.3">
      <c r="B4567" s="274"/>
      <c r="C4567" s="108"/>
      <c r="D4567" s="261"/>
      <c r="E4567" s="261"/>
    </row>
    <row r="4568" spans="2:5" x14ac:dyDescent="0.3">
      <c r="B4568" s="274"/>
      <c r="C4568" s="108"/>
      <c r="D4568" s="261"/>
      <c r="E4568" s="261"/>
    </row>
    <row r="4569" spans="2:5" x14ac:dyDescent="0.3">
      <c r="B4569" s="274"/>
      <c r="C4569" s="108"/>
      <c r="D4569" s="261"/>
      <c r="E4569" s="261"/>
    </row>
    <row r="4570" spans="2:5" x14ac:dyDescent="0.3">
      <c r="B4570" s="274"/>
      <c r="C4570" s="108"/>
      <c r="D4570" s="261"/>
      <c r="E4570" s="261"/>
    </row>
    <row r="4571" spans="2:5" x14ac:dyDescent="0.3">
      <c r="B4571" s="274"/>
      <c r="C4571" s="108"/>
      <c r="D4571" s="261"/>
      <c r="E4571" s="261"/>
    </row>
    <row r="4572" spans="2:5" x14ac:dyDescent="0.3">
      <c r="B4572" s="274"/>
      <c r="C4572" s="108"/>
      <c r="D4572" s="261"/>
      <c r="E4572" s="261"/>
    </row>
    <row r="4573" spans="2:5" x14ac:dyDescent="0.3">
      <c r="B4573" s="274"/>
      <c r="C4573" s="108"/>
      <c r="D4573" s="261"/>
      <c r="E4573" s="261"/>
    </row>
    <row r="4574" spans="2:5" x14ac:dyDescent="0.3">
      <c r="B4574" s="274"/>
      <c r="C4574" s="108"/>
      <c r="D4574" s="261"/>
      <c r="E4574" s="261"/>
    </row>
    <row r="4575" spans="2:5" x14ac:dyDescent="0.3">
      <c r="B4575" s="274"/>
      <c r="C4575" s="108"/>
      <c r="D4575" s="261"/>
      <c r="E4575" s="261"/>
    </row>
    <row r="4576" spans="2:5" x14ac:dyDescent="0.3">
      <c r="B4576" s="274"/>
      <c r="C4576" s="108"/>
      <c r="D4576" s="261"/>
      <c r="E4576" s="261"/>
    </row>
    <row r="4577" spans="2:5" x14ac:dyDescent="0.3">
      <c r="B4577" s="274"/>
      <c r="C4577" s="108"/>
      <c r="D4577" s="261"/>
      <c r="E4577" s="261"/>
    </row>
    <row r="4578" spans="2:5" x14ac:dyDescent="0.3">
      <c r="B4578" s="274"/>
      <c r="C4578" s="108"/>
      <c r="D4578" s="261"/>
      <c r="E4578" s="261"/>
    </row>
    <row r="4579" spans="2:5" x14ac:dyDescent="0.3">
      <c r="B4579" s="274"/>
      <c r="C4579" s="108"/>
      <c r="D4579" s="261"/>
      <c r="E4579" s="261"/>
    </row>
    <row r="4580" spans="2:5" x14ac:dyDescent="0.3">
      <c r="B4580" s="274"/>
      <c r="C4580" s="108"/>
      <c r="D4580" s="261"/>
      <c r="E4580" s="261"/>
    </row>
    <row r="4581" spans="2:5" x14ac:dyDescent="0.3">
      <c r="B4581" s="274"/>
      <c r="C4581" s="108"/>
      <c r="D4581" s="261"/>
      <c r="E4581" s="261"/>
    </row>
    <row r="4582" spans="2:5" x14ac:dyDescent="0.3">
      <c r="B4582" s="274"/>
      <c r="C4582" s="108"/>
      <c r="D4582" s="261"/>
      <c r="E4582" s="261"/>
    </row>
    <row r="4583" spans="2:5" x14ac:dyDescent="0.3">
      <c r="B4583" s="274"/>
      <c r="C4583" s="108"/>
      <c r="D4583" s="261"/>
      <c r="E4583" s="261"/>
    </row>
    <row r="4584" spans="2:5" x14ac:dyDescent="0.3">
      <c r="B4584" s="274"/>
      <c r="C4584" s="108"/>
      <c r="D4584" s="261"/>
      <c r="E4584" s="261"/>
    </row>
    <row r="4585" spans="2:5" x14ac:dyDescent="0.3">
      <c r="B4585" s="274"/>
      <c r="C4585" s="108"/>
      <c r="D4585" s="261"/>
      <c r="E4585" s="261"/>
    </row>
    <row r="4586" spans="2:5" x14ac:dyDescent="0.3">
      <c r="B4586" s="274"/>
      <c r="C4586" s="108"/>
      <c r="D4586" s="261"/>
      <c r="E4586" s="261"/>
    </row>
    <row r="4587" spans="2:5" x14ac:dyDescent="0.3">
      <c r="B4587" s="274"/>
      <c r="C4587" s="108"/>
      <c r="D4587" s="261"/>
      <c r="E4587" s="261"/>
    </row>
    <row r="4588" spans="2:5" x14ac:dyDescent="0.3">
      <c r="B4588" s="274"/>
      <c r="C4588" s="108"/>
      <c r="D4588" s="261"/>
      <c r="E4588" s="261"/>
    </row>
    <row r="4589" spans="2:5" x14ac:dyDescent="0.3">
      <c r="B4589" s="274"/>
      <c r="C4589" s="108"/>
      <c r="D4589" s="261"/>
      <c r="E4589" s="261"/>
    </row>
    <row r="4590" spans="2:5" x14ac:dyDescent="0.3">
      <c r="B4590" s="274"/>
      <c r="C4590" s="108"/>
      <c r="D4590" s="261"/>
      <c r="E4590" s="261"/>
    </row>
    <row r="4591" spans="2:5" x14ac:dyDescent="0.3">
      <c r="B4591" s="274"/>
      <c r="C4591" s="108"/>
      <c r="D4591" s="261"/>
      <c r="E4591" s="261"/>
    </row>
    <row r="4592" spans="2:5" x14ac:dyDescent="0.3">
      <c r="B4592" s="274"/>
      <c r="C4592" s="108"/>
      <c r="D4592" s="261"/>
      <c r="E4592" s="261"/>
    </row>
    <row r="4593" spans="2:5" x14ac:dyDescent="0.3">
      <c r="B4593" s="274"/>
      <c r="C4593" s="108"/>
      <c r="D4593" s="261"/>
      <c r="E4593" s="261"/>
    </row>
    <row r="4594" spans="2:5" x14ac:dyDescent="0.3">
      <c r="B4594" s="274"/>
      <c r="C4594" s="108"/>
      <c r="D4594" s="261"/>
      <c r="E4594" s="261"/>
    </row>
    <row r="4595" spans="2:5" x14ac:dyDescent="0.3">
      <c r="B4595" s="274"/>
      <c r="C4595" s="108"/>
      <c r="D4595" s="261"/>
      <c r="E4595" s="261"/>
    </row>
    <row r="4596" spans="2:5" x14ac:dyDescent="0.3">
      <c r="B4596" s="274"/>
      <c r="C4596" s="108"/>
      <c r="D4596" s="261"/>
      <c r="E4596" s="261"/>
    </row>
    <row r="4597" spans="2:5" x14ac:dyDescent="0.3">
      <c r="B4597" s="274"/>
      <c r="C4597" s="108"/>
      <c r="D4597" s="261"/>
      <c r="E4597" s="261"/>
    </row>
    <row r="4598" spans="2:5" x14ac:dyDescent="0.3">
      <c r="B4598" s="274"/>
      <c r="C4598" s="108"/>
      <c r="D4598" s="261"/>
      <c r="E4598" s="261"/>
    </row>
    <row r="4599" spans="2:5" x14ac:dyDescent="0.3">
      <c r="B4599" s="274"/>
      <c r="C4599" s="108"/>
      <c r="D4599" s="261"/>
      <c r="E4599" s="261"/>
    </row>
    <row r="4600" spans="2:5" x14ac:dyDescent="0.3">
      <c r="B4600" s="274"/>
      <c r="C4600" s="108"/>
      <c r="D4600" s="261"/>
      <c r="E4600" s="261"/>
    </row>
    <row r="4601" spans="2:5" x14ac:dyDescent="0.3">
      <c r="B4601" s="274"/>
      <c r="C4601" s="108"/>
      <c r="D4601" s="261"/>
      <c r="E4601" s="261"/>
    </row>
    <row r="4602" spans="2:5" x14ac:dyDescent="0.3">
      <c r="B4602" s="274"/>
      <c r="C4602" s="108"/>
      <c r="D4602" s="261"/>
      <c r="E4602" s="261"/>
    </row>
    <row r="4603" spans="2:5" x14ac:dyDescent="0.3">
      <c r="B4603" s="274"/>
      <c r="C4603" s="108"/>
      <c r="D4603" s="261"/>
      <c r="E4603" s="261"/>
    </row>
    <row r="4604" spans="2:5" x14ac:dyDescent="0.3">
      <c r="B4604" s="274"/>
      <c r="C4604" s="108"/>
      <c r="D4604" s="261"/>
      <c r="E4604" s="261"/>
    </row>
    <row r="4605" spans="2:5" x14ac:dyDescent="0.3">
      <c r="B4605" s="274"/>
      <c r="C4605" s="108"/>
      <c r="D4605" s="261"/>
      <c r="E4605" s="261"/>
    </row>
    <row r="4606" spans="2:5" x14ac:dyDescent="0.3">
      <c r="B4606" s="274"/>
      <c r="C4606" s="108"/>
      <c r="D4606" s="261"/>
      <c r="E4606" s="261"/>
    </row>
    <row r="4607" spans="2:5" x14ac:dyDescent="0.3">
      <c r="B4607" s="274"/>
      <c r="C4607" s="108"/>
      <c r="D4607" s="261"/>
      <c r="E4607" s="261"/>
    </row>
    <row r="4608" spans="2:5" x14ac:dyDescent="0.3">
      <c r="B4608" s="274"/>
      <c r="C4608" s="108"/>
      <c r="D4608" s="261"/>
      <c r="E4608" s="261"/>
    </row>
    <row r="4609" spans="2:5" x14ac:dyDescent="0.3">
      <c r="B4609" s="274"/>
      <c r="C4609" s="108"/>
      <c r="D4609" s="261"/>
      <c r="E4609" s="261"/>
    </row>
    <row r="4610" spans="2:5" x14ac:dyDescent="0.3">
      <c r="B4610" s="274"/>
      <c r="C4610" s="108"/>
      <c r="D4610" s="261"/>
      <c r="E4610" s="261"/>
    </row>
    <row r="4611" spans="2:5" x14ac:dyDescent="0.3">
      <c r="B4611" s="274"/>
      <c r="C4611" s="108"/>
      <c r="D4611" s="261"/>
      <c r="E4611" s="261"/>
    </row>
    <row r="4612" spans="2:5" x14ac:dyDescent="0.3">
      <c r="B4612" s="274"/>
      <c r="C4612" s="108"/>
      <c r="D4612" s="261"/>
      <c r="E4612" s="261"/>
    </row>
    <row r="4613" spans="2:5" x14ac:dyDescent="0.3">
      <c r="B4613" s="274"/>
      <c r="C4613" s="108"/>
      <c r="D4613" s="261"/>
      <c r="E4613" s="261"/>
    </row>
    <row r="4614" spans="2:5" x14ac:dyDescent="0.3">
      <c r="B4614" s="274"/>
      <c r="C4614" s="108"/>
      <c r="D4614" s="261"/>
      <c r="E4614" s="261"/>
    </row>
    <row r="4615" spans="2:5" x14ac:dyDescent="0.3">
      <c r="B4615" s="274"/>
      <c r="C4615" s="108"/>
      <c r="D4615" s="261"/>
      <c r="E4615" s="261"/>
    </row>
    <row r="4616" spans="2:5" x14ac:dyDescent="0.3">
      <c r="B4616" s="274"/>
      <c r="C4616" s="108"/>
      <c r="D4616" s="261"/>
      <c r="E4616" s="261"/>
    </row>
    <row r="4617" spans="2:5" x14ac:dyDescent="0.3">
      <c r="B4617" s="274"/>
      <c r="C4617" s="108"/>
      <c r="D4617" s="261"/>
      <c r="E4617" s="261"/>
    </row>
    <row r="4618" spans="2:5" x14ac:dyDescent="0.3">
      <c r="B4618" s="274"/>
      <c r="C4618" s="108"/>
      <c r="D4618" s="261"/>
      <c r="E4618" s="261"/>
    </row>
    <row r="4619" spans="2:5" x14ac:dyDescent="0.3">
      <c r="B4619" s="274"/>
      <c r="C4619" s="108"/>
      <c r="D4619" s="261"/>
      <c r="E4619" s="261"/>
    </row>
    <row r="4620" spans="2:5" x14ac:dyDescent="0.3">
      <c r="B4620" s="274"/>
      <c r="C4620" s="108"/>
      <c r="D4620" s="261"/>
      <c r="E4620" s="261"/>
    </row>
    <row r="4621" spans="2:5" x14ac:dyDescent="0.3">
      <c r="B4621" s="274"/>
      <c r="C4621" s="108"/>
      <c r="D4621" s="261"/>
      <c r="E4621" s="261"/>
    </row>
    <row r="4622" spans="2:5" x14ac:dyDescent="0.3">
      <c r="B4622" s="274"/>
      <c r="C4622" s="108"/>
      <c r="D4622" s="261"/>
      <c r="E4622" s="261"/>
    </row>
    <row r="4623" spans="2:5" x14ac:dyDescent="0.3">
      <c r="B4623" s="274"/>
      <c r="C4623" s="108"/>
      <c r="D4623" s="261"/>
      <c r="E4623" s="261"/>
    </row>
    <row r="4624" spans="2:5" x14ac:dyDescent="0.3">
      <c r="B4624" s="274"/>
      <c r="C4624" s="108"/>
      <c r="D4624" s="261"/>
      <c r="E4624" s="261"/>
    </row>
    <row r="4625" spans="2:5" x14ac:dyDescent="0.3">
      <c r="B4625" s="274"/>
      <c r="C4625" s="108"/>
      <c r="D4625" s="261"/>
      <c r="E4625" s="261"/>
    </row>
    <row r="4626" spans="2:5" x14ac:dyDescent="0.3">
      <c r="B4626" s="274"/>
      <c r="C4626" s="108"/>
      <c r="D4626" s="261"/>
      <c r="E4626" s="261"/>
    </row>
    <row r="4627" spans="2:5" x14ac:dyDescent="0.3">
      <c r="B4627" s="274"/>
      <c r="C4627" s="108"/>
      <c r="D4627" s="261"/>
      <c r="E4627" s="261"/>
    </row>
    <row r="4628" spans="2:5" x14ac:dyDescent="0.3">
      <c r="B4628" s="274"/>
      <c r="C4628" s="108"/>
      <c r="D4628" s="261"/>
      <c r="E4628" s="261"/>
    </row>
    <row r="4629" spans="2:5" x14ac:dyDescent="0.3">
      <c r="B4629" s="274"/>
      <c r="C4629" s="108"/>
      <c r="D4629" s="261"/>
      <c r="E4629" s="261"/>
    </row>
    <row r="4630" spans="2:5" x14ac:dyDescent="0.3">
      <c r="B4630" s="274"/>
      <c r="C4630" s="108"/>
      <c r="D4630" s="261"/>
      <c r="E4630" s="261"/>
    </row>
    <row r="4631" spans="2:5" x14ac:dyDescent="0.3">
      <c r="B4631" s="274"/>
      <c r="C4631" s="108"/>
      <c r="D4631" s="261"/>
      <c r="E4631" s="261"/>
    </row>
    <row r="4632" spans="2:5" x14ac:dyDescent="0.3">
      <c r="B4632" s="274"/>
      <c r="C4632" s="108"/>
      <c r="D4632" s="261"/>
      <c r="E4632" s="261"/>
    </row>
    <row r="4633" spans="2:5" x14ac:dyDescent="0.3">
      <c r="B4633" s="274"/>
      <c r="C4633" s="108"/>
      <c r="D4633" s="261"/>
      <c r="E4633" s="261"/>
    </row>
    <row r="4634" spans="2:5" x14ac:dyDescent="0.3">
      <c r="B4634" s="274"/>
      <c r="C4634" s="108"/>
      <c r="D4634" s="261"/>
      <c r="E4634" s="261"/>
    </row>
    <row r="4635" spans="2:5" x14ac:dyDescent="0.3">
      <c r="B4635" s="274"/>
      <c r="C4635" s="108"/>
      <c r="D4635" s="261"/>
      <c r="E4635" s="261"/>
    </row>
    <row r="4636" spans="2:5" x14ac:dyDescent="0.3">
      <c r="B4636" s="274"/>
      <c r="C4636" s="108"/>
      <c r="D4636" s="261"/>
      <c r="E4636" s="261"/>
    </row>
    <row r="4637" spans="2:5" x14ac:dyDescent="0.3">
      <c r="B4637" s="274"/>
      <c r="C4637" s="108"/>
      <c r="D4637" s="261"/>
      <c r="E4637" s="261"/>
    </row>
    <row r="4638" spans="2:5" x14ac:dyDescent="0.3">
      <c r="B4638" s="274"/>
      <c r="C4638" s="108"/>
      <c r="D4638" s="261"/>
      <c r="E4638" s="261"/>
    </row>
    <row r="4639" spans="2:5" x14ac:dyDescent="0.3">
      <c r="B4639" s="274"/>
      <c r="C4639" s="108"/>
      <c r="D4639" s="261"/>
      <c r="E4639" s="261"/>
    </row>
    <row r="4640" spans="2:5" x14ac:dyDescent="0.3">
      <c r="B4640" s="274"/>
      <c r="C4640" s="108"/>
      <c r="D4640" s="261"/>
      <c r="E4640" s="261"/>
    </row>
    <row r="4641" spans="2:5" x14ac:dyDescent="0.3">
      <c r="B4641" s="274"/>
      <c r="C4641" s="108"/>
      <c r="D4641" s="261"/>
      <c r="E4641" s="261"/>
    </row>
    <row r="4642" spans="2:5" x14ac:dyDescent="0.3">
      <c r="B4642" s="274"/>
      <c r="C4642" s="108"/>
      <c r="D4642" s="261"/>
      <c r="E4642" s="261"/>
    </row>
    <row r="4643" spans="2:5" x14ac:dyDescent="0.3">
      <c r="B4643" s="274"/>
      <c r="C4643" s="108"/>
      <c r="D4643" s="261"/>
      <c r="E4643" s="261"/>
    </row>
    <row r="4644" spans="2:5" x14ac:dyDescent="0.3">
      <c r="B4644" s="274"/>
      <c r="C4644" s="108"/>
      <c r="D4644" s="261"/>
      <c r="E4644" s="261"/>
    </row>
    <row r="4645" spans="2:5" x14ac:dyDescent="0.3">
      <c r="B4645" s="274"/>
      <c r="C4645" s="108"/>
      <c r="D4645" s="261"/>
      <c r="E4645" s="261"/>
    </row>
    <row r="4646" spans="2:5" x14ac:dyDescent="0.3">
      <c r="B4646" s="274"/>
      <c r="C4646" s="108"/>
      <c r="D4646" s="261"/>
      <c r="E4646" s="261"/>
    </row>
    <row r="4647" spans="2:5" x14ac:dyDescent="0.3">
      <c r="B4647" s="274"/>
      <c r="C4647" s="108"/>
      <c r="D4647" s="261"/>
      <c r="E4647" s="261"/>
    </row>
    <row r="4648" spans="2:5" x14ac:dyDescent="0.3">
      <c r="B4648" s="274"/>
      <c r="C4648" s="108"/>
      <c r="D4648" s="261"/>
      <c r="E4648" s="261"/>
    </row>
    <row r="4649" spans="2:5" x14ac:dyDescent="0.3">
      <c r="B4649" s="274"/>
      <c r="C4649" s="108"/>
      <c r="D4649" s="261"/>
      <c r="E4649" s="261"/>
    </row>
    <row r="4650" spans="2:5" x14ac:dyDescent="0.3">
      <c r="B4650" s="274"/>
      <c r="C4650" s="108"/>
      <c r="D4650" s="261"/>
      <c r="E4650" s="261"/>
    </row>
    <row r="4651" spans="2:5" x14ac:dyDescent="0.3">
      <c r="B4651" s="274"/>
      <c r="C4651" s="108"/>
      <c r="D4651" s="261"/>
      <c r="E4651" s="261"/>
    </row>
    <row r="4652" spans="2:5" x14ac:dyDescent="0.3">
      <c r="B4652" s="274"/>
      <c r="C4652" s="108"/>
      <c r="D4652" s="261"/>
      <c r="E4652" s="261"/>
    </row>
    <row r="4653" spans="2:5" x14ac:dyDescent="0.3">
      <c r="B4653" s="274"/>
      <c r="C4653" s="108"/>
      <c r="D4653" s="261"/>
      <c r="E4653" s="261"/>
    </row>
    <row r="4654" spans="2:5" x14ac:dyDescent="0.3">
      <c r="B4654" s="274"/>
      <c r="C4654" s="108"/>
      <c r="D4654" s="261"/>
      <c r="E4654" s="261"/>
    </row>
    <row r="4655" spans="2:5" x14ac:dyDescent="0.3">
      <c r="B4655" s="274"/>
      <c r="C4655" s="108"/>
      <c r="D4655" s="261"/>
      <c r="E4655" s="261"/>
    </row>
    <row r="4656" spans="2:5" x14ac:dyDescent="0.3">
      <c r="B4656" s="274"/>
      <c r="C4656" s="108"/>
      <c r="D4656" s="261"/>
      <c r="E4656" s="261"/>
    </row>
    <row r="4657" spans="2:5" x14ac:dyDescent="0.3">
      <c r="B4657" s="274"/>
      <c r="C4657" s="108"/>
      <c r="D4657" s="261"/>
      <c r="E4657" s="261"/>
    </row>
    <row r="4658" spans="2:5" x14ac:dyDescent="0.3">
      <c r="B4658" s="274"/>
      <c r="C4658" s="108"/>
      <c r="D4658" s="261"/>
      <c r="E4658" s="261"/>
    </row>
    <row r="4659" spans="2:5" x14ac:dyDescent="0.3">
      <c r="B4659" s="274"/>
      <c r="C4659" s="108"/>
      <c r="D4659" s="261"/>
      <c r="E4659" s="261"/>
    </row>
    <row r="4660" spans="2:5" x14ac:dyDescent="0.3">
      <c r="B4660" s="274"/>
      <c r="C4660" s="108"/>
      <c r="D4660" s="261"/>
      <c r="E4660" s="261"/>
    </row>
    <row r="4661" spans="2:5" x14ac:dyDescent="0.3">
      <c r="B4661" s="274"/>
      <c r="C4661" s="108"/>
      <c r="D4661" s="261"/>
      <c r="E4661" s="261"/>
    </row>
    <row r="4662" spans="2:5" x14ac:dyDescent="0.3">
      <c r="B4662" s="274"/>
      <c r="C4662" s="108"/>
      <c r="D4662" s="261"/>
      <c r="E4662" s="261"/>
    </row>
    <row r="4663" spans="2:5" x14ac:dyDescent="0.3">
      <c r="B4663" s="274"/>
      <c r="C4663" s="108"/>
      <c r="D4663" s="261"/>
      <c r="E4663" s="261"/>
    </row>
    <row r="4664" spans="2:5" x14ac:dyDescent="0.3">
      <c r="B4664" s="274"/>
      <c r="C4664" s="108"/>
      <c r="D4664" s="261"/>
      <c r="E4664" s="261"/>
    </row>
    <row r="4665" spans="2:5" x14ac:dyDescent="0.3">
      <c r="B4665" s="274"/>
      <c r="C4665" s="108"/>
      <c r="D4665" s="261"/>
      <c r="E4665" s="261"/>
    </row>
    <row r="4666" spans="2:5" x14ac:dyDescent="0.3">
      <c r="B4666" s="274"/>
      <c r="C4666" s="108"/>
      <c r="D4666" s="261"/>
      <c r="E4666" s="261"/>
    </row>
    <row r="4667" spans="2:5" x14ac:dyDescent="0.3">
      <c r="B4667" s="274"/>
      <c r="C4667" s="108"/>
      <c r="D4667" s="261"/>
      <c r="E4667" s="261"/>
    </row>
    <row r="4668" spans="2:5" x14ac:dyDescent="0.3">
      <c r="B4668" s="274"/>
      <c r="C4668" s="108"/>
      <c r="D4668" s="261"/>
      <c r="E4668" s="261"/>
    </row>
    <row r="4669" spans="2:5" x14ac:dyDescent="0.3">
      <c r="B4669" s="274"/>
      <c r="C4669" s="108"/>
      <c r="D4669" s="261"/>
      <c r="E4669" s="261"/>
    </row>
    <row r="4670" spans="2:5" x14ac:dyDescent="0.3">
      <c r="B4670" s="274"/>
      <c r="C4670" s="108"/>
      <c r="D4670" s="261"/>
      <c r="E4670" s="261"/>
    </row>
    <row r="4671" spans="2:5" x14ac:dyDescent="0.3">
      <c r="B4671" s="274"/>
      <c r="C4671" s="108"/>
      <c r="D4671" s="261"/>
      <c r="E4671" s="261"/>
    </row>
    <row r="4672" spans="2:5" x14ac:dyDescent="0.3">
      <c r="B4672" s="274"/>
      <c r="C4672" s="108"/>
      <c r="D4672" s="261"/>
      <c r="E4672" s="261"/>
    </row>
    <row r="4673" spans="2:5" x14ac:dyDescent="0.3">
      <c r="B4673" s="274"/>
      <c r="C4673" s="108"/>
      <c r="D4673" s="261"/>
      <c r="E4673" s="261"/>
    </row>
    <row r="4674" spans="2:5" x14ac:dyDescent="0.3">
      <c r="B4674" s="274"/>
      <c r="C4674" s="108"/>
      <c r="D4674" s="261"/>
      <c r="E4674" s="261"/>
    </row>
    <row r="4675" spans="2:5" x14ac:dyDescent="0.3">
      <c r="B4675" s="274"/>
      <c r="C4675" s="108"/>
      <c r="D4675" s="261"/>
      <c r="E4675" s="261"/>
    </row>
    <row r="4676" spans="2:5" x14ac:dyDescent="0.3">
      <c r="B4676" s="274"/>
      <c r="C4676" s="108"/>
      <c r="D4676" s="261"/>
      <c r="E4676" s="261"/>
    </row>
    <row r="4677" spans="2:5" x14ac:dyDescent="0.3">
      <c r="B4677" s="274"/>
      <c r="C4677" s="108"/>
      <c r="D4677" s="261"/>
      <c r="E4677" s="261"/>
    </row>
    <row r="4678" spans="2:5" x14ac:dyDescent="0.3">
      <c r="B4678" s="274"/>
      <c r="C4678" s="108"/>
      <c r="D4678" s="261"/>
      <c r="E4678" s="261"/>
    </row>
    <row r="4679" spans="2:5" x14ac:dyDescent="0.3">
      <c r="B4679" s="274"/>
      <c r="C4679" s="108"/>
      <c r="D4679" s="261"/>
      <c r="E4679" s="261"/>
    </row>
    <row r="4680" spans="2:5" x14ac:dyDescent="0.3">
      <c r="B4680" s="274"/>
      <c r="C4680" s="108"/>
      <c r="D4680" s="261"/>
      <c r="E4680" s="261"/>
    </row>
    <row r="4681" spans="2:5" x14ac:dyDescent="0.3">
      <c r="B4681" s="274"/>
      <c r="C4681" s="108"/>
      <c r="D4681" s="261"/>
      <c r="E4681" s="261"/>
    </row>
    <row r="4682" spans="2:5" x14ac:dyDescent="0.3">
      <c r="B4682" s="274"/>
      <c r="C4682" s="108"/>
      <c r="D4682" s="261"/>
      <c r="E4682" s="261"/>
    </row>
    <row r="4683" spans="2:5" x14ac:dyDescent="0.3">
      <c r="B4683" s="274"/>
      <c r="C4683" s="108"/>
      <c r="D4683" s="261"/>
      <c r="E4683" s="261"/>
    </row>
    <row r="4684" spans="2:5" x14ac:dyDescent="0.3">
      <c r="B4684" s="274"/>
      <c r="C4684" s="108"/>
      <c r="D4684" s="261"/>
      <c r="E4684" s="261"/>
    </row>
    <row r="4685" spans="2:5" x14ac:dyDescent="0.3">
      <c r="B4685" s="274"/>
      <c r="C4685" s="108"/>
      <c r="D4685" s="261"/>
      <c r="E4685" s="261"/>
    </row>
    <row r="4686" spans="2:5" x14ac:dyDescent="0.3">
      <c r="B4686" s="274"/>
      <c r="C4686" s="108"/>
      <c r="D4686" s="261"/>
      <c r="E4686" s="261"/>
    </row>
    <row r="4687" spans="2:5" x14ac:dyDescent="0.3">
      <c r="B4687" s="274"/>
      <c r="C4687" s="108"/>
      <c r="D4687" s="261"/>
      <c r="E4687" s="261"/>
    </row>
    <row r="4688" spans="2:5" x14ac:dyDescent="0.3">
      <c r="B4688" s="274"/>
      <c r="C4688" s="108"/>
      <c r="D4688" s="261"/>
      <c r="E4688" s="261"/>
    </row>
    <row r="4689" spans="2:5" x14ac:dyDescent="0.3">
      <c r="B4689" s="274"/>
      <c r="C4689" s="108"/>
      <c r="D4689" s="261"/>
      <c r="E4689" s="261"/>
    </row>
    <row r="4690" spans="2:5" x14ac:dyDescent="0.3">
      <c r="B4690" s="274"/>
      <c r="C4690" s="108"/>
      <c r="D4690" s="261"/>
      <c r="E4690" s="261"/>
    </row>
    <row r="4691" spans="2:5" x14ac:dyDescent="0.3">
      <c r="B4691" s="274"/>
      <c r="C4691" s="108"/>
      <c r="D4691" s="261"/>
      <c r="E4691" s="261"/>
    </row>
    <row r="4692" spans="2:5" x14ac:dyDescent="0.3">
      <c r="B4692" s="274"/>
      <c r="C4692" s="108"/>
      <c r="D4692" s="261"/>
      <c r="E4692" s="261"/>
    </row>
    <row r="4693" spans="2:5" x14ac:dyDescent="0.3">
      <c r="B4693" s="274"/>
      <c r="C4693" s="108"/>
      <c r="D4693" s="261"/>
      <c r="E4693" s="261"/>
    </row>
    <row r="4694" spans="2:5" x14ac:dyDescent="0.3">
      <c r="B4694" s="274"/>
      <c r="C4694" s="108"/>
      <c r="D4694" s="261"/>
      <c r="E4694" s="261"/>
    </row>
    <row r="4695" spans="2:5" x14ac:dyDescent="0.3">
      <c r="B4695" s="274"/>
      <c r="C4695" s="108"/>
      <c r="D4695" s="261"/>
      <c r="E4695" s="261"/>
    </row>
    <row r="4696" spans="2:5" x14ac:dyDescent="0.3">
      <c r="B4696" s="274"/>
      <c r="C4696" s="108"/>
      <c r="D4696" s="261"/>
      <c r="E4696" s="261"/>
    </row>
    <row r="4697" spans="2:5" x14ac:dyDescent="0.3">
      <c r="B4697" s="274"/>
      <c r="C4697" s="108"/>
      <c r="D4697" s="261"/>
      <c r="E4697" s="261"/>
    </row>
    <row r="4698" spans="2:5" x14ac:dyDescent="0.3">
      <c r="B4698" s="274"/>
      <c r="C4698" s="108"/>
      <c r="D4698" s="261"/>
      <c r="E4698" s="261"/>
    </row>
    <row r="4699" spans="2:5" x14ac:dyDescent="0.3">
      <c r="B4699" s="274"/>
      <c r="C4699" s="108"/>
      <c r="D4699" s="261"/>
      <c r="E4699" s="261"/>
    </row>
    <row r="4700" spans="2:5" x14ac:dyDescent="0.3">
      <c r="B4700" s="274"/>
      <c r="C4700" s="108"/>
      <c r="D4700" s="261"/>
      <c r="E4700" s="261"/>
    </row>
    <row r="4701" spans="2:5" x14ac:dyDescent="0.3">
      <c r="B4701" s="274"/>
      <c r="C4701" s="108"/>
      <c r="D4701" s="261"/>
      <c r="E4701" s="261"/>
    </row>
    <row r="4702" spans="2:5" x14ac:dyDescent="0.3">
      <c r="B4702" s="274"/>
      <c r="C4702" s="108"/>
      <c r="D4702" s="261"/>
      <c r="E4702" s="261"/>
    </row>
    <row r="4703" spans="2:5" x14ac:dyDescent="0.3">
      <c r="B4703" s="274"/>
      <c r="C4703" s="108"/>
      <c r="D4703" s="261"/>
      <c r="E4703" s="261"/>
    </row>
    <row r="4704" spans="2:5" x14ac:dyDescent="0.3">
      <c r="B4704" s="274"/>
      <c r="C4704" s="108"/>
      <c r="D4704" s="261"/>
      <c r="E4704" s="261"/>
    </row>
    <row r="4705" spans="2:5" x14ac:dyDescent="0.3">
      <c r="B4705" s="274"/>
      <c r="C4705" s="108"/>
      <c r="D4705" s="261"/>
      <c r="E4705" s="261"/>
    </row>
    <row r="4706" spans="2:5" x14ac:dyDescent="0.3">
      <c r="B4706" s="274"/>
      <c r="C4706" s="108"/>
      <c r="D4706" s="261"/>
      <c r="E4706" s="261"/>
    </row>
    <row r="4707" spans="2:5" x14ac:dyDescent="0.3">
      <c r="B4707" s="274"/>
      <c r="C4707" s="108"/>
      <c r="D4707" s="261"/>
      <c r="E4707" s="261"/>
    </row>
    <row r="4708" spans="2:5" x14ac:dyDescent="0.3">
      <c r="B4708" s="274"/>
      <c r="C4708" s="108"/>
      <c r="D4708" s="261"/>
      <c r="E4708" s="261"/>
    </row>
    <row r="4709" spans="2:5" x14ac:dyDescent="0.3">
      <c r="B4709" s="274"/>
      <c r="C4709" s="108"/>
      <c r="D4709" s="261"/>
      <c r="E4709" s="261"/>
    </row>
    <row r="4710" spans="2:5" x14ac:dyDescent="0.3">
      <c r="B4710" s="274"/>
      <c r="C4710" s="108"/>
      <c r="D4710" s="261"/>
      <c r="E4710" s="261"/>
    </row>
    <row r="4711" spans="2:5" x14ac:dyDescent="0.3">
      <c r="B4711" s="274"/>
      <c r="C4711" s="108"/>
      <c r="D4711" s="261"/>
      <c r="E4711" s="261"/>
    </row>
    <row r="4712" spans="2:5" x14ac:dyDescent="0.3">
      <c r="B4712" s="274"/>
      <c r="C4712" s="108"/>
      <c r="D4712" s="261"/>
      <c r="E4712" s="261"/>
    </row>
    <row r="4713" spans="2:5" x14ac:dyDescent="0.3">
      <c r="B4713" s="274"/>
      <c r="C4713" s="108"/>
      <c r="D4713" s="261"/>
      <c r="E4713" s="261"/>
    </row>
    <row r="4714" spans="2:5" x14ac:dyDescent="0.3">
      <c r="B4714" s="274"/>
      <c r="C4714" s="108"/>
      <c r="D4714" s="261"/>
      <c r="E4714" s="261"/>
    </row>
    <row r="4715" spans="2:5" x14ac:dyDescent="0.3">
      <c r="B4715" s="274"/>
      <c r="C4715" s="108"/>
      <c r="D4715" s="261"/>
      <c r="E4715" s="261"/>
    </row>
    <row r="4716" spans="2:5" x14ac:dyDescent="0.3">
      <c r="B4716" s="274"/>
      <c r="C4716" s="108"/>
      <c r="D4716" s="261"/>
      <c r="E4716" s="261"/>
    </row>
    <row r="4717" spans="2:5" x14ac:dyDescent="0.3">
      <c r="B4717" s="274"/>
      <c r="C4717" s="108"/>
      <c r="D4717" s="261"/>
      <c r="E4717" s="261"/>
    </row>
    <row r="4718" spans="2:5" x14ac:dyDescent="0.3">
      <c r="B4718" s="274"/>
      <c r="C4718" s="108"/>
      <c r="D4718" s="261"/>
      <c r="E4718" s="261"/>
    </row>
    <row r="4719" spans="2:5" x14ac:dyDescent="0.3">
      <c r="B4719" s="274"/>
      <c r="C4719" s="108"/>
      <c r="D4719" s="261"/>
      <c r="E4719" s="261"/>
    </row>
    <row r="4720" spans="2:5" x14ac:dyDescent="0.3">
      <c r="B4720" s="274"/>
      <c r="C4720" s="108"/>
      <c r="D4720" s="261"/>
      <c r="E4720" s="261"/>
    </row>
    <row r="4721" spans="2:5" x14ac:dyDescent="0.3">
      <c r="B4721" s="274"/>
      <c r="C4721" s="108"/>
      <c r="D4721" s="261"/>
      <c r="E4721" s="261"/>
    </row>
    <row r="4722" spans="2:5" x14ac:dyDescent="0.3">
      <c r="B4722" s="274"/>
      <c r="C4722" s="108"/>
      <c r="D4722" s="261"/>
      <c r="E4722" s="261"/>
    </row>
    <row r="4723" spans="2:5" x14ac:dyDescent="0.3">
      <c r="B4723" s="274"/>
      <c r="C4723" s="108"/>
      <c r="D4723" s="261"/>
      <c r="E4723" s="261"/>
    </row>
    <row r="4724" spans="2:5" x14ac:dyDescent="0.3">
      <c r="B4724" s="274"/>
      <c r="C4724" s="108"/>
      <c r="D4724" s="261"/>
      <c r="E4724" s="261"/>
    </row>
    <row r="4725" spans="2:5" x14ac:dyDescent="0.3">
      <c r="B4725" s="274"/>
      <c r="C4725" s="108"/>
      <c r="D4725" s="261"/>
      <c r="E4725" s="261"/>
    </row>
    <row r="4726" spans="2:5" x14ac:dyDescent="0.3">
      <c r="B4726" s="274"/>
      <c r="C4726" s="108"/>
      <c r="D4726" s="261"/>
      <c r="E4726" s="261"/>
    </row>
    <row r="4727" spans="2:5" x14ac:dyDescent="0.3">
      <c r="B4727" s="274"/>
      <c r="C4727" s="108"/>
      <c r="D4727" s="261"/>
      <c r="E4727" s="261"/>
    </row>
    <row r="4728" spans="2:5" x14ac:dyDescent="0.3">
      <c r="B4728" s="274"/>
      <c r="C4728" s="108"/>
      <c r="D4728" s="261"/>
      <c r="E4728" s="261"/>
    </row>
    <row r="4729" spans="2:5" x14ac:dyDescent="0.3">
      <c r="B4729" s="274"/>
      <c r="C4729" s="108"/>
      <c r="D4729" s="261"/>
      <c r="E4729" s="261"/>
    </row>
    <row r="4730" spans="2:5" x14ac:dyDescent="0.3">
      <c r="B4730" s="274"/>
      <c r="C4730" s="108"/>
      <c r="D4730" s="261"/>
      <c r="E4730" s="261"/>
    </row>
    <row r="4731" spans="2:5" x14ac:dyDescent="0.3">
      <c r="B4731" s="274"/>
      <c r="C4731" s="108"/>
      <c r="D4731" s="261"/>
      <c r="E4731" s="261"/>
    </row>
    <row r="4732" spans="2:5" x14ac:dyDescent="0.3">
      <c r="B4732" s="274"/>
      <c r="C4732" s="108"/>
      <c r="D4732" s="261"/>
      <c r="E4732" s="261"/>
    </row>
    <row r="4733" spans="2:5" x14ac:dyDescent="0.3">
      <c r="B4733" s="274"/>
      <c r="C4733" s="108"/>
      <c r="D4733" s="261"/>
      <c r="E4733" s="261"/>
    </row>
    <row r="4734" spans="2:5" x14ac:dyDescent="0.3">
      <c r="B4734" s="274"/>
      <c r="C4734" s="108"/>
      <c r="D4734" s="261"/>
      <c r="E4734" s="261"/>
    </row>
    <row r="4735" spans="2:5" x14ac:dyDescent="0.3">
      <c r="B4735" s="274"/>
      <c r="C4735" s="108"/>
      <c r="D4735" s="261"/>
      <c r="E4735" s="261"/>
    </row>
    <row r="4736" spans="2:5" x14ac:dyDescent="0.3">
      <c r="B4736" s="274"/>
      <c r="C4736" s="108"/>
      <c r="D4736" s="261"/>
      <c r="E4736" s="261"/>
    </row>
    <row r="4737" spans="2:5" x14ac:dyDescent="0.3">
      <c r="B4737" s="274"/>
      <c r="C4737" s="108"/>
      <c r="D4737" s="261"/>
      <c r="E4737" s="261"/>
    </row>
    <row r="4738" spans="2:5" x14ac:dyDescent="0.3">
      <c r="B4738" s="274"/>
      <c r="C4738" s="108"/>
      <c r="D4738" s="261"/>
      <c r="E4738" s="261"/>
    </row>
    <row r="4739" spans="2:5" x14ac:dyDescent="0.3">
      <c r="B4739" s="274"/>
      <c r="C4739" s="108"/>
      <c r="D4739" s="261"/>
      <c r="E4739" s="261"/>
    </row>
    <row r="4740" spans="2:5" x14ac:dyDescent="0.3">
      <c r="B4740" s="274"/>
      <c r="C4740" s="108"/>
      <c r="D4740" s="261"/>
      <c r="E4740" s="261"/>
    </row>
    <row r="4741" spans="2:5" x14ac:dyDescent="0.3">
      <c r="B4741" s="274"/>
      <c r="C4741" s="108"/>
      <c r="D4741" s="261"/>
      <c r="E4741" s="261"/>
    </row>
    <row r="4742" spans="2:5" x14ac:dyDescent="0.3">
      <c r="B4742" s="274"/>
      <c r="C4742" s="108"/>
      <c r="D4742" s="261"/>
      <c r="E4742" s="261"/>
    </row>
    <row r="4743" spans="2:5" x14ac:dyDescent="0.3">
      <c r="B4743" s="274"/>
      <c r="C4743" s="108"/>
      <c r="D4743" s="261"/>
      <c r="E4743" s="261"/>
    </row>
    <row r="4744" spans="2:5" x14ac:dyDescent="0.3">
      <c r="B4744" s="274"/>
      <c r="C4744" s="108"/>
      <c r="D4744" s="261"/>
      <c r="E4744" s="261"/>
    </row>
    <row r="4745" spans="2:5" x14ac:dyDescent="0.3">
      <c r="B4745" s="274"/>
      <c r="C4745" s="108"/>
      <c r="D4745" s="261"/>
      <c r="E4745" s="261"/>
    </row>
    <row r="4746" spans="2:5" x14ac:dyDescent="0.3">
      <c r="B4746" s="274"/>
      <c r="C4746" s="108"/>
      <c r="D4746" s="261"/>
      <c r="E4746" s="261"/>
    </row>
    <row r="4747" spans="2:5" x14ac:dyDescent="0.3">
      <c r="B4747" s="274"/>
      <c r="C4747" s="108"/>
      <c r="D4747" s="261"/>
      <c r="E4747" s="261"/>
    </row>
    <row r="4748" spans="2:5" x14ac:dyDescent="0.3">
      <c r="B4748" s="274"/>
      <c r="C4748" s="108"/>
      <c r="D4748" s="261"/>
      <c r="E4748" s="261"/>
    </row>
    <row r="4749" spans="2:5" x14ac:dyDescent="0.3">
      <c r="B4749" s="274"/>
      <c r="C4749" s="108"/>
      <c r="D4749" s="261"/>
      <c r="E4749" s="261"/>
    </row>
    <row r="4750" spans="2:5" x14ac:dyDescent="0.3">
      <c r="B4750" s="274"/>
      <c r="C4750" s="108"/>
      <c r="D4750" s="261"/>
      <c r="E4750" s="261"/>
    </row>
    <row r="4751" spans="2:5" x14ac:dyDescent="0.3">
      <c r="B4751" s="274"/>
      <c r="C4751" s="108"/>
      <c r="D4751" s="261"/>
      <c r="E4751" s="261"/>
    </row>
    <row r="4752" spans="2:5" x14ac:dyDescent="0.3">
      <c r="B4752" s="274"/>
      <c r="C4752" s="108"/>
      <c r="D4752" s="261"/>
      <c r="E4752" s="261"/>
    </row>
    <row r="4753" spans="2:5" x14ac:dyDescent="0.3">
      <c r="B4753" s="274"/>
      <c r="C4753" s="108"/>
      <c r="D4753" s="261"/>
      <c r="E4753" s="261"/>
    </row>
    <row r="4754" spans="2:5" x14ac:dyDescent="0.3">
      <c r="B4754" s="274"/>
      <c r="C4754" s="108"/>
      <c r="D4754" s="261"/>
      <c r="E4754" s="261"/>
    </row>
    <row r="4755" spans="2:5" x14ac:dyDescent="0.3">
      <c r="B4755" s="274"/>
      <c r="C4755" s="108"/>
      <c r="D4755" s="261"/>
      <c r="E4755" s="261"/>
    </row>
    <row r="4756" spans="2:5" x14ac:dyDescent="0.3">
      <c r="B4756" s="274"/>
      <c r="C4756" s="108"/>
      <c r="D4756" s="261"/>
      <c r="E4756" s="261"/>
    </row>
    <row r="4757" spans="2:5" x14ac:dyDescent="0.3">
      <c r="B4757" s="274"/>
      <c r="C4757" s="108"/>
      <c r="D4757" s="261"/>
      <c r="E4757" s="261"/>
    </row>
    <row r="4758" spans="2:5" x14ac:dyDescent="0.3">
      <c r="B4758" s="274"/>
      <c r="C4758" s="108"/>
      <c r="D4758" s="261"/>
      <c r="E4758" s="261"/>
    </row>
    <row r="4759" spans="2:5" x14ac:dyDescent="0.3">
      <c r="B4759" s="274"/>
      <c r="C4759" s="108"/>
      <c r="D4759" s="261"/>
      <c r="E4759" s="261"/>
    </row>
    <row r="4760" spans="2:5" x14ac:dyDescent="0.3">
      <c r="B4760" s="274"/>
      <c r="C4760" s="108"/>
      <c r="D4760" s="261"/>
      <c r="E4760" s="261"/>
    </row>
    <row r="4761" spans="2:5" x14ac:dyDescent="0.3">
      <c r="B4761" s="274"/>
      <c r="C4761" s="108"/>
      <c r="D4761" s="261"/>
      <c r="E4761" s="261"/>
    </row>
    <row r="4762" spans="2:5" x14ac:dyDescent="0.3">
      <c r="B4762" s="274"/>
      <c r="C4762" s="108"/>
      <c r="D4762" s="261"/>
      <c r="E4762" s="261"/>
    </row>
    <row r="4763" spans="2:5" x14ac:dyDescent="0.3">
      <c r="B4763" s="274"/>
      <c r="C4763" s="108"/>
      <c r="D4763" s="261"/>
      <c r="E4763" s="261"/>
    </row>
    <row r="4764" spans="2:5" x14ac:dyDescent="0.3">
      <c r="B4764" s="274"/>
      <c r="C4764" s="108"/>
      <c r="D4764" s="261"/>
      <c r="E4764" s="261"/>
    </row>
    <row r="4765" spans="2:5" x14ac:dyDescent="0.3">
      <c r="B4765" s="274"/>
      <c r="C4765" s="108"/>
      <c r="D4765" s="261"/>
      <c r="E4765" s="261"/>
    </row>
    <row r="4766" spans="2:5" x14ac:dyDescent="0.3">
      <c r="B4766" s="274"/>
      <c r="C4766" s="108"/>
      <c r="D4766" s="261"/>
      <c r="E4766" s="261"/>
    </row>
    <row r="4767" spans="2:5" x14ac:dyDescent="0.3">
      <c r="B4767" s="274"/>
      <c r="C4767" s="108"/>
      <c r="D4767" s="261"/>
      <c r="E4767" s="261"/>
    </row>
    <row r="4768" spans="2:5" x14ac:dyDescent="0.3">
      <c r="B4768" s="274"/>
      <c r="C4768" s="108"/>
      <c r="D4768" s="261"/>
      <c r="E4768" s="261"/>
    </row>
    <row r="4769" spans="2:5" x14ac:dyDescent="0.3">
      <c r="B4769" s="274"/>
      <c r="C4769" s="108"/>
      <c r="D4769" s="261"/>
      <c r="E4769" s="261"/>
    </row>
    <row r="4770" spans="2:5" x14ac:dyDescent="0.3">
      <c r="B4770" s="274"/>
      <c r="C4770" s="108"/>
      <c r="D4770" s="261"/>
      <c r="E4770" s="261"/>
    </row>
    <row r="4771" spans="2:5" x14ac:dyDescent="0.3">
      <c r="B4771" s="274"/>
      <c r="C4771" s="108"/>
      <c r="D4771" s="261"/>
      <c r="E4771" s="261"/>
    </row>
    <row r="4772" spans="2:5" x14ac:dyDescent="0.3">
      <c r="B4772" s="274"/>
      <c r="C4772" s="108"/>
      <c r="D4772" s="261"/>
      <c r="E4772" s="261"/>
    </row>
    <row r="4773" spans="2:5" x14ac:dyDescent="0.3">
      <c r="B4773" s="274"/>
      <c r="C4773" s="108"/>
      <c r="D4773" s="261"/>
      <c r="E4773" s="261"/>
    </row>
    <row r="4774" spans="2:5" x14ac:dyDescent="0.3">
      <c r="B4774" s="274"/>
      <c r="C4774" s="108"/>
      <c r="D4774" s="261"/>
      <c r="E4774" s="261"/>
    </row>
    <row r="4775" spans="2:5" x14ac:dyDescent="0.3">
      <c r="B4775" s="274"/>
      <c r="C4775" s="108"/>
      <c r="D4775" s="261"/>
      <c r="E4775" s="261"/>
    </row>
    <row r="4776" spans="2:5" x14ac:dyDescent="0.3">
      <c r="B4776" s="274"/>
      <c r="C4776" s="108"/>
      <c r="D4776" s="261"/>
      <c r="E4776" s="261"/>
    </row>
    <row r="4777" spans="2:5" x14ac:dyDescent="0.3">
      <c r="B4777" s="274"/>
      <c r="C4777" s="108"/>
      <c r="D4777" s="261"/>
      <c r="E4777" s="261"/>
    </row>
    <row r="4778" spans="2:5" x14ac:dyDescent="0.3">
      <c r="B4778" s="274"/>
      <c r="C4778" s="108"/>
      <c r="D4778" s="261"/>
      <c r="E4778" s="261"/>
    </row>
    <row r="4779" spans="2:5" x14ac:dyDescent="0.3">
      <c r="B4779" s="274"/>
      <c r="C4779" s="108"/>
      <c r="D4779" s="261"/>
      <c r="E4779" s="261"/>
    </row>
    <row r="4780" spans="2:5" x14ac:dyDescent="0.3">
      <c r="B4780" s="274"/>
      <c r="C4780" s="108"/>
      <c r="D4780" s="261"/>
      <c r="E4780" s="261"/>
    </row>
    <row r="4781" spans="2:5" x14ac:dyDescent="0.3">
      <c r="B4781" s="274"/>
      <c r="C4781" s="108"/>
      <c r="D4781" s="261"/>
      <c r="E4781" s="261"/>
    </row>
    <row r="4782" spans="2:5" x14ac:dyDescent="0.3">
      <c r="B4782" s="274"/>
      <c r="C4782" s="108"/>
      <c r="D4782" s="261"/>
      <c r="E4782" s="261"/>
    </row>
    <row r="4783" spans="2:5" x14ac:dyDescent="0.3">
      <c r="B4783" s="274"/>
      <c r="C4783" s="108"/>
      <c r="D4783" s="261"/>
      <c r="E4783" s="261"/>
    </row>
    <row r="4784" spans="2:5" x14ac:dyDescent="0.3">
      <c r="B4784" s="274"/>
      <c r="C4784" s="108"/>
      <c r="D4784" s="261"/>
      <c r="E4784" s="261"/>
    </row>
    <row r="4785" spans="2:5" x14ac:dyDescent="0.3">
      <c r="B4785" s="274"/>
      <c r="C4785" s="108"/>
      <c r="D4785" s="261"/>
      <c r="E4785" s="261"/>
    </row>
    <row r="4786" spans="2:5" x14ac:dyDescent="0.3">
      <c r="B4786" s="274"/>
      <c r="C4786" s="108"/>
      <c r="D4786" s="261"/>
      <c r="E4786" s="261"/>
    </row>
    <row r="4787" spans="2:5" x14ac:dyDescent="0.3">
      <c r="B4787" s="274"/>
      <c r="C4787" s="108"/>
      <c r="D4787" s="261"/>
      <c r="E4787" s="261"/>
    </row>
    <row r="4788" spans="2:5" x14ac:dyDescent="0.3">
      <c r="B4788" s="274"/>
      <c r="C4788" s="108"/>
      <c r="D4788" s="261"/>
      <c r="E4788" s="261"/>
    </row>
    <row r="4789" spans="2:5" x14ac:dyDescent="0.3">
      <c r="B4789" s="274"/>
      <c r="C4789" s="108"/>
      <c r="D4789" s="261"/>
      <c r="E4789" s="261"/>
    </row>
    <row r="4790" spans="2:5" x14ac:dyDescent="0.3">
      <c r="B4790" s="274"/>
      <c r="C4790" s="108"/>
      <c r="D4790" s="261"/>
      <c r="E4790" s="261"/>
    </row>
    <row r="4791" spans="2:5" x14ac:dyDescent="0.3">
      <c r="B4791" s="274"/>
      <c r="C4791" s="108"/>
      <c r="D4791" s="261"/>
      <c r="E4791" s="261"/>
    </row>
    <row r="4792" spans="2:5" x14ac:dyDescent="0.3">
      <c r="B4792" s="274"/>
      <c r="C4792" s="108"/>
      <c r="D4792" s="261"/>
      <c r="E4792" s="261"/>
    </row>
    <row r="4793" spans="2:5" x14ac:dyDescent="0.3">
      <c r="B4793" s="274"/>
      <c r="C4793" s="108"/>
      <c r="D4793" s="261"/>
      <c r="E4793" s="261"/>
    </row>
    <row r="4794" spans="2:5" x14ac:dyDescent="0.3">
      <c r="B4794" s="274"/>
      <c r="C4794" s="108"/>
      <c r="D4794" s="261"/>
      <c r="E4794" s="261"/>
    </row>
    <row r="4795" spans="2:5" x14ac:dyDescent="0.3">
      <c r="B4795" s="274"/>
      <c r="C4795" s="108"/>
      <c r="D4795" s="261"/>
      <c r="E4795" s="261"/>
    </row>
    <row r="4796" spans="2:5" x14ac:dyDescent="0.3">
      <c r="B4796" s="274"/>
      <c r="C4796" s="108"/>
      <c r="D4796" s="261"/>
      <c r="E4796" s="261"/>
    </row>
    <row r="4797" spans="2:5" x14ac:dyDescent="0.3">
      <c r="B4797" s="274"/>
      <c r="C4797" s="108"/>
      <c r="D4797" s="261"/>
      <c r="E4797" s="261"/>
    </row>
    <row r="4798" spans="2:5" x14ac:dyDescent="0.3">
      <c r="B4798" s="274"/>
      <c r="C4798" s="108"/>
      <c r="D4798" s="261"/>
      <c r="E4798" s="261"/>
    </row>
    <row r="4799" spans="2:5" x14ac:dyDescent="0.3">
      <c r="B4799" s="274"/>
      <c r="C4799" s="108"/>
      <c r="D4799" s="261"/>
      <c r="E4799" s="261"/>
    </row>
    <row r="4800" spans="2:5" x14ac:dyDescent="0.3">
      <c r="B4800" s="274"/>
      <c r="C4800" s="108"/>
      <c r="D4800" s="261"/>
      <c r="E4800" s="261"/>
    </row>
    <row r="4801" spans="2:5" x14ac:dyDescent="0.3">
      <c r="B4801" s="274"/>
      <c r="C4801" s="108"/>
      <c r="D4801" s="261"/>
      <c r="E4801" s="261"/>
    </row>
    <row r="4802" spans="2:5" x14ac:dyDescent="0.3">
      <c r="B4802" s="274"/>
      <c r="C4802" s="108"/>
      <c r="D4802" s="261"/>
      <c r="E4802" s="261"/>
    </row>
    <row r="4803" spans="2:5" x14ac:dyDescent="0.3">
      <c r="B4803" s="274"/>
      <c r="C4803" s="108"/>
      <c r="D4803" s="261"/>
      <c r="E4803" s="261"/>
    </row>
    <row r="4804" spans="2:5" x14ac:dyDescent="0.3">
      <c r="B4804" s="274"/>
      <c r="C4804" s="108"/>
      <c r="D4804" s="261"/>
      <c r="E4804" s="261"/>
    </row>
    <row r="4805" spans="2:5" x14ac:dyDescent="0.3">
      <c r="B4805" s="274"/>
      <c r="C4805" s="108"/>
      <c r="D4805" s="261"/>
      <c r="E4805" s="261"/>
    </row>
    <row r="4806" spans="2:5" x14ac:dyDescent="0.3">
      <c r="B4806" s="274"/>
      <c r="C4806" s="108"/>
      <c r="D4806" s="261"/>
      <c r="E4806" s="261"/>
    </row>
    <row r="4807" spans="2:5" x14ac:dyDescent="0.3">
      <c r="B4807" s="274"/>
      <c r="C4807" s="108"/>
      <c r="D4807" s="261"/>
      <c r="E4807" s="261"/>
    </row>
    <row r="4808" spans="2:5" x14ac:dyDescent="0.3">
      <c r="B4808" s="274"/>
      <c r="C4808" s="108"/>
      <c r="D4808" s="261"/>
      <c r="E4808" s="261"/>
    </row>
    <row r="4809" spans="2:5" x14ac:dyDescent="0.3">
      <c r="B4809" s="274"/>
      <c r="C4809" s="108"/>
      <c r="D4809" s="261"/>
      <c r="E4809" s="261"/>
    </row>
    <row r="4810" spans="2:5" x14ac:dyDescent="0.3">
      <c r="B4810" s="274"/>
      <c r="C4810" s="108"/>
      <c r="D4810" s="261"/>
      <c r="E4810" s="261"/>
    </row>
    <row r="4811" spans="2:5" x14ac:dyDescent="0.3">
      <c r="B4811" s="274"/>
      <c r="C4811" s="108"/>
      <c r="D4811" s="261"/>
      <c r="E4811" s="261"/>
    </row>
    <row r="4812" spans="2:5" x14ac:dyDescent="0.3">
      <c r="B4812" s="274"/>
      <c r="C4812" s="108"/>
      <c r="D4812" s="261"/>
      <c r="E4812" s="261"/>
    </row>
    <row r="4813" spans="2:5" x14ac:dyDescent="0.3">
      <c r="B4813" s="274"/>
      <c r="C4813" s="108"/>
      <c r="D4813" s="261"/>
      <c r="E4813" s="261"/>
    </row>
    <row r="4814" spans="2:5" x14ac:dyDescent="0.3">
      <c r="B4814" s="274"/>
      <c r="C4814" s="108"/>
      <c r="D4814" s="261"/>
      <c r="E4814" s="261"/>
    </row>
    <row r="4815" spans="2:5" x14ac:dyDescent="0.3">
      <c r="B4815" s="274"/>
      <c r="C4815" s="108"/>
      <c r="D4815" s="261"/>
      <c r="E4815" s="261"/>
    </row>
    <row r="4816" spans="2:5" x14ac:dyDescent="0.3">
      <c r="B4816" s="274"/>
      <c r="C4816" s="108"/>
      <c r="D4816" s="261"/>
      <c r="E4816" s="261"/>
    </row>
    <row r="4817" spans="2:5" x14ac:dyDescent="0.3">
      <c r="B4817" s="274"/>
      <c r="C4817" s="108"/>
      <c r="D4817" s="261"/>
      <c r="E4817" s="261"/>
    </row>
    <row r="4818" spans="2:5" x14ac:dyDescent="0.3">
      <c r="B4818" s="274"/>
      <c r="C4818" s="108"/>
      <c r="D4818" s="261"/>
      <c r="E4818" s="261"/>
    </row>
    <row r="4819" spans="2:5" x14ac:dyDescent="0.3">
      <c r="B4819" s="274"/>
      <c r="C4819" s="108"/>
      <c r="D4819" s="261"/>
      <c r="E4819" s="261"/>
    </row>
    <row r="4820" spans="2:5" x14ac:dyDescent="0.3">
      <c r="B4820" s="274"/>
      <c r="C4820" s="108"/>
      <c r="D4820" s="261"/>
      <c r="E4820" s="261"/>
    </row>
    <row r="4821" spans="2:5" x14ac:dyDescent="0.3">
      <c r="B4821" s="274"/>
      <c r="C4821" s="108"/>
      <c r="D4821" s="261"/>
      <c r="E4821" s="261"/>
    </row>
    <row r="4822" spans="2:5" x14ac:dyDescent="0.3">
      <c r="B4822" s="274"/>
      <c r="C4822" s="108"/>
      <c r="D4822" s="261"/>
      <c r="E4822" s="261"/>
    </row>
    <row r="4823" spans="2:5" x14ac:dyDescent="0.3">
      <c r="B4823" s="274"/>
      <c r="C4823" s="108"/>
      <c r="D4823" s="261"/>
      <c r="E4823" s="261"/>
    </row>
    <row r="4824" spans="2:5" x14ac:dyDescent="0.3">
      <c r="B4824" s="274"/>
      <c r="C4824" s="108"/>
      <c r="D4824" s="261"/>
      <c r="E4824" s="261"/>
    </row>
    <row r="4825" spans="2:5" x14ac:dyDescent="0.3">
      <c r="B4825" s="274"/>
      <c r="C4825" s="108"/>
      <c r="D4825" s="261"/>
      <c r="E4825" s="261"/>
    </row>
    <row r="4826" spans="2:5" x14ac:dyDescent="0.3">
      <c r="B4826" s="274"/>
      <c r="C4826" s="108"/>
      <c r="D4826" s="261"/>
      <c r="E4826" s="261"/>
    </row>
    <row r="4827" spans="2:5" x14ac:dyDescent="0.3">
      <c r="B4827" s="274"/>
      <c r="C4827" s="108"/>
      <c r="D4827" s="261"/>
      <c r="E4827" s="261"/>
    </row>
    <row r="4828" spans="2:5" x14ac:dyDescent="0.3">
      <c r="B4828" s="274"/>
      <c r="C4828" s="108"/>
      <c r="D4828" s="261"/>
      <c r="E4828" s="261"/>
    </row>
    <row r="4829" spans="2:5" x14ac:dyDescent="0.3">
      <c r="B4829" s="274"/>
      <c r="C4829" s="108"/>
      <c r="D4829" s="261"/>
      <c r="E4829" s="261"/>
    </row>
    <row r="4830" spans="2:5" x14ac:dyDescent="0.3">
      <c r="B4830" s="274"/>
      <c r="C4830" s="108"/>
      <c r="D4830" s="261"/>
      <c r="E4830" s="261"/>
    </row>
    <row r="4831" spans="2:5" x14ac:dyDescent="0.3">
      <c r="B4831" s="274"/>
      <c r="C4831" s="108"/>
      <c r="D4831" s="261"/>
      <c r="E4831" s="261"/>
    </row>
    <row r="4832" spans="2:5" x14ac:dyDescent="0.3">
      <c r="B4832" s="274"/>
      <c r="C4832" s="108"/>
      <c r="D4832" s="261"/>
      <c r="E4832" s="261"/>
    </row>
    <row r="4833" spans="2:5" x14ac:dyDescent="0.3">
      <c r="B4833" s="274"/>
      <c r="C4833" s="108"/>
      <c r="D4833" s="261"/>
      <c r="E4833" s="261"/>
    </row>
    <row r="4834" spans="2:5" x14ac:dyDescent="0.3">
      <c r="B4834" s="274"/>
      <c r="C4834" s="108"/>
      <c r="D4834" s="261"/>
      <c r="E4834" s="261"/>
    </row>
    <row r="4835" spans="2:5" x14ac:dyDescent="0.3">
      <c r="B4835" s="274"/>
      <c r="C4835" s="108"/>
      <c r="D4835" s="261"/>
      <c r="E4835" s="261"/>
    </row>
    <row r="4836" spans="2:5" x14ac:dyDescent="0.3">
      <c r="B4836" s="274"/>
      <c r="C4836" s="108"/>
      <c r="D4836" s="261"/>
      <c r="E4836" s="261"/>
    </row>
    <row r="4837" spans="2:5" x14ac:dyDescent="0.3">
      <c r="B4837" s="274"/>
      <c r="C4837" s="108"/>
      <c r="D4837" s="261"/>
      <c r="E4837" s="261"/>
    </row>
    <row r="4838" spans="2:5" x14ac:dyDescent="0.3">
      <c r="B4838" s="274"/>
      <c r="C4838" s="108"/>
      <c r="D4838" s="261"/>
      <c r="E4838" s="261"/>
    </row>
    <row r="4839" spans="2:5" x14ac:dyDescent="0.3">
      <c r="B4839" s="274"/>
      <c r="C4839" s="108"/>
      <c r="D4839" s="261"/>
      <c r="E4839" s="261"/>
    </row>
    <row r="4840" spans="2:5" x14ac:dyDescent="0.3">
      <c r="B4840" s="274"/>
      <c r="C4840" s="108"/>
      <c r="D4840" s="261"/>
      <c r="E4840" s="261"/>
    </row>
    <row r="4841" spans="2:5" x14ac:dyDescent="0.3">
      <c r="B4841" s="274"/>
      <c r="C4841" s="108"/>
      <c r="D4841" s="261"/>
      <c r="E4841" s="261"/>
    </row>
    <row r="4842" spans="2:5" x14ac:dyDescent="0.3">
      <c r="B4842" s="274"/>
      <c r="C4842" s="108"/>
      <c r="D4842" s="261"/>
      <c r="E4842" s="261"/>
    </row>
    <row r="4843" spans="2:5" x14ac:dyDescent="0.3">
      <c r="B4843" s="274"/>
      <c r="C4843" s="108"/>
      <c r="D4843" s="261"/>
      <c r="E4843" s="261"/>
    </row>
    <row r="4844" spans="2:5" x14ac:dyDescent="0.3">
      <c r="B4844" s="274"/>
      <c r="C4844" s="108"/>
      <c r="D4844" s="261"/>
      <c r="E4844" s="261"/>
    </row>
    <row r="4845" spans="2:5" x14ac:dyDescent="0.3">
      <c r="B4845" s="274"/>
      <c r="C4845" s="108"/>
      <c r="D4845" s="261"/>
      <c r="E4845" s="261"/>
    </row>
    <row r="4846" spans="2:5" x14ac:dyDescent="0.3">
      <c r="B4846" s="274"/>
      <c r="C4846" s="108"/>
      <c r="D4846" s="261"/>
      <c r="E4846" s="261"/>
    </row>
    <row r="4847" spans="2:5" x14ac:dyDescent="0.3">
      <c r="B4847" s="274"/>
      <c r="C4847" s="108"/>
      <c r="D4847" s="261"/>
      <c r="E4847" s="261"/>
    </row>
    <row r="4848" spans="2:5" x14ac:dyDescent="0.3">
      <c r="B4848" s="274"/>
      <c r="C4848" s="108"/>
      <c r="D4848" s="261"/>
      <c r="E4848" s="261"/>
    </row>
    <row r="4849" spans="2:5" x14ac:dyDescent="0.3">
      <c r="B4849" s="274"/>
      <c r="C4849" s="108"/>
      <c r="D4849" s="261"/>
      <c r="E4849" s="261"/>
    </row>
    <row r="4850" spans="2:5" x14ac:dyDescent="0.3">
      <c r="B4850" s="274"/>
      <c r="C4850" s="108"/>
      <c r="D4850" s="261"/>
      <c r="E4850" s="261"/>
    </row>
    <row r="4851" spans="2:5" x14ac:dyDescent="0.3">
      <c r="B4851" s="274"/>
      <c r="C4851" s="108"/>
      <c r="D4851" s="261"/>
      <c r="E4851" s="261"/>
    </row>
    <row r="4852" spans="2:5" x14ac:dyDescent="0.3">
      <c r="B4852" s="274"/>
      <c r="C4852" s="108"/>
      <c r="D4852" s="261"/>
      <c r="E4852" s="261"/>
    </row>
    <row r="4853" spans="2:5" x14ac:dyDescent="0.3">
      <c r="B4853" s="274"/>
      <c r="C4853" s="108"/>
      <c r="D4853" s="261"/>
      <c r="E4853" s="261"/>
    </row>
    <row r="4854" spans="2:5" x14ac:dyDescent="0.3">
      <c r="B4854" s="274"/>
      <c r="C4854" s="108"/>
      <c r="D4854" s="261"/>
      <c r="E4854" s="261"/>
    </row>
    <row r="4855" spans="2:5" x14ac:dyDescent="0.3">
      <c r="B4855" s="274"/>
      <c r="C4855" s="108"/>
      <c r="D4855" s="261"/>
      <c r="E4855" s="261"/>
    </row>
    <row r="4856" spans="2:5" x14ac:dyDescent="0.3">
      <c r="B4856" s="274"/>
      <c r="C4856" s="108"/>
      <c r="D4856" s="261"/>
      <c r="E4856" s="261"/>
    </row>
    <row r="4857" spans="2:5" x14ac:dyDescent="0.3">
      <c r="B4857" s="274"/>
      <c r="C4857" s="108"/>
      <c r="D4857" s="261"/>
      <c r="E4857" s="261"/>
    </row>
    <row r="4858" spans="2:5" x14ac:dyDescent="0.3">
      <c r="B4858" s="274"/>
      <c r="C4858" s="108"/>
      <c r="D4858" s="261"/>
      <c r="E4858" s="261"/>
    </row>
    <row r="4859" spans="2:5" x14ac:dyDescent="0.3">
      <c r="B4859" s="274"/>
      <c r="C4859" s="108"/>
      <c r="D4859" s="261"/>
      <c r="E4859" s="261"/>
    </row>
    <row r="4860" spans="2:5" x14ac:dyDescent="0.3">
      <c r="B4860" s="274"/>
      <c r="C4860" s="108"/>
      <c r="D4860" s="261"/>
      <c r="E4860" s="261"/>
    </row>
    <row r="4861" spans="2:5" x14ac:dyDescent="0.3">
      <c r="B4861" s="274"/>
      <c r="C4861" s="108"/>
      <c r="D4861" s="261"/>
      <c r="E4861" s="261"/>
    </row>
    <row r="4862" spans="2:5" x14ac:dyDescent="0.3">
      <c r="B4862" s="274"/>
      <c r="C4862" s="108"/>
      <c r="D4862" s="261"/>
      <c r="E4862" s="261"/>
    </row>
    <row r="4863" spans="2:5" x14ac:dyDescent="0.3">
      <c r="B4863" s="274"/>
      <c r="C4863" s="108"/>
      <c r="D4863" s="261"/>
      <c r="E4863" s="261"/>
    </row>
    <row r="4864" spans="2:5" x14ac:dyDescent="0.3">
      <c r="B4864" s="274"/>
      <c r="C4864" s="108"/>
      <c r="D4864" s="261"/>
      <c r="E4864" s="261"/>
    </row>
    <row r="4865" spans="2:5" x14ac:dyDescent="0.3">
      <c r="B4865" s="274"/>
      <c r="C4865" s="108"/>
      <c r="D4865" s="261"/>
      <c r="E4865" s="261"/>
    </row>
    <row r="4866" spans="2:5" x14ac:dyDescent="0.3">
      <c r="B4866" s="274"/>
      <c r="C4866" s="108"/>
      <c r="D4866" s="261"/>
      <c r="E4866" s="261"/>
    </row>
    <row r="4867" spans="2:5" x14ac:dyDescent="0.3">
      <c r="B4867" s="274"/>
      <c r="C4867" s="108"/>
      <c r="D4867" s="261"/>
      <c r="E4867" s="261"/>
    </row>
    <row r="4868" spans="2:5" x14ac:dyDescent="0.3">
      <c r="B4868" s="274"/>
      <c r="C4868" s="108"/>
      <c r="D4868" s="261"/>
      <c r="E4868" s="261"/>
    </row>
    <row r="4869" spans="2:5" x14ac:dyDescent="0.3">
      <c r="B4869" s="274"/>
      <c r="C4869" s="108"/>
      <c r="D4869" s="261"/>
      <c r="E4869" s="261"/>
    </row>
    <row r="4870" spans="2:5" x14ac:dyDescent="0.3">
      <c r="B4870" s="274"/>
      <c r="C4870" s="108"/>
      <c r="D4870" s="261"/>
      <c r="E4870" s="261"/>
    </row>
    <row r="4871" spans="2:5" x14ac:dyDescent="0.3">
      <c r="B4871" s="274"/>
      <c r="C4871" s="108"/>
      <c r="D4871" s="261"/>
      <c r="E4871" s="261"/>
    </row>
    <row r="4872" spans="2:5" x14ac:dyDescent="0.3">
      <c r="B4872" s="274"/>
      <c r="C4872" s="108"/>
      <c r="D4872" s="261"/>
      <c r="E4872" s="261"/>
    </row>
    <row r="4873" spans="2:5" x14ac:dyDescent="0.3">
      <c r="B4873" s="274"/>
      <c r="C4873" s="108"/>
      <c r="D4873" s="261"/>
      <c r="E4873" s="261"/>
    </row>
    <row r="4874" spans="2:5" x14ac:dyDescent="0.3">
      <c r="B4874" s="274"/>
      <c r="C4874" s="108"/>
      <c r="D4874" s="261"/>
      <c r="E4874" s="261"/>
    </row>
    <row r="4875" spans="2:5" x14ac:dyDescent="0.3">
      <c r="B4875" s="274"/>
      <c r="C4875" s="108"/>
      <c r="D4875" s="261"/>
      <c r="E4875" s="261"/>
    </row>
    <row r="4876" spans="2:5" x14ac:dyDescent="0.3">
      <c r="B4876" s="274"/>
      <c r="C4876" s="108"/>
      <c r="D4876" s="261"/>
      <c r="E4876" s="261"/>
    </row>
    <row r="4877" spans="2:5" x14ac:dyDescent="0.3">
      <c r="B4877" s="274"/>
      <c r="C4877" s="108"/>
      <c r="D4877" s="261"/>
      <c r="E4877" s="261"/>
    </row>
    <row r="4878" spans="2:5" x14ac:dyDescent="0.3">
      <c r="B4878" s="274"/>
      <c r="C4878" s="108"/>
      <c r="D4878" s="261"/>
      <c r="E4878" s="261"/>
    </row>
    <row r="4879" spans="2:5" x14ac:dyDescent="0.3">
      <c r="B4879" s="274"/>
      <c r="C4879" s="108"/>
      <c r="D4879" s="261"/>
      <c r="E4879" s="261"/>
    </row>
    <row r="4880" spans="2:5" x14ac:dyDescent="0.3">
      <c r="B4880" s="274"/>
      <c r="C4880" s="108"/>
      <c r="D4880" s="261"/>
      <c r="E4880" s="261"/>
    </row>
    <row r="4881" spans="2:5" x14ac:dyDescent="0.3">
      <c r="B4881" s="274"/>
      <c r="C4881" s="108"/>
      <c r="D4881" s="261"/>
      <c r="E4881" s="261"/>
    </row>
    <row r="4882" spans="2:5" x14ac:dyDescent="0.3">
      <c r="B4882" s="274"/>
      <c r="C4882" s="108"/>
      <c r="D4882" s="261"/>
      <c r="E4882" s="261"/>
    </row>
    <row r="4883" spans="2:5" x14ac:dyDescent="0.3">
      <c r="B4883" s="274"/>
      <c r="C4883" s="108"/>
      <c r="D4883" s="261"/>
      <c r="E4883" s="261"/>
    </row>
    <row r="4884" spans="2:5" x14ac:dyDescent="0.3">
      <c r="B4884" s="274"/>
      <c r="C4884" s="108"/>
      <c r="D4884" s="261"/>
      <c r="E4884" s="261"/>
    </row>
    <row r="4885" spans="2:5" x14ac:dyDescent="0.3">
      <c r="B4885" s="274"/>
      <c r="C4885" s="108"/>
      <c r="D4885" s="261"/>
      <c r="E4885" s="261"/>
    </row>
    <row r="4886" spans="2:5" x14ac:dyDescent="0.3">
      <c r="B4886" s="274"/>
      <c r="C4886" s="108"/>
      <c r="D4886" s="261"/>
      <c r="E4886" s="261"/>
    </row>
    <row r="4887" spans="2:5" x14ac:dyDescent="0.3">
      <c r="B4887" s="274"/>
      <c r="C4887" s="108"/>
      <c r="D4887" s="261"/>
      <c r="E4887" s="261"/>
    </row>
    <row r="4888" spans="2:5" x14ac:dyDescent="0.3">
      <c r="B4888" s="274"/>
      <c r="C4888" s="108"/>
      <c r="D4888" s="261"/>
      <c r="E4888" s="261"/>
    </row>
    <row r="4889" spans="2:5" x14ac:dyDescent="0.3">
      <c r="B4889" s="274"/>
      <c r="C4889" s="108"/>
      <c r="D4889" s="261"/>
      <c r="E4889" s="261"/>
    </row>
    <row r="4890" spans="2:5" x14ac:dyDescent="0.3">
      <c r="B4890" s="274"/>
      <c r="C4890" s="108"/>
      <c r="D4890" s="261"/>
      <c r="E4890" s="261"/>
    </row>
    <row r="4891" spans="2:5" x14ac:dyDescent="0.3">
      <c r="B4891" s="274"/>
      <c r="C4891" s="108"/>
      <c r="D4891" s="261"/>
      <c r="E4891" s="261"/>
    </row>
    <row r="4892" spans="2:5" x14ac:dyDescent="0.3">
      <c r="B4892" s="274"/>
      <c r="C4892" s="108"/>
      <c r="D4892" s="261"/>
      <c r="E4892" s="261"/>
    </row>
    <row r="4893" spans="2:5" x14ac:dyDescent="0.3">
      <c r="B4893" s="274"/>
      <c r="C4893" s="108"/>
      <c r="D4893" s="261"/>
      <c r="E4893" s="261"/>
    </row>
    <row r="4894" spans="2:5" x14ac:dyDescent="0.3">
      <c r="B4894" s="274"/>
      <c r="C4894" s="108"/>
      <c r="D4894" s="261"/>
      <c r="E4894" s="261"/>
    </row>
    <row r="4895" spans="2:5" x14ac:dyDescent="0.3">
      <c r="B4895" s="274"/>
      <c r="C4895" s="108"/>
      <c r="D4895" s="261"/>
      <c r="E4895" s="261"/>
    </row>
    <row r="4896" spans="2:5" x14ac:dyDescent="0.3">
      <c r="B4896" s="274"/>
      <c r="C4896" s="108"/>
      <c r="D4896" s="261"/>
      <c r="E4896" s="261"/>
    </row>
    <row r="4897" spans="2:5" x14ac:dyDescent="0.3">
      <c r="B4897" s="274"/>
      <c r="C4897" s="108"/>
      <c r="D4897" s="261"/>
      <c r="E4897" s="261"/>
    </row>
    <row r="4898" spans="2:5" x14ac:dyDescent="0.3">
      <c r="B4898" s="274"/>
      <c r="C4898" s="108"/>
      <c r="D4898" s="261"/>
      <c r="E4898" s="261"/>
    </row>
    <row r="4899" spans="2:5" x14ac:dyDescent="0.3">
      <c r="B4899" s="274"/>
      <c r="C4899" s="108"/>
      <c r="D4899" s="261"/>
      <c r="E4899" s="261"/>
    </row>
    <row r="4900" spans="2:5" x14ac:dyDescent="0.3">
      <c r="B4900" s="274"/>
      <c r="C4900" s="108"/>
      <c r="D4900" s="261"/>
      <c r="E4900" s="261"/>
    </row>
    <row r="4901" spans="2:5" x14ac:dyDescent="0.3">
      <c r="B4901" s="274"/>
      <c r="C4901" s="108"/>
      <c r="D4901" s="261"/>
      <c r="E4901" s="261"/>
    </row>
    <row r="4902" spans="2:5" x14ac:dyDescent="0.3">
      <c r="B4902" s="274"/>
      <c r="C4902" s="108"/>
      <c r="D4902" s="261"/>
      <c r="E4902" s="261"/>
    </row>
    <row r="4903" spans="2:5" x14ac:dyDescent="0.3">
      <c r="B4903" s="274"/>
      <c r="C4903" s="108"/>
      <c r="D4903" s="261"/>
      <c r="E4903" s="261"/>
    </row>
    <row r="4904" spans="2:5" x14ac:dyDescent="0.3">
      <c r="B4904" s="274"/>
      <c r="C4904" s="108"/>
      <c r="D4904" s="261"/>
      <c r="E4904" s="261"/>
    </row>
    <row r="4905" spans="2:5" x14ac:dyDescent="0.3">
      <c r="B4905" s="274"/>
      <c r="C4905" s="108"/>
      <c r="D4905" s="261"/>
      <c r="E4905" s="261"/>
    </row>
    <row r="4906" spans="2:5" x14ac:dyDescent="0.3">
      <c r="B4906" s="274"/>
      <c r="C4906" s="108"/>
      <c r="D4906" s="261"/>
      <c r="E4906" s="261"/>
    </row>
    <row r="4907" spans="2:5" x14ac:dyDescent="0.3">
      <c r="B4907" s="274"/>
      <c r="C4907" s="108"/>
      <c r="D4907" s="261"/>
      <c r="E4907" s="261"/>
    </row>
    <row r="4908" spans="2:5" x14ac:dyDescent="0.3">
      <c r="B4908" s="274"/>
      <c r="C4908" s="108"/>
      <c r="D4908" s="261"/>
      <c r="E4908" s="261"/>
    </row>
    <row r="4909" spans="2:5" x14ac:dyDescent="0.3">
      <c r="B4909" s="274"/>
      <c r="C4909" s="108"/>
      <c r="D4909" s="261"/>
      <c r="E4909" s="261"/>
    </row>
    <row r="4910" spans="2:5" x14ac:dyDescent="0.3">
      <c r="B4910" s="274"/>
      <c r="C4910" s="108"/>
      <c r="D4910" s="261"/>
      <c r="E4910" s="261"/>
    </row>
    <row r="4911" spans="2:5" x14ac:dyDescent="0.3">
      <c r="B4911" s="274"/>
      <c r="C4911" s="108"/>
      <c r="D4911" s="261"/>
      <c r="E4911" s="261"/>
    </row>
    <row r="4912" spans="2:5" x14ac:dyDescent="0.3">
      <c r="B4912" s="274"/>
      <c r="C4912" s="108"/>
      <c r="D4912" s="261"/>
      <c r="E4912" s="261"/>
    </row>
    <row r="4913" spans="2:5" x14ac:dyDescent="0.3">
      <c r="B4913" s="274"/>
      <c r="C4913" s="108"/>
      <c r="D4913" s="261"/>
      <c r="E4913" s="261"/>
    </row>
    <row r="4914" spans="2:5" x14ac:dyDescent="0.3">
      <c r="B4914" s="274"/>
      <c r="C4914" s="108"/>
      <c r="D4914" s="261"/>
      <c r="E4914" s="261"/>
    </row>
    <row r="4915" spans="2:5" x14ac:dyDescent="0.3">
      <c r="B4915" s="274"/>
      <c r="C4915" s="108"/>
      <c r="D4915" s="261"/>
      <c r="E4915" s="261"/>
    </row>
    <row r="4916" spans="2:5" x14ac:dyDescent="0.3">
      <c r="B4916" s="274"/>
      <c r="C4916" s="108"/>
      <c r="D4916" s="261"/>
      <c r="E4916" s="261"/>
    </row>
    <row r="4917" spans="2:5" x14ac:dyDescent="0.3">
      <c r="B4917" s="274"/>
      <c r="C4917" s="108"/>
      <c r="D4917" s="261"/>
      <c r="E4917" s="261"/>
    </row>
    <row r="4918" spans="2:5" x14ac:dyDescent="0.3">
      <c r="B4918" s="274"/>
      <c r="C4918" s="108"/>
      <c r="D4918" s="261"/>
      <c r="E4918" s="261"/>
    </row>
    <row r="4919" spans="2:5" x14ac:dyDescent="0.3">
      <c r="B4919" s="274"/>
      <c r="C4919" s="108"/>
      <c r="D4919" s="261"/>
      <c r="E4919" s="261"/>
    </row>
    <row r="4920" spans="2:5" x14ac:dyDescent="0.3">
      <c r="B4920" s="274"/>
      <c r="C4920" s="108"/>
      <c r="D4920" s="261"/>
      <c r="E4920" s="261"/>
    </row>
    <row r="4921" spans="2:5" x14ac:dyDescent="0.3">
      <c r="B4921" s="274"/>
      <c r="C4921" s="108"/>
      <c r="D4921" s="261"/>
      <c r="E4921" s="261"/>
    </row>
    <row r="4922" spans="2:5" x14ac:dyDescent="0.3">
      <c r="B4922" s="274"/>
      <c r="C4922" s="108"/>
      <c r="D4922" s="261"/>
      <c r="E4922" s="261"/>
    </row>
    <row r="4923" spans="2:5" x14ac:dyDescent="0.3">
      <c r="B4923" s="274"/>
      <c r="C4923" s="108"/>
      <c r="D4923" s="261"/>
      <c r="E4923" s="261"/>
    </row>
    <row r="4924" spans="2:5" x14ac:dyDescent="0.3">
      <c r="B4924" s="274"/>
      <c r="C4924" s="108"/>
      <c r="D4924" s="261"/>
      <c r="E4924" s="261"/>
    </row>
    <row r="4925" spans="2:5" x14ac:dyDescent="0.3">
      <c r="B4925" s="274"/>
      <c r="C4925" s="108"/>
      <c r="D4925" s="261"/>
      <c r="E4925" s="261"/>
    </row>
    <row r="4926" spans="2:5" x14ac:dyDescent="0.3">
      <c r="B4926" s="274"/>
      <c r="C4926" s="108"/>
      <c r="D4926" s="261"/>
      <c r="E4926" s="261"/>
    </row>
    <row r="4927" spans="2:5" x14ac:dyDescent="0.3">
      <c r="B4927" s="274"/>
      <c r="C4927" s="108"/>
      <c r="D4927" s="261"/>
      <c r="E4927" s="261"/>
    </row>
    <row r="4928" spans="2:5" x14ac:dyDescent="0.3">
      <c r="B4928" s="274"/>
      <c r="C4928" s="108"/>
      <c r="D4928" s="261"/>
      <c r="E4928" s="261"/>
    </row>
    <row r="4929" spans="2:5" x14ac:dyDescent="0.3">
      <c r="B4929" s="274"/>
      <c r="C4929" s="108"/>
      <c r="D4929" s="261"/>
      <c r="E4929" s="261"/>
    </row>
    <row r="4930" spans="2:5" x14ac:dyDescent="0.3">
      <c r="B4930" s="274"/>
      <c r="C4930" s="108"/>
      <c r="D4930" s="261"/>
      <c r="E4930" s="261"/>
    </row>
    <row r="4931" spans="2:5" x14ac:dyDescent="0.3">
      <c r="B4931" s="274"/>
      <c r="C4931" s="108"/>
      <c r="D4931" s="261"/>
      <c r="E4931" s="261"/>
    </row>
    <row r="4932" spans="2:5" x14ac:dyDescent="0.3">
      <c r="B4932" s="274"/>
      <c r="C4932" s="108"/>
      <c r="D4932" s="261"/>
      <c r="E4932" s="261"/>
    </row>
    <row r="4933" spans="2:5" x14ac:dyDescent="0.3">
      <c r="B4933" s="274"/>
      <c r="C4933" s="108"/>
      <c r="D4933" s="261"/>
      <c r="E4933" s="261"/>
    </row>
    <row r="4934" spans="2:5" x14ac:dyDescent="0.3">
      <c r="B4934" s="274"/>
      <c r="C4934" s="108"/>
      <c r="D4934" s="261"/>
      <c r="E4934" s="261"/>
    </row>
    <row r="4935" spans="2:5" x14ac:dyDescent="0.3">
      <c r="B4935" s="274"/>
      <c r="C4935" s="108"/>
      <c r="D4935" s="261"/>
      <c r="E4935" s="261"/>
    </row>
    <row r="4936" spans="2:5" x14ac:dyDescent="0.3">
      <c r="B4936" s="274"/>
      <c r="C4936" s="108"/>
      <c r="D4936" s="261"/>
      <c r="E4936" s="261"/>
    </row>
    <row r="4937" spans="2:5" x14ac:dyDescent="0.3">
      <c r="B4937" s="274"/>
      <c r="C4937" s="108"/>
      <c r="D4937" s="261"/>
      <c r="E4937" s="261"/>
    </row>
    <row r="4938" spans="2:5" x14ac:dyDescent="0.3">
      <c r="B4938" s="274"/>
      <c r="C4938" s="108"/>
      <c r="D4938" s="261"/>
      <c r="E4938" s="261"/>
    </row>
    <row r="4939" spans="2:5" x14ac:dyDescent="0.3">
      <c r="B4939" s="274"/>
      <c r="C4939" s="108"/>
      <c r="D4939" s="261"/>
      <c r="E4939" s="261"/>
    </row>
    <row r="4940" spans="2:5" x14ac:dyDescent="0.3">
      <c r="B4940" s="274"/>
      <c r="C4940" s="108"/>
      <c r="D4940" s="261"/>
      <c r="E4940" s="261"/>
    </row>
    <row r="4941" spans="2:5" x14ac:dyDescent="0.3">
      <c r="B4941" s="274"/>
      <c r="C4941" s="108"/>
      <c r="D4941" s="261"/>
      <c r="E4941" s="261"/>
    </row>
    <row r="4942" spans="2:5" x14ac:dyDescent="0.3">
      <c r="B4942" s="274"/>
      <c r="C4942" s="108"/>
      <c r="D4942" s="261"/>
      <c r="E4942" s="261"/>
    </row>
    <row r="4943" spans="2:5" x14ac:dyDescent="0.3">
      <c r="B4943" s="274"/>
      <c r="C4943" s="108"/>
      <c r="D4943" s="261"/>
      <c r="E4943" s="261"/>
    </row>
    <row r="4944" spans="2:5" x14ac:dyDescent="0.3">
      <c r="B4944" s="274"/>
      <c r="C4944" s="108"/>
      <c r="D4944" s="261"/>
      <c r="E4944" s="261"/>
    </row>
    <row r="4945" spans="2:5" x14ac:dyDescent="0.3">
      <c r="B4945" s="274"/>
      <c r="C4945" s="108"/>
      <c r="D4945" s="261"/>
      <c r="E4945" s="261"/>
    </row>
    <row r="4946" spans="2:5" x14ac:dyDescent="0.3">
      <c r="B4946" s="274"/>
      <c r="C4946" s="108"/>
      <c r="D4946" s="261"/>
      <c r="E4946" s="261"/>
    </row>
    <row r="4947" spans="2:5" x14ac:dyDescent="0.3">
      <c r="B4947" s="274"/>
      <c r="C4947" s="108"/>
      <c r="D4947" s="261"/>
      <c r="E4947" s="261"/>
    </row>
    <row r="4948" spans="2:5" x14ac:dyDescent="0.3">
      <c r="B4948" s="274"/>
      <c r="C4948" s="108"/>
      <c r="D4948" s="261"/>
      <c r="E4948" s="261"/>
    </row>
    <row r="4949" spans="2:5" x14ac:dyDescent="0.3">
      <c r="B4949" s="274"/>
      <c r="C4949" s="108"/>
      <c r="D4949" s="261"/>
      <c r="E4949" s="261"/>
    </row>
    <row r="4950" spans="2:5" x14ac:dyDescent="0.3">
      <c r="B4950" s="274"/>
      <c r="C4950" s="108"/>
      <c r="D4950" s="261"/>
      <c r="E4950" s="261"/>
    </row>
    <row r="4951" spans="2:5" x14ac:dyDescent="0.3">
      <c r="B4951" s="274"/>
      <c r="C4951" s="108"/>
      <c r="D4951" s="261"/>
      <c r="E4951" s="261"/>
    </row>
    <row r="4952" spans="2:5" x14ac:dyDescent="0.3">
      <c r="B4952" s="274"/>
      <c r="C4952" s="108"/>
      <c r="D4952" s="261"/>
      <c r="E4952" s="261"/>
    </row>
    <row r="4953" spans="2:5" x14ac:dyDescent="0.3">
      <c r="B4953" s="274"/>
      <c r="C4953" s="108"/>
      <c r="D4953" s="261"/>
      <c r="E4953" s="261"/>
    </row>
    <row r="4954" spans="2:5" x14ac:dyDescent="0.3">
      <c r="B4954" s="274"/>
      <c r="C4954" s="108"/>
      <c r="D4954" s="261"/>
      <c r="E4954" s="261"/>
    </row>
    <row r="4955" spans="2:5" x14ac:dyDescent="0.3">
      <c r="B4955" s="274"/>
      <c r="C4955" s="108"/>
      <c r="D4955" s="261"/>
      <c r="E4955" s="261"/>
    </row>
    <row r="4956" spans="2:5" x14ac:dyDescent="0.3">
      <c r="B4956" s="274"/>
      <c r="C4956" s="108"/>
      <c r="D4956" s="261"/>
      <c r="E4956" s="261"/>
    </row>
    <row r="4957" spans="2:5" x14ac:dyDescent="0.3">
      <c r="B4957" s="274"/>
      <c r="C4957" s="108"/>
      <c r="D4957" s="261"/>
      <c r="E4957" s="261"/>
    </row>
    <row r="4958" spans="2:5" x14ac:dyDescent="0.3">
      <c r="B4958" s="274"/>
      <c r="C4958" s="108"/>
      <c r="D4958" s="261"/>
      <c r="E4958" s="261"/>
    </row>
    <row r="4959" spans="2:5" x14ac:dyDescent="0.3">
      <c r="B4959" s="274"/>
      <c r="C4959" s="108"/>
      <c r="D4959" s="261"/>
      <c r="E4959" s="261"/>
    </row>
    <row r="4960" spans="2:5" x14ac:dyDescent="0.3">
      <c r="B4960" s="274"/>
      <c r="C4960" s="108"/>
      <c r="D4960" s="261"/>
      <c r="E4960" s="261"/>
    </row>
    <row r="4961" spans="2:5" x14ac:dyDescent="0.3">
      <c r="B4961" s="274"/>
      <c r="C4961" s="108"/>
      <c r="D4961" s="261"/>
      <c r="E4961" s="261"/>
    </row>
    <row r="4962" spans="2:5" x14ac:dyDescent="0.3">
      <c r="B4962" s="274"/>
      <c r="C4962" s="108"/>
      <c r="D4962" s="261"/>
      <c r="E4962" s="261"/>
    </row>
    <row r="4963" spans="2:5" x14ac:dyDescent="0.3">
      <c r="B4963" s="274"/>
      <c r="C4963" s="108"/>
      <c r="D4963" s="261"/>
      <c r="E4963" s="261"/>
    </row>
    <row r="4964" spans="2:5" x14ac:dyDescent="0.3">
      <c r="B4964" s="274"/>
      <c r="C4964" s="108"/>
      <c r="D4964" s="261"/>
      <c r="E4964" s="261"/>
    </row>
    <row r="4965" spans="2:5" x14ac:dyDescent="0.3">
      <c r="B4965" s="274"/>
      <c r="C4965" s="108"/>
      <c r="D4965" s="261"/>
      <c r="E4965" s="261"/>
    </row>
    <row r="4966" spans="2:5" x14ac:dyDescent="0.3">
      <c r="B4966" s="274"/>
      <c r="C4966" s="108"/>
      <c r="D4966" s="261"/>
      <c r="E4966" s="261"/>
    </row>
    <row r="4967" spans="2:5" x14ac:dyDescent="0.3">
      <c r="B4967" s="274"/>
      <c r="C4967" s="108"/>
      <c r="D4967" s="261"/>
      <c r="E4967" s="261"/>
    </row>
    <row r="4968" spans="2:5" x14ac:dyDescent="0.3">
      <c r="B4968" s="274"/>
      <c r="C4968" s="108"/>
      <c r="D4968" s="261"/>
      <c r="E4968" s="261"/>
    </row>
    <row r="4969" spans="2:5" x14ac:dyDescent="0.3">
      <c r="B4969" s="274"/>
      <c r="C4969" s="108"/>
      <c r="D4969" s="261"/>
      <c r="E4969" s="261"/>
    </row>
    <row r="4970" spans="2:5" x14ac:dyDescent="0.3">
      <c r="B4970" s="274"/>
      <c r="C4970" s="108"/>
      <c r="D4970" s="261"/>
      <c r="E4970" s="261"/>
    </row>
    <row r="4971" spans="2:5" x14ac:dyDescent="0.3">
      <c r="B4971" s="274"/>
      <c r="C4971" s="108"/>
      <c r="D4971" s="261"/>
      <c r="E4971" s="261"/>
    </row>
    <row r="4972" spans="2:5" x14ac:dyDescent="0.3">
      <c r="B4972" s="274"/>
      <c r="C4972" s="108"/>
      <c r="D4972" s="261"/>
      <c r="E4972" s="261"/>
    </row>
    <row r="4973" spans="2:5" x14ac:dyDescent="0.3">
      <c r="B4973" s="274"/>
      <c r="C4973" s="108"/>
      <c r="D4973" s="261"/>
      <c r="E4973" s="261"/>
    </row>
    <row r="4974" spans="2:5" x14ac:dyDescent="0.3">
      <c r="B4974" s="274"/>
      <c r="C4974" s="108"/>
      <c r="D4974" s="261"/>
      <c r="E4974" s="261"/>
    </row>
    <row r="4975" spans="2:5" x14ac:dyDescent="0.3">
      <c r="B4975" s="274"/>
      <c r="C4975" s="108"/>
      <c r="D4975" s="261"/>
      <c r="E4975" s="261"/>
    </row>
    <row r="4976" spans="2:5" x14ac:dyDescent="0.3">
      <c r="B4976" s="274"/>
      <c r="C4976" s="108"/>
      <c r="D4976" s="261"/>
      <c r="E4976" s="261"/>
    </row>
    <row r="4977" spans="2:5" x14ac:dyDescent="0.3">
      <c r="B4977" s="274"/>
      <c r="C4977" s="108"/>
      <c r="D4977" s="261"/>
      <c r="E4977" s="261"/>
    </row>
    <row r="4978" spans="2:5" x14ac:dyDescent="0.3">
      <c r="B4978" s="274"/>
      <c r="C4978" s="108"/>
      <c r="D4978" s="261"/>
      <c r="E4978" s="261"/>
    </row>
    <row r="4979" spans="2:5" x14ac:dyDescent="0.3">
      <c r="B4979" s="274"/>
      <c r="C4979" s="108"/>
      <c r="D4979" s="261"/>
      <c r="E4979" s="261"/>
    </row>
    <row r="4980" spans="2:5" x14ac:dyDescent="0.3">
      <c r="B4980" s="274"/>
      <c r="C4980" s="108"/>
      <c r="D4980" s="261"/>
      <c r="E4980" s="261"/>
    </row>
    <row r="4981" spans="2:5" x14ac:dyDescent="0.3">
      <c r="B4981" s="274"/>
      <c r="C4981" s="108"/>
      <c r="D4981" s="261"/>
      <c r="E4981" s="261"/>
    </row>
    <row r="4982" spans="2:5" x14ac:dyDescent="0.3">
      <c r="B4982" s="274"/>
      <c r="C4982" s="108"/>
      <c r="D4982" s="261"/>
      <c r="E4982" s="261"/>
    </row>
    <row r="4983" spans="2:5" x14ac:dyDescent="0.3">
      <c r="B4983" s="274"/>
      <c r="C4983" s="108"/>
      <c r="D4983" s="261"/>
      <c r="E4983" s="261"/>
    </row>
    <row r="4984" spans="2:5" x14ac:dyDescent="0.3">
      <c r="B4984" s="274"/>
      <c r="C4984" s="108"/>
      <c r="D4984" s="261"/>
      <c r="E4984" s="261"/>
    </row>
    <row r="4985" spans="2:5" x14ac:dyDescent="0.3">
      <c r="B4985" s="274"/>
      <c r="C4985" s="108"/>
      <c r="D4985" s="261"/>
      <c r="E4985" s="261"/>
    </row>
    <row r="4986" spans="2:5" x14ac:dyDescent="0.3">
      <c r="B4986" s="274"/>
      <c r="C4986" s="108"/>
      <c r="D4986" s="261"/>
      <c r="E4986" s="261"/>
    </row>
    <row r="4987" spans="2:5" x14ac:dyDescent="0.3">
      <c r="B4987" s="274"/>
      <c r="C4987" s="108"/>
      <c r="D4987" s="261"/>
      <c r="E4987" s="261"/>
    </row>
    <row r="4988" spans="2:5" x14ac:dyDescent="0.3">
      <c r="B4988" s="274"/>
      <c r="C4988" s="108"/>
      <c r="D4988" s="261"/>
      <c r="E4988" s="261"/>
    </row>
    <row r="4989" spans="2:5" x14ac:dyDescent="0.3">
      <c r="B4989" s="274"/>
      <c r="C4989" s="108"/>
      <c r="D4989" s="261"/>
      <c r="E4989" s="261"/>
    </row>
    <row r="4990" spans="2:5" x14ac:dyDescent="0.3">
      <c r="B4990" s="274"/>
      <c r="C4990" s="108"/>
      <c r="D4990" s="261"/>
      <c r="E4990" s="261"/>
    </row>
    <row r="4991" spans="2:5" x14ac:dyDescent="0.3">
      <c r="B4991" s="274"/>
      <c r="C4991" s="108"/>
      <c r="D4991" s="261"/>
      <c r="E4991" s="261"/>
    </row>
    <row r="4992" spans="2:5" x14ac:dyDescent="0.3">
      <c r="B4992" s="274"/>
      <c r="C4992" s="108"/>
      <c r="D4992" s="261"/>
      <c r="E4992" s="261"/>
    </row>
    <row r="4993" spans="2:5" x14ac:dyDescent="0.3">
      <c r="B4993" s="274"/>
      <c r="C4993" s="108"/>
      <c r="D4993" s="261"/>
      <c r="E4993" s="261"/>
    </row>
    <row r="4994" spans="2:5" x14ac:dyDescent="0.3">
      <c r="B4994" s="274"/>
      <c r="C4994" s="108"/>
      <c r="D4994" s="261"/>
      <c r="E4994" s="261"/>
    </row>
    <row r="4995" spans="2:5" x14ac:dyDescent="0.3">
      <c r="B4995" s="274"/>
      <c r="C4995" s="108"/>
      <c r="D4995" s="261"/>
      <c r="E4995" s="261"/>
    </row>
    <row r="4996" spans="2:5" x14ac:dyDescent="0.3">
      <c r="B4996" s="274"/>
      <c r="C4996" s="108"/>
      <c r="D4996" s="261"/>
      <c r="E4996" s="261"/>
    </row>
    <row r="4997" spans="2:5" x14ac:dyDescent="0.3">
      <c r="B4997" s="274"/>
      <c r="C4997" s="108"/>
      <c r="D4997" s="261"/>
      <c r="E4997" s="261"/>
    </row>
    <row r="4998" spans="2:5" x14ac:dyDescent="0.3">
      <c r="B4998" s="274"/>
      <c r="C4998" s="108"/>
      <c r="D4998" s="261"/>
      <c r="E4998" s="261"/>
    </row>
    <row r="4999" spans="2:5" x14ac:dyDescent="0.3">
      <c r="B4999" s="274"/>
      <c r="C4999" s="108"/>
      <c r="D4999" s="261"/>
      <c r="E4999" s="261"/>
    </row>
    <row r="5000" spans="2:5" x14ac:dyDescent="0.3">
      <c r="B5000" s="274"/>
      <c r="C5000" s="108"/>
      <c r="D5000" s="261"/>
      <c r="E5000" s="261"/>
    </row>
    <row r="5001" spans="2:5" x14ac:dyDescent="0.3">
      <c r="B5001" s="274"/>
      <c r="C5001" s="108"/>
      <c r="D5001" s="261"/>
      <c r="E5001" s="261"/>
    </row>
    <row r="5002" spans="2:5" x14ac:dyDescent="0.3">
      <c r="B5002" s="274"/>
      <c r="C5002" s="108"/>
      <c r="D5002" s="261"/>
      <c r="E5002" s="261"/>
    </row>
    <row r="5003" spans="2:5" x14ac:dyDescent="0.3">
      <c r="B5003" s="274"/>
      <c r="C5003" s="108"/>
      <c r="D5003" s="261"/>
      <c r="E5003" s="261"/>
    </row>
    <row r="5004" spans="2:5" x14ac:dyDescent="0.3">
      <c r="B5004" s="274"/>
      <c r="C5004" s="108"/>
      <c r="D5004" s="261"/>
      <c r="E5004" s="261"/>
    </row>
    <row r="5005" spans="2:5" x14ac:dyDescent="0.3">
      <c r="B5005" s="274"/>
      <c r="C5005" s="108"/>
      <c r="D5005" s="261"/>
      <c r="E5005" s="261"/>
    </row>
    <row r="5006" spans="2:5" x14ac:dyDescent="0.3">
      <c r="B5006" s="274"/>
      <c r="C5006" s="108"/>
      <c r="D5006" s="261"/>
      <c r="E5006" s="261"/>
    </row>
    <row r="5007" spans="2:5" x14ac:dyDescent="0.3">
      <c r="B5007" s="274"/>
      <c r="C5007" s="108"/>
      <c r="D5007" s="261"/>
      <c r="E5007" s="261"/>
    </row>
    <row r="5008" spans="2:5" x14ac:dyDescent="0.3">
      <c r="B5008" s="274"/>
      <c r="C5008" s="108"/>
      <c r="D5008" s="261"/>
      <c r="E5008" s="261"/>
    </row>
    <row r="5009" spans="2:5" x14ac:dyDescent="0.3">
      <c r="B5009" s="274"/>
      <c r="C5009" s="108"/>
      <c r="D5009" s="261"/>
      <c r="E5009" s="261"/>
    </row>
    <row r="5010" spans="2:5" x14ac:dyDescent="0.3">
      <c r="B5010" s="274"/>
      <c r="C5010" s="108"/>
      <c r="D5010" s="261"/>
      <c r="E5010" s="261"/>
    </row>
    <row r="5011" spans="2:5" x14ac:dyDescent="0.3">
      <c r="B5011" s="274"/>
      <c r="C5011" s="108"/>
      <c r="D5011" s="261"/>
      <c r="E5011" s="261"/>
    </row>
    <row r="5012" spans="2:5" x14ac:dyDescent="0.3">
      <c r="B5012" s="274"/>
      <c r="C5012" s="108"/>
      <c r="D5012" s="261"/>
      <c r="E5012" s="261"/>
    </row>
    <row r="5013" spans="2:5" x14ac:dyDescent="0.3">
      <c r="B5013" s="274"/>
      <c r="C5013" s="108"/>
      <c r="D5013" s="261"/>
      <c r="E5013" s="261"/>
    </row>
    <row r="5014" spans="2:5" x14ac:dyDescent="0.3">
      <c r="B5014" s="274"/>
      <c r="C5014" s="108"/>
      <c r="D5014" s="261"/>
      <c r="E5014" s="261"/>
    </row>
    <row r="5015" spans="2:5" x14ac:dyDescent="0.3">
      <c r="B5015" s="274"/>
      <c r="C5015" s="108"/>
      <c r="D5015" s="261"/>
      <c r="E5015" s="261"/>
    </row>
    <row r="5016" spans="2:5" x14ac:dyDescent="0.3">
      <c r="B5016" s="274"/>
      <c r="C5016" s="108"/>
      <c r="D5016" s="261"/>
      <c r="E5016" s="261"/>
    </row>
    <row r="5017" spans="2:5" x14ac:dyDescent="0.3">
      <c r="B5017" s="274"/>
      <c r="C5017" s="108"/>
      <c r="D5017" s="261"/>
      <c r="E5017" s="261"/>
    </row>
    <row r="5018" spans="2:5" x14ac:dyDescent="0.3">
      <c r="B5018" s="274"/>
      <c r="C5018" s="108"/>
      <c r="D5018" s="261"/>
      <c r="E5018" s="261"/>
    </row>
    <row r="5019" spans="2:5" x14ac:dyDescent="0.3">
      <c r="B5019" s="274"/>
      <c r="C5019" s="108"/>
      <c r="D5019" s="261"/>
      <c r="E5019" s="261"/>
    </row>
    <row r="5020" spans="2:5" x14ac:dyDescent="0.3">
      <c r="B5020" s="274"/>
      <c r="C5020" s="108"/>
      <c r="D5020" s="261"/>
      <c r="E5020" s="261"/>
    </row>
    <row r="5021" spans="2:5" x14ac:dyDescent="0.3">
      <c r="B5021" s="274"/>
      <c r="C5021" s="108"/>
      <c r="D5021" s="261"/>
      <c r="E5021" s="261"/>
    </row>
    <row r="5022" spans="2:5" x14ac:dyDescent="0.3">
      <c r="B5022" s="274"/>
      <c r="C5022" s="108"/>
      <c r="D5022" s="261"/>
      <c r="E5022" s="261"/>
    </row>
    <row r="5023" spans="2:5" x14ac:dyDescent="0.3">
      <c r="B5023" s="274"/>
      <c r="C5023" s="108"/>
      <c r="D5023" s="261"/>
      <c r="E5023" s="261"/>
    </row>
    <row r="5024" spans="2:5" x14ac:dyDescent="0.3">
      <c r="B5024" s="274"/>
      <c r="C5024" s="108"/>
      <c r="D5024" s="261"/>
      <c r="E5024" s="261"/>
    </row>
    <row r="5025" spans="2:5" x14ac:dyDescent="0.3">
      <c r="B5025" s="274"/>
      <c r="C5025" s="108"/>
      <c r="D5025" s="261"/>
      <c r="E5025" s="261"/>
    </row>
    <row r="5026" spans="2:5" x14ac:dyDescent="0.3">
      <c r="B5026" s="274"/>
      <c r="C5026" s="108"/>
      <c r="D5026" s="261"/>
      <c r="E5026" s="261"/>
    </row>
    <row r="5027" spans="2:5" x14ac:dyDescent="0.3">
      <c r="B5027" s="274"/>
      <c r="C5027" s="108"/>
      <c r="D5027" s="261"/>
      <c r="E5027" s="261"/>
    </row>
    <row r="5028" spans="2:5" x14ac:dyDescent="0.3">
      <c r="B5028" s="274"/>
      <c r="C5028" s="108"/>
      <c r="D5028" s="261"/>
      <c r="E5028" s="261"/>
    </row>
    <row r="5029" spans="2:5" x14ac:dyDescent="0.3">
      <c r="B5029" s="274"/>
      <c r="C5029" s="108"/>
      <c r="D5029" s="261"/>
      <c r="E5029" s="261"/>
    </row>
    <row r="5030" spans="2:5" x14ac:dyDescent="0.3">
      <c r="B5030" s="274"/>
      <c r="C5030" s="108"/>
      <c r="D5030" s="261"/>
      <c r="E5030" s="261"/>
    </row>
    <row r="5031" spans="2:5" x14ac:dyDescent="0.3">
      <c r="B5031" s="274"/>
      <c r="C5031" s="108"/>
      <c r="D5031" s="261"/>
      <c r="E5031" s="261"/>
    </row>
    <row r="5032" spans="2:5" x14ac:dyDescent="0.3">
      <c r="B5032" s="274"/>
      <c r="C5032" s="108"/>
      <c r="D5032" s="261"/>
      <c r="E5032" s="261"/>
    </row>
    <row r="5033" spans="2:5" x14ac:dyDescent="0.3">
      <c r="B5033" s="274"/>
      <c r="C5033" s="108"/>
      <c r="D5033" s="261"/>
      <c r="E5033" s="261"/>
    </row>
    <row r="5034" spans="2:5" x14ac:dyDescent="0.3">
      <c r="B5034" s="274"/>
      <c r="C5034" s="108"/>
      <c r="D5034" s="261"/>
      <c r="E5034" s="261"/>
    </row>
    <row r="5035" spans="2:5" x14ac:dyDescent="0.3">
      <c r="B5035" s="274"/>
      <c r="C5035" s="108"/>
      <c r="D5035" s="261"/>
      <c r="E5035" s="261"/>
    </row>
    <row r="5036" spans="2:5" x14ac:dyDescent="0.3">
      <c r="B5036" s="274"/>
      <c r="C5036" s="108"/>
      <c r="D5036" s="261"/>
      <c r="E5036" s="261"/>
    </row>
    <row r="5037" spans="2:5" x14ac:dyDescent="0.3">
      <c r="B5037" s="274"/>
      <c r="C5037" s="108"/>
      <c r="D5037" s="261"/>
      <c r="E5037" s="261"/>
    </row>
    <row r="5038" spans="2:5" x14ac:dyDescent="0.3">
      <c r="B5038" s="274"/>
      <c r="C5038" s="108"/>
      <c r="D5038" s="261"/>
      <c r="E5038" s="261"/>
    </row>
    <row r="5039" spans="2:5" x14ac:dyDescent="0.3">
      <c r="B5039" s="274"/>
      <c r="C5039" s="108"/>
      <c r="D5039" s="261"/>
      <c r="E5039" s="261"/>
    </row>
    <row r="5040" spans="2:5" x14ac:dyDescent="0.3">
      <c r="B5040" s="274"/>
      <c r="C5040" s="108"/>
      <c r="D5040" s="261"/>
      <c r="E5040" s="261"/>
    </row>
    <row r="5041" spans="2:5" x14ac:dyDescent="0.3">
      <c r="B5041" s="274"/>
      <c r="C5041" s="108"/>
      <c r="D5041" s="261"/>
      <c r="E5041" s="261"/>
    </row>
    <row r="5042" spans="2:5" x14ac:dyDescent="0.3">
      <c r="B5042" s="274"/>
      <c r="C5042" s="108"/>
      <c r="D5042" s="261"/>
      <c r="E5042" s="261"/>
    </row>
    <row r="5043" spans="2:5" x14ac:dyDescent="0.3">
      <c r="B5043" s="274"/>
      <c r="C5043" s="108"/>
      <c r="D5043" s="261"/>
      <c r="E5043" s="261"/>
    </row>
    <row r="5044" spans="2:5" x14ac:dyDescent="0.3">
      <c r="B5044" s="274"/>
      <c r="C5044" s="108"/>
      <c r="D5044" s="261"/>
      <c r="E5044" s="261"/>
    </row>
    <row r="5045" spans="2:5" x14ac:dyDescent="0.3">
      <c r="B5045" s="274"/>
      <c r="C5045" s="108"/>
      <c r="D5045" s="261"/>
      <c r="E5045" s="261"/>
    </row>
    <row r="5046" spans="2:5" x14ac:dyDescent="0.3">
      <c r="B5046" s="274"/>
      <c r="C5046" s="108"/>
      <c r="D5046" s="261"/>
      <c r="E5046" s="261"/>
    </row>
    <row r="5047" spans="2:5" x14ac:dyDescent="0.3">
      <c r="B5047" s="274"/>
      <c r="C5047" s="108"/>
      <c r="D5047" s="261"/>
      <c r="E5047" s="261"/>
    </row>
    <row r="5048" spans="2:5" x14ac:dyDescent="0.3">
      <c r="B5048" s="274"/>
      <c r="C5048" s="108"/>
      <c r="D5048" s="261"/>
      <c r="E5048" s="261"/>
    </row>
    <row r="5049" spans="2:5" x14ac:dyDescent="0.3">
      <c r="B5049" s="274"/>
      <c r="C5049" s="108"/>
      <c r="D5049" s="261"/>
      <c r="E5049" s="261"/>
    </row>
    <row r="5050" spans="2:5" x14ac:dyDescent="0.3">
      <c r="B5050" s="274"/>
      <c r="C5050" s="108"/>
      <c r="D5050" s="261"/>
      <c r="E5050" s="261"/>
    </row>
    <row r="5051" spans="2:5" x14ac:dyDescent="0.3">
      <c r="B5051" s="274"/>
      <c r="C5051" s="108"/>
      <c r="D5051" s="261"/>
      <c r="E5051" s="261"/>
    </row>
    <row r="5052" spans="2:5" x14ac:dyDescent="0.3">
      <c r="B5052" s="274"/>
      <c r="C5052" s="108"/>
      <c r="D5052" s="261"/>
      <c r="E5052" s="261"/>
    </row>
    <row r="5053" spans="2:5" x14ac:dyDescent="0.3">
      <c r="B5053" s="274"/>
      <c r="C5053" s="108"/>
      <c r="D5053" s="261"/>
      <c r="E5053" s="261"/>
    </row>
    <row r="5054" spans="2:5" x14ac:dyDescent="0.3">
      <c r="B5054" s="274"/>
      <c r="C5054" s="108"/>
      <c r="D5054" s="261"/>
      <c r="E5054" s="261"/>
    </row>
    <row r="5055" spans="2:5" x14ac:dyDescent="0.3">
      <c r="B5055" s="274"/>
      <c r="C5055" s="108"/>
      <c r="D5055" s="261"/>
      <c r="E5055" s="261"/>
    </row>
    <row r="5056" spans="2:5" x14ac:dyDescent="0.3">
      <c r="B5056" s="274"/>
      <c r="C5056" s="108"/>
      <c r="D5056" s="261"/>
      <c r="E5056" s="261"/>
    </row>
    <row r="5057" spans="2:5" x14ac:dyDescent="0.3">
      <c r="B5057" s="274"/>
      <c r="C5057" s="108"/>
      <c r="D5057" s="261"/>
      <c r="E5057" s="261"/>
    </row>
    <row r="5058" spans="2:5" x14ac:dyDescent="0.3">
      <c r="B5058" s="274"/>
      <c r="C5058" s="108"/>
      <c r="D5058" s="261"/>
      <c r="E5058" s="261"/>
    </row>
    <row r="5059" spans="2:5" x14ac:dyDescent="0.3">
      <c r="B5059" s="274"/>
      <c r="C5059" s="108"/>
      <c r="D5059" s="261"/>
      <c r="E5059" s="261"/>
    </row>
    <row r="5060" spans="2:5" x14ac:dyDescent="0.3">
      <c r="B5060" s="274"/>
      <c r="C5060" s="108"/>
      <c r="D5060" s="261"/>
      <c r="E5060" s="261"/>
    </row>
    <row r="5061" spans="2:5" x14ac:dyDescent="0.3">
      <c r="B5061" s="274"/>
      <c r="C5061" s="108"/>
      <c r="D5061" s="261"/>
      <c r="E5061" s="261"/>
    </row>
    <row r="5062" spans="2:5" x14ac:dyDescent="0.3">
      <c r="B5062" s="274"/>
      <c r="C5062" s="108"/>
      <c r="D5062" s="261"/>
      <c r="E5062" s="261"/>
    </row>
    <row r="5063" spans="2:5" x14ac:dyDescent="0.3">
      <c r="B5063" s="274"/>
      <c r="C5063" s="108"/>
      <c r="D5063" s="261"/>
      <c r="E5063" s="261"/>
    </row>
    <row r="5064" spans="2:5" x14ac:dyDescent="0.3">
      <c r="B5064" s="274"/>
      <c r="C5064" s="108"/>
      <c r="D5064" s="261"/>
      <c r="E5064" s="261"/>
    </row>
    <row r="5065" spans="2:5" x14ac:dyDescent="0.3">
      <c r="B5065" s="274"/>
      <c r="C5065" s="108"/>
      <c r="D5065" s="261"/>
      <c r="E5065" s="261"/>
    </row>
    <row r="5066" spans="2:5" x14ac:dyDescent="0.3">
      <c r="B5066" s="274"/>
      <c r="C5066" s="108"/>
      <c r="D5066" s="261"/>
      <c r="E5066" s="261"/>
    </row>
    <row r="5067" spans="2:5" x14ac:dyDescent="0.3">
      <c r="B5067" s="274"/>
      <c r="C5067" s="108"/>
      <c r="D5067" s="261"/>
      <c r="E5067" s="261"/>
    </row>
    <row r="5068" spans="2:5" x14ac:dyDescent="0.3">
      <c r="B5068" s="274"/>
      <c r="C5068" s="108"/>
      <c r="D5068" s="261"/>
      <c r="E5068" s="261"/>
    </row>
    <row r="5069" spans="2:5" x14ac:dyDescent="0.3">
      <c r="B5069" s="274"/>
      <c r="C5069" s="108"/>
      <c r="D5069" s="261"/>
      <c r="E5069" s="261"/>
    </row>
    <row r="5070" spans="2:5" x14ac:dyDescent="0.3">
      <c r="B5070" s="274"/>
      <c r="C5070" s="108"/>
      <c r="D5070" s="261"/>
      <c r="E5070" s="261"/>
    </row>
    <row r="5071" spans="2:5" x14ac:dyDescent="0.3">
      <c r="B5071" s="274"/>
      <c r="C5071" s="108"/>
      <c r="D5071" s="261"/>
      <c r="E5071" s="261"/>
    </row>
    <row r="5072" spans="2:5" x14ac:dyDescent="0.3">
      <c r="B5072" s="274"/>
      <c r="C5072" s="108"/>
      <c r="D5072" s="261"/>
      <c r="E5072" s="261"/>
    </row>
    <row r="5073" spans="2:5" x14ac:dyDescent="0.3">
      <c r="B5073" s="274"/>
      <c r="C5073" s="108"/>
      <c r="D5073" s="261"/>
      <c r="E5073" s="261"/>
    </row>
    <row r="5074" spans="2:5" x14ac:dyDescent="0.3">
      <c r="B5074" s="274"/>
      <c r="C5074" s="108"/>
      <c r="D5074" s="261"/>
      <c r="E5074" s="261"/>
    </row>
    <row r="5075" spans="2:5" x14ac:dyDescent="0.3">
      <c r="B5075" s="274"/>
      <c r="C5075" s="108"/>
      <c r="D5075" s="261"/>
      <c r="E5075" s="261"/>
    </row>
    <row r="5076" spans="2:5" x14ac:dyDescent="0.3">
      <c r="B5076" s="274"/>
      <c r="C5076" s="108"/>
      <c r="D5076" s="261"/>
      <c r="E5076" s="261"/>
    </row>
    <row r="5077" spans="2:5" x14ac:dyDescent="0.3">
      <c r="B5077" s="274"/>
      <c r="C5077" s="108"/>
      <c r="D5077" s="261"/>
      <c r="E5077" s="261"/>
    </row>
    <row r="5078" spans="2:5" x14ac:dyDescent="0.3">
      <c r="B5078" s="274"/>
      <c r="C5078" s="108"/>
      <c r="D5078" s="261"/>
      <c r="E5078" s="261"/>
    </row>
    <row r="5079" spans="2:5" x14ac:dyDescent="0.3">
      <c r="B5079" s="274"/>
      <c r="C5079" s="108"/>
      <c r="D5079" s="261"/>
      <c r="E5079" s="261"/>
    </row>
    <row r="5080" spans="2:5" x14ac:dyDescent="0.3">
      <c r="B5080" s="274"/>
      <c r="C5080" s="108"/>
      <c r="D5080" s="261"/>
      <c r="E5080" s="261"/>
    </row>
    <row r="5081" spans="2:5" x14ac:dyDescent="0.3">
      <c r="B5081" s="274"/>
      <c r="C5081" s="108"/>
      <c r="D5081" s="261"/>
      <c r="E5081" s="261"/>
    </row>
    <row r="5082" spans="2:5" x14ac:dyDescent="0.3">
      <c r="B5082" s="274"/>
      <c r="C5082" s="108"/>
      <c r="D5082" s="261"/>
      <c r="E5082" s="261"/>
    </row>
    <row r="5083" spans="2:5" x14ac:dyDescent="0.3">
      <c r="B5083" s="274"/>
      <c r="C5083" s="108"/>
      <c r="D5083" s="261"/>
      <c r="E5083" s="261"/>
    </row>
    <row r="5084" spans="2:5" x14ac:dyDescent="0.3">
      <c r="B5084" s="274"/>
      <c r="C5084" s="108"/>
      <c r="D5084" s="261"/>
      <c r="E5084" s="261"/>
    </row>
    <row r="5085" spans="2:5" x14ac:dyDescent="0.3">
      <c r="B5085" s="274"/>
      <c r="C5085" s="108"/>
      <c r="D5085" s="261"/>
      <c r="E5085" s="261"/>
    </row>
    <row r="5086" spans="2:5" x14ac:dyDescent="0.3">
      <c r="B5086" s="274"/>
      <c r="C5086" s="108"/>
      <c r="D5086" s="261"/>
      <c r="E5086" s="261"/>
    </row>
    <row r="5087" spans="2:5" x14ac:dyDescent="0.3">
      <c r="B5087" s="274"/>
      <c r="C5087" s="108"/>
      <c r="D5087" s="261"/>
      <c r="E5087" s="261"/>
    </row>
    <row r="5088" spans="2:5" x14ac:dyDescent="0.3">
      <c r="B5088" s="274"/>
      <c r="C5088" s="108"/>
      <c r="D5088" s="261"/>
      <c r="E5088" s="261"/>
    </row>
    <row r="5089" spans="2:5" x14ac:dyDescent="0.3">
      <c r="B5089" s="274"/>
      <c r="C5089" s="108"/>
      <c r="D5089" s="261"/>
      <c r="E5089" s="261"/>
    </row>
    <row r="5090" spans="2:5" x14ac:dyDescent="0.3">
      <c r="B5090" s="274"/>
      <c r="C5090" s="108"/>
      <c r="D5090" s="261"/>
      <c r="E5090" s="261"/>
    </row>
    <row r="5091" spans="2:5" x14ac:dyDescent="0.3">
      <c r="B5091" s="274"/>
      <c r="C5091" s="108"/>
      <c r="D5091" s="261"/>
      <c r="E5091" s="261"/>
    </row>
    <row r="5092" spans="2:5" x14ac:dyDescent="0.3">
      <c r="B5092" s="274"/>
      <c r="C5092" s="108"/>
      <c r="D5092" s="261"/>
      <c r="E5092" s="261"/>
    </row>
    <row r="5093" spans="2:5" x14ac:dyDescent="0.3">
      <c r="B5093" s="274"/>
      <c r="C5093" s="108"/>
      <c r="D5093" s="261"/>
      <c r="E5093" s="261"/>
    </row>
    <row r="5094" spans="2:5" x14ac:dyDescent="0.3">
      <c r="B5094" s="274"/>
      <c r="C5094" s="108"/>
      <c r="D5094" s="261"/>
      <c r="E5094" s="261"/>
    </row>
    <row r="5095" spans="2:5" x14ac:dyDescent="0.3">
      <c r="B5095" s="274"/>
      <c r="C5095" s="108"/>
      <c r="D5095" s="261"/>
      <c r="E5095" s="261"/>
    </row>
    <row r="5096" spans="2:5" x14ac:dyDescent="0.3">
      <c r="B5096" s="274"/>
      <c r="C5096" s="108"/>
      <c r="D5096" s="261"/>
      <c r="E5096" s="261"/>
    </row>
    <row r="5097" spans="2:5" x14ac:dyDescent="0.3">
      <c r="B5097" s="274"/>
      <c r="C5097" s="108"/>
      <c r="D5097" s="261"/>
      <c r="E5097" s="261"/>
    </row>
    <row r="5098" spans="2:5" x14ac:dyDescent="0.3">
      <c r="B5098" s="274"/>
      <c r="C5098" s="108"/>
      <c r="D5098" s="261"/>
      <c r="E5098" s="261"/>
    </row>
    <row r="5099" spans="2:5" x14ac:dyDescent="0.3">
      <c r="B5099" s="274"/>
      <c r="C5099" s="108"/>
      <c r="D5099" s="261"/>
      <c r="E5099" s="261"/>
    </row>
    <row r="5100" spans="2:5" x14ac:dyDescent="0.3">
      <c r="B5100" s="274"/>
      <c r="C5100" s="108"/>
      <c r="D5100" s="261"/>
      <c r="E5100" s="261"/>
    </row>
    <row r="5101" spans="2:5" x14ac:dyDescent="0.3">
      <c r="B5101" s="274"/>
      <c r="C5101" s="108"/>
      <c r="D5101" s="261"/>
      <c r="E5101" s="261"/>
    </row>
    <row r="5102" spans="2:5" x14ac:dyDescent="0.3">
      <c r="B5102" s="274"/>
      <c r="C5102" s="108"/>
      <c r="D5102" s="261"/>
      <c r="E5102" s="261"/>
    </row>
    <row r="5103" spans="2:5" x14ac:dyDescent="0.3">
      <c r="B5103" s="274"/>
      <c r="C5103" s="108"/>
      <c r="D5103" s="261"/>
      <c r="E5103" s="261"/>
    </row>
    <row r="5104" spans="2:5" x14ac:dyDescent="0.3">
      <c r="B5104" s="274"/>
      <c r="C5104" s="108"/>
      <c r="D5104" s="261"/>
      <c r="E5104" s="261"/>
    </row>
    <row r="5105" spans="2:5" x14ac:dyDescent="0.3">
      <c r="B5105" s="274"/>
      <c r="C5105" s="108"/>
      <c r="D5105" s="261"/>
      <c r="E5105" s="261"/>
    </row>
    <row r="5106" spans="2:5" x14ac:dyDescent="0.3">
      <c r="B5106" s="274"/>
      <c r="C5106" s="108"/>
      <c r="D5106" s="261"/>
      <c r="E5106" s="261"/>
    </row>
    <row r="5107" spans="2:5" x14ac:dyDescent="0.3">
      <c r="B5107" s="274"/>
      <c r="C5107" s="108"/>
      <c r="D5107" s="261"/>
      <c r="E5107" s="261"/>
    </row>
    <row r="5108" spans="2:5" x14ac:dyDescent="0.3">
      <c r="B5108" s="274"/>
      <c r="C5108" s="108"/>
      <c r="D5108" s="261"/>
      <c r="E5108" s="261"/>
    </row>
    <row r="5109" spans="2:5" x14ac:dyDescent="0.3">
      <c r="B5109" s="274"/>
      <c r="C5109" s="108"/>
      <c r="D5109" s="261"/>
      <c r="E5109" s="261"/>
    </row>
    <row r="5110" spans="2:5" x14ac:dyDescent="0.3">
      <c r="B5110" s="274"/>
      <c r="C5110" s="108"/>
      <c r="D5110" s="261"/>
      <c r="E5110" s="261"/>
    </row>
    <row r="5111" spans="2:5" x14ac:dyDescent="0.3">
      <c r="B5111" s="274"/>
      <c r="C5111" s="108"/>
      <c r="D5111" s="261"/>
      <c r="E5111" s="261"/>
    </row>
    <row r="5112" spans="2:5" x14ac:dyDescent="0.3">
      <c r="B5112" s="274"/>
      <c r="C5112" s="108"/>
      <c r="D5112" s="261"/>
      <c r="E5112" s="261"/>
    </row>
    <row r="5113" spans="2:5" x14ac:dyDescent="0.3">
      <c r="B5113" s="274"/>
      <c r="C5113" s="108"/>
      <c r="D5113" s="261"/>
      <c r="E5113" s="261"/>
    </row>
    <row r="5114" spans="2:5" x14ac:dyDescent="0.3">
      <c r="B5114" s="274"/>
      <c r="C5114" s="108"/>
      <c r="D5114" s="261"/>
      <c r="E5114" s="261"/>
    </row>
    <row r="5115" spans="2:5" x14ac:dyDescent="0.3">
      <c r="B5115" s="274"/>
      <c r="C5115" s="108"/>
      <c r="D5115" s="261"/>
      <c r="E5115" s="261"/>
    </row>
    <row r="5116" spans="2:5" x14ac:dyDescent="0.3">
      <c r="B5116" s="274"/>
      <c r="C5116" s="108"/>
      <c r="D5116" s="261"/>
      <c r="E5116" s="261"/>
    </row>
    <row r="5117" spans="2:5" x14ac:dyDescent="0.3">
      <c r="B5117" s="274"/>
      <c r="C5117" s="108"/>
      <c r="D5117" s="261"/>
      <c r="E5117" s="261"/>
    </row>
    <row r="5118" spans="2:5" x14ac:dyDescent="0.3">
      <c r="B5118" s="274"/>
      <c r="C5118" s="108"/>
      <c r="D5118" s="261"/>
      <c r="E5118" s="261"/>
    </row>
    <row r="5119" spans="2:5" x14ac:dyDescent="0.3">
      <c r="B5119" s="274"/>
      <c r="C5119" s="108"/>
      <c r="D5119" s="261"/>
      <c r="E5119" s="261"/>
    </row>
    <row r="5120" spans="2:5" x14ac:dyDescent="0.3">
      <c r="B5120" s="274"/>
      <c r="C5120" s="108"/>
      <c r="D5120" s="261"/>
      <c r="E5120" s="261"/>
    </row>
    <row r="5121" spans="2:5" x14ac:dyDescent="0.3">
      <c r="B5121" s="274"/>
      <c r="C5121" s="108"/>
      <c r="D5121" s="261"/>
      <c r="E5121" s="261"/>
    </row>
    <row r="5122" spans="2:5" x14ac:dyDescent="0.3">
      <c r="B5122" s="274"/>
      <c r="C5122" s="108"/>
      <c r="D5122" s="261"/>
      <c r="E5122" s="261"/>
    </row>
    <row r="5123" spans="2:5" x14ac:dyDescent="0.3">
      <c r="B5123" s="274"/>
      <c r="C5123" s="108"/>
      <c r="D5123" s="261"/>
      <c r="E5123" s="261"/>
    </row>
    <row r="5124" spans="2:5" x14ac:dyDescent="0.3">
      <c r="B5124" s="274"/>
      <c r="C5124" s="108"/>
      <c r="D5124" s="261"/>
      <c r="E5124" s="261"/>
    </row>
    <row r="5125" spans="2:5" x14ac:dyDescent="0.3">
      <c r="B5125" s="274"/>
      <c r="C5125" s="108"/>
      <c r="D5125" s="261"/>
      <c r="E5125" s="261"/>
    </row>
    <row r="5126" spans="2:5" x14ac:dyDescent="0.3">
      <c r="B5126" s="274"/>
      <c r="C5126" s="108"/>
      <c r="D5126" s="261"/>
      <c r="E5126" s="261"/>
    </row>
    <row r="5127" spans="2:5" x14ac:dyDescent="0.3">
      <c r="B5127" s="274"/>
      <c r="C5127" s="108"/>
      <c r="D5127" s="261"/>
      <c r="E5127" s="261"/>
    </row>
    <row r="5128" spans="2:5" x14ac:dyDescent="0.3">
      <c r="B5128" s="274"/>
      <c r="C5128" s="108"/>
      <c r="D5128" s="261"/>
      <c r="E5128" s="261"/>
    </row>
    <row r="5129" spans="2:5" x14ac:dyDescent="0.3">
      <c r="B5129" s="274"/>
      <c r="C5129" s="108"/>
      <c r="D5129" s="261"/>
      <c r="E5129" s="261"/>
    </row>
    <row r="5130" spans="2:5" x14ac:dyDescent="0.3">
      <c r="B5130" s="274"/>
      <c r="C5130" s="108"/>
      <c r="D5130" s="261"/>
      <c r="E5130" s="261"/>
    </row>
    <row r="5131" spans="2:5" x14ac:dyDescent="0.3">
      <c r="B5131" s="274"/>
      <c r="C5131" s="108"/>
      <c r="D5131" s="261"/>
      <c r="E5131" s="261"/>
    </row>
    <row r="5132" spans="2:5" x14ac:dyDescent="0.3">
      <c r="B5132" s="274"/>
      <c r="C5132" s="108"/>
      <c r="D5132" s="261"/>
      <c r="E5132" s="261"/>
    </row>
    <row r="5133" spans="2:5" x14ac:dyDescent="0.3">
      <c r="B5133" s="274"/>
      <c r="C5133" s="108"/>
      <c r="D5133" s="261"/>
      <c r="E5133" s="261"/>
    </row>
    <row r="5134" spans="2:5" x14ac:dyDescent="0.3">
      <c r="B5134" s="274"/>
      <c r="C5134" s="108"/>
      <c r="D5134" s="261"/>
      <c r="E5134" s="261"/>
    </row>
    <row r="5135" spans="2:5" x14ac:dyDescent="0.3">
      <c r="B5135" s="274"/>
      <c r="C5135" s="108"/>
      <c r="D5135" s="261"/>
      <c r="E5135" s="261"/>
    </row>
    <row r="5136" spans="2:5" x14ac:dyDescent="0.3">
      <c r="B5136" s="274"/>
      <c r="C5136" s="108"/>
      <c r="D5136" s="261"/>
      <c r="E5136" s="261"/>
    </row>
    <row r="5137" spans="2:5" x14ac:dyDescent="0.3">
      <c r="B5137" s="274"/>
      <c r="C5137" s="108"/>
      <c r="D5137" s="261"/>
      <c r="E5137" s="261"/>
    </row>
    <row r="5138" spans="2:5" x14ac:dyDescent="0.3">
      <c r="B5138" s="274"/>
      <c r="C5138" s="108"/>
      <c r="D5138" s="261"/>
      <c r="E5138" s="261"/>
    </row>
    <row r="5139" spans="2:5" x14ac:dyDescent="0.3">
      <c r="B5139" s="274"/>
      <c r="C5139" s="108"/>
      <c r="D5139" s="261"/>
      <c r="E5139" s="261"/>
    </row>
    <row r="5140" spans="2:5" x14ac:dyDescent="0.3">
      <c r="B5140" s="274"/>
      <c r="C5140" s="108"/>
      <c r="D5140" s="261"/>
      <c r="E5140" s="261"/>
    </row>
    <row r="5141" spans="2:5" x14ac:dyDescent="0.3">
      <c r="B5141" s="274"/>
      <c r="C5141" s="108"/>
      <c r="D5141" s="261"/>
      <c r="E5141" s="261"/>
    </row>
    <row r="5142" spans="2:5" x14ac:dyDescent="0.3">
      <c r="B5142" s="274"/>
      <c r="C5142" s="108"/>
      <c r="D5142" s="261"/>
      <c r="E5142" s="261"/>
    </row>
    <row r="5143" spans="2:5" x14ac:dyDescent="0.3">
      <c r="B5143" s="274"/>
      <c r="C5143" s="108"/>
      <c r="D5143" s="261"/>
      <c r="E5143" s="261"/>
    </row>
    <row r="5144" spans="2:5" x14ac:dyDescent="0.3">
      <c r="B5144" s="274"/>
      <c r="C5144" s="108"/>
      <c r="D5144" s="261"/>
      <c r="E5144" s="261"/>
    </row>
    <row r="5145" spans="2:5" x14ac:dyDescent="0.3">
      <c r="B5145" s="274"/>
      <c r="C5145" s="108"/>
      <c r="D5145" s="261"/>
      <c r="E5145" s="261"/>
    </row>
    <row r="5146" spans="2:5" x14ac:dyDescent="0.3">
      <c r="B5146" s="274"/>
      <c r="C5146" s="108"/>
      <c r="D5146" s="261"/>
      <c r="E5146" s="261"/>
    </row>
    <row r="5147" spans="2:5" x14ac:dyDescent="0.3">
      <c r="B5147" s="274"/>
      <c r="C5147" s="108"/>
      <c r="D5147" s="261"/>
      <c r="E5147" s="261"/>
    </row>
    <row r="5148" spans="2:5" x14ac:dyDescent="0.3">
      <c r="B5148" s="274"/>
      <c r="C5148" s="108"/>
      <c r="D5148" s="261"/>
      <c r="E5148" s="261"/>
    </row>
    <row r="5149" spans="2:5" x14ac:dyDescent="0.3">
      <c r="B5149" s="274"/>
      <c r="C5149" s="108"/>
      <c r="D5149" s="261"/>
      <c r="E5149" s="261"/>
    </row>
    <row r="5150" spans="2:5" x14ac:dyDescent="0.3">
      <c r="B5150" s="274"/>
      <c r="C5150" s="108"/>
      <c r="D5150" s="261"/>
      <c r="E5150" s="261"/>
    </row>
    <row r="5151" spans="2:5" x14ac:dyDescent="0.3">
      <c r="B5151" s="274"/>
      <c r="C5151" s="108"/>
      <c r="D5151" s="261"/>
      <c r="E5151" s="261"/>
    </row>
    <row r="5152" spans="2:5" x14ac:dyDescent="0.3">
      <c r="B5152" s="274"/>
      <c r="C5152" s="108"/>
      <c r="D5152" s="261"/>
      <c r="E5152" s="261"/>
    </row>
    <row r="5153" spans="2:5" x14ac:dyDescent="0.3">
      <c r="B5153" s="274"/>
      <c r="C5153" s="108"/>
      <c r="D5153" s="261"/>
      <c r="E5153" s="261"/>
    </row>
    <row r="5154" spans="2:5" x14ac:dyDescent="0.3">
      <c r="B5154" s="274"/>
      <c r="C5154" s="108"/>
      <c r="D5154" s="261"/>
      <c r="E5154" s="261"/>
    </row>
    <row r="5155" spans="2:5" x14ac:dyDescent="0.3">
      <c r="B5155" s="274"/>
      <c r="C5155" s="108"/>
      <c r="D5155" s="261"/>
      <c r="E5155" s="261"/>
    </row>
    <row r="5156" spans="2:5" x14ac:dyDescent="0.3">
      <c r="B5156" s="274"/>
      <c r="C5156" s="108"/>
      <c r="D5156" s="261"/>
      <c r="E5156" s="261"/>
    </row>
    <row r="5157" spans="2:5" x14ac:dyDescent="0.3">
      <c r="B5157" s="274"/>
      <c r="C5157" s="108"/>
      <c r="D5157" s="261"/>
      <c r="E5157" s="261"/>
    </row>
    <row r="5158" spans="2:5" x14ac:dyDescent="0.3">
      <c r="B5158" s="274"/>
      <c r="C5158" s="108"/>
      <c r="D5158" s="261"/>
      <c r="E5158" s="261"/>
    </row>
    <row r="5159" spans="2:5" x14ac:dyDescent="0.3">
      <c r="B5159" s="274"/>
      <c r="C5159" s="108"/>
      <c r="D5159" s="261"/>
      <c r="E5159" s="261"/>
    </row>
    <row r="5160" spans="2:5" x14ac:dyDescent="0.3">
      <c r="B5160" s="274"/>
      <c r="C5160" s="108"/>
      <c r="D5160" s="261"/>
      <c r="E5160" s="261"/>
    </row>
    <row r="5161" spans="2:5" x14ac:dyDescent="0.3">
      <c r="B5161" s="274"/>
      <c r="C5161" s="108"/>
      <c r="D5161" s="261"/>
      <c r="E5161" s="261"/>
    </row>
    <row r="5162" spans="2:5" x14ac:dyDescent="0.3">
      <c r="B5162" s="274"/>
      <c r="C5162" s="108"/>
      <c r="D5162" s="261"/>
      <c r="E5162" s="261"/>
    </row>
    <row r="5163" spans="2:5" x14ac:dyDescent="0.3">
      <c r="B5163" s="274"/>
      <c r="C5163" s="108"/>
      <c r="D5163" s="261"/>
      <c r="E5163" s="261"/>
    </row>
    <row r="5164" spans="2:5" x14ac:dyDescent="0.3">
      <c r="B5164" s="274"/>
      <c r="C5164" s="108"/>
      <c r="D5164" s="261"/>
      <c r="E5164" s="261"/>
    </row>
    <row r="5165" spans="2:5" x14ac:dyDescent="0.3">
      <c r="B5165" s="274"/>
      <c r="C5165" s="108"/>
      <c r="D5165" s="261"/>
      <c r="E5165" s="261"/>
    </row>
    <row r="5166" spans="2:5" x14ac:dyDescent="0.3">
      <c r="B5166" s="274"/>
      <c r="C5166" s="108"/>
      <c r="D5166" s="261"/>
      <c r="E5166" s="261"/>
    </row>
    <row r="5167" spans="2:5" x14ac:dyDescent="0.3">
      <c r="B5167" s="274"/>
      <c r="C5167" s="108"/>
      <c r="D5167" s="261"/>
      <c r="E5167" s="261"/>
    </row>
    <row r="5168" spans="2:5" x14ac:dyDescent="0.3">
      <c r="B5168" s="274"/>
      <c r="C5168" s="108"/>
      <c r="D5168" s="261"/>
      <c r="E5168" s="261"/>
    </row>
    <row r="5169" spans="2:5" x14ac:dyDescent="0.3">
      <c r="B5169" s="274"/>
      <c r="C5169" s="108"/>
      <c r="D5169" s="261"/>
      <c r="E5169" s="261"/>
    </row>
    <row r="5170" spans="2:5" x14ac:dyDescent="0.3">
      <c r="B5170" s="274"/>
      <c r="C5170" s="108"/>
      <c r="D5170" s="261"/>
      <c r="E5170" s="261"/>
    </row>
    <row r="5171" spans="2:5" x14ac:dyDescent="0.3">
      <c r="B5171" s="274"/>
      <c r="C5171" s="108"/>
      <c r="D5171" s="261"/>
      <c r="E5171" s="261"/>
    </row>
    <row r="5172" spans="2:5" x14ac:dyDescent="0.3">
      <c r="B5172" s="274"/>
      <c r="C5172" s="108"/>
      <c r="D5172" s="261"/>
      <c r="E5172" s="261"/>
    </row>
    <row r="5173" spans="2:5" x14ac:dyDescent="0.3">
      <c r="B5173" s="274"/>
      <c r="C5173" s="108"/>
      <c r="D5173" s="261"/>
      <c r="E5173" s="261"/>
    </row>
    <row r="5174" spans="2:5" x14ac:dyDescent="0.3">
      <c r="B5174" s="274"/>
      <c r="C5174" s="108"/>
      <c r="D5174" s="261"/>
      <c r="E5174" s="261"/>
    </row>
    <row r="5175" spans="2:5" x14ac:dyDescent="0.3">
      <c r="B5175" s="274"/>
      <c r="C5175" s="108"/>
      <c r="D5175" s="261"/>
      <c r="E5175" s="261"/>
    </row>
    <row r="5176" spans="2:5" x14ac:dyDescent="0.3">
      <c r="B5176" s="274"/>
      <c r="C5176" s="108"/>
      <c r="D5176" s="261"/>
      <c r="E5176" s="261"/>
    </row>
    <row r="5177" spans="2:5" x14ac:dyDescent="0.3">
      <c r="B5177" s="274"/>
      <c r="C5177" s="108"/>
      <c r="D5177" s="261"/>
      <c r="E5177" s="261"/>
    </row>
    <row r="5178" spans="2:5" x14ac:dyDescent="0.3">
      <c r="B5178" s="274"/>
      <c r="C5178" s="108"/>
      <c r="D5178" s="261"/>
      <c r="E5178" s="261"/>
    </row>
    <row r="5179" spans="2:5" x14ac:dyDescent="0.3">
      <c r="B5179" s="274"/>
      <c r="C5179" s="108"/>
      <c r="D5179" s="261"/>
      <c r="E5179" s="261"/>
    </row>
    <row r="5180" spans="2:5" x14ac:dyDescent="0.3">
      <c r="B5180" s="274"/>
      <c r="C5180" s="108"/>
      <c r="D5180" s="261"/>
      <c r="E5180" s="261"/>
    </row>
    <row r="5181" spans="2:5" x14ac:dyDescent="0.3">
      <c r="B5181" s="274"/>
      <c r="C5181" s="108"/>
      <c r="D5181" s="261"/>
      <c r="E5181" s="261"/>
    </row>
    <row r="5182" spans="2:5" x14ac:dyDescent="0.3">
      <c r="B5182" s="274"/>
      <c r="C5182" s="108"/>
      <c r="D5182" s="261"/>
      <c r="E5182" s="261"/>
    </row>
    <row r="5183" spans="2:5" x14ac:dyDescent="0.3">
      <c r="B5183" s="274"/>
      <c r="C5183" s="108"/>
      <c r="D5183" s="261"/>
      <c r="E5183" s="261"/>
    </row>
    <row r="5184" spans="2:5" x14ac:dyDescent="0.3">
      <c r="B5184" s="274"/>
      <c r="C5184" s="108"/>
      <c r="D5184" s="261"/>
      <c r="E5184" s="261"/>
    </row>
    <row r="5185" spans="2:5" x14ac:dyDescent="0.3">
      <c r="B5185" s="274"/>
      <c r="C5185" s="108"/>
      <c r="D5185" s="261"/>
      <c r="E5185" s="261"/>
    </row>
    <row r="5186" spans="2:5" x14ac:dyDescent="0.3">
      <c r="B5186" s="274"/>
      <c r="C5186" s="108"/>
      <c r="D5186" s="261"/>
      <c r="E5186" s="261"/>
    </row>
    <row r="5187" spans="2:5" x14ac:dyDescent="0.3">
      <c r="B5187" s="274"/>
      <c r="C5187" s="108"/>
      <c r="D5187" s="261"/>
      <c r="E5187" s="261"/>
    </row>
    <row r="5188" spans="2:5" x14ac:dyDescent="0.3">
      <c r="B5188" s="274"/>
      <c r="C5188" s="108"/>
      <c r="D5188" s="261"/>
      <c r="E5188" s="261"/>
    </row>
    <row r="5189" spans="2:5" x14ac:dyDescent="0.3">
      <c r="B5189" s="274"/>
      <c r="C5189" s="108"/>
      <c r="D5189" s="261"/>
      <c r="E5189" s="261"/>
    </row>
    <row r="5190" spans="2:5" x14ac:dyDescent="0.3">
      <c r="B5190" s="274"/>
      <c r="C5190" s="108"/>
      <c r="D5190" s="261"/>
      <c r="E5190" s="261"/>
    </row>
    <row r="5191" spans="2:5" x14ac:dyDescent="0.3">
      <c r="B5191" s="274"/>
      <c r="C5191" s="108"/>
      <c r="D5191" s="261"/>
      <c r="E5191" s="261"/>
    </row>
    <row r="5192" spans="2:5" x14ac:dyDescent="0.3">
      <c r="B5192" s="274"/>
      <c r="C5192" s="108"/>
      <c r="D5192" s="261"/>
      <c r="E5192" s="261"/>
    </row>
    <row r="5193" spans="2:5" x14ac:dyDescent="0.3">
      <c r="B5193" s="274"/>
      <c r="C5193" s="108"/>
      <c r="D5193" s="261"/>
      <c r="E5193" s="261"/>
    </row>
    <row r="5194" spans="2:5" x14ac:dyDescent="0.3">
      <c r="B5194" s="274"/>
      <c r="C5194" s="108"/>
      <c r="D5194" s="261"/>
      <c r="E5194" s="261"/>
    </row>
    <row r="5195" spans="2:5" x14ac:dyDescent="0.3">
      <c r="B5195" s="274"/>
      <c r="C5195" s="108"/>
      <c r="D5195" s="261"/>
      <c r="E5195" s="261"/>
    </row>
    <row r="5196" spans="2:5" x14ac:dyDescent="0.3">
      <c r="B5196" s="274"/>
      <c r="C5196" s="108"/>
      <c r="D5196" s="261"/>
      <c r="E5196" s="261"/>
    </row>
    <row r="5197" spans="2:5" x14ac:dyDescent="0.3">
      <c r="B5197" s="274"/>
      <c r="C5197" s="108"/>
      <c r="D5197" s="261"/>
      <c r="E5197" s="261"/>
    </row>
    <row r="5198" spans="2:5" x14ac:dyDescent="0.3">
      <c r="B5198" s="274"/>
      <c r="C5198" s="108"/>
      <c r="D5198" s="261"/>
      <c r="E5198" s="261"/>
    </row>
    <row r="5199" spans="2:5" x14ac:dyDescent="0.3">
      <c r="B5199" s="274"/>
      <c r="C5199" s="108"/>
      <c r="D5199" s="261"/>
      <c r="E5199" s="261"/>
    </row>
    <row r="5200" spans="2:5" x14ac:dyDescent="0.3">
      <c r="B5200" s="274"/>
      <c r="C5200" s="108"/>
      <c r="D5200" s="261"/>
      <c r="E5200" s="261"/>
    </row>
    <row r="5201" spans="2:5" x14ac:dyDescent="0.3">
      <c r="B5201" s="274"/>
      <c r="C5201" s="108"/>
      <c r="D5201" s="261"/>
      <c r="E5201" s="261"/>
    </row>
    <row r="5202" spans="2:5" x14ac:dyDescent="0.3">
      <c r="B5202" s="274"/>
      <c r="C5202" s="108"/>
      <c r="D5202" s="261"/>
      <c r="E5202" s="261"/>
    </row>
    <row r="5203" spans="2:5" x14ac:dyDescent="0.3">
      <c r="B5203" s="274"/>
      <c r="C5203" s="108"/>
      <c r="D5203" s="261"/>
      <c r="E5203" s="261"/>
    </row>
    <row r="5204" spans="2:5" x14ac:dyDescent="0.3">
      <c r="B5204" s="274"/>
      <c r="C5204" s="108"/>
      <c r="D5204" s="261"/>
      <c r="E5204" s="261"/>
    </row>
    <row r="5205" spans="2:5" x14ac:dyDescent="0.3">
      <c r="B5205" s="274"/>
      <c r="C5205" s="108"/>
      <c r="D5205" s="261"/>
      <c r="E5205" s="261"/>
    </row>
    <row r="5206" spans="2:5" x14ac:dyDescent="0.3">
      <c r="B5206" s="274"/>
      <c r="C5206" s="108"/>
      <c r="D5206" s="261"/>
      <c r="E5206" s="261"/>
    </row>
    <row r="5207" spans="2:5" x14ac:dyDescent="0.3">
      <c r="B5207" s="274"/>
      <c r="C5207" s="108"/>
      <c r="D5207" s="261"/>
      <c r="E5207" s="261"/>
    </row>
    <row r="5208" spans="2:5" x14ac:dyDescent="0.3">
      <c r="B5208" s="274"/>
      <c r="C5208" s="108"/>
      <c r="D5208" s="261"/>
      <c r="E5208" s="261"/>
    </row>
    <row r="5209" spans="2:5" x14ac:dyDescent="0.3">
      <c r="B5209" s="274"/>
      <c r="C5209" s="108"/>
      <c r="D5209" s="261"/>
      <c r="E5209" s="261"/>
    </row>
    <row r="5210" spans="2:5" x14ac:dyDescent="0.3">
      <c r="B5210" s="274"/>
      <c r="C5210" s="108"/>
      <c r="D5210" s="261"/>
      <c r="E5210" s="261"/>
    </row>
    <row r="5211" spans="2:5" x14ac:dyDescent="0.3">
      <c r="B5211" s="274"/>
      <c r="C5211" s="108"/>
      <c r="D5211" s="261"/>
      <c r="E5211" s="261"/>
    </row>
    <row r="5212" spans="2:5" x14ac:dyDescent="0.3">
      <c r="B5212" s="274"/>
      <c r="C5212" s="108"/>
      <c r="D5212" s="261"/>
      <c r="E5212" s="261"/>
    </row>
    <row r="5213" spans="2:5" x14ac:dyDescent="0.3">
      <c r="B5213" s="274"/>
      <c r="C5213" s="108"/>
      <c r="D5213" s="261"/>
      <c r="E5213" s="261"/>
    </row>
    <row r="5214" spans="2:5" x14ac:dyDescent="0.3">
      <c r="B5214" s="274"/>
      <c r="C5214" s="108"/>
      <c r="D5214" s="261"/>
      <c r="E5214" s="261"/>
    </row>
    <row r="5215" spans="2:5" x14ac:dyDescent="0.3">
      <c r="B5215" s="274"/>
      <c r="C5215" s="108"/>
      <c r="D5215" s="261"/>
      <c r="E5215" s="261"/>
    </row>
    <row r="5216" spans="2:5" x14ac:dyDescent="0.3">
      <c r="B5216" s="274"/>
      <c r="C5216" s="108"/>
      <c r="D5216" s="261"/>
      <c r="E5216" s="261"/>
    </row>
    <row r="5217" spans="2:5" x14ac:dyDescent="0.3">
      <c r="B5217" s="274"/>
      <c r="C5217" s="108"/>
      <c r="D5217" s="261"/>
      <c r="E5217" s="261"/>
    </row>
    <row r="5218" spans="2:5" x14ac:dyDescent="0.3">
      <c r="B5218" s="274"/>
      <c r="C5218" s="108"/>
      <c r="D5218" s="261"/>
      <c r="E5218" s="261"/>
    </row>
    <row r="5219" spans="2:5" x14ac:dyDescent="0.3">
      <c r="B5219" s="274"/>
      <c r="C5219" s="108"/>
      <c r="D5219" s="261"/>
      <c r="E5219" s="261"/>
    </row>
    <row r="5220" spans="2:5" x14ac:dyDescent="0.3">
      <c r="B5220" s="274"/>
      <c r="C5220" s="108"/>
      <c r="D5220" s="261"/>
      <c r="E5220" s="261"/>
    </row>
    <row r="5221" spans="2:5" x14ac:dyDescent="0.3">
      <c r="B5221" s="274"/>
      <c r="C5221" s="108"/>
      <c r="D5221" s="261"/>
      <c r="E5221" s="261"/>
    </row>
    <row r="5222" spans="2:5" x14ac:dyDescent="0.3">
      <c r="B5222" s="274"/>
      <c r="C5222" s="108"/>
      <c r="D5222" s="261"/>
      <c r="E5222" s="261"/>
    </row>
    <row r="5223" spans="2:5" x14ac:dyDescent="0.3">
      <c r="B5223" s="274"/>
      <c r="C5223" s="108"/>
      <c r="D5223" s="261"/>
      <c r="E5223" s="261"/>
    </row>
    <row r="5224" spans="2:5" x14ac:dyDescent="0.3">
      <c r="B5224" s="274"/>
      <c r="C5224" s="108"/>
      <c r="D5224" s="261"/>
      <c r="E5224" s="261"/>
    </row>
    <row r="5225" spans="2:5" x14ac:dyDescent="0.3">
      <c r="B5225" s="274"/>
      <c r="C5225" s="108"/>
      <c r="D5225" s="261"/>
      <c r="E5225" s="261"/>
    </row>
    <row r="5226" spans="2:5" x14ac:dyDescent="0.3">
      <c r="B5226" s="274"/>
      <c r="C5226" s="108"/>
      <c r="D5226" s="261"/>
      <c r="E5226" s="261"/>
    </row>
    <row r="5227" spans="2:5" x14ac:dyDescent="0.3">
      <c r="B5227" s="274"/>
      <c r="C5227" s="108"/>
      <c r="D5227" s="261"/>
      <c r="E5227" s="261"/>
    </row>
    <row r="5228" spans="2:5" x14ac:dyDescent="0.3">
      <c r="B5228" s="274"/>
      <c r="C5228" s="108"/>
      <c r="D5228" s="261"/>
      <c r="E5228" s="261"/>
    </row>
    <row r="5229" spans="2:5" x14ac:dyDescent="0.3">
      <c r="B5229" s="274"/>
      <c r="C5229" s="108"/>
      <c r="D5229" s="261"/>
      <c r="E5229" s="261"/>
    </row>
    <row r="5230" spans="2:5" x14ac:dyDescent="0.3">
      <c r="B5230" s="274"/>
      <c r="C5230" s="108"/>
      <c r="D5230" s="261"/>
      <c r="E5230" s="261"/>
    </row>
    <row r="5231" spans="2:5" x14ac:dyDescent="0.3">
      <c r="B5231" s="274"/>
      <c r="C5231" s="108"/>
      <c r="D5231" s="261"/>
      <c r="E5231" s="261"/>
    </row>
    <row r="5232" spans="2:5" x14ac:dyDescent="0.3">
      <c r="B5232" s="274"/>
      <c r="C5232" s="108"/>
      <c r="D5232" s="261"/>
      <c r="E5232" s="261"/>
    </row>
    <row r="5233" spans="2:5" x14ac:dyDescent="0.3">
      <c r="B5233" s="274"/>
      <c r="C5233" s="108"/>
      <c r="D5233" s="261"/>
      <c r="E5233" s="261"/>
    </row>
    <row r="5234" spans="2:5" x14ac:dyDescent="0.3">
      <c r="B5234" s="274"/>
      <c r="C5234" s="108"/>
      <c r="D5234" s="261"/>
      <c r="E5234" s="261"/>
    </row>
    <row r="5235" spans="2:5" x14ac:dyDescent="0.3">
      <c r="B5235" s="274"/>
      <c r="C5235" s="108"/>
      <c r="D5235" s="261"/>
      <c r="E5235" s="261"/>
    </row>
    <row r="5236" spans="2:5" x14ac:dyDescent="0.3">
      <c r="B5236" s="274"/>
      <c r="C5236" s="108"/>
      <c r="D5236" s="261"/>
      <c r="E5236" s="261"/>
    </row>
    <row r="5237" spans="2:5" x14ac:dyDescent="0.3">
      <c r="B5237" s="274"/>
      <c r="C5237" s="108"/>
      <c r="D5237" s="261"/>
      <c r="E5237" s="261"/>
    </row>
    <row r="5238" spans="2:5" x14ac:dyDescent="0.3">
      <c r="B5238" s="274"/>
      <c r="C5238" s="108"/>
      <c r="D5238" s="261"/>
      <c r="E5238" s="261"/>
    </row>
    <row r="5239" spans="2:5" x14ac:dyDescent="0.3">
      <c r="B5239" s="274"/>
      <c r="C5239" s="108"/>
      <c r="D5239" s="261"/>
      <c r="E5239" s="261"/>
    </row>
    <row r="5240" spans="2:5" x14ac:dyDescent="0.3">
      <c r="B5240" s="274"/>
      <c r="C5240" s="108"/>
      <c r="D5240" s="261"/>
      <c r="E5240" s="261"/>
    </row>
    <row r="5241" spans="2:5" x14ac:dyDescent="0.3">
      <c r="B5241" s="274"/>
      <c r="C5241" s="108"/>
      <c r="D5241" s="261"/>
      <c r="E5241" s="261"/>
    </row>
    <row r="5242" spans="2:5" x14ac:dyDescent="0.3">
      <c r="B5242" s="274"/>
      <c r="C5242" s="108"/>
      <c r="D5242" s="261"/>
      <c r="E5242" s="261"/>
    </row>
    <row r="5243" spans="2:5" x14ac:dyDescent="0.3">
      <c r="B5243" s="274"/>
      <c r="C5243" s="108"/>
      <c r="D5243" s="261"/>
      <c r="E5243" s="261"/>
    </row>
    <row r="5244" spans="2:5" x14ac:dyDescent="0.3">
      <c r="B5244" s="274"/>
      <c r="C5244" s="108"/>
      <c r="D5244" s="261"/>
      <c r="E5244" s="261"/>
    </row>
    <row r="5245" spans="2:5" x14ac:dyDescent="0.3">
      <c r="B5245" s="274"/>
      <c r="C5245" s="108"/>
      <c r="D5245" s="261"/>
      <c r="E5245" s="261"/>
    </row>
    <row r="5246" spans="2:5" x14ac:dyDescent="0.3">
      <c r="B5246" s="274"/>
      <c r="C5246" s="108"/>
      <c r="D5246" s="261"/>
      <c r="E5246" s="261"/>
    </row>
    <row r="5247" spans="2:5" x14ac:dyDescent="0.3">
      <c r="B5247" s="274"/>
      <c r="C5247" s="108"/>
      <c r="D5247" s="261"/>
      <c r="E5247" s="261"/>
    </row>
    <row r="5248" spans="2:5" x14ac:dyDescent="0.3">
      <c r="B5248" s="274"/>
      <c r="C5248" s="108"/>
      <c r="D5248" s="261"/>
      <c r="E5248" s="261"/>
    </row>
    <row r="5249" spans="2:5" x14ac:dyDescent="0.3">
      <c r="B5249" s="274"/>
      <c r="C5249" s="108"/>
      <c r="D5249" s="261"/>
      <c r="E5249" s="261"/>
    </row>
    <row r="5250" spans="2:5" x14ac:dyDescent="0.3">
      <c r="B5250" s="274"/>
      <c r="C5250" s="108"/>
      <c r="D5250" s="261"/>
      <c r="E5250" s="261"/>
    </row>
    <row r="5251" spans="2:5" x14ac:dyDescent="0.3">
      <c r="B5251" s="274"/>
      <c r="C5251" s="108"/>
      <c r="D5251" s="261"/>
      <c r="E5251" s="261"/>
    </row>
    <row r="5252" spans="2:5" x14ac:dyDescent="0.3">
      <c r="B5252" s="274"/>
      <c r="C5252" s="108"/>
      <c r="D5252" s="261"/>
      <c r="E5252" s="261"/>
    </row>
    <row r="5253" spans="2:5" x14ac:dyDescent="0.3">
      <c r="B5253" s="274"/>
      <c r="C5253" s="108"/>
      <c r="D5253" s="261"/>
      <c r="E5253" s="261"/>
    </row>
    <row r="5254" spans="2:5" x14ac:dyDescent="0.3">
      <c r="B5254" s="274"/>
      <c r="C5254" s="108"/>
      <c r="D5254" s="261"/>
      <c r="E5254" s="261"/>
    </row>
    <row r="5255" spans="2:5" x14ac:dyDescent="0.3">
      <c r="B5255" s="274"/>
      <c r="C5255" s="108"/>
      <c r="D5255" s="261"/>
      <c r="E5255" s="261"/>
    </row>
    <row r="5256" spans="2:5" x14ac:dyDescent="0.3">
      <c r="B5256" s="274"/>
      <c r="C5256" s="108"/>
      <c r="D5256" s="261"/>
      <c r="E5256" s="261"/>
    </row>
    <row r="5257" spans="2:5" x14ac:dyDescent="0.3">
      <c r="B5257" s="274"/>
      <c r="C5257" s="108"/>
      <c r="D5257" s="261"/>
      <c r="E5257" s="261"/>
    </row>
    <row r="5258" spans="2:5" x14ac:dyDescent="0.3">
      <c r="B5258" s="274"/>
      <c r="C5258" s="108"/>
      <c r="D5258" s="261"/>
      <c r="E5258" s="261"/>
    </row>
    <row r="5259" spans="2:5" x14ac:dyDescent="0.3">
      <c r="B5259" s="274"/>
      <c r="C5259" s="108"/>
      <c r="D5259" s="261"/>
      <c r="E5259" s="261"/>
    </row>
    <row r="5260" spans="2:5" x14ac:dyDescent="0.3">
      <c r="B5260" s="274"/>
      <c r="C5260" s="108"/>
      <c r="D5260" s="261"/>
      <c r="E5260" s="261"/>
    </row>
    <row r="5261" spans="2:5" x14ac:dyDescent="0.3">
      <c r="B5261" s="274"/>
      <c r="C5261" s="108"/>
      <c r="D5261" s="261"/>
      <c r="E5261" s="261"/>
    </row>
    <row r="5262" spans="2:5" x14ac:dyDescent="0.3">
      <c r="B5262" s="274"/>
      <c r="C5262" s="108"/>
      <c r="D5262" s="261"/>
      <c r="E5262" s="261"/>
    </row>
    <row r="5263" spans="2:5" x14ac:dyDescent="0.3">
      <c r="B5263" s="274"/>
      <c r="C5263" s="108"/>
      <c r="D5263" s="261"/>
      <c r="E5263" s="261"/>
    </row>
    <row r="5264" spans="2:5" x14ac:dyDescent="0.3">
      <c r="B5264" s="274"/>
      <c r="C5264" s="108"/>
      <c r="D5264" s="261"/>
      <c r="E5264" s="261"/>
    </row>
    <row r="5265" spans="2:5" x14ac:dyDescent="0.3">
      <c r="B5265" s="274"/>
      <c r="C5265" s="108"/>
      <c r="D5265" s="261"/>
      <c r="E5265" s="261"/>
    </row>
    <row r="5266" spans="2:5" x14ac:dyDescent="0.3">
      <c r="B5266" s="274"/>
      <c r="C5266" s="108"/>
      <c r="D5266" s="261"/>
      <c r="E5266" s="261"/>
    </row>
    <row r="5267" spans="2:5" x14ac:dyDescent="0.3">
      <c r="B5267" s="274"/>
      <c r="C5267" s="108"/>
      <c r="D5267" s="261"/>
      <c r="E5267" s="261"/>
    </row>
    <row r="5268" spans="2:5" x14ac:dyDescent="0.3">
      <c r="B5268" s="274"/>
      <c r="C5268" s="108"/>
      <c r="D5268" s="261"/>
      <c r="E5268" s="261"/>
    </row>
    <row r="5269" spans="2:5" x14ac:dyDescent="0.3">
      <c r="B5269" s="274"/>
      <c r="C5269" s="108"/>
      <c r="D5269" s="261"/>
      <c r="E5269" s="261"/>
    </row>
    <row r="5270" spans="2:5" x14ac:dyDescent="0.3">
      <c r="B5270" s="274"/>
      <c r="C5270" s="108"/>
      <c r="D5270" s="261"/>
      <c r="E5270" s="261"/>
    </row>
    <row r="5271" spans="2:5" x14ac:dyDescent="0.3">
      <c r="B5271" s="274"/>
      <c r="C5271" s="108"/>
      <c r="D5271" s="261"/>
      <c r="E5271" s="261"/>
    </row>
    <row r="5272" spans="2:5" x14ac:dyDescent="0.3">
      <c r="B5272" s="274"/>
      <c r="C5272" s="108"/>
      <c r="D5272" s="261"/>
      <c r="E5272" s="261"/>
    </row>
    <row r="5273" spans="2:5" x14ac:dyDescent="0.3">
      <c r="B5273" s="274"/>
      <c r="C5273" s="108"/>
      <c r="D5273" s="261"/>
      <c r="E5273" s="261"/>
    </row>
    <row r="5274" spans="2:5" x14ac:dyDescent="0.3">
      <c r="B5274" s="274"/>
      <c r="C5274" s="108"/>
      <c r="D5274" s="261"/>
      <c r="E5274" s="261"/>
    </row>
    <row r="5275" spans="2:5" x14ac:dyDescent="0.3">
      <c r="B5275" s="274"/>
      <c r="C5275" s="108"/>
      <c r="D5275" s="261"/>
      <c r="E5275" s="261"/>
    </row>
    <row r="5276" spans="2:5" x14ac:dyDescent="0.3">
      <c r="B5276" s="274"/>
      <c r="C5276" s="108"/>
      <c r="D5276" s="261"/>
      <c r="E5276" s="261"/>
    </row>
    <row r="5277" spans="2:5" x14ac:dyDescent="0.3">
      <c r="B5277" s="274"/>
      <c r="C5277" s="108"/>
      <c r="D5277" s="261"/>
      <c r="E5277" s="261"/>
    </row>
    <row r="5278" spans="2:5" x14ac:dyDescent="0.3">
      <c r="B5278" s="274"/>
      <c r="C5278" s="108"/>
      <c r="D5278" s="261"/>
      <c r="E5278" s="261"/>
    </row>
    <row r="5279" spans="2:5" x14ac:dyDescent="0.3">
      <c r="B5279" s="274"/>
      <c r="C5279" s="108"/>
      <c r="D5279" s="261"/>
      <c r="E5279" s="261"/>
    </row>
    <row r="5280" spans="2:5" x14ac:dyDescent="0.3">
      <c r="B5280" s="274"/>
      <c r="C5280" s="108"/>
      <c r="D5280" s="261"/>
      <c r="E5280" s="261"/>
    </row>
    <row r="5281" spans="2:5" x14ac:dyDescent="0.3">
      <c r="B5281" s="274"/>
      <c r="C5281" s="108"/>
      <c r="D5281" s="261"/>
      <c r="E5281" s="261"/>
    </row>
    <row r="5282" spans="2:5" x14ac:dyDescent="0.3">
      <c r="B5282" s="274"/>
      <c r="C5282" s="108"/>
      <c r="D5282" s="261"/>
      <c r="E5282" s="261"/>
    </row>
    <row r="5283" spans="2:5" x14ac:dyDescent="0.3">
      <c r="B5283" s="274"/>
      <c r="C5283" s="108"/>
      <c r="D5283" s="261"/>
      <c r="E5283" s="261"/>
    </row>
    <row r="5284" spans="2:5" x14ac:dyDescent="0.3">
      <c r="B5284" s="274"/>
      <c r="C5284" s="108"/>
      <c r="D5284" s="261"/>
      <c r="E5284" s="261"/>
    </row>
    <row r="5285" spans="2:5" x14ac:dyDescent="0.3">
      <c r="B5285" s="274"/>
      <c r="C5285" s="108"/>
      <c r="D5285" s="261"/>
      <c r="E5285" s="261"/>
    </row>
    <row r="5286" spans="2:5" x14ac:dyDescent="0.3">
      <c r="B5286" s="274"/>
      <c r="C5286" s="108"/>
      <c r="D5286" s="261"/>
      <c r="E5286" s="261"/>
    </row>
    <row r="5287" spans="2:5" x14ac:dyDescent="0.3">
      <c r="B5287" s="274"/>
      <c r="C5287" s="108"/>
      <c r="D5287" s="261"/>
      <c r="E5287" s="261"/>
    </row>
    <row r="5288" spans="2:5" x14ac:dyDescent="0.3">
      <c r="B5288" s="274"/>
      <c r="C5288" s="108"/>
      <c r="D5288" s="261"/>
      <c r="E5288" s="261"/>
    </row>
    <row r="5289" spans="2:5" x14ac:dyDescent="0.3">
      <c r="B5289" s="274"/>
      <c r="C5289" s="108"/>
      <c r="D5289" s="261"/>
      <c r="E5289" s="261"/>
    </row>
    <row r="5290" spans="2:5" x14ac:dyDescent="0.3">
      <c r="B5290" s="274"/>
      <c r="C5290" s="108"/>
      <c r="D5290" s="261"/>
      <c r="E5290" s="261"/>
    </row>
    <row r="5291" spans="2:5" x14ac:dyDescent="0.3">
      <c r="B5291" s="274"/>
      <c r="C5291" s="108"/>
      <c r="D5291" s="261"/>
      <c r="E5291" s="261"/>
    </row>
    <row r="5292" spans="2:5" x14ac:dyDescent="0.3">
      <c r="B5292" s="274"/>
      <c r="C5292" s="108"/>
      <c r="D5292" s="261"/>
      <c r="E5292" s="261"/>
    </row>
    <row r="5293" spans="2:5" x14ac:dyDescent="0.3">
      <c r="B5293" s="274"/>
      <c r="C5293" s="108"/>
      <c r="D5293" s="261"/>
      <c r="E5293" s="261"/>
    </row>
    <row r="5294" spans="2:5" x14ac:dyDescent="0.3">
      <c r="B5294" s="274"/>
      <c r="C5294" s="108"/>
      <c r="D5294" s="261"/>
      <c r="E5294" s="261"/>
    </row>
    <row r="5295" spans="2:5" x14ac:dyDescent="0.3">
      <c r="B5295" s="274"/>
      <c r="C5295" s="108"/>
      <c r="D5295" s="261"/>
      <c r="E5295" s="261"/>
    </row>
    <row r="5296" spans="2:5" x14ac:dyDescent="0.3">
      <c r="B5296" s="274"/>
      <c r="C5296" s="108"/>
      <c r="D5296" s="261"/>
      <c r="E5296" s="261"/>
    </row>
    <row r="5297" spans="2:5" x14ac:dyDescent="0.3">
      <c r="B5297" s="274"/>
      <c r="C5297" s="108"/>
      <c r="D5297" s="261"/>
      <c r="E5297" s="261"/>
    </row>
    <row r="5298" spans="2:5" x14ac:dyDescent="0.3">
      <c r="B5298" s="274"/>
      <c r="C5298" s="108"/>
      <c r="D5298" s="261"/>
      <c r="E5298" s="261"/>
    </row>
    <row r="5299" spans="2:5" x14ac:dyDescent="0.3">
      <c r="B5299" s="274"/>
      <c r="C5299" s="108"/>
      <c r="D5299" s="261"/>
      <c r="E5299" s="261"/>
    </row>
    <row r="5300" spans="2:5" x14ac:dyDescent="0.3">
      <c r="B5300" s="274"/>
      <c r="C5300" s="108"/>
      <c r="D5300" s="261"/>
      <c r="E5300" s="261"/>
    </row>
    <row r="5301" spans="2:5" x14ac:dyDescent="0.3">
      <c r="B5301" s="274"/>
      <c r="C5301" s="108"/>
      <c r="D5301" s="261"/>
      <c r="E5301" s="261"/>
    </row>
    <row r="5302" spans="2:5" x14ac:dyDescent="0.3">
      <c r="B5302" s="274"/>
      <c r="C5302" s="108"/>
      <c r="D5302" s="261"/>
      <c r="E5302" s="261"/>
    </row>
    <row r="5303" spans="2:5" x14ac:dyDescent="0.3">
      <c r="B5303" s="274"/>
      <c r="C5303" s="108"/>
      <c r="D5303" s="261"/>
      <c r="E5303" s="261"/>
    </row>
    <row r="5304" spans="2:5" x14ac:dyDescent="0.3">
      <c r="B5304" s="274"/>
      <c r="C5304" s="108"/>
      <c r="D5304" s="261"/>
      <c r="E5304" s="261"/>
    </row>
    <row r="5305" spans="2:5" x14ac:dyDescent="0.3">
      <c r="B5305" s="274"/>
      <c r="C5305" s="108"/>
      <c r="D5305" s="261"/>
      <c r="E5305" s="261"/>
    </row>
    <row r="5306" spans="2:5" x14ac:dyDescent="0.3">
      <c r="B5306" s="274"/>
      <c r="C5306" s="108"/>
      <c r="D5306" s="261"/>
      <c r="E5306" s="261"/>
    </row>
    <row r="5307" spans="2:5" x14ac:dyDescent="0.3">
      <c r="B5307" s="274"/>
      <c r="C5307" s="108"/>
      <c r="D5307" s="261"/>
      <c r="E5307" s="261"/>
    </row>
    <row r="5308" spans="2:5" x14ac:dyDescent="0.3">
      <c r="B5308" s="274"/>
      <c r="C5308" s="108"/>
      <c r="D5308" s="261"/>
      <c r="E5308" s="261"/>
    </row>
    <row r="5309" spans="2:5" x14ac:dyDescent="0.3">
      <c r="B5309" s="274"/>
      <c r="C5309" s="108"/>
      <c r="D5309" s="261"/>
      <c r="E5309" s="261"/>
    </row>
    <row r="5310" spans="2:5" x14ac:dyDescent="0.3">
      <c r="B5310" s="274"/>
      <c r="C5310" s="108"/>
      <c r="D5310" s="261"/>
      <c r="E5310" s="261"/>
    </row>
    <row r="5311" spans="2:5" x14ac:dyDescent="0.3">
      <c r="B5311" s="274"/>
      <c r="C5311" s="108"/>
      <c r="D5311" s="261"/>
      <c r="E5311" s="261"/>
    </row>
    <row r="5312" spans="2:5" x14ac:dyDescent="0.3">
      <c r="B5312" s="274"/>
      <c r="C5312" s="108"/>
      <c r="D5312" s="261"/>
      <c r="E5312" s="261"/>
    </row>
    <row r="5313" spans="2:5" x14ac:dyDescent="0.3">
      <c r="B5313" s="274"/>
      <c r="C5313" s="108"/>
      <c r="D5313" s="261"/>
      <c r="E5313" s="261"/>
    </row>
    <row r="5314" spans="2:5" x14ac:dyDescent="0.3">
      <c r="B5314" s="274"/>
      <c r="C5314" s="108"/>
      <c r="D5314" s="261"/>
      <c r="E5314" s="261"/>
    </row>
    <row r="5315" spans="2:5" x14ac:dyDescent="0.3">
      <c r="B5315" s="274"/>
      <c r="C5315" s="108"/>
      <c r="D5315" s="261"/>
      <c r="E5315" s="261"/>
    </row>
    <row r="5316" spans="2:5" x14ac:dyDescent="0.3">
      <c r="B5316" s="274"/>
      <c r="C5316" s="108"/>
      <c r="D5316" s="261"/>
      <c r="E5316" s="261"/>
    </row>
    <row r="5317" spans="2:5" x14ac:dyDescent="0.3">
      <c r="B5317" s="274"/>
      <c r="C5317" s="108"/>
      <c r="D5317" s="261"/>
      <c r="E5317" s="261"/>
    </row>
    <row r="5318" spans="2:5" x14ac:dyDescent="0.3">
      <c r="B5318" s="274"/>
      <c r="C5318" s="108"/>
      <c r="D5318" s="261"/>
      <c r="E5318" s="261"/>
    </row>
    <row r="5319" spans="2:5" x14ac:dyDescent="0.3">
      <c r="B5319" s="274"/>
      <c r="C5319" s="108"/>
      <c r="D5319" s="261"/>
      <c r="E5319" s="261"/>
    </row>
    <row r="5320" spans="2:5" x14ac:dyDescent="0.3">
      <c r="B5320" s="274"/>
      <c r="C5320" s="108"/>
      <c r="D5320" s="261"/>
      <c r="E5320" s="261"/>
    </row>
    <row r="5321" spans="2:5" x14ac:dyDescent="0.3">
      <c r="B5321" s="274"/>
      <c r="C5321" s="108"/>
      <c r="D5321" s="261"/>
      <c r="E5321" s="261"/>
    </row>
    <row r="5322" spans="2:5" x14ac:dyDescent="0.3">
      <c r="B5322" s="274"/>
      <c r="C5322" s="108"/>
      <c r="D5322" s="261"/>
      <c r="E5322" s="261"/>
    </row>
    <row r="5323" spans="2:5" x14ac:dyDescent="0.3">
      <c r="B5323" s="274"/>
      <c r="C5323" s="108"/>
      <c r="D5323" s="261"/>
      <c r="E5323" s="261"/>
    </row>
    <row r="5324" spans="2:5" x14ac:dyDescent="0.3">
      <c r="B5324" s="274"/>
      <c r="C5324" s="108"/>
      <c r="D5324" s="261"/>
      <c r="E5324" s="261"/>
    </row>
    <row r="5325" spans="2:5" x14ac:dyDescent="0.3">
      <c r="B5325" s="274"/>
      <c r="C5325" s="108"/>
      <c r="D5325" s="261"/>
      <c r="E5325" s="261"/>
    </row>
    <row r="5326" spans="2:5" x14ac:dyDescent="0.3">
      <c r="B5326" s="274"/>
      <c r="C5326" s="108"/>
      <c r="D5326" s="261"/>
      <c r="E5326" s="261"/>
    </row>
    <row r="5327" spans="2:5" x14ac:dyDescent="0.3">
      <c r="B5327" s="274"/>
      <c r="C5327" s="108"/>
      <c r="D5327" s="261"/>
      <c r="E5327" s="261"/>
    </row>
    <row r="5328" spans="2:5" x14ac:dyDescent="0.3">
      <c r="B5328" s="274"/>
      <c r="C5328" s="108"/>
      <c r="D5328" s="261"/>
      <c r="E5328" s="261"/>
    </row>
    <row r="5329" spans="2:5" x14ac:dyDescent="0.3">
      <c r="B5329" s="274"/>
      <c r="C5329" s="108"/>
      <c r="D5329" s="261"/>
      <c r="E5329" s="261"/>
    </row>
    <row r="5330" spans="2:5" x14ac:dyDescent="0.3">
      <c r="B5330" s="274"/>
      <c r="C5330" s="108"/>
      <c r="D5330" s="261"/>
      <c r="E5330" s="261"/>
    </row>
    <row r="5331" spans="2:5" x14ac:dyDescent="0.3">
      <c r="B5331" s="274"/>
      <c r="C5331" s="108"/>
      <c r="D5331" s="261"/>
      <c r="E5331" s="261"/>
    </row>
    <row r="5332" spans="2:5" x14ac:dyDescent="0.3">
      <c r="B5332" s="274"/>
      <c r="C5332" s="108"/>
      <c r="D5332" s="261"/>
      <c r="E5332" s="261"/>
    </row>
    <row r="5333" spans="2:5" x14ac:dyDescent="0.3">
      <c r="B5333" s="274"/>
      <c r="C5333" s="108"/>
      <c r="D5333" s="261"/>
      <c r="E5333" s="261"/>
    </row>
    <row r="5334" spans="2:5" x14ac:dyDescent="0.3">
      <c r="B5334" s="274"/>
      <c r="C5334" s="108"/>
      <c r="D5334" s="261"/>
      <c r="E5334" s="261"/>
    </row>
    <row r="5335" spans="2:5" x14ac:dyDescent="0.3">
      <c r="B5335" s="274"/>
      <c r="C5335" s="108"/>
      <c r="D5335" s="261"/>
      <c r="E5335" s="261"/>
    </row>
    <row r="5336" spans="2:5" x14ac:dyDescent="0.3">
      <c r="B5336" s="274"/>
      <c r="C5336" s="108"/>
      <c r="D5336" s="261"/>
      <c r="E5336" s="261"/>
    </row>
    <row r="5337" spans="2:5" x14ac:dyDescent="0.3">
      <c r="B5337" s="274"/>
      <c r="C5337" s="108"/>
      <c r="D5337" s="261"/>
      <c r="E5337" s="261"/>
    </row>
    <row r="5338" spans="2:5" x14ac:dyDescent="0.3">
      <c r="B5338" s="274"/>
      <c r="C5338" s="108"/>
      <c r="D5338" s="261"/>
      <c r="E5338" s="261"/>
    </row>
    <row r="5339" spans="2:5" x14ac:dyDescent="0.3">
      <c r="B5339" s="274"/>
      <c r="C5339" s="108"/>
      <c r="D5339" s="261"/>
      <c r="E5339" s="261"/>
    </row>
    <row r="5340" spans="2:5" x14ac:dyDescent="0.3">
      <c r="B5340" s="274"/>
      <c r="C5340" s="108"/>
      <c r="D5340" s="261"/>
      <c r="E5340" s="261"/>
    </row>
    <row r="5341" spans="2:5" x14ac:dyDescent="0.3">
      <c r="B5341" s="274"/>
      <c r="C5341" s="108"/>
      <c r="D5341" s="261"/>
      <c r="E5341" s="261"/>
    </row>
    <row r="5342" spans="2:5" x14ac:dyDescent="0.3">
      <c r="B5342" s="274"/>
      <c r="C5342" s="108"/>
      <c r="D5342" s="261"/>
      <c r="E5342" s="261"/>
    </row>
    <row r="5343" spans="2:5" x14ac:dyDescent="0.3">
      <c r="B5343" s="274"/>
      <c r="C5343" s="108"/>
      <c r="D5343" s="261"/>
      <c r="E5343" s="261"/>
    </row>
    <row r="5344" spans="2:5" x14ac:dyDescent="0.3">
      <c r="B5344" s="274"/>
      <c r="C5344" s="108"/>
      <c r="D5344" s="261"/>
      <c r="E5344" s="261"/>
    </row>
    <row r="5345" spans="2:5" x14ac:dyDescent="0.3">
      <c r="B5345" s="274"/>
      <c r="C5345" s="108"/>
      <c r="D5345" s="261"/>
      <c r="E5345" s="261"/>
    </row>
    <row r="5346" spans="2:5" x14ac:dyDescent="0.3">
      <c r="B5346" s="274"/>
      <c r="C5346" s="108"/>
      <c r="D5346" s="261"/>
      <c r="E5346" s="261"/>
    </row>
    <row r="5347" spans="2:5" x14ac:dyDescent="0.3">
      <c r="B5347" s="274"/>
      <c r="C5347" s="108"/>
      <c r="D5347" s="261"/>
      <c r="E5347" s="261"/>
    </row>
    <row r="5348" spans="2:5" x14ac:dyDescent="0.3">
      <c r="B5348" s="274"/>
      <c r="C5348" s="108"/>
      <c r="D5348" s="261"/>
      <c r="E5348" s="261"/>
    </row>
    <row r="5349" spans="2:5" x14ac:dyDescent="0.3">
      <c r="B5349" s="274"/>
      <c r="C5349" s="108"/>
      <c r="D5349" s="261"/>
      <c r="E5349" s="261"/>
    </row>
    <row r="5350" spans="2:5" x14ac:dyDescent="0.3">
      <c r="B5350" s="274"/>
      <c r="C5350" s="108"/>
      <c r="D5350" s="261"/>
      <c r="E5350" s="261"/>
    </row>
    <row r="5351" spans="2:5" x14ac:dyDescent="0.3">
      <c r="B5351" s="274"/>
      <c r="C5351" s="108"/>
      <c r="D5351" s="261"/>
      <c r="E5351" s="261"/>
    </row>
    <row r="5352" spans="2:5" x14ac:dyDescent="0.3">
      <c r="B5352" s="274"/>
      <c r="C5352" s="108"/>
      <c r="D5352" s="261"/>
      <c r="E5352" s="261"/>
    </row>
    <row r="5353" spans="2:5" x14ac:dyDescent="0.3">
      <c r="B5353" s="274"/>
      <c r="C5353" s="108"/>
      <c r="D5353" s="261"/>
      <c r="E5353" s="261"/>
    </row>
    <row r="5354" spans="2:5" x14ac:dyDescent="0.3">
      <c r="B5354" s="274"/>
      <c r="C5354" s="108"/>
      <c r="D5354" s="261"/>
      <c r="E5354" s="261"/>
    </row>
    <row r="5355" spans="2:5" x14ac:dyDescent="0.3">
      <c r="B5355" s="274"/>
      <c r="C5355" s="108"/>
      <c r="D5355" s="261"/>
      <c r="E5355" s="261"/>
    </row>
    <row r="5356" spans="2:5" x14ac:dyDescent="0.3">
      <c r="B5356" s="274"/>
      <c r="C5356" s="108"/>
      <c r="D5356" s="261"/>
      <c r="E5356" s="261"/>
    </row>
    <row r="5357" spans="2:5" x14ac:dyDescent="0.3">
      <c r="B5357" s="274"/>
      <c r="C5357" s="108"/>
      <c r="D5357" s="261"/>
      <c r="E5357" s="261"/>
    </row>
    <row r="5358" spans="2:5" x14ac:dyDescent="0.3">
      <c r="B5358" s="274"/>
      <c r="C5358" s="108"/>
      <c r="D5358" s="261"/>
      <c r="E5358" s="261"/>
    </row>
    <row r="5359" spans="2:5" x14ac:dyDescent="0.3">
      <c r="B5359" s="274"/>
      <c r="C5359" s="108"/>
      <c r="D5359" s="261"/>
      <c r="E5359" s="261"/>
    </row>
    <row r="5360" spans="2:5" x14ac:dyDescent="0.3">
      <c r="B5360" s="274"/>
      <c r="C5360" s="108"/>
      <c r="D5360" s="261"/>
      <c r="E5360" s="261"/>
    </row>
    <row r="5361" spans="2:5" x14ac:dyDescent="0.3">
      <c r="B5361" s="274"/>
      <c r="C5361" s="108"/>
      <c r="D5361" s="261"/>
      <c r="E5361" s="261"/>
    </row>
    <row r="5362" spans="2:5" x14ac:dyDescent="0.3">
      <c r="B5362" s="274"/>
      <c r="C5362" s="108"/>
      <c r="D5362" s="261"/>
      <c r="E5362" s="261"/>
    </row>
    <row r="5363" spans="2:5" x14ac:dyDescent="0.3">
      <c r="B5363" s="274"/>
      <c r="C5363" s="108"/>
      <c r="D5363" s="261"/>
      <c r="E5363" s="261"/>
    </row>
    <row r="5364" spans="2:5" x14ac:dyDescent="0.3">
      <c r="B5364" s="274"/>
      <c r="C5364" s="108"/>
      <c r="D5364" s="261"/>
      <c r="E5364" s="261"/>
    </row>
    <row r="5365" spans="2:5" x14ac:dyDescent="0.3">
      <c r="B5365" s="274"/>
      <c r="C5365" s="108"/>
      <c r="D5365" s="261"/>
      <c r="E5365" s="261"/>
    </row>
    <row r="5366" spans="2:5" x14ac:dyDescent="0.3">
      <c r="B5366" s="274"/>
      <c r="C5366" s="108"/>
      <c r="D5366" s="261"/>
      <c r="E5366" s="261"/>
    </row>
    <row r="5367" spans="2:5" x14ac:dyDescent="0.3">
      <c r="B5367" s="274"/>
      <c r="C5367" s="108"/>
      <c r="D5367" s="261"/>
      <c r="E5367" s="261"/>
    </row>
    <row r="5368" spans="2:5" x14ac:dyDescent="0.3">
      <c r="B5368" s="274"/>
      <c r="C5368" s="108"/>
      <c r="D5368" s="261"/>
      <c r="E5368" s="261"/>
    </row>
    <row r="5369" spans="2:5" x14ac:dyDescent="0.3">
      <c r="B5369" s="274"/>
      <c r="C5369" s="108"/>
      <c r="D5369" s="261"/>
      <c r="E5369" s="261"/>
    </row>
    <row r="5370" spans="2:5" x14ac:dyDescent="0.3">
      <c r="B5370" s="274"/>
      <c r="C5370" s="108"/>
      <c r="D5370" s="261"/>
      <c r="E5370" s="261"/>
    </row>
    <row r="5371" spans="2:5" x14ac:dyDescent="0.3">
      <c r="B5371" s="274"/>
      <c r="C5371" s="108"/>
      <c r="D5371" s="261"/>
      <c r="E5371" s="261"/>
    </row>
    <row r="5372" spans="2:5" x14ac:dyDescent="0.3">
      <c r="B5372" s="274"/>
      <c r="C5372" s="108"/>
      <c r="D5372" s="261"/>
      <c r="E5372" s="261"/>
    </row>
    <row r="5373" spans="2:5" x14ac:dyDescent="0.3">
      <c r="B5373" s="274"/>
      <c r="C5373" s="108"/>
      <c r="D5373" s="261"/>
      <c r="E5373" s="261"/>
    </row>
    <row r="5374" spans="2:5" x14ac:dyDescent="0.3">
      <c r="B5374" s="274"/>
      <c r="C5374" s="108"/>
      <c r="D5374" s="261"/>
      <c r="E5374" s="261"/>
    </row>
    <row r="5375" spans="2:5" x14ac:dyDescent="0.3">
      <c r="B5375" s="274"/>
      <c r="C5375" s="108"/>
      <c r="D5375" s="261"/>
      <c r="E5375" s="261"/>
    </row>
    <row r="5376" spans="2:5" x14ac:dyDescent="0.3">
      <c r="B5376" s="274"/>
      <c r="C5376" s="108"/>
      <c r="D5376" s="261"/>
      <c r="E5376" s="261"/>
    </row>
    <row r="5377" spans="2:5" x14ac:dyDescent="0.3">
      <c r="B5377" s="274"/>
      <c r="C5377" s="108"/>
      <c r="D5377" s="261"/>
      <c r="E5377" s="261"/>
    </row>
    <row r="5378" spans="2:5" x14ac:dyDescent="0.3">
      <c r="B5378" s="274"/>
      <c r="C5378" s="108"/>
      <c r="D5378" s="261"/>
      <c r="E5378" s="261"/>
    </row>
    <row r="5379" spans="2:5" x14ac:dyDescent="0.3">
      <c r="B5379" s="274"/>
      <c r="C5379" s="108"/>
      <c r="D5379" s="261"/>
      <c r="E5379" s="261"/>
    </row>
    <row r="5380" spans="2:5" x14ac:dyDescent="0.3">
      <c r="B5380" s="274"/>
      <c r="C5380" s="108"/>
      <c r="D5380" s="261"/>
      <c r="E5380" s="261"/>
    </row>
    <row r="5381" spans="2:5" x14ac:dyDescent="0.3">
      <c r="B5381" s="274"/>
      <c r="C5381" s="108"/>
      <c r="D5381" s="261"/>
      <c r="E5381" s="261"/>
    </row>
    <row r="5382" spans="2:5" x14ac:dyDescent="0.3">
      <c r="B5382" s="274"/>
      <c r="C5382" s="108"/>
      <c r="D5382" s="261"/>
      <c r="E5382" s="261"/>
    </row>
    <row r="5383" spans="2:5" x14ac:dyDescent="0.3">
      <c r="B5383" s="274"/>
      <c r="C5383" s="108"/>
      <c r="D5383" s="261"/>
      <c r="E5383" s="261"/>
    </row>
    <row r="5384" spans="2:5" x14ac:dyDescent="0.3">
      <c r="B5384" s="274"/>
      <c r="C5384" s="108"/>
      <c r="D5384" s="261"/>
      <c r="E5384" s="261"/>
    </row>
    <row r="5385" spans="2:5" x14ac:dyDescent="0.3">
      <c r="B5385" s="274"/>
      <c r="C5385" s="108"/>
      <c r="D5385" s="261"/>
      <c r="E5385" s="261"/>
    </row>
    <row r="5386" spans="2:5" x14ac:dyDescent="0.3">
      <c r="B5386" s="274"/>
      <c r="C5386" s="108"/>
      <c r="D5386" s="261"/>
      <c r="E5386" s="261"/>
    </row>
    <row r="5387" spans="2:5" x14ac:dyDescent="0.3">
      <c r="B5387" s="274"/>
      <c r="C5387" s="108"/>
      <c r="D5387" s="261"/>
      <c r="E5387" s="261"/>
    </row>
    <row r="5388" spans="2:5" x14ac:dyDescent="0.3">
      <c r="B5388" s="274"/>
      <c r="C5388" s="108"/>
      <c r="D5388" s="261"/>
      <c r="E5388" s="261"/>
    </row>
    <row r="5389" spans="2:5" x14ac:dyDescent="0.3">
      <c r="B5389" s="274"/>
      <c r="C5389" s="108"/>
      <c r="D5389" s="261"/>
      <c r="E5389" s="261"/>
    </row>
    <row r="5390" spans="2:5" x14ac:dyDescent="0.3">
      <c r="B5390" s="274"/>
      <c r="C5390" s="108"/>
      <c r="D5390" s="261"/>
      <c r="E5390" s="261"/>
    </row>
    <row r="5391" spans="2:5" x14ac:dyDescent="0.3">
      <c r="B5391" s="274"/>
      <c r="C5391" s="108"/>
      <c r="D5391" s="261"/>
      <c r="E5391" s="261"/>
    </row>
    <row r="5392" spans="2:5" x14ac:dyDescent="0.3">
      <c r="B5392" s="274"/>
      <c r="C5392" s="108"/>
      <c r="D5392" s="261"/>
      <c r="E5392" s="261"/>
    </row>
    <row r="5393" spans="2:5" x14ac:dyDescent="0.3">
      <c r="B5393" s="274"/>
      <c r="C5393" s="108"/>
      <c r="D5393" s="261"/>
      <c r="E5393" s="261"/>
    </row>
    <row r="5394" spans="2:5" x14ac:dyDescent="0.3">
      <c r="B5394" s="274"/>
      <c r="C5394" s="108"/>
      <c r="D5394" s="261"/>
      <c r="E5394" s="261"/>
    </row>
    <row r="5395" spans="2:5" x14ac:dyDescent="0.3">
      <c r="B5395" s="274"/>
      <c r="C5395" s="108"/>
      <c r="D5395" s="261"/>
      <c r="E5395" s="261"/>
    </row>
    <row r="5396" spans="2:5" x14ac:dyDescent="0.3">
      <c r="B5396" s="274"/>
      <c r="C5396" s="108"/>
      <c r="D5396" s="261"/>
      <c r="E5396" s="261"/>
    </row>
    <row r="5397" spans="2:5" x14ac:dyDescent="0.3">
      <c r="B5397" s="274"/>
      <c r="C5397" s="108"/>
      <c r="D5397" s="261"/>
      <c r="E5397" s="261"/>
    </row>
    <row r="5398" spans="2:5" x14ac:dyDescent="0.3">
      <c r="B5398" s="274"/>
      <c r="C5398" s="108"/>
      <c r="D5398" s="261"/>
      <c r="E5398" s="261"/>
    </row>
    <row r="5399" spans="2:5" x14ac:dyDescent="0.3">
      <c r="B5399" s="274"/>
      <c r="C5399" s="108"/>
      <c r="D5399" s="261"/>
      <c r="E5399" s="261"/>
    </row>
    <row r="5400" spans="2:5" x14ac:dyDescent="0.3">
      <c r="B5400" s="274"/>
      <c r="C5400" s="108"/>
      <c r="D5400" s="261"/>
      <c r="E5400" s="261"/>
    </row>
    <row r="5401" spans="2:5" x14ac:dyDescent="0.3">
      <c r="B5401" s="274"/>
      <c r="C5401" s="108"/>
      <c r="D5401" s="261"/>
      <c r="E5401" s="261"/>
    </row>
    <row r="5402" spans="2:5" x14ac:dyDescent="0.3">
      <c r="B5402" s="274"/>
      <c r="C5402" s="108"/>
      <c r="D5402" s="261"/>
      <c r="E5402" s="261"/>
    </row>
    <row r="5403" spans="2:5" x14ac:dyDescent="0.3">
      <c r="B5403" s="274"/>
      <c r="C5403" s="108"/>
      <c r="D5403" s="261"/>
      <c r="E5403" s="261"/>
    </row>
    <row r="5404" spans="2:5" x14ac:dyDescent="0.3">
      <c r="B5404" s="274"/>
      <c r="C5404" s="108"/>
      <c r="D5404" s="261"/>
      <c r="E5404" s="261"/>
    </row>
    <row r="5405" spans="2:5" x14ac:dyDescent="0.3">
      <c r="B5405" s="274"/>
      <c r="C5405" s="108"/>
      <c r="D5405" s="261"/>
      <c r="E5405" s="261"/>
    </row>
    <row r="5406" spans="2:5" x14ac:dyDescent="0.3">
      <c r="B5406" s="274"/>
      <c r="C5406" s="108"/>
      <c r="D5406" s="261"/>
      <c r="E5406" s="261"/>
    </row>
    <row r="5407" spans="2:5" x14ac:dyDescent="0.3">
      <c r="B5407" s="274"/>
      <c r="C5407" s="108"/>
      <c r="D5407" s="261"/>
      <c r="E5407" s="261"/>
    </row>
    <row r="5408" spans="2:5" x14ac:dyDescent="0.3">
      <c r="B5408" s="274"/>
      <c r="C5408" s="108"/>
      <c r="D5408" s="261"/>
      <c r="E5408" s="261"/>
    </row>
    <row r="5409" spans="2:5" x14ac:dyDescent="0.3">
      <c r="B5409" s="274"/>
      <c r="C5409" s="108"/>
      <c r="D5409" s="261"/>
      <c r="E5409" s="261"/>
    </row>
    <row r="5410" spans="2:5" x14ac:dyDescent="0.3">
      <c r="B5410" s="274"/>
      <c r="C5410" s="108"/>
      <c r="D5410" s="261"/>
      <c r="E5410" s="261"/>
    </row>
    <row r="5411" spans="2:5" x14ac:dyDescent="0.3">
      <c r="B5411" s="274"/>
      <c r="C5411" s="108"/>
      <c r="D5411" s="261"/>
      <c r="E5411" s="261"/>
    </row>
    <row r="5412" spans="2:5" x14ac:dyDescent="0.3">
      <c r="B5412" s="274"/>
      <c r="C5412" s="108"/>
      <c r="D5412" s="261"/>
      <c r="E5412" s="261"/>
    </row>
    <row r="5413" spans="2:5" x14ac:dyDescent="0.3">
      <c r="B5413" s="274"/>
      <c r="C5413" s="108"/>
      <c r="D5413" s="261"/>
      <c r="E5413" s="261"/>
    </row>
    <row r="5414" spans="2:5" x14ac:dyDescent="0.3">
      <c r="B5414" s="274"/>
      <c r="C5414" s="108"/>
      <c r="D5414" s="261"/>
      <c r="E5414" s="261"/>
    </row>
    <row r="5415" spans="2:5" x14ac:dyDescent="0.3">
      <c r="B5415" s="274"/>
      <c r="C5415" s="108"/>
      <c r="D5415" s="261"/>
      <c r="E5415" s="261"/>
    </row>
    <row r="5416" spans="2:5" x14ac:dyDescent="0.3">
      <c r="B5416" s="274"/>
      <c r="C5416" s="108"/>
      <c r="D5416" s="261"/>
      <c r="E5416" s="261"/>
    </row>
    <row r="5417" spans="2:5" x14ac:dyDescent="0.3">
      <c r="B5417" s="274"/>
      <c r="C5417" s="108"/>
      <c r="D5417" s="261"/>
      <c r="E5417" s="261"/>
    </row>
    <row r="5418" spans="2:5" x14ac:dyDescent="0.3">
      <c r="B5418" s="274"/>
      <c r="C5418" s="108"/>
      <c r="D5418" s="261"/>
      <c r="E5418" s="261"/>
    </row>
    <row r="5419" spans="2:5" x14ac:dyDescent="0.3">
      <c r="B5419" s="274"/>
      <c r="C5419" s="108"/>
      <c r="D5419" s="261"/>
      <c r="E5419" s="261"/>
    </row>
    <row r="5420" spans="2:5" x14ac:dyDescent="0.3">
      <c r="B5420" s="274"/>
      <c r="C5420" s="108"/>
      <c r="D5420" s="261"/>
      <c r="E5420" s="261"/>
    </row>
    <row r="5421" spans="2:5" x14ac:dyDescent="0.3">
      <c r="B5421" s="274"/>
      <c r="C5421" s="108"/>
      <c r="D5421" s="261"/>
      <c r="E5421" s="261"/>
    </row>
    <row r="5422" spans="2:5" x14ac:dyDescent="0.3">
      <c r="B5422" s="274"/>
      <c r="C5422" s="108"/>
      <c r="D5422" s="261"/>
      <c r="E5422" s="261"/>
    </row>
    <row r="5423" spans="2:5" x14ac:dyDescent="0.3">
      <c r="B5423" s="274"/>
      <c r="C5423" s="108"/>
      <c r="D5423" s="261"/>
      <c r="E5423" s="261"/>
    </row>
    <row r="5424" spans="2:5" x14ac:dyDescent="0.3">
      <c r="B5424" s="274"/>
      <c r="C5424" s="108"/>
      <c r="D5424" s="261"/>
      <c r="E5424" s="261"/>
    </row>
    <row r="5425" spans="2:5" x14ac:dyDescent="0.3">
      <c r="B5425" s="274"/>
      <c r="C5425" s="108"/>
      <c r="D5425" s="261"/>
      <c r="E5425" s="261"/>
    </row>
    <row r="5426" spans="2:5" x14ac:dyDescent="0.3">
      <c r="B5426" s="274"/>
      <c r="C5426" s="108"/>
      <c r="D5426" s="261"/>
      <c r="E5426" s="261"/>
    </row>
    <row r="5427" spans="2:5" x14ac:dyDescent="0.3">
      <c r="B5427" s="274"/>
      <c r="C5427" s="108"/>
      <c r="D5427" s="261"/>
      <c r="E5427" s="261"/>
    </row>
    <row r="5428" spans="2:5" x14ac:dyDescent="0.3">
      <c r="B5428" s="274"/>
      <c r="C5428" s="108"/>
      <c r="D5428" s="261"/>
      <c r="E5428" s="261"/>
    </row>
    <row r="5429" spans="2:5" x14ac:dyDescent="0.3">
      <c r="B5429" s="274"/>
      <c r="C5429" s="108"/>
      <c r="D5429" s="261"/>
      <c r="E5429" s="261"/>
    </row>
    <row r="5430" spans="2:5" x14ac:dyDescent="0.3">
      <c r="B5430" s="274"/>
      <c r="C5430" s="108"/>
      <c r="D5430" s="261"/>
      <c r="E5430" s="261"/>
    </row>
    <row r="5431" spans="2:5" x14ac:dyDescent="0.3">
      <c r="B5431" s="274"/>
      <c r="C5431" s="108"/>
      <c r="D5431" s="261"/>
      <c r="E5431" s="261"/>
    </row>
    <row r="5432" spans="2:5" x14ac:dyDescent="0.3">
      <c r="B5432" s="274"/>
      <c r="C5432" s="108"/>
      <c r="D5432" s="261"/>
      <c r="E5432" s="261"/>
    </row>
    <row r="5433" spans="2:5" x14ac:dyDescent="0.3">
      <c r="B5433" s="274"/>
      <c r="C5433" s="108"/>
      <c r="D5433" s="261"/>
      <c r="E5433" s="261"/>
    </row>
    <row r="5434" spans="2:5" x14ac:dyDescent="0.3">
      <c r="B5434" s="274"/>
      <c r="C5434" s="108"/>
      <c r="D5434" s="261"/>
      <c r="E5434" s="261"/>
    </row>
    <row r="5435" spans="2:5" x14ac:dyDescent="0.3">
      <c r="B5435" s="274"/>
      <c r="C5435" s="108"/>
      <c r="D5435" s="261"/>
      <c r="E5435" s="261"/>
    </row>
    <row r="5436" spans="2:5" x14ac:dyDescent="0.3">
      <c r="B5436" s="274"/>
      <c r="C5436" s="108"/>
      <c r="D5436" s="261"/>
      <c r="E5436" s="261"/>
    </row>
    <row r="5437" spans="2:5" x14ac:dyDescent="0.3">
      <c r="B5437" s="274"/>
      <c r="C5437" s="108"/>
      <c r="D5437" s="261"/>
      <c r="E5437" s="261"/>
    </row>
    <row r="5438" spans="2:5" x14ac:dyDescent="0.3">
      <c r="B5438" s="274"/>
      <c r="C5438" s="108"/>
      <c r="D5438" s="261"/>
      <c r="E5438" s="261"/>
    </row>
    <row r="5439" spans="2:5" x14ac:dyDescent="0.3">
      <c r="B5439" s="274"/>
      <c r="C5439" s="108"/>
      <c r="D5439" s="261"/>
      <c r="E5439" s="261"/>
    </row>
    <row r="5440" spans="2:5" x14ac:dyDescent="0.3">
      <c r="B5440" s="274"/>
      <c r="C5440" s="108"/>
      <c r="D5440" s="261"/>
      <c r="E5440" s="261"/>
    </row>
    <row r="5441" spans="2:5" x14ac:dyDescent="0.3">
      <c r="B5441" s="274"/>
      <c r="C5441" s="108"/>
      <c r="D5441" s="261"/>
      <c r="E5441" s="261"/>
    </row>
    <row r="5442" spans="2:5" x14ac:dyDescent="0.3">
      <c r="B5442" s="274"/>
      <c r="C5442" s="108"/>
      <c r="D5442" s="261"/>
      <c r="E5442" s="261"/>
    </row>
    <row r="5443" spans="2:5" x14ac:dyDescent="0.3">
      <c r="B5443" s="274"/>
      <c r="C5443" s="108"/>
      <c r="D5443" s="261"/>
      <c r="E5443" s="261"/>
    </row>
    <row r="5444" spans="2:5" x14ac:dyDescent="0.3">
      <c r="B5444" s="274"/>
      <c r="C5444" s="108"/>
      <c r="D5444" s="261"/>
      <c r="E5444" s="261"/>
    </row>
    <row r="5445" spans="2:5" x14ac:dyDescent="0.3">
      <c r="B5445" s="274"/>
      <c r="C5445" s="108"/>
      <c r="D5445" s="261"/>
      <c r="E5445" s="261"/>
    </row>
    <row r="5446" spans="2:5" x14ac:dyDescent="0.3">
      <c r="B5446" s="274"/>
      <c r="C5446" s="108"/>
      <c r="D5446" s="261"/>
      <c r="E5446" s="261"/>
    </row>
    <row r="5447" spans="2:5" x14ac:dyDescent="0.3">
      <c r="B5447" s="274"/>
      <c r="C5447" s="108"/>
      <c r="D5447" s="261"/>
      <c r="E5447" s="261"/>
    </row>
    <row r="5448" spans="2:5" x14ac:dyDescent="0.3">
      <c r="B5448" s="274"/>
      <c r="C5448" s="108"/>
      <c r="D5448" s="261"/>
      <c r="E5448" s="261"/>
    </row>
    <row r="5449" spans="2:5" x14ac:dyDescent="0.3">
      <c r="B5449" s="274"/>
      <c r="C5449" s="108"/>
      <c r="D5449" s="261"/>
      <c r="E5449" s="261"/>
    </row>
    <row r="5450" spans="2:5" x14ac:dyDescent="0.3">
      <c r="B5450" s="274"/>
      <c r="C5450" s="108"/>
      <c r="D5450" s="261"/>
      <c r="E5450" s="261"/>
    </row>
    <row r="5451" spans="2:5" x14ac:dyDescent="0.3">
      <c r="B5451" s="274"/>
      <c r="C5451" s="108"/>
      <c r="D5451" s="261"/>
      <c r="E5451" s="261"/>
    </row>
    <row r="5452" spans="2:5" x14ac:dyDescent="0.3">
      <c r="B5452" s="274"/>
      <c r="C5452" s="108"/>
      <c r="D5452" s="261"/>
      <c r="E5452" s="261"/>
    </row>
    <row r="5453" spans="2:5" x14ac:dyDescent="0.3">
      <c r="B5453" s="274"/>
      <c r="C5453" s="108"/>
      <c r="D5453" s="261"/>
      <c r="E5453" s="261"/>
    </row>
    <row r="5454" spans="2:5" x14ac:dyDescent="0.3">
      <c r="B5454" s="274"/>
      <c r="C5454" s="108"/>
      <c r="D5454" s="261"/>
      <c r="E5454" s="261"/>
    </row>
    <row r="5455" spans="2:5" x14ac:dyDescent="0.3">
      <c r="B5455" s="274"/>
      <c r="C5455" s="108"/>
      <c r="D5455" s="261"/>
      <c r="E5455" s="261"/>
    </row>
    <row r="5456" spans="2:5" x14ac:dyDescent="0.3">
      <c r="B5456" s="274"/>
      <c r="C5456" s="108"/>
      <c r="D5456" s="261"/>
      <c r="E5456" s="261"/>
    </row>
    <row r="5457" spans="2:5" x14ac:dyDescent="0.3">
      <c r="B5457" s="274"/>
      <c r="C5457" s="108"/>
      <c r="D5457" s="261"/>
      <c r="E5457" s="261"/>
    </row>
    <row r="5458" spans="2:5" x14ac:dyDescent="0.3">
      <c r="B5458" s="274"/>
      <c r="C5458" s="108"/>
      <c r="D5458" s="261"/>
      <c r="E5458" s="261"/>
    </row>
    <row r="5459" spans="2:5" x14ac:dyDescent="0.3">
      <c r="B5459" s="274"/>
      <c r="C5459" s="108"/>
      <c r="D5459" s="261"/>
      <c r="E5459" s="261"/>
    </row>
    <row r="5460" spans="2:5" x14ac:dyDescent="0.3">
      <c r="B5460" s="274"/>
      <c r="C5460" s="108"/>
      <c r="D5460" s="261"/>
      <c r="E5460" s="261"/>
    </row>
    <row r="5461" spans="2:5" x14ac:dyDescent="0.3">
      <c r="B5461" s="274"/>
      <c r="C5461" s="108"/>
      <c r="D5461" s="261"/>
      <c r="E5461" s="261"/>
    </row>
    <row r="5462" spans="2:5" x14ac:dyDescent="0.3">
      <c r="B5462" s="274"/>
      <c r="C5462" s="108"/>
      <c r="D5462" s="261"/>
      <c r="E5462" s="261"/>
    </row>
    <row r="5463" spans="2:5" x14ac:dyDescent="0.3">
      <c r="B5463" s="274"/>
      <c r="C5463" s="108"/>
      <c r="D5463" s="261"/>
      <c r="E5463" s="261"/>
    </row>
    <row r="5464" spans="2:5" x14ac:dyDescent="0.3">
      <c r="B5464" s="274"/>
      <c r="C5464" s="108"/>
      <c r="D5464" s="261"/>
      <c r="E5464" s="261"/>
    </row>
    <row r="5465" spans="2:5" x14ac:dyDescent="0.3">
      <c r="B5465" s="274"/>
      <c r="C5465" s="108"/>
      <c r="D5465" s="261"/>
      <c r="E5465" s="261"/>
    </row>
    <row r="5466" spans="2:5" x14ac:dyDescent="0.3">
      <c r="B5466" s="274"/>
      <c r="C5466" s="108"/>
      <c r="D5466" s="261"/>
      <c r="E5466" s="261"/>
    </row>
    <row r="5467" spans="2:5" x14ac:dyDescent="0.3">
      <c r="B5467" s="274"/>
      <c r="C5467" s="108"/>
      <c r="D5467" s="261"/>
      <c r="E5467" s="261"/>
    </row>
    <row r="5468" spans="2:5" x14ac:dyDescent="0.3">
      <c r="B5468" s="274"/>
      <c r="C5468" s="108"/>
      <c r="D5468" s="261"/>
      <c r="E5468" s="261"/>
    </row>
    <row r="5469" spans="2:5" x14ac:dyDescent="0.3">
      <c r="B5469" s="274"/>
      <c r="C5469" s="108"/>
      <c r="D5469" s="261"/>
      <c r="E5469" s="261"/>
    </row>
    <row r="5470" spans="2:5" x14ac:dyDescent="0.3">
      <c r="B5470" s="274"/>
      <c r="C5470" s="108"/>
      <c r="D5470" s="261"/>
      <c r="E5470" s="261"/>
    </row>
    <row r="5471" spans="2:5" x14ac:dyDescent="0.3">
      <c r="B5471" s="274"/>
      <c r="C5471" s="108"/>
      <c r="D5471" s="261"/>
      <c r="E5471" s="261"/>
    </row>
    <row r="5472" spans="2:5" x14ac:dyDescent="0.3">
      <c r="B5472" s="274"/>
      <c r="C5472" s="108"/>
      <c r="D5472" s="261"/>
      <c r="E5472" s="261"/>
    </row>
    <row r="5473" spans="2:5" x14ac:dyDescent="0.3">
      <c r="B5473" s="274"/>
      <c r="C5473" s="108"/>
      <c r="D5473" s="261"/>
      <c r="E5473" s="261"/>
    </row>
    <row r="5474" spans="2:5" x14ac:dyDescent="0.3">
      <c r="B5474" s="274"/>
      <c r="C5474" s="108"/>
      <c r="D5474" s="261"/>
      <c r="E5474" s="261"/>
    </row>
    <row r="5475" spans="2:5" x14ac:dyDescent="0.3">
      <c r="B5475" s="274"/>
      <c r="C5475" s="108"/>
      <c r="D5475" s="261"/>
      <c r="E5475" s="261"/>
    </row>
    <row r="5476" spans="2:5" x14ac:dyDescent="0.3">
      <c r="B5476" s="274"/>
      <c r="C5476" s="108"/>
      <c r="D5476" s="261"/>
      <c r="E5476" s="261"/>
    </row>
    <row r="5477" spans="2:5" x14ac:dyDescent="0.3">
      <c r="B5477" s="274"/>
      <c r="C5477" s="108"/>
      <c r="D5477" s="261"/>
      <c r="E5477" s="261"/>
    </row>
    <row r="5478" spans="2:5" x14ac:dyDescent="0.3">
      <c r="B5478" s="274"/>
      <c r="C5478" s="108"/>
      <c r="D5478" s="261"/>
      <c r="E5478" s="261"/>
    </row>
    <row r="5479" spans="2:5" x14ac:dyDescent="0.3">
      <c r="B5479" s="274"/>
      <c r="C5479" s="108"/>
      <c r="D5479" s="261"/>
      <c r="E5479" s="261"/>
    </row>
    <row r="5480" spans="2:5" x14ac:dyDescent="0.3">
      <c r="B5480" s="274"/>
      <c r="C5480" s="108"/>
      <c r="D5480" s="261"/>
      <c r="E5480" s="261"/>
    </row>
    <row r="5481" spans="2:5" x14ac:dyDescent="0.3">
      <c r="B5481" s="274"/>
      <c r="C5481" s="108"/>
      <c r="D5481" s="261"/>
      <c r="E5481" s="261"/>
    </row>
    <row r="5482" spans="2:5" x14ac:dyDescent="0.3">
      <c r="B5482" s="274"/>
      <c r="C5482" s="108"/>
      <c r="D5482" s="261"/>
      <c r="E5482" s="261"/>
    </row>
    <row r="5483" spans="2:5" x14ac:dyDescent="0.3">
      <c r="B5483" s="274"/>
      <c r="C5483" s="108"/>
      <c r="D5483" s="261"/>
      <c r="E5483" s="261"/>
    </row>
    <row r="5484" spans="2:5" x14ac:dyDescent="0.3">
      <c r="B5484" s="274"/>
      <c r="C5484" s="108"/>
      <c r="D5484" s="261"/>
      <c r="E5484" s="261"/>
    </row>
    <row r="5485" spans="2:5" x14ac:dyDescent="0.3">
      <c r="B5485" s="274"/>
      <c r="C5485" s="108"/>
      <c r="D5485" s="261"/>
      <c r="E5485" s="261"/>
    </row>
    <row r="5486" spans="2:5" x14ac:dyDescent="0.3">
      <c r="B5486" s="274"/>
      <c r="C5486" s="108"/>
      <c r="D5486" s="261"/>
      <c r="E5486" s="261"/>
    </row>
    <row r="5487" spans="2:5" x14ac:dyDescent="0.3">
      <c r="B5487" s="274"/>
      <c r="C5487" s="108"/>
      <c r="D5487" s="261"/>
      <c r="E5487" s="261"/>
    </row>
    <row r="5488" spans="2:5" x14ac:dyDescent="0.3">
      <c r="B5488" s="274"/>
      <c r="C5488" s="108"/>
      <c r="D5488" s="261"/>
      <c r="E5488" s="261"/>
    </row>
    <row r="5489" spans="2:5" x14ac:dyDescent="0.3">
      <c r="B5489" s="274"/>
      <c r="C5489" s="108"/>
      <c r="D5489" s="261"/>
      <c r="E5489" s="261"/>
    </row>
    <row r="5490" spans="2:5" x14ac:dyDescent="0.3">
      <c r="B5490" s="274"/>
      <c r="C5490" s="108"/>
      <c r="D5490" s="261"/>
      <c r="E5490" s="261"/>
    </row>
    <row r="5491" spans="2:5" x14ac:dyDescent="0.3">
      <c r="B5491" s="274"/>
      <c r="C5491" s="108"/>
      <c r="D5491" s="261"/>
      <c r="E5491" s="261"/>
    </row>
    <row r="5492" spans="2:5" x14ac:dyDescent="0.3">
      <c r="B5492" s="274"/>
      <c r="C5492" s="108"/>
      <c r="D5492" s="261"/>
      <c r="E5492" s="261"/>
    </row>
    <row r="5493" spans="2:5" x14ac:dyDescent="0.3">
      <c r="B5493" s="274"/>
      <c r="C5493" s="108"/>
      <c r="D5493" s="261"/>
      <c r="E5493" s="261"/>
    </row>
    <row r="5494" spans="2:5" x14ac:dyDescent="0.3">
      <c r="B5494" s="274"/>
      <c r="C5494" s="108"/>
      <c r="D5494" s="261"/>
      <c r="E5494" s="261"/>
    </row>
    <row r="5495" spans="2:5" x14ac:dyDescent="0.3">
      <c r="B5495" s="274"/>
      <c r="C5495" s="108"/>
      <c r="D5495" s="261"/>
      <c r="E5495" s="261"/>
    </row>
    <row r="5496" spans="2:5" x14ac:dyDescent="0.3">
      <c r="B5496" s="274"/>
      <c r="C5496" s="108"/>
      <c r="D5496" s="261"/>
      <c r="E5496" s="261"/>
    </row>
    <row r="5497" spans="2:5" x14ac:dyDescent="0.3">
      <c r="B5497" s="274"/>
      <c r="C5497" s="108"/>
      <c r="D5497" s="261"/>
      <c r="E5497" s="261"/>
    </row>
    <row r="5498" spans="2:5" x14ac:dyDescent="0.3">
      <c r="B5498" s="274"/>
      <c r="C5498" s="108"/>
      <c r="D5498" s="261"/>
      <c r="E5498" s="261"/>
    </row>
    <row r="5499" spans="2:5" x14ac:dyDescent="0.3">
      <c r="B5499" s="274"/>
      <c r="C5499" s="108"/>
      <c r="D5499" s="261"/>
      <c r="E5499" s="261"/>
    </row>
    <row r="5500" spans="2:5" x14ac:dyDescent="0.3">
      <c r="B5500" s="274"/>
      <c r="C5500" s="108"/>
      <c r="D5500" s="261"/>
      <c r="E5500" s="261"/>
    </row>
    <row r="5501" spans="2:5" x14ac:dyDescent="0.3">
      <c r="B5501" s="274"/>
      <c r="C5501" s="108"/>
      <c r="D5501" s="261"/>
      <c r="E5501" s="261"/>
    </row>
    <row r="5502" spans="2:5" x14ac:dyDescent="0.3">
      <c r="B5502" s="274"/>
      <c r="C5502" s="108"/>
      <c r="D5502" s="261"/>
      <c r="E5502" s="261"/>
    </row>
    <row r="5503" spans="2:5" x14ac:dyDescent="0.3">
      <c r="B5503" s="274"/>
      <c r="C5503" s="108"/>
      <c r="D5503" s="261"/>
      <c r="E5503" s="261"/>
    </row>
    <row r="5504" spans="2:5" x14ac:dyDescent="0.3">
      <c r="B5504" s="274"/>
      <c r="C5504" s="108"/>
      <c r="D5504" s="261"/>
      <c r="E5504" s="261"/>
    </row>
    <row r="5505" spans="2:5" x14ac:dyDescent="0.3">
      <c r="B5505" s="274"/>
      <c r="C5505" s="108"/>
      <c r="D5505" s="261"/>
      <c r="E5505" s="261"/>
    </row>
    <row r="5506" spans="2:5" x14ac:dyDescent="0.3">
      <c r="B5506" s="274"/>
      <c r="C5506" s="108"/>
      <c r="D5506" s="261"/>
      <c r="E5506" s="261"/>
    </row>
    <row r="5507" spans="2:5" x14ac:dyDescent="0.3">
      <c r="B5507" s="274"/>
      <c r="C5507" s="108"/>
      <c r="D5507" s="261"/>
      <c r="E5507" s="261"/>
    </row>
    <row r="5508" spans="2:5" x14ac:dyDescent="0.3">
      <c r="B5508" s="274"/>
      <c r="C5508" s="108"/>
      <c r="D5508" s="261"/>
      <c r="E5508" s="261"/>
    </row>
    <row r="5509" spans="2:5" x14ac:dyDescent="0.3">
      <c r="B5509" s="274"/>
      <c r="C5509" s="108"/>
      <c r="D5509" s="261"/>
      <c r="E5509" s="261"/>
    </row>
    <row r="5510" spans="2:5" x14ac:dyDescent="0.3">
      <c r="B5510" s="274"/>
      <c r="C5510" s="108"/>
      <c r="D5510" s="261"/>
      <c r="E5510" s="261"/>
    </row>
    <row r="5511" spans="2:5" x14ac:dyDescent="0.3">
      <c r="B5511" s="274"/>
      <c r="C5511" s="108"/>
      <c r="D5511" s="261"/>
      <c r="E5511" s="261"/>
    </row>
    <row r="5512" spans="2:5" x14ac:dyDescent="0.3">
      <c r="B5512" s="274"/>
      <c r="C5512" s="108"/>
      <c r="D5512" s="261"/>
      <c r="E5512" s="261"/>
    </row>
    <row r="5513" spans="2:5" x14ac:dyDescent="0.3">
      <c r="B5513" s="274"/>
      <c r="C5513" s="108"/>
      <c r="D5513" s="261"/>
      <c r="E5513" s="261"/>
    </row>
    <row r="5514" spans="2:5" x14ac:dyDescent="0.3">
      <c r="B5514" s="274"/>
      <c r="C5514" s="108"/>
      <c r="D5514" s="261"/>
      <c r="E5514" s="261"/>
    </row>
    <row r="5515" spans="2:5" x14ac:dyDescent="0.3">
      <c r="B5515" s="274"/>
      <c r="C5515" s="108"/>
      <c r="D5515" s="261"/>
      <c r="E5515" s="261"/>
    </row>
    <row r="5516" spans="2:5" x14ac:dyDescent="0.3">
      <c r="B5516" s="274"/>
      <c r="C5516" s="108"/>
      <c r="D5516" s="261"/>
      <c r="E5516" s="261"/>
    </row>
    <row r="5517" spans="2:5" x14ac:dyDescent="0.3">
      <c r="B5517" s="274"/>
      <c r="C5517" s="108"/>
      <c r="D5517" s="261"/>
      <c r="E5517" s="261"/>
    </row>
    <row r="5518" spans="2:5" x14ac:dyDescent="0.3">
      <c r="B5518" s="274"/>
      <c r="C5518" s="108"/>
      <c r="D5518" s="261"/>
      <c r="E5518" s="261"/>
    </row>
    <row r="5519" spans="2:5" x14ac:dyDescent="0.3">
      <c r="B5519" s="274"/>
      <c r="C5519" s="108"/>
      <c r="D5519" s="261"/>
      <c r="E5519" s="261"/>
    </row>
    <row r="5520" spans="2:5" x14ac:dyDescent="0.3">
      <c r="B5520" s="274"/>
      <c r="C5520" s="108"/>
      <c r="D5520" s="261"/>
      <c r="E5520" s="261"/>
    </row>
    <row r="5521" spans="2:5" x14ac:dyDescent="0.3">
      <c r="B5521" s="274"/>
      <c r="C5521" s="108"/>
      <c r="D5521" s="261"/>
      <c r="E5521" s="261"/>
    </row>
    <row r="5522" spans="2:5" x14ac:dyDescent="0.3">
      <c r="B5522" s="274"/>
      <c r="C5522" s="108"/>
      <c r="D5522" s="261"/>
      <c r="E5522" s="261"/>
    </row>
    <row r="5523" spans="2:5" x14ac:dyDescent="0.3">
      <c r="B5523" s="274"/>
      <c r="C5523" s="108"/>
      <c r="D5523" s="261"/>
      <c r="E5523" s="261"/>
    </row>
    <row r="5524" spans="2:5" x14ac:dyDescent="0.3">
      <c r="B5524" s="274"/>
      <c r="C5524" s="108"/>
      <c r="D5524" s="261"/>
      <c r="E5524" s="261"/>
    </row>
    <row r="5525" spans="2:5" x14ac:dyDescent="0.3">
      <c r="B5525" s="274"/>
      <c r="C5525" s="108"/>
      <c r="D5525" s="261"/>
      <c r="E5525" s="261"/>
    </row>
    <row r="5526" spans="2:5" x14ac:dyDescent="0.3">
      <c r="B5526" s="274"/>
      <c r="C5526" s="108"/>
      <c r="D5526" s="261"/>
      <c r="E5526" s="261"/>
    </row>
    <row r="5527" spans="2:5" x14ac:dyDescent="0.3">
      <c r="B5527" s="274"/>
      <c r="C5527" s="108"/>
      <c r="D5527" s="261"/>
      <c r="E5527" s="261"/>
    </row>
    <row r="5528" spans="2:5" x14ac:dyDescent="0.3">
      <c r="B5528" s="274"/>
      <c r="C5528" s="108"/>
      <c r="D5528" s="261"/>
      <c r="E5528" s="261"/>
    </row>
    <row r="5529" spans="2:5" x14ac:dyDescent="0.3">
      <c r="B5529" s="274"/>
      <c r="C5529" s="108"/>
      <c r="D5529" s="261"/>
      <c r="E5529" s="261"/>
    </row>
    <row r="5530" spans="2:5" x14ac:dyDescent="0.3">
      <c r="B5530" s="274"/>
      <c r="C5530" s="108"/>
      <c r="D5530" s="261"/>
      <c r="E5530" s="261"/>
    </row>
    <row r="5531" spans="2:5" x14ac:dyDescent="0.3">
      <c r="B5531" s="274"/>
      <c r="C5531" s="108"/>
      <c r="D5531" s="261"/>
      <c r="E5531" s="261"/>
    </row>
    <row r="5532" spans="2:5" x14ac:dyDescent="0.3">
      <c r="B5532" s="274"/>
      <c r="C5532" s="108"/>
      <c r="D5532" s="261"/>
      <c r="E5532" s="261"/>
    </row>
    <row r="5533" spans="2:5" x14ac:dyDescent="0.3">
      <c r="B5533" s="274"/>
      <c r="C5533" s="108"/>
      <c r="D5533" s="261"/>
      <c r="E5533" s="261"/>
    </row>
    <row r="5534" spans="2:5" x14ac:dyDescent="0.3">
      <c r="B5534" s="274"/>
      <c r="C5534" s="108"/>
      <c r="D5534" s="261"/>
      <c r="E5534" s="261"/>
    </row>
    <row r="5535" spans="2:5" x14ac:dyDescent="0.3">
      <c r="B5535" s="274"/>
      <c r="C5535" s="108"/>
      <c r="D5535" s="261"/>
      <c r="E5535" s="261"/>
    </row>
    <row r="5536" spans="2:5" x14ac:dyDescent="0.3">
      <c r="B5536" s="274"/>
      <c r="C5536" s="108"/>
      <c r="D5536" s="261"/>
      <c r="E5536" s="261"/>
    </row>
    <row r="5537" spans="2:5" x14ac:dyDescent="0.3">
      <c r="B5537" s="274"/>
      <c r="C5537" s="108"/>
      <c r="D5537" s="261"/>
      <c r="E5537" s="261"/>
    </row>
    <row r="5538" spans="2:5" x14ac:dyDescent="0.3">
      <c r="B5538" s="274"/>
      <c r="C5538" s="108"/>
      <c r="D5538" s="261"/>
      <c r="E5538" s="261"/>
    </row>
    <row r="5539" spans="2:5" x14ac:dyDescent="0.3">
      <c r="B5539" s="274"/>
      <c r="C5539" s="108"/>
      <c r="D5539" s="261"/>
      <c r="E5539" s="261"/>
    </row>
    <row r="5540" spans="2:5" x14ac:dyDescent="0.3">
      <c r="B5540" s="274"/>
      <c r="C5540" s="108"/>
      <c r="D5540" s="261"/>
      <c r="E5540" s="261"/>
    </row>
    <row r="5541" spans="2:5" x14ac:dyDescent="0.3">
      <c r="B5541" s="274"/>
      <c r="C5541" s="108"/>
      <c r="D5541" s="261"/>
      <c r="E5541" s="261"/>
    </row>
    <row r="5542" spans="2:5" x14ac:dyDescent="0.3">
      <c r="B5542" s="274"/>
      <c r="C5542" s="108"/>
      <c r="D5542" s="261"/>
      <c r="E5542" s="261"/>
    </row>
    <row r="5543" spans="2:5" x14ac:dyDescent="0.3">
      <c r="B5543" s="274"/>
      <c r="C5543" s="108"/>
      <c r="D5543" s="261"/>
      <c r="E5543" s="261"/>
    </row>
    <row r="5544" spans="2:5" x14ac:dyDescent="0.3">
      <c r="B5544" s="274"/>
      <c r="C5544" s="108"/>
      <c r="D5544" s="261"/>
      <c r="E5544" s="261"/>
    </row>
    <row r="5545" spans="2:5" x14ac:dyDescent="0.3">
      <c r="B5545" s="274"/>
      <c r="C5545" s="108"/>
      <c r="D5545" s="261"/>
      <c r="E5545" s="261"/>
    </row>
    <row r="5546" spans="2:5" x14ac:dyDescent="0.3">
      <c r="B5546" s="274"/>
      <c r="C5546" s="108"/>
      <c r="D5546" s="261"/>
      <c r="E5546" s="261"/>
    </row>
    <row r="5547" spans="2:5" x14ac:dyDescent="0.3">
      <c r="B5547" s="274"/>
      <c r="C5547" s="108"/>
      <c r="D5547" s="261"/>
      <c r="E5547" s="261"/>
    </row>
    <row r="5548" spans="2:5" x14ac:dyDescent="0.3">
      <c r="B5548" s="274"/>
      <c r="C5548" s="108"/>
      <c r="D5548" s="261"/>
      <c r="E5548" s="261"/>
    </row>
    <row r="5549" spans="2:5" x14ac:dyDescent="0.3">
      <c r="B5549" s="274"/>
      <c r="C5549" s="108"/>
      <c r="D5549" s="261"/>
      <c r="E5549" s="261"/>
    </row>
    <row r="5550" spans="2:5" x14ac:dyDescent="0.3">
      <c r="B5550" s="274"/>
      <c r="C5550" s="108"/>
      <c r="D5550" s="261"/>
      <c r="E5550" s="261"/>
    </row>
    <row r="5551" spans="2:5" x14ac:dyDescent="0.3">
      <c r="B5551" s="274"/>
      <c r="C5551" s="108"/>
      <c r="D5551" s="261"/>
      <c r="E5551" s="261"/>
    </row>
    <row r="5552" spans="2:5" x14ac:dyDescent="0.3">
      <c r="B5552" s="274"/>
      <c r="C5552" s="108"/>
      <c r="D5552" s="261"/>
      <c r="E5552" s="261"/>
    </row>
    <row r="5553" spans="2:5" x14ac:dyDescent="0.3">
      <c r="B5553" s="274"/>
      <c r="C5553" s="108"/>
      <c r="D5553" s="261"/>
      <c r="E5553" s="261"/>
    </row>
    <row r="5554" spans="2:5" x14ac:dyDescent="0.3">
      <c r="B5554" s="274"/>
      <c r="C5554" s="108"/>
      <c r="D5554" s="261"/>
      <c r="E5554" s="261"/>
    </row>
    <row r="5555" spans="2:5" x14ac:dyDescent="0.3">
      <c r="B5555" s="274"/>
      <c r="C5555" s="108"/>
      <c r="D5555" s="261"/>
      <c r="E5555" s="261"/>
    </row>
    <row r="5556" spans="2:5" x14ac:dyDescent="0.3">
      <c r="B5556" s="274"/>
      <c r="C5556" s="108"/>
      <c r="D5556" s="261"/>
      <c r="E5556" s="261"/>
    </row>
    <row r="5557" spans="2:5" x14ac:dyDescent="0.3">
      <c r="B5557" s="274"/>
      <c r="C5557" s="108"/>
      <c r="D5557" s="261"/>
      <c r="E5557" s="261"/>
    </row>
    <row r="5558" spans="2:5" x14ac:dyDescent="0.3">
      <c r="B5558" s="274"/>
      <c r="C5558" s="108"/>
      <c r="D5558" s="261"/>
      <c r="E5558" s="261"/>
    </row>
    <row r="5559" spans="2:5" x14ac:dyDescent="0.3">
      <c r="B5559" s="274"/>
      <c r="C5559" s="108"/>
      <c r="D5559" s="261"/>
      <c r="E5559" s="261"/>
    </row>
    <row r="5560" spans="2:5" x14ac:dyDescent="0.3">
      <c r="B5560" s="274"/>
      <c r="C5560" s="108"/>
      <c r="D5560" s="261"/>
      <c r="E5560" s="261"/>
    </row>
    <row r="5561" spans="2:5" x14ac:dyDescent="0.3">
      <c r="B5561" s="274"/>
      <c r="C5561" s="108"/>
      <c r="D5561" s="261"/>
      <c r="E5561" s="261"/>
    </row>
    <row r="5562" spans="2:5" x14ac:dyDescent="0.3">
      <c r="B5562" s="274"/>
      <c r="C5562" s="108"/>
      <c r="D5562" s="261"/>
      <c r="E5562" s="261"/>
    </row>
    <row r="5563" spans="2:5" x14ac:dyDescent="0.3">
      <c r="B5563" s="274"/>
      <c r="C5563" s="108"/>
      <c r="D5563" s="261"/>
      <c r="E5563" s="261"/>
    </row>
    <row r="5564" spans="2:5" x14ac:dyDescent="0.3">
      <c r="B5564" s="274"/>
      <c r="C5564" s="108"/>
      <c r="D5564" s="261"/>
      <c r="E5564" s="261"/>
    </row>
    <row r="5565" spans="2:5" x14ac:dyDescent="0.3">
      <c r="B5565" s="274"/>
      <c r="C5565" s="108"/>
      <c r="D5565" s="261"/>
      <c r="E5565" s="261"/>
    </row>
    <row r="5566" spans="2:5" x14ac:dyDescent="0.3">
      <c r="B5566" s="274"/>
      <c r="C5566" s="108"/>
      <c r="D5566" s="261"/>
      <c r="E5566" s="261"/>
    </row>
    <row r="5567" spans="2:5" x14ac:dyDescent="0.3">
      <c r="B5567" s="274"/>
      <c r="C5567" s="108"/>
      <c r="D5567" s="261"/>
      <c r="E5567" s="261"/>
    </row>
    <row r="5568" spans="2:5" x14ac:dyDescent="0.3">
      <c r="B5568" s="274"/>
      <c r="C5568" s="108"/>
      <c r="D5568" s="261"/>
      <c r="E5568" s="261"/>
    </row>
    <row r="5569" spans="2:5" x14ac:dyDescent="0.3">
      <c r="B5569" s="274"/>
      <c r="C5569" s="108"/>
      <c r="D5569" s="261"/>
      <c r="E5569" s="261"/>
    </row>
    <row r="5570" spans="2:5" x14ac:dyDescent="0.3">
      <c r="B5570" s="274"/>
      <c r="C5570" s="108"/>
      <c r="D5570" s="261"/>
      <c r="E5570" s="261"/>
    </row>
    <row r="5571" spans="2:5" x14ac:dyDescent="0.3">
      <c r="B5571" s="274"/>
      <c r="C5571" s="108"/>
      <c r="D5571" s="261"/>
      <c r="E5571" s="261"/>
    </row>
    <row r="5572" spans="2:5" x14ac:dyDescent="0.3">
      <c r="B5572" s="274"/>
      <c r="C5572" s="108"/>
      <c r="D5572" s="261"/>
      <c r="E5572" s="261"/>
    </row>
    <row r="5573" spans="2:5" x14ac:dyDescent="0.3">
      <c r="B5573" s="274"/>
      <c r="C5573" s="108"/>
      <c r="D5573" s="261"/>
      <c r="E5573" s="261"/>
    </row>
    <row r="5574" spans="2:5" x14ac:dyDescent="0.3">
      <c r="B5574" s="274"/>
      <c r="C5574" s="108"/>
      <c r="D5574" s="261"/>
      <c r="E5574" s="261"/>
    </row>
    <row r="5575" spans="2:5" x14ac:dyDescent="0.3">
      <c r="B5575" s="274"/>
      <c r="C5575" s="108"/>
      <c r="D5575" s="261"/>
      <c r="E5575" s="261"/>
    </row>
    <row r="5576" spans="2:5" x14ac:dyDescent="0.3">
      <c r="B5576" s="274"/>
      <c r="C5576" s="108"/>
      <c r="D5576" s="261"/>
      <c r="E5576" s="261"/>
    </row>
    <row r="5577" spans="2:5" x14ac:dyDescent="0.3">
      <c r="B5577" s="274"/>
      <c r="C5577" s="108"/>
      <c r="D5577" s="261"/>
      <c r="E5577" s="261"/>
    </row>
    <row r="5578" spans="2:5" x14ac:dyDescent="0.3">
      <c r="B5578" s="274"/>
      <c r="C5578" s="108"/>
      <c r="D5578" s="261"/>
      <c r="E5578" s="261"/>
    </row>
    <row r="5579" spans="2:5" x14ac:dyDescent="0.3">
      <c r="B5579" s="274"/>
      <c r="C5579" s="108"/>
      <c r="D5579" s="261"/>
      <c r="E5579" s="261"/>
    </row>
    <row r="5580" spans="2:5" x14ac:dyDescent="0.3">
      <c r="B5580" s="274"/>
      <c r="C5580" s="108"/>
      <c r="D5580" s="261"/>
      <c r="E5580" s="261"/>
    </row>
    <row r="5581" spans="2:5" x14ac:dyDescent="0.3">
      <c r="B5581" s="274"/>
      <c r="C5581" s="108"/>
      <c r="D5581" s="261"/>
      <c r="E5581" s="261"/>
    </row>
    <row r="5582" spans="2:5" x14ac:dyDescent="0.3">
      <c r="B5582" s="274"/>
      <c r="C5582" s="108"/>
      <c r="D5582" s="261"/>
      <c r="E5582" s="261"/>
    </row>
    <row r="5583" spans="2:5" x14ac:dyDescent="0.3">
      <c r="B5583" s="274"/>
      <c r="C5583" s="108"/>
      <c r="D5583" s="261"/>
      <c r="E5583" s="261"/>
    </row>
    <row r="5584" spans="2:5" x14ac:dyDescent="0.3">
      <c r="B5584" s="274"/>
      <c r="C5584" s="108"/>
      <c r="D5584" s="261"/>
      <c r="E5584" s="261"/>
    </row>
    <row r="5585" spans="2:5" x14ac:dyDescent="0.3">
      <c r="B5585" s="274"/>
      <c r="C5585" s="108"/>
      <c r="D5585" s="261"/>
      <c r="E5585" s="261"/>
    </row>
    <row r="5586" spans="2:5" x14ac:dyDescent="0.3">
      <c r="B5586" s="274"/>
      <c r="C5586" s="108"/>
      <c r="D5586" s="261"/>
      <c r="E5586" s="261"/>
    </row>
    <row r="5587" spans="2:5" x14ac:dyDescent="0.3">
      <c r="B5587" s="274"/>
      <c r="C5587" s="108"/>
      <c r="D5587" s="261"/>
      <c r="E5587" s="261"/>
    </row>
    <row r="5588" spans="2:5" x14ac:dyDescent="0.3">
      <c r="B5588" s="274"/>
      <c r="C5588" s="108"/>
      <c r="D5588" s="261"/>
      <c r="E5588" s="261"/>
    </row>
    <row r="5589" spans="2:5" x14ac:dyDescent="0.3">
      <c r="B5589" s="274"/>
      <c r="C5589" s="108"/>
      <c r="D5589" s="261"/>
      <c r="E5589" s="261"/>
    </row>
    <row r="5590" spans="2:5" x14ac:dyDescent="0.3">
      <c r="B5590" s="274"/>
      <c r="C5590" s="108"/>
      <c r="D5590" s="261"/>
      <c r="E5590" s="261"/>
    </row>
    <row r="5591" spans="2:5" x14ac:dyDescent="0.3">
      <c r="B5591" s="274"/>
      <c r="C5591" s="108"/>
      <c r="D5591" s="261"/>
      <c r="E5591" s="261"/>
    </row>
    <row r="5592" spans="2:5" x14ac:dyDescent="0.3">
      <c r="B5592" s="274"/>
      <c r="C5592" s="108"/>
      <c r="D5592" s="261"/>
      <c r="E5592" s="261"/>
    </row>
    <row r="5593" spans="2:5" x14ac:dyDescent="0.3">
      <c r="B5593" s="274"/>
      <c r="C5593" s="108"/>
      <c r="D5593" s="261"/>
      <c r="E5593" s="261"/>
    </row>
    <row r="5594" spans="2:5" x14ac:dyDescent="0.3">
      <c r="B5594" s="274"/>
      <c r="C5594" s="108"/>
      <c r="D5594" s="261"/>
      <c r="E5594" s="261"/>
    </row>
    <row r="5595" spans="2:5" x14ac:dyDescent="0.3">
      <c r="B5595" s="274"/>
      <c r="C5595" s="108"/>
      <c r="D5595" s="261"/>
      <c r="E5595" s="261"/>
    </row>
    <row r="5596" spans="2:5" x14ac:dyDescent="0.3">
      <c r="B5596" s="274"/>
      <c r="C5596" s="108"/>
      <c r="D5596" s="261"/>
      <c r="E5596" s="261"/>
    </row>
    <row r="5597" spans="2:5" x14ac:dyDescent="0.3">
      <c r="B5597" s="274"/>
      <c r="C5597" s="108"/>
      <c r="D5597" s="261"/>
      <c r="E5597" s="261"/>
    </row>
    <row r="5598" spans="2:5" x14ac:dyDescent="0.3">
      <c r="B5598" s="274"/>
      <c r="C5598" s="108"/>
      <c r="D5598" s="261"/>
      <c r="E5598" s="261"/>
    </row>
    <row r="5599" spans="2:5" x14ac:dyDescent="0.3">
      <c r="B5599" s="274"/>
      <c r="C5599" s="108"/>
      <c r="D5599" s="261"/>
      <c r="E5599" s="261"/>
    </row>
    <row r="5600" spans="2:5" x14ac:dyDescent="0.3">
      <c r="B5600" s="274"/>
      <c r="C5600" s="108"/>
      <c r="D5600" s="261"/>
      <c r="E5600" s="261"/>
    </row>
    <row r="5601" spans="2:5" x14ac:dyDescent="0.3">
      <c r="B5601" s="274"/>
      <c r="C5601" s="108"/>
      <c r="D5601" s="261"/>
      <c r="E5601" s="261"/>
    </row>
    <row r="5602" spans="2:5" x14ac:dyDescent="0.3">
      <c r="B5602" s="274"/>
      <c r="C5602" s="108"/>
      <c r="D5602" s="261"/>
      <c r="E5602" s="261"/>
    </row>
    <row r="5603" spans="2:5" x14ac:dyDescent="0.3">
      <c r="B5603" s="274"/>
      <c r="C5603" s="108"/>
      <c r="D5603" s="261"/>
      <c r="E5603" s="261"/>
    </row>
    <row r="5604" spans="2:5" x14ac:dyDescent="0.3">
      <c r="B5604" s="274"/>
      <c r="C5604" s="108"/>
      <c r="D5604" s="261"/>
      <c r="E5604" s="261"/>
    </row>
    <row r="5605" spans="2:5" x14ac:dyDescent="0.3">
      <c r="B5605" s="274"/>
      <c r="C5605" s="108"/>
      <c r="D5605" s="261"/>
      <c r="E5605" s="261"/>
    </row>
    <row r="5606" spans="2:5" x14ac:dyDescent="0.3">
      <c r="B5606" s="274"/>
      <c r="C5606" s="108"/>
      <c r="D5606" s="261"/>
      <c r="E5606" s="261"/>
    </row>
    <row r="5607" spans="2:5" x14ac:dyDescent="0.3">
      <c r="B5607" s="274"/>
      <c r="C5607" s="108"/>
      <c r="D5607" s="261"/>
      <c r="E5607" s="261"/>
    </row>
    <row r="5608" spans="2:5" x14ac:dyDescent="0.3">
      <c r="B5608" s="274"/>
      <c r="C5608" s="108"/>
      <c r="D5608" s="261"/>
      <c r="E5608" s="261"/>
    </row>
    <row r="5609" spans="2:5" x14ac:dyDescent="0.3">
      <c r="B5609" s="274"/>
      <c r="C5609" s="108"/>
      <c r="D5609" s="261"/>
      <c r="E5609" s="261"/>
    </row>
    <row r="5610" spans="2:5" x14ac:dyDescent="0.3">
      <c r="B5610" s="274"/>
      <c r="C5610" s="108"/>
      <c r="D5610" s="261"/>
      <c r="E5610" s="261"/>
    </row>
    <row r="5611" spans="2:5" x14ac:dyDescent="0.3">
      <c r="B5611" s="274"/>
      <c r="C5611" s="108"/>
      <c r="D5611" s="261"/>
      <c r="E5611" s="261"/>
    </row>
    <row r="5612" spans="2:5" x14ac:dyDescent="0.3">
      <c r="B5612" s="274"/>
      <c r="C5612" s="108"/>
      <c r="D5612" s="261"/>
      <c r="E5612" s="261"/>
    </row>
    <row r="5613" spans="2:5" x14ac:dyDescent="0.3">
      <c r="B5613" s="274"/>
      <c r="C5613" s="108"/>
      <c r="D5613" s="261"/>
      <c r="E5613" s="261"/>
    </row>
    <row r="5614" spans="2:5" x14ac:dyDescent="0.3">
      <c r="B5614" s="274"/>
      <c r="C5614" s="108"/>
      <c r="D5614" s="261"/>
      <c r="E5614" s="261"/>
    </row>
    <row r="5615" spans="2:5" x14ac:dyDescent="0.3">
      <c r="B5615" s="274"/>
      <c r="C5615" s="108"/>
      <c r="D5615" s="261"/>
      <c r="E5615" s="261"/>
    </row>
    <row r="5616" spans="2:5" x14ac:dyDescent="0.3">
      <c r="B5616" s="274"/>
      <c r="C5616" s="108"/>
      <c r="D5616" s="261"/>
      <c r="E5616" s="261"/>
    </row>
    <row r="5617" spans="2:5" x14ac:dyDescent="0.3">
      <c r="B5617" s="274"/>
      <c r="C5617" s="108"/>
      <c r="D5617" s="261"/>
      <c r="E5617" s="261"/>
    </row>
    <row r="5618" spans="2:5" x14ac:dyDescent="0.3">
      <c r="B5618" s="274"/>
      <c r="C5618" s="108"/>
      <c r="D5618" s="261"/>
      <c r="E5618" s="261"/>
    </row>
    <row r="5619" spans="2:5" x14ac:dyDescent="0.3">
      <c r="B5619" s="274"/>
      <c r="C5619" s="108"/>
      <c r="D5619" s="261"/>
      <c r="E5619" s="261"/>
    </row>
    <row r="5620" spans="2:5" x14ac:dyDescent="0.3">
      <c r="B5620" s="274"/>
      <c r="C5620" s="108"/>
      <c r="D5620" s="261"/>
      <c r="E5620" s="261"/>
    </row>
    <row r="5621" spans="2:5" x14ac:dyDescent="0.3">
      <c r="B5621" s="274"/>
      <c r="C5621" s="108"/>
      <c r="D5621" s="261"/>
      <c r="E5621" s="261"/>
    </row>
    <row r="5622" spans="2:5" x14ac:dyDescent="0.3">
      <c r="B5622" s="274"/>
      <c r="C5622" s="108"/>
      <c r="D5622" s="261"/>
      <c r="E5622" s="261"/>
    </row>
    <row r="5623" spans="2:5" x14ac:dyDescent="0.3">
      <c r="B5623" s="274"/>
      <c r="C5623" s="108"/>
      <c r="D5623" s="261"/>
      <c r="E5623" s="261"/>
    </row>
    <row r="5624" spans="2:5" x14ac:dyDescent="0.3">
      <c r="B5624" s="274"/>
      <c r="C5624" s="108"/>
      <c r="D5624" s="261"/>
      <c r="E5624" s="261"/>
    </row>
    <row r="5625" spans="2:5" x14ac:dyDescent="0.3">
      <c r="B5625" s="274"/>
      <c r="C5625" s="108"/>
      <c r="D5625" s="261"/>
      <c r="E5625" s="261"/>
    </row>
    <row r="5626" spans="2:5" x14ac:dyDescent="0.3">
      <c r="B5626" s="274"/>
      <c r="C5626" s="108"/>
      <c r="D5626" s="261"/>
      <c r="E5626" s="261"/>
    </row>
    <row r="5627" spans="2:5" x14ac:dyDescent="0.3">
      <c r="B5627" s="274"/>
      <c r="C5627" s="108"/>
      <c r="D5627" s="261"/>
      <c r="E5627" s="261"/>
    </row>
    <row r="5628" spans="2:5" x14ac:dyDescent="0.3">
      <c r="B5628" s="274"/>
      <c r="C5628" s="108"/>
      <c r="D5628" s="261"/>
      <c r="E5628" s="261"/>
    </row>
    <row r="5629" spans="2:5" x14ac:dyDescent="0.3">
      <c r="B5629" s="274"/>
      <c r="C5629" s="108"/>
      <c r="D5629" s="261"/>
      <c r="E5629" s="261"/>
    </row>
    <row r="5630" spans="2:5" x14ac:dyDescent="0.3">
      <c r="B5630" s="274"/>
      <c r="C5630" s="108"/>
      <c r="D5630" s="261"/>
      <c r="E5630" s="261"/>
    </row>
    <row r="5631" spans="2:5" x14ac:dyDescent="0.3">
      <c r="B5631" s="274"/>
      <c r="C5631" s="108"/>
      <c r="D5631" s="261"/>
      <c r="E5631" s="261"/>
    </row>
    <row r="5632" spans="2:5" x14ac:dyDescent="0.3">
      <c r="B5632" s="274"/>
      <c r="C5632" s="108"/>
      <c r="D5632" s="261"/>
      <c r="E5632" s="261"/>
    </row>
    <row r="5633" spans="2:5" x14ac:dyDescent="0.3">
      <c r="B5633" s="274"/>
      <c r="C5633" s="108"/>
      <c r="D5633" s="261"/>
      <c r="E5633" s="261"/>
    </row>
    <row r="5634" spans="2:5" x14ac:dyDescent="0.3">
      <c r="B5634" s="274"/>
      <c r="C5634" s="108"/>
      <c r="D5634" s="261"/>
      <c r="E5634" s="261"/>
    </row>
    <row r="5635" spans="2:5" x14ac:dyDescent="0.3">
      <c r="B5635" s="274"/>
      <c r="C5635" s="108"/>
      <c r="D5635" s="261"/>
      <c r="E5635" s="261"/>
    </row>
    <row r="5636" spans="2:5" x14ac:dyDescent="0.3">
      <c r="B5636" s="274"/>
      <c r="C5636" s="108"/>
      <c r="D5636" s="261"/>
      <c r="E5636" s="261"/>
    </row>
    <row r="5637" spans="2:5" x14ac:dyDescent="0.3">
      <c r="B5637" s="274"/>
      <c r="C5637" s="108"/>
      <c r="D5637" s="261"/>
      <c r="E5637" s="261"/>
    </row>
    <row r="5638" spans="2:5" x14ac:dyDescent="0.3">
      <c r="B5638" s="274"/>
      <c r="C5638" s="108"/>
      <c r="D5638" s="261"/>
      <c r="E5638" s="261"/>
    </row>
    <row r="5639" spans="2:5" x14ac:dyDescent="0.3">
      <c r="B5639" s="274"/>
      <c r="C5639" s="108"/>
      <c r="D5639" s="261"/>
      <c r="E5639" s="261"/>
    </row>
    <row r="5640" spans="2:5" x14ac:dyDescent="0.3">
      <c r="B5640" s="274"/>
      <c r="C5640" s="108"/>
      <c r="D5640" s="261"/>
      <c r="E5640" s="261"/>
    </row>
    <row r="5641" spans="2:5" x14ac:dyDescent="0.3">
      <c r="B5641" s="274"/>
      <c r="C5641" s="108"/>
      <c r="D5641" s="261"/>
      <c r="E5641" s="261"/>
    </row>
    <row r="5642" spans="2:5" x14ac:dyDescent="0.3">
      <c r="B5642" s="274"/>
      <c r="C5642" s="108"/>
      <c r="D5642" s="261"/>
      <c r="E5642" s="261"/>
    </row>
    <row r="5643" spans="2:5" x14ac:dyDescent="0.3">
      <c r="B5643" s="274"/>
      <c r="C5643" s="108"/>
      <c r="D5643" s="261"/>
      <c r="E5643" s="261"/>
    </row>
    <row r="5644" spans="2:5" x14ac:dyDescent="0.3">
      <c r="B5644" s="274"/>
      <c r="C5644" s="108"/>
      <c r="D5644" s="261"/>
      <c r="E5644" s="261"/>
    </row>
    <row r="5645" spans="2:5" x14ac:dyDescent="0.3">
      <c r="B5645" s="274"/>
      <c r="C5645" s="108"/>
      <c r="D5645" s="261"/>
      <c r="E5645" s="261"/>
    </row>
    <row r="5646" spans="2:5" x14ac:dyDescent="0.3">
      <c r="B5646" s="274"/>
      <c r="C5646" s="108"/>
      <c r="D5646" s="261"/>
      <c r="E5646" s="261"/>
    </row>
    <row r="5647" spans="2:5" x14ac:dyDescent="0.3">
      <c r="B5647" s="274"/>
      <c r="C5647" s="108"/>
      <c r="D5647" s="261"/>
      <c r="E5647" s="261"/>
    </row>
    <row r="5648" spans="2:5" x14ac:dyDescent="0.3">
      <c r="B5648" s="274"/>
      <c r="C5648" s="108"/>
      <c r="D5648" s="261"/>
      <c r="E5648" s="261"/>
    </row>
    <row r="5649" spans="2:5" x14ac:dyDescent="0.3">
      <c r="B5649" s="274"/>
      <c r="C5649" s="108"/>
      <c r="D5649" s="261"/>
      <c r="E5649" s="261"/>
    </row>
    <row r="5650" spans="2:5" x14ac:dyDescent="0.3">
      <c r="B5650" s="274"/>
      <c r="C5650" s="108"/>
      <c r="D5650" s="261"/>
      <c r="E5650" s="261"/>
    </row>
    <row r="5651" spans="2:5" x14ac:dyDescent="0.3">
      <c r="B5651" s="274"/>
      <c r="C5651" s="108"/>
      <c r="D5651" s="261"/>
      <c r="E5651" s="261"/>
    </row>
    <row r="5652" spans="2:5" x14ac:dyDescent="0.3">
      <c r="B5652" s="274"/>
      <c r="C5652" s="108"/>
      <c r="D5652" s="261"/>
      <c r="E5652" s="261"/>
    </row>
    <row r="5653" spans="2:5" x14ac:dyDescent="0.3">
      <c r="B5653" s="274"/>
      <c r="C5653" s="108"/>
      <c r="D5653" s="261"/>
      <c r="E5653" s="261"/>
    </row>
    <row r="5654" spans="2:5" x14ac:dyDescent="0.3">
      <c r="B5654" s="274"/>
      <c r="C5654" s="108"/>
      <c r="D5654" s="261"/>
      <c r="E5654" s="261"/>
    </row>
    <row r="5655" spans="2:5" x14ac:dyDescent="0.3">
      <c r="B5655" s="274"/>
      <c r="C5655" s="108"/>
      <c r="D5655" s="261"/>
      <c r="E5655" s="261"/>
    </row>
    <row r="5656" spans="2:5" x14ac:dyDescent="0.3">
      <c r="B5656" s="274"/>
      <c r="C5656" s="108"/>
      <c r="D5656" s="261"/>
      <c r="E5656" s="261"/>
    </row>
    <row r="5657" spans="2:5" x14ac:dyDescent="0.3">
      <c r="B5657" s="274"/>
      <c r="C5657" s="108"/>
      <c r="D5657" s="261"/>
      <c r="E5657" s="261"/>
    </row>
    <row r="5658" spans="2:5" x14ac:dyDescent="0.3">
      <c r="B5658" s="274"/>
      <c r="C5658" s="108"/>
      <c r="D5658" s="261"/>
      <c r="E5658" s="261"/>
    </row>
    <row r="5659" spans="2:5" x14ac:dyDescent="0.3">
      <c r="B5659" s="274"/>
      <c r="C5659" s="108"/>
      <c r="D5659" s="261"/>
      <c r="E5659" s="261"/>
    </row>
    <row r="5660" spans="2:5" x14ac:dyDescent="0.3">
      <c r="B5660" s="274"/>
      <c r="C5660" s="108"/>
      <c r="D5660" s="261"/>
      <c r="E5660" s="261"/>
    </row>
    <row r="5661" spans="2:5" x14ac:dyDescent="0.3">
      <c r="B5661" s="274"/>
      <c r="C5661" s="108"/>
      <c r="D5661" s="261"/>
      <c r="E5661" s="261"/>
    </row>
    <row r="5662" spans="2:5" x14ac:dyDescent="0.3">
      <c r="B5662" s="274"/>
      <c r="C5662" s="108"/>
      <c r="D5662" s="261"/>
      <c r="E5662" s="261"/>
    </row>
    <row r="5663" spans="2:5" x14ac:dyDescent="0.3">
      <c r="B5663" s="274"/>
      <c r="C5663" s="108"/>
      <c r="D5663" s="261"/>
      <c r="E5663" s="261"/>
    </row>
    <row r="5664" spans="2:5" x14ac:dyDescent="0.3">
      <c r="B5664" s="274"/>
      <c r="C5664" s="108"/>
      <c r="D5664" s="261"/>
      <c r="E5664" s="261"/>
    </row>
    <row r="5665" spans="2:5" x14ac:dyDescent="0.3">
      <c r="B5665" s="274"/>
      <c r="C5665" s="108"/>
      <c r="D5665" s="261"/>
      <c r="E5665" s="261"/>
    </row>
    <row r="5666" spans="2:5" x14ac:dyDescent="0.3">
      <c r="B5666" s="274"/>
      <c r="C5666" s="108"/>
      <c r="D5666" s="261"/>
      <c r="E5666" s="261"/>
    </row>
    <row r="5667" spans="2:5" x14ac:dyDescent="0.3">
      <c r="B5667" s="274"/>
      <c r="C5667" s="108"/>
      <c r="D5667" s="261"/>
      <c r="E5667" s="261"/>
    </row>
    <row r="5668" spans="2:5" x14ac:dyDescent="0.3">
      <c r="B5668" s="274"/>
      <c r="C5668" s="108"/>
      <c r="D5668" s="261"/>
      <c r="E5668" s="261"/>
    </row>
    <row r="5669" spans="2:5" x14ac:dyDescent="0.3">
      <c r="B5669" s="274"/>
      <c r="C5669" s="108"/>
      <c r="D5669" s="261"/>
      <c r="E5669" s="261"/>
    </row>
    <row r="5670" spans="2:5" x14ac:dyDescent="0.3">
      <c r="B5670" s="274"/>
      <c r="C5670" s="108"/>
      <c r="D5670" s="261"/>
      <c r="E5670" s="261"/>
    </row>
    <row r="5671" spans="2:5" x14ac:dyDescent="0.3">
      <c r="B5671" s="274"/>
      <c r="C5671" s="108"/>
      <c r="D5671" s="261"/>
      <c r="E5671" s="261"/>
    </row>
    <row r="5672" spans="2:5" x14ac:dyDescent="0.3">
      <c r="B5672" s="274"/>
      <c r="C5672" s="108"/>
      <c r="D5672" s="261"/>
      <c r="E5672" s="261"/>
    </row>
    <row r="5673" spans="2:5" x14ac:dyDescent="0.3">
      <c r="B5673" s="274"/>
      <c r="C5673" s="108"/>
      <c r="D5673" s="261"/>
      <c r="E5673" s="261"/>
    </row>
    <row r="5674" spans="2:5" x14ac:dyDescent="0.3">
      <c r="B5674" s="274"/>
      <c r="C5674" s="108"/>
      <c r="D5674" s="261"/>
      <c r="E5674" s="261"/>
    </row>
    <row r="5675" spans="2:5" x14ac:dyDescent="0.3">
      <c r="B5675" s="274"/>
      <c r="C5675" s="108"/>
      <c r="D5675" s="261"/>
      <c r="E5675" s="261"/>
    </row>
    <row r="5676" spans="2:5" x14ac:dyDescent="0.3">
      <c r="B5676" s="274"/>
      <c r="C5676" s="108"/>
      <c r="D5676" s="261"/>
      <c r="E5676" s="261"/>
    </row>
    <row r="5677" spans="2:5" x14ac:dyDescent="0.3">
      <c r="B5677" s="274"/>
      <c r="C5677" s="108"/>
      <c r="D5677" s="261"/>
      <c r="E5677" s="261"/>
    </row>
    <row r="5678" spans="2:5" x14ac:dyDescent="0.3">
      <c r="B5678" s="274"/>
      <c r="C5678" s="108"/>
      <c r="D5678" s="261"/>
      <c r="E5678" s="261"/>
    </row>
    <row r="5679" spans="2:5" x14ac:dyDescent="0.3">
      <c r="B5679" s="274"/>
      <c r="C5679" s="108"/>
      <c r="D5679" s="261"/>
      <c r="E5679" s="261"/>
    </row>
    <row r="5680" spans="2:5" x14ac:dyDescent="0.3">
      <c r="B5680" s="274"/>
      <c r="C5680" s="108"/>
      <c r="D5680" s="261"/>
      <c r="E5680" s="261"/>
    </row>
    <row r="5681" spans="2:5" x14ac:dyDescent="0.3">
      <c r="B5681" s="274"/>
      <c r="C5681" s="108"/>
      <c r="D5681" s="261"/>
      <c r="E5681" s="261"/>
    </row>
    <row r="5682" spans="2:5" x14ac:dyDescent="0.3">
      <c r="B5682" s="274"/>
      <c r="C5682" s="108"/>
      <c r="D5682" s="261"/>
      <c r="E5682" s="261"/>
    </row>
    <row r="5683" spans="2:5" x14ac:dyDescent="0.3">
      <c r="B5683" s="274"/>
      <c r="C5683" s="108"/>
      <c r="D5683" s="261"/>
      <c r="E5683" s="261"/>
    </row>
    <row r="5684" spans="2:5" x14ac:dyDescent="0.3">
      <c r="B5684" s="274"/>
      <c r="C5684" s="108"/>
      <c r="D5684" s="261"/>
      <c r="E5684" s="261"/>
    </row>
    <row r="5685" spans="2:5" x14ac:dyDescent="0.3">
      <c r="B5685" s="274"/>
      <c r="C5685" s="108"/>
      <c r="D5685" s="261"/>
      <c r="E5685" s="261"/>
    </row>
    <row r="5686" spans="2:5" x14ac:dyDescent="0.3">
      <c r="B5686" s="274"/>
      <c r="C5686" s="108"/>
      <c r="D5686" s="261"/>
      <c r="E5686" s="261"/>
    </row>
    <row r="5687" spans="2:5" x14ac:dyDescent="0.3">
      <c r="B5687" s="274"/>
      <c r="C5687" s="108"/>
      <c r="D5687" s="261"/>
      <c r="E5687" s="261"/>
    </row>
    <row r="5688" spans="2:5" x14ac:dyDescent="0.3">
      <c r="B5688" s="274"/>
      <c r="C5688" s="108"/>
      <c r="D5688" s="261"/>
      <c r="E5688" s="261"/>
    </row>
    <row r="5689" spans="2:5" x14ac:dyDescent="0.3">
      <c r="B5689" s="274"/>
      <c r="C5689" s="108"/>
      <c r="D5689" s="261"/>
      <c r="E5689" s="261"/>
    </row>
    <row r="5690" spans="2:5" x14ac:dyDescent="0.3">
      <c r="B5690" s="274"/>
      <c r="C5690" s="108"/>
      <c r="D5690" s="261"/>
      <c r="E5690" s="261"/>
    </row>
    <row r="5691" spans="2:5" x14ac:dyDescent="0.3">
      <c r="B5691" s="274"/>
      <c r="C5691" s="108"/>
      <c r="D5691" s="261"/>
      <c r="E5691" s="261"/>
    </row>
    <row r="5692" spans="2:5" x14ac:dyDescent="0.3">
      <c r="B5692" s="274"/>
      <c r="C5692" s="108"/>
      <c r="D5692" s="261"/>
      <c r="E5692" s="261"/>
    </row>
    <row r="5693" spans="2:5" x14ac:dyDescent="0.3">
      <c r="B5693" s="274"/>
      <c r="C5693" s="108"/>
      <c r="D5693" s="261"/>
      <c r="E5693" s="261"/>
    </row>
    <row r="5694" spans="2:5" x14ac:dyDescent="0.3">
      <c r="B5694" s="274"/>
      <c r="C5694" s="108"/>
      <c r="D5694" s="261"/>
      <c r="E5694" s="261"/>
    </row>
    <row r="5695" spans="2:5" x14ac:dyDescent="0.3">
      <c r="B5695" s="274"/>
      <c r="C5695" s="108"/>
      <c r="D5695" s="261"/>
      <c r="E5695" s="261"/>
    </row>
    <row r="5696" spans="2:5" x14ac:dyDescent="0.3">
      <c r="B5696" s="274"/>
      <c r="C5696" s="108"/>
      <c r="D5696" s="261"/>
      <c r="E5696" s="261"/>
    </row>
    <row r="5697" spans="2:5" x14ac:dyDescent="0.3">
      <c r="B5697" s="274"/>
      <c r="C5697" s="108"/>
      <c r="D5697" s="261"/>
      <c r="E5697" s="261"/>
    </row>
    <row r="5698" spans="2:5" x14ac:dyDescent="0.3">
      <c r="B5698" s="274"/>
      <c r="C5698" s="108"/>
      <c r="D5698" s="261"/>
      <c r="E5698" s="261"/>
    </row>
    <row r="5699" spans="2:5" x14ac:dyDescent="0.3">
      <c r="B5699" s="274"/>
      <c r="C5699" s="108"/>
      <c r="D5699" s="261"/>
      <c r="E5699" s="261"/>
    </row>
    <row r="5700" spans="2:5" x14ac:dyDescent="0.3">
      <c r="B5700" s="274"/>
      <c r="C5700" s="108"/>
      <c r="D5700" s="261"/>
      <c r="E5700" s="261"/>
    </row>
    <row r="5701" spans="2:5" x14ac:dyDescent="0.3">
      <c r="B5701" s="274"/>
      <c r="C5701" s="108"/>
      <c r="D5701" s="261"/>
      <c r="E5701" s="261"/>
    </row>
    <row r="5702" spans="2:5" x14ac:dyDescent="0.3">
      <c r="B5702" s="274"/>
      <c r="C5702" s="108"/>
      <c r="D5702" s="261"/>
      <c r="E5702" s="261"/>
    </row>
    <row r="5703" spans="2:5" x14ac:dyDescent="0.3">
      <c r="B5703" s="274"/>
      <c r="C5703" s="108"/>
      <c r="D5703" s="261"/>
      <c r="E5703" s="261"/>
    </row>
    <row r="5704" spans="2:5" x14ac:dyDescent="0.3">
      <c r="B5704" s="274"/>
      <c r="C5704" s="108"/>
      <c r="D5704" s="261"/>
      <c r="E5704" s="261"/>
    </row>
    <row r="5705" spans="2:5" x14ac:dyDescent="0.3">
      <c r="B5705" s="274"/>
      <c r="C5705" s="108"/>
      <c r="D5705" s="261"/>
      <c r="E5705" s="261"/>
    </row>
    <row r="5706" spans="2:5" x14ac:dyDescent="0.3">
      <c r="B5706" s="274"/>
      <c r="C5706" s="108"/>
      <c r="D5706" s="261"/>
      <c r="E5706" s="261"/>
    </row>
    <row r="5707" spans="2:5" x14ac:dyDescent="0.3">
      <c r="B5707" s="274"/>
      <c r="C5707" s="108"/>
      <c r="D5707" s="261"/>
      <c r="E5707" s="261"/>
    </row>
    <row r="5708" spans="2:5" x14ac:dyDescent="0.3">
      <c r="B5708" s="274"/>
      <c r="C5708" s="108"/>
      <c r="D5708" s="261"/>
      <c r="E5708" s="261"/>
    </row>
    <row r="5709" spans="2:5" x14ac:dyDescent="0.3">
      <c r="B5709" s="274"/>
      <c r="C5709" s="108"/>
      <c r="D5709" s="261"/>
      <c r="E5709" s="261"/>
    </row>
    <row r="5710" spans="2:5" x14ac:dyDescent="0.3">
      <c r="B5710" s="274"/>
      <c r="C5710" s="108"/>
      <c r="D5710" s="261"/>
      <c r="E5710" s="261"/>
    </row>
    <row r="5711" spans="2:5" x14ac:dyDescent="0.3">
      <c r="B5711" s="274"/>
      <c r="C5711" s="108"/>
      <c r="D5711" s="261"/>
      <c r="E5711" s="261"/>
    </row>
    <row r="5712" spans="2:5" x14ac:dyDescent="0.3">
      <c r="B5712" s="274"/>
      <c r="C5712" s="108"/>
      <c r="D5712" s="261"/>
      <c r="E5712" s="261"/>
    </row>
    <row r="5713" spans="2:5" x14ac:dyDescent="0.3">
      <c r="B5713" s="274"/>
      <c r="C5713" s="108"/>
      <c r="D5713" s="261"/>
      <c r="E5713" s="261"/>
    </row>
    <row r="5714" spans="2:5" x14ac:dyDescent="0.3">
      <c r="B5714" s="274"/>
      <c r="C5714" s="108"/>
      <c r="D5714" s="261"/>
      <c r="E5714" s="261"/>
    </row>
    <row r="5715" spans="2:5" x14ac:dyDescent="0.3">
      <c r="B5715" s="274"/>
      <c r="C5715" s="108"/>
      <c r="D5715" s="261"/>
      <c r="E5715" s="261"/>
    </row>
    <row r="5716" spans="2:5" x14ac:dyDescent="0.3">
      <c r="B5716" s="274"/>
      <c r="C5716" s="108"/>
      <c r="D5716" s="261"/>
      <c r="E5716" s="261"/>
    </row>
    <row r="5717" spans="2:5" x14ac:dyDescent="0.3">
      <c r="B5717" s="274"/>
      <c r="C5717" s="108"/>
      <c r="D5717" s="261"/>
      <c r="E5717" s="261"/>
    </row>
    <row r="5718" spans="2:5" x14ac:dyDescent="0.3">
      <c r="B5718" s="274"/>
      <c r="C5718" s="108"/>
      <c r="D5718" s="261"/>
      <c r="E5718" s="261"/>
    </row>
    <row r="5719" spans="2:5" x14ac:dyDescent="0.3">
      <c r="B5719" s="274"/>
      <c r="C5719" s="108"/>
      <c r="D5719" s="261"/>
      <c r="E5719" s="261"/>
    </row>
    <row r="5720" spans="2:5" x14ac:dyDescent="0.3">
      <c r="B5720" s="274"/>
      <c r="C5720" s="108"/>
      <c r="D5720" s="261"/>
      <c r="E5720" s="261"/>
    </row>
    <row r="5721" spans="2:5" x14ac:dyDescent="0.3">
      <c r="B5721" s="274"/>
      <c r="C5721" s="108"/>
      <c r="D5721" s="261"/>
      <c r="E5721" s="261"/>
    </row>
    <row r="5722" spans="2:5" x14ac:dyDescent="0.3">
      <c r="B5722" s="274"/>
      <c r="C5722" s="108"/>
      <c r="D5722" s="261"/>
      <c r="E5722" s="261"/>
    </row>
    <row r="5723" spans="2:5" x14ac:dyDescent="0.3">
      <c r="B5723" s="274"/>
      <c r="C5723" s="108"/>
      <c r="D5723" s="261"/>
      <c r="E5723" s="261"/>
    </row>
    <row r="5724" spans="2:5" x14ac:dyDescent="0.3">
      <c r="B5724" s="274"/>
      <c r="C5724" s="108"/>
      <c r="D5724" s="261"/>
      <c r="E5724" s="261"/>
    </row>
    <row r="5725" spans="2:5" x14ac:dyDescent="0.3">
      <c r="B5725" s="274"/>
      <c r="C5725" s="108"/>
      <c r="D5725" s="261"/>
      <c r="E5725" s="261"/>
    </row>
    <row r="5726" spans="2:5" x14ac:dyDescent="0.3">
      <c r="B5726" s="274"/>
      <c r="C5726" s="108"/>
      <c r="D5726" s="261"/>
      <c r="E5726" s="261"/>
    </row>
    <row r="5727" spans="2:5" x14ac:dyDescent="0.3">
      <c r="B5727" s="274"/>
      <c r="C5727" s="108"/>
      <c r="D5727" s="261"/>
      <c r="E5727" s="261"/>
    </row>
    <row r="5728" spans="2:5" x14ac:dyDescent="0.3">
      <c r="B5728" s="274"/>
      <c r="C5728" s="108"/>
      <c r="D5728" s="261"/>
      <c r="E5728" s="261"/>
    </row>
    <row r="5729" spans="2:5" x14ac:dyDescent="0.3">
      <c r="B5729" s="274"/>
      <c r="C5729" s="108"/>
      <c r="D5729" s="261"/>
      <c r="E5729" s="261"/>
    </row>
    <row r="5730" spans="2:5" x14ac:dyDescent="0.3">
      <c r="B5730" s="274"/>
      <c r="C5730" s="108"/>
      <c r="D5730" s="261"/>
      <c r="E5730" s="261"/>
    </row>
    <row r="5731" spans="2:5" x14ac:dyDescent="0.3">
      <c r="B5731" s="274"/>
      <c r="C5731" s="108"/>
      <c r="D5731" s="261"/>
      <c r="E5731" s="261"/>
    </row>
    <row r="5732" spans="2:5" x14ac:dyDescent="0.3">
      <c r="B5732" s="274"/>
      <c r="C5732" s="108"/>
      <c r="D5732" s="261"/>
      <c r="E5732" s="261"/>
    </row>
    <row r="5733" spans="2:5" x14ac:dyDescent="0.3">
      <c r="B5733" s="274"/>
      <c r="C5733" s="108"/>
      <c r="D5733" s="261"/>
      <c r="E5733" s="261"/>
    </row>
    <row r="5734" spans="2:5" x14ac:dyDescent="0.3">
      <c r="B5734" s="274"/>
      <c r="C5734" s="108"/>
      <c r="D5734" s="261"/>
      <c r="E5734" s="261"/>
    </row>
    <row r="5735" spans="2:5" x14ac:dyDescent="0.3">
      <c r="B5735" s="274"/>
      <c r="C5735" s="108"/>
      <c r="D5735" s="261"/>
      <c r="E5735" s="261"/>
    </row>
    <row r="5736" spans="2:5" x14ac:dyDescent="0.3">
      <c r="B5736" s="274"/>
      <c r="C5736" s="108"/>
      <c r="D5736" s="261"/>
      <c r="E5736" s="261"/>
    </row>
    <row r="5737" spans="2:5" x14ac:dyDescent="0.3">
      <c r="B5737" s="274"/>
      <c r="C5737" s="108"/>
      <c r="D5737" s="261"/>
      <c r="E5737" s="261"/>
    </row>
    <row r="5738" spans="2:5" x14ac:dyDescent="0.3">
      <c r="B5738" s="274"/>
      <c r="C5738" s="108"/>
      <c r="D5738" s="261"/>
      <c r="E5738" s="261"/>
    </row>
    <row r="5739" spans="2:5" x14ac:dyDescent="0.3">
      <c r="B5739" s="274"/>
      <c r="C5739" s="108"/>
      <c r="D5739" s="261"/>
      <c r="E5739" s="261"/>
    </row>
    <row r="5740" spans="2:5" x14ac:dyDescent="0.3">
      <c r="B5740" s="274"/>
      <c r="C5740" s="108"/>
      <c r="D5740" s="261"/>
      <c r="E5740" s="261"/>
    </row>
    <row r="5741" spans="2:5" x14ac:dyDescent="0.3">
      <c r="B5741" s="274"/>
      <c r="C5741" s="108"/>
      <c r="D5741" s="261"/>
      <c r="E5741" s="261"/>
    </row>
    <row r="5742" spans="2:5" x14ac:dyDescent="0.3">
      <c r="B5742" s="274"/>
      <c r="C5742" s="108"/>
      <c r="D5742" s="261"/>
      <c r="E5742" s="261"/>
    </row>
    <row r="5743" spans="2:5" x14ac:dyDescent="0.3">
      <c r="B5743" s="274"/>
      <c r="C5743" s="108"/>
      <c r="D5743" s="261"/>
      <c r="E5743" s="261"/>
    </row>
    <row r="5744" spans="2:5" x14ac:dyDescent="0.3">
      <c r="B5744" s="274"/>
      <c r="C5744" s="108"/>
      <c r="D5744" s="261"/>
      <c r="E5744" s="261"/>
    </row>
    <row r="5745" spans="2:5" x14ac:dyDescent="0.3">
      <c r="B5745" s="274"/>
      <c r="C5745" s="108"/>
      <c r="D5745" s="261"/>
      <c r="E5745" s="261"/>
    </row>
    <row r="5746" spans="2:5" x14ac:dyDescent="0.3">
      <c r="B5746" s="274"/>
      <c r="C5746" s="108"/>
      <c r="D5746" s="261"/>
      <c r="E5746" s="261"/>
    </row>
    <row r="5747" spans="2:5" x14ac:dyDescent="0.3">
      <c r="B5747" s="274"/>
      <c r="C5747" s="108"/>
      <c r="D5747" s="261"/>
      <c r="E5747" s="261"/>
    </row>
    <row r="5748" spans="2:5" x14ac:dyDescent="0.3">
      <c r="B5748" s="274"/>
      <c r="C5748" s="108"/>
      <c r="D5748" s="261"/>
      <c r="E5748" s="261"/>
    </row>
    <row r="5749" spans="2:5" x14ac:dyDescent="0.3">
      <c r="B5749" s="274"/>
      <c r="C5749" s="108"/>
      <c r="D5749" s="261"/>
      <c r="E5749" s="261"/>
    </row>
    <row r="5750" spans="2:5" x14ac:dyDescent="0.3">
      <c r="B5750" s="274"/>
      <c r="C5750" s="108"/>
      <c r="D5750" s="261"/>
      <c r="E5750" s="261"/>
    </row>
    <row r="5751" spans="2:5" x14ac:dyDescent="0.3">
      <c r="B5751" s="274"/>
      <c r="C5751" s="108"/>
      <c r="D5751" s="261"/>
      <c r="E5751" s="261"/>
    </row>
    <row r="5752" spans="2:5" x14ac:dyDescent="0.3">
      <c r="B5752" s="274"/>
      <c r="C5752" s="108"/>
      <c r="D5752" s="261"/>
      <c r="E5752" s="261"/>
    </row>
    <row r="5753" spans="2:5" x14ac:dyDescent="0.3">
      <c r="B5753" s="274"/>
      <c r="C5753" s="108"/>
      <c r="D5753" s="261"/>
      <c r="E5753" s="261"/>
    </row>
    <row r="5754" spans="2:5" x14ac:dyDescent="0.3">
      <c r="B5754" s="274"/>
      <c r="C5754" s="108"/>
      <c r="D5754" s="261"/>
      <c r="E5754" s="261"/>
    </row>
    <row r="5755" spans="2:5" x14ac:dyDescent="0.3">
      <c r="B5755" s="274"/>
      <c r="C5755" s="108"/>
      <c r="D5755" s="261"/>
      <c r="E5755" s="261"/>
    </row>
    <row r="5756" spans="2:5" x14ac:dyDescent="0.3">
      <c r="B5756" s="274"/>
      <c r="C5756" s="108"/>
      <c r="D5756" s="261"/>
      <c r="E5756" s="261"/>
    </row>
    <row r="5757" spans="2:5" x14ac:dyDescent="0.3">
      <c r="B5757" s="274"/>
      <c r="C5757" s="108"/>
      <c r="D5757" s="261"/>
      <c r="E5757" s="261"/>
    </row>
    <row r="5758" spans="2:5" x14ac:dyDescent="0.3">
      <c r="B5758" s="274"/>
      <c r="C5758" s="108"/>
      <c r="D5758" s="261"/>
      <c r="E5758" s="261"/>
    </row>
    <row r="5759" spans="2:5" x14ac:dyDescent="0.3">
      <c r="B5759" s="274"/>
      <c r="C5759" s="108"/>
      <c r="D5759" s="261"/>
      <c r="E5759" s="261"/>
    </row>
    <row r="5760" spans="2:5" x14ac:dyDescent="0.3">
      <c r="B5760" s="274"/>
      <c r="C5760" s="108"/>
      <c r="D5760" s="261"/>
      <c r="E5760" s="261"/>
    </row>
    <row r="5761" spans="2:5" x14ac:dyDescent="0.3">
      <c r="B5761" s="274"/>
      <c r="C5761" s="108"/>
      <c r="D5761" s="261"/>
      <c r="E5761" s="261"/>
    </row>
    <row r="5762" spans="2:5" x14ac:dyDescent="0.3">
      <c r="B5762" s="274"/>
      <c r="C5762" s="108"/>
      <c r="D5762" s="261"/>
      <c r="E5762" s="261"/>
    </row>
    <row r="5763" spans="2:5" x14ac:dyDescent="0.3">
      <c r="B5763" s="274"/>
      <c r="C5763" s="108"/>
      <c r="D5763" s="261"/>
      <c r="E5763" s="261"/>
    </row>
    <row r="5764" spans="2:5" x14ac:dyDescent="0.3">
      <c r="B5764" s="274"/>
      <c r="C5764" s="108"/>
      <c r="D5764" s="261"/>
      <c r="E5764" s="261"/>
    </row>
    <row r="5765" spans="2:5" x14ac:dyDescent="0.3">
      <c r="B5765" s="274"/>
      <c r="C5765" s="108"/>
      <c r="D5765" s="261"/>
      <c r="E5765" s="261"/>
    </row>
    <row r="5766" spans="2:5" x14ac:dyDescent="0.3">
      <c r="B5766" s="274"/>
      <c r="C5766" s="108"/>
      <c r="D5766" s="261"/>
      <c r="E5766" s="261"/>
    </row>
    <row r="5767" spans="2:5" x14ac:dyDescent="0.3">
      <c r="B5767" s="274"/>
      <c r="C5767" s="108"/>
      <c r="D5767" s="261"/>
      <c r="E5767" s="261"/>
    </row>
    <row r="5768" spans="2:5" x14ac:dyDescent="0.3">
      <c r="B5768" s="274"/>
      <c r="C5768" s="108"/>
      <c r="D5768" s="261"/>
      <c r="E5768" s="261"/>
    </row>
    <row r="5769" spans="2:5" x14ac:dyDescent="0.3">
      <c r="B5769" s="274"/>
      <c r="C5769" s="108"/>
      <c r="D5769" s="261"/>
      <c r="E5769" s="261"/>
    </row>
    <row r="5770" spans="2:5" x14ac:dyDescent="0.3">
      <c r="B5770" s="274"/>
      <c r="C5770" s="108"/>
      <c r="D5770" s="261"/>
      <c r="E5770" s="261"/>
    </row>
    <row r="5771" spans="2:5" x14ac:dyDescent="0.3">
      <c r="B5771" s="274"/>
      <c r="C5771" s="108"/>
      <c r="D5771" s="261"/>
      <c r="E5771" s="261"/>
    </row>
    <row r="5772" spans="2:5" x14ac:dyDescent="0.3">
      <c r="B5772" s="274"/>
      <c r="C5772" s="108"/>
      <c r="D5772" s="261"/>
      <c r="E5772" s="261"/>
    </row>
    <row r="5773" spans="2:5" x14ac:dyDescent="0.3">
      <c r="B5773" s="274"/>
      <c r="C5773" s="108"/>
      <c r="D5773" s="261"/>
      <c r="E5773" s="261"/>
    </row>
    <row r="5774" spans="2:5" x14ac:dyDescent="0.3">
      <c r="B5774" s="274"/>
      <c r="C5774" s="108"/>
      <c r="D5774" s="261"/>
      <c r="E5774" s="261"/>
    </row>
    <row r="5775" spans="2:5" x14ac:dyDescent="0.3">
      <c r="B5775" s="274"/>
      <c r="C5775" s="108"/>
      <c r="D5775" s="261"/>
      <c r="E5775" s="261"/>
    </row>
    <row r="5776" spans="2:5" x14ac:dyDescent="0.3">
      <c r="B5776" s="274"/>
      <c r="C5776" s="108"/>
      <c r="D5776" s="261"/>
      <c r="E5776" s="261"/>
    </row>
    <row r="5777" spans="2:5" x14ac:dyDescent="0.3">
      <c r="B5777" s="274"/>
      <c r="C5777" s="108"/>
      <c r="D5777" s="261"/>
      <c r="E5777" s="261"/>
    </row>
    <row r="5778" spans="2:5" x14ac:dyDescent="0.3">
      <c r="B5778" s="274"/>
      <c r="C5778" s="108"/>
      <c r="D5778" s="261"/>
      <c r="E5778" s="261"/>
    </row>
    <row r="5779" spans="2:5" x14ac:dyDescent="0.3">
      <c r="B5779" s="274"/>
      <c r="C5779" s="108"/>
      <c r="D5779" s="261"/>
      <c r="E5779" s="261"/>
    </row>
    <row r="5780" spans="2:5" x14ac:dyDescent="0.3">
      <c r="B5780" s="274"/>
      <c r="C5780" s="108"/>
      <c r="D5780" s="261"/>
      <c r="E5780" s="261"/>
    </row>
    <row r="5781" spans="2:5" x14ac:dyDescent="0.3">
      <c r="B5781" s="274"/>
      <c r="C5781" s="108"/>
      <c r="D5781" s="261"/>
      <c r="E5781" s="261"/>
    </row>
    <row r="5782" spans="2:5" x14ac:dyDescent="0.3">
      <c r="B5782" s="274"/>
      <c r="C5782" s="108"/>
      <c r="D5782" s="261"/>
      <c r="E5782" s="261"/>
    </row>
    <row r="5783" spans="2:5" x14ac:dyDescent="0.3">
      <c r="B5783" s="274"/>
      <c r="C5783" s="108"/>
      <c r="D5783" s="261"/>
      <c r="E5783" s="261"/>
    </row>
    <row r="5784" spans="2:5" x14ac:dyDescent="0.3">
      <c r="B5784" s="274"/>
      <c r="C5784" s="108"/>
      <c r="D5784" s="261"/>
      <c r="E5784" s="261"/>
    </row>
    <row r="5785" spans="2:5" x14ac:dyDescent="0.3">
      <c r="B5785" s="274"/>
      <c r="C5785" s="108"/>
      <c r="D5785" s="261"/>
      <c r="E5785" s="261"/>
    </row>
    <row r="5786" spans="2:5" x14ac:dyDescent="0.3">
      <c r="B5786" s="274"/>
      <c r="C5786" s="108"/>
      <c r="D5786" s="261"/>
      <c r="E5786" s="261"/>
    </row>
    <row r="5787" spans="2:5" x14ac:dyDescent="0.3">
      <c r="B5787" s="274"/>
      <c r="C5787" s="108"/>
      <c r="D5787" s="261"/>
      <c r="E5787" s="261"/>
    </row>
    <row r="5788" spans="2:5" x14ac:dyDescent="0.3">
      <c r="B5788" s="274"/>
      <c r="C5788" s="108"/>
      <c r="D5788" s="261"/>
      <c r="E5788" s="261"/>
    </row>
    <row r="5789" spans="2:5" x14ac:dyDescent="0.3">
      <c r="B5789" s="274"/>
      <c r="C5789" s="108"/>
      <c r="D5789" s="261"/>
      <c r="E5789" s="261"/>
    </row>
    <row r="5790" spans="2:5" x14ac:dyDescent="0.3">
      <c r="B5790" s="274"/>
      <c r="C5790" s="108"/>
      <c r="D5790" s="261"/>
      <c r="E5790" s="261"/>
    </row>
    <row r="5791" spans="2:5" x14ac:dyDescent="0.3">
      <c r="B5791" s="274"/>
      <c r="C5791" s="108"/>
      <c r="D5791" s="261"/>
      <c r="E5791" s="261"/>
    </row>
    <row r="5792" spans="2:5" x14ac:dyDescent="0.3">
      <c r="B5792" s="274"/>
      <c r="C5792" s="108"/>
      <c r="D5792" s="261"/>
      <c r="E5792" s="261"/>
    </row>
    <row r="5793" spans="2:5" x14ac:dyDescent="0.3">
      <c r="B5793" s="274"/>
      <c r="C5793" s="108"/>
      <c r="D5793" s="261"/>
      <c r="E5793" s="261"/>
    </row>
    <row r="5794" spans="2:5" x14ac:dyDescent="0.3">
      <c r="B5794" s="274"/>
      <c r="C5794" s="108"/>
      <c r="D5794" s="261"/>
      <c r="E5794" s="261"/>
    </row>
    <row r="5795" spans="2:5" x14ac:dyDescent="0.3">
      <c r="B5795" s="274"/>
      <c r="C5795" s="108"/>
      <c r="D5795" s="261"/>
      <c r="E5795" s="261"/>
    </row>
    <row r="5796" spans="2:5" x14ac:dyDescent="0.3">
      <c r="B5796" s="274"/>
      <c r="C5796" s="108"/>
      <c r="D5796" s="261"/>
      <c r="E5796" s="261"/>
    </row>
    <row r="5797" spans="2:5" x14ac:dyDescent="0.3">
      <c r="B5797" s="274"/>
      <c r="C5797" s="108"/>
      <c r="D5797" s="261"/>
      <c r="E5797" s="261"/>
    </row>
    <row r="5798" spans="2:5" x14ac:dyDescent="0.3">
      <c r="B5798" s="274"/>
      <c r="C5798" s="108"/>
      <c r="D5798" s="261"/>
      <c r="E5798" s="261"/>
    </row>
    <row r="5799" spans="2:5" x14ac:dyDescent="0.3">
      <c r="B5799" s="274"/>
      <c r="C5799" s="108"/>
      <c r="D5799" s="261"/>
      <c r="E5799" s="261"/>
    </row>
    <row r="5800" spans="2:5" x14ac:dyDescent="0.3">
      <c r="B5800" s="274"/>
      <c r="C5800" s="108"/>
      <c r="D5800" s="261"/>
      <c r="E5800" s="261"/>
    </row>
    <row r="5801" spans="2:5" x14ac:dyDescent="0.3">
      <c r="B5801" s="274"/>
      <c r="C5801" s="108"/>
      <c r="D5801" s="261"/>
      <c r="E5801" s="261"/>
    </row>
    <row r="5802" spans="2:5" x14ac:dyDescent="0.3">
      <c r="B5802" s="274"/>
      <c r="C5802" s="108"/>
      <c r="D5802" s="261"/>
      <c r="E5802" s="261"/>
    </row>
    <row r="5803" spans="2:5" x14ac:dyDescent="0.3">
      <c r="B5803" s="274"/>
      <c r="C5803" s="108"/>
      <c r="D5803" s="261"/>
      <c r="E5803" s="261"/>
    </row>
    <row r="5804" spans="2:5" x14ac:dyDescent="0.3">
      <c r="B5804" s="274"/>
      <c r="C5804" s="108"/>
      <c r="D5804" s="261"/>
      <c r="E5804" s="261"/>
    </row>
    <row r="5805" spans="2:5" x14ac:dyDescent="0.3">
      <c r="B5805" s="274"/>
      <c r="C5805" s="108"/>
      <c r="D5805" s="261"/>
      <c r="E5805" s="261"/>
    </row>
    <row r="5806" spans="2:5" x14ac:dyDescent="0.3">
      <c r="B5806" s="274"/>
      <c r="C5806" s="108"/>
      <c r="D5806" s="261"/>
      <c r="E5806" s="261"/>
    </row>
    <row r="5807" spans="2:5" x14ac:dyDescent="0.3">
      <c r="B5807" s="274"/>
      <c r="C5807" s="108"/>
      <c r="D5807" s="261"/>
      <c r="E5807" s="261"/>
    </row>
    <row r="5808" spans="2:5" x14ac:dyDescent="0.3">
      <c r="B5808" s="274"/>
      <c r="C5808" s="108"/>
      <c r="D5808" s="261"/>
      <c r="E5808" s="261"/>
    </row>
    <row r="5809" spans="2:5" x14ac:dyDescent="0.3">
      <c r="B5809" s="274"/>
      <c r="C5809" s="108"/>
      <c r="D5809" s="261"/>
      <c r="E5809" s="261"/>
    </row>
    <row r="5810" spans="2:5" x14ac:dyDescent="0.3">
      <c r="B5810" s="274"/>
      <c r="C5810" s="108"/>
      <c r="D5810" s="261"/>
      <c r="E5810" s="261"/>
    </row>
    <row r="5811" spans="2:5" x14ac:dyDescent="0.3">
      <c r="B5811" s="274"/>
      <c r="C5811" s="108"/>
      <c r="D5811" s="261"/>
      <c r="E5811" s="261"/>
    </row>
    <row r="5812" spans="2:5" x14ac:dyDescent="0.3">
      <c r="B5812" s="274"/>
      <c r="C5812" s="108"/>
      <c r="D5812" s="261"/>
      <c r="E5812" s="261"/>
    </row>
    <row r="5813" spans="2:5" x14ac:dyDescent="0.3">
      <c r="B5813" s="274"/>
      <c r="C5813" s="108"/>
      <c r="D5813" s="261"/>
      <c r="E5813" s="261"/>
    </row>
    <row r="5814" spans="2:5" x14ac:dyDescent="0.3">
      <c r="B5814" s="274"/>
      <c r="C5814" s="108"/>
      <c r="D5814" s="261"/>
      <c r="E5814" s="261"/>
    </row>
    <row r="5815" spans="2:5" x14ac:dyDescent="0.3">
      <c r="B5815" s="274"/>
      <c r="C5815" s="108"/>
      <c r="D5815" s="261"/>
      <c r="E5815" s="261"/>
    </row>
    <row r="5816" spans="2:5" x14ac:dyDescent="0.3">
      <c r="B5816" s="274"/>
      <c r="C5816" s="108"/>
      <c r="D5816" s="261"/>
      <c r="E5816" s="261"/>
    </row>
    <row r="5817" spans="2:5" x14ac:dyDescent="0.3">
      <c r="B5817" s="274"/>
      <c r="C5817" s="108"/>
      <c r="D5817" s="261"/>
      <c r="E5817" s="261"/>
    </row>
    <row r="5818" spans="2:5" x14ac:dyDescent="0.3">
      <c r="B5818" s="274"/>
      <c r="C5818" s="108"/>
      <c r="D5818" s="261"/>
      <c r="E5818" s="261"/>
    </row>
    <row r="5819" spans="2:5" x14ac:dyDescent="0.3">
      <c r="B5819" s="274"/>
      <c r="C5819" s="108"/>
      <c r="D5819" s="261"/>
      <c r="E5819" s="261"/>
    </row>
    <row r="5820" spans="2:5" x14ac:dyDescent="0.3">
      <c r="B5820" s="274"/>
      <c r="C5820" s="108"/>
      <c r="D5820" s="261"/>
      <c r="E5820" s="261"/>
    </row>
    <row r="5821" spans="2:5" x14ac:dyDescent="0.3">
      <c r="B5821" s="274"/>
      <c r="C5821" s="108"/>
      <c r="D5821" s="261"/>
      <c r="E5821" s="261"/>
    </row>
    <row r="5822" spans="2:5" x14ac:dyDescent="0.3">
      <c r="B5822" s="274"/>
      <c r="C5822" s="108"/>
      <c r="D5822" s="261"/>
      <c r="E5822" s="261"/>
    </row>
    <row r="5823" spans="2:5" x14ac:dyDescent="0.3">
      <c r="B5823" s="274"/>
      <c r="C5823" s="108"/>
      <c r="D5823" s="261"/>
      <c r="E5823" s="261"/>
    </row>
    <row r="5824" spans="2:5" x14ac:dyDescent="0.3">
      <c r="B5824" s="274"/>
      <c r="C5824" s="108"/>
      <c r="D5824" s="261"/>
      <c r="E5824" s="261"/>
    </row>
    <row r="5825" spans="2:5" x14ac:dyDescent="0.3">
      <c r="B5825" s="274"/>
      <c r="C5825" s="108"/>
      <c r="D5825" s="261"/>
      <c r="E5825" s="261"/>
    </row>
    <row r="5826" spans="2:5" x14ac:dyDescent="0.3">
      <c r="B5826" s="274"/>
      <c r="C5826" s="108"/>
      <c r="D5826" s="261"/>
      <c r="E5826" s="261"/>
    </row>
    <row r="5827" spans="2:5" x14ac:dyDescent="0.3">
      <c r="B5827" s="274"/>
      <c r="C5827" s="108"/>
      <c r="D5827" s="261"/>
      <c r="E5827" s="261"/>
    </row>
    <row r="5828" spans="2:5" x14ac:dyDescent="0.3">
      <c r="B5828" s="274"/>
      <c r="C5828" s="108"/>
      <c r="D5828" s="261"/>
      <c r="E5828" s="261"/>
    </row>
    <row r="5829" spans="2:5" x14ac:dyDescent="0.3">
      <c r="B5829" s="274"/>
      <c r="C5829" s="108"/>
      <c r="D5829" s="261"/>
      <c r="E5829" s="261"/>
    </row>
    <row r="5830" spans="2:5" x14ac:dyDescent="0.3">
      <c r="B5830" s="274"/>
      <c r="C5830" s="108"/>
      <c r="D5830" s="261"/>
      <c r="E5830" s="261"/>
    </row>
    <row r="5831" spans="2:5" x14ac:dyDescent="0.3">
      <c r="B5831" s="274"/>
      <c r="C5831" s="108"/>
      <c r="D5831" s="261"/>
      <c r="E5831" s="261"/>
    </row>
    <row r="5832" spans="2:5" x14ac:dyDescent="0.3">
      <c r="B5832" s="274"/>
      <c r="C5832" s="108"/>
      <c r="D5832" s="261"/>
      <c r="E5832" s="261"/>
    </row>
    <row r="5833" spans="2:5" x14ac:dyDescent="0.3">
      <c r="B5833" s="274"/>
      <c r="C5833" s="108"/>
      <c r="D5833" s="261"/>
      <c r="E5833" s="261"/>
    </row>
    <row r="5834" spans="2:5" x14ac:dyDescent="0.3">
      <c r="B5834" s="274"/>
      <c r="C5834" s="108"/>
      <c r="D5834" s="261"/>
      <c r="E5834" s="261"/>
    </row>
    <row r="5835" spans="2:5" x14ac:dyDescent="0.3">
      <c r="B5835" s="274"/>
      <c r="C5835" s="108"/>
      <c r="D5835" s="261"/>
      <c r="E5835" s="261"/>
    </row>
    <row r="5836" spans="2:5" x14ac:dyDescent="0.3">
      <c r="B5836" s="274"/>
      <c r="C5836" s="108"/>
      <c r="D5836" s="261"/>
      <c r="E5836" s="261"/>
    </row>
    <row r="5837" spans="2:5" x14ac:dyDescent="0.3">
      <c r="B5837" s="274"/>
      <c r="C5837" s="108"/>
      <c r="D5837" s="261"/>
      <c r="E5837" s="261"/>
    </row>
    <row r="5838" spans="2:5" x14ac:dyDescent="0.3">
      <c r="B5838" s="274"/>
      <c r="C5838" s="108"/>
      <c r="D5838" s="261"/>
      <c r="E5838" s="261"/>
    </row>
    <row r="5839" spans="2:5" x14ac:dyDescent="0.3">
      <c r="B5839" s="274"/>
      <c r="C5839" s="108"/>
      <c r="D5839" s="261"/>
      <c r="E5839" s="261"/>
    </row>
    <row r="5840" spans="2:5" x14ac:dyDescent="0.3">
      <c r="B5840" s="274"/>
      <c r="C5840" s="108"/>
      <c r="D5840" s="261"/>
      <c r="E5840" s="261"/>
    </row>
    <row r="5841" spans="2:5" x14ac:dyDescent="0.3">
      <c r="B5841" s="274"/>
      <c r="C5841" s="108"/>
      <c r="D5841" s="261"/>
      <c r="E5841" s="261"/>
    </row>
    <row r="5842" spans="2:5" x14ac:dyDescent="0.3">
      <c r="B5842" s="274"/>
      <c r="C5842" s="108"/>
      <c r="D5842" s="261"/>
      <c r="E5842" s="261"/>
    </row>
    <row r="5843" spans="2:5" x14ac:dyDescent="0.3">
      <c r="B5843" s="274"/>
      <c r="C5843" s="108"/>
      <c r="D5843" s="261"/>
      <c r="E5843" s="261"/>
    </row>
    <row r="5844" spans="2:5" x14ac:dyDescent="0.3">
      <c r="B5844" s="274"/>
      <c r="C5844" s="108"/>
      <c r="D5844" s="261"/>
      <c r="E5844" s="261"/>
    </row>
    <row r="5845" spans="2:5" x14ac:dyDescent="0.3">
      <c r="B5845" s="274"/>
      <c r="C5845" s="108"/>
      <c r="D5845" s="261"/>
      <c r="E5845" s="261"/>
    </row>
    <row r="5846" spans="2:5" x14ac:dyDescent="0.3">
      <c r="B5846" s="274"/>
      <c r="C5846" s="108"/>
      <c r="D5846" s="261"/>
      <c r="E5846" s="261"/>
    </row>
    <row r="5847" spans="2:5" x14ac:dyDescent="0.3">
      <c r="B5847" s="274"/>
      <c r="C5847" s="108"/>
      <c r="D5847" s="261"/>
      <c r="E5847" s="261"/>
    </row>
    <row r="5848" spans="2:5" x14ac:dyDescent="0.3">
      <c r="B5848" s="274"/>
      <c r="C5848" s="108"/>
      <c r="D5848" s="261"/>
      <c r="E5848" s="261"/>
    </row>
    <row r="5849" spans="2:5" x14ac:dyDescent="0.3">
      <c r="B5849" s="274"/>
      <c r="C5849" s="108"/>
      <c r="D5849" s="261"/>
      <c r="E5849" s="261"/>
    </row>
    <row r="5850" spans="2:5" x14ac:dyDescent="0.3">
      <c r="B5850" s="274"/>
      <c r="C5850" s="108"/>
      <c r="D5850" s="261"/>
      <c r="E5850" s="261"/>
    </row>
    <row r="5851" spans="2:5" x14ac:dyDescent="0.3">
      <c r="B5851" s="274"/>
      <c r="C5851" s="108"/>
      <c r="D5851" s="261"/>
      <c r="E5851" s="261"/>
    </row>
    <row r="5852" spans="2:5" x14ac:dyDescent="0.3">
      <c r="B5852" s="274"/>
      <c r="C5852" s="108"/>
      <c r="D5852" s="261"/>
      <c r="E5852" s="261"/>
    </row>
    <row r="5853" spans="2:5" x14ac:dyDescent="0.3">
      <c r="B5853" s="274"/>
      <c r="C5853" s="108"/>
      <c r="D5853" s="261"/>
      <c r="E5853" s="261"/>
    </row>
    <row r="5854" spans="2:5" x14ac:dyDescent="0.3">
      <c r="B5854" s="274"/>
      <c r="C5854" s="108"/>
      <c r="D5854" s="261"/>
      <c r="E5854" s="261"/>
    </row>
    <row r="5855" spans="2:5" x14ac:dyDescent="0.3">
      <c r="B5855" s="274"/>
      <c r="C5855" s="108"/>
      <c r="D5855" s="261"/>
      <c r="E5855" s="261"/>
    </row>
    <row r="5856" spans="2:5" x14ac:dyDescent="0.3">
      <c r="B5856" s="274"/>
      <c r="C5856" s="108"/>
      <c r="D5856" s="261"/>
      <c r="E5856" s="261"/>
    </row>
    <row r="5857" spans="2:5" x14ac:dyDescent="0.3">
      <c r="B5857" s="274"/>
      <c r="C5857" s="108"/>
      <c r="D5857" s="261"/>
      <c r="E5857" s="261"/>
    </row>
    <row r="5858" spans="2:5" x14ac:dyDescent="0.3">
      <c r="B5858" s="274"/>
      <c r="C5858" s="108"/>
      <c r="D5858" s="261"/>
      <c r="E5858" s="261"/>
    </row>
    <row r="5859" spans="2:5" x14ac:dyDescent="0.3">
      <c r="B5859" s="274"/>
      <c r="C5859" s="108"/>
      <c r="D5859" s="261"/>
      <c r="E5859" s="261"/>
    </row>
    <row r="5860" spans="2:5" x14ac:dyDescent="0.3">
      <c r="B5860" s="274"/>
      <c r="C5860" s="108"/>
      <c r="D5860" s="261"/>
      <c r="E5860" s="261"/>
    </row>
    <row r="5861" spans="2:5" x14ac:dyDescent="0.3">
      <c r="B5861" s="274"/>
      <c r="C5861" s="108"/>
      <c r="D5861" s="261"/>
      <c r="E5861" s="261"/>
    </row>
    <row r="5862" spans="2:5" x14ac:dyDescent="0.3">
      <c r="B5862" s="274"/>
      <c r="C5862" s="108"/>
      <c r="D5862" s="261"/>
      <c r="E5862" s="261"/>
    </row>
    <row r="5863" spans="2:5" x14ac:dyDescent="0.3">
      <c r="B5863" s="274"/>
      <c r="C5863" s="108"/>
      <c r="D5863" s="261"/>
      <c r="E5863" s="261"/>
    </row>
    <row r="5864" spans="2:5" x14ac:dyDescent="0.3">
      <c r="B5864" s="274"/>
      <c r="C5864" s="108"/>
      <c r="D5864" s="261"/>
      <c r="E5864" s="261"/>
    </row>
    <row r="5865" spans="2:5" x14ac:dyDescent="0.3">
      <c r="B5865" s="274"/>
      <c r="C5865" s="108"/>
      <c r="D5865" s="261"/>
      <c r="E5865" s="261"/>
    </row>
    <row r="5866" spans="2:5" x14ac:dyDescent="0.3">
      <c r="B5866" s="274"/>
      <c r="C5866" s="108"/>
      <c r="D5866" s="261"/>
      <c r="E5866" s="261"/>
    </row>
    <row r="5867" spans="2:5" x14ac:dyDescent="0.3">
      <c r="B5867" s="274"/>
      <c r="C5867" s="108"/>
      <c r="D5867" s="261"/>
      <c r="E5867" s="261"/>
    </row>
    <row r="5868" spans="2:5" x14ac:dyDescent="0.3">
      <c r="B5868" s="274"/>
      <c r="C5868" s="108"/>
      <c r="D5868" s="261"/>
      <c r="E5868" s="261"/>
    </row>
    <row r="5869" spans="2:5" x14ac:dyDescent="0.3">
      <c r="B5869" s="274"/>
      <c r="C5869" s="108"/>
      <c r="D5869" s="261"/>
      <c r="E5869" s="261"/>
    </row>
    <row r="5870" spans="2:5" x14ac:dyDescent="0.3">
      <c r="B5870" s="274"/>
      <c r="C5870" s="108"/>
      <c r="D5870" s="261"/>
      <c r="E5870" s="261"/>
    </row>
    <row r="5871" spans="2:5" x14ac:dyDescent="0.3">
      <c r="B5871" s="274"/>
      <c r="C5871" s="108"/>
      <c r="D5871" s="261"/>
      <c r="E5871" s="261"/>
    </row>
    <row r="5872" spans="2:5" x14ac:dyDescent="0.3">
      <c r="B5872" s="274"/>
      <c r="C5872" s="108"/>
      <c r="D5872" s="261"/>
      <c r="E5872" s="261"/>
    </row>
    <row r="5873" spans="2:5" x14ac:dyDescent="0.3">
      <c r="B5873" s="274"/>
      <c r="C5873" s="108"/>
      <c r="D5873" s="261"/>
      <c r="E5873" s="261"/>
    </row>
    <row r="5874" spans="2:5" x14ac:dyDescent="0.3">
      <c r="B5874" s="274"/>
      <c r="C5874" s="108"/>
      <c r="D5874" s="261"/>
      <c r="E5874" s="261"/>
    </row>
    <row r="5875" spans="2:5" x14ac:dyDescent="0.3">
      <c r="B5875" s="274"/>
      <c r="C5875" s="108"/>
      <c r="D5875" s="261"/>
      <c r="E5875" s="261"/>
    </row>
    <row r="5876" spans="2:5" x14ac:dyDescent="0.3">
      <c r="B5876" s="274"/>
      <c r="C5876" s="108"/>
      <c r="D5876" s="261"/>
      <c r="E5876" s="261"/>
    </row>
    <row r="5877" spans="2:5" x14ac:dyDescent="0.3">
      <c r="B5877" s="274"/>
      <c r="C5877" s="108"/>
      <c r="D5877" s="261"/>
      <c r="E5877" s="261"/>
    </row>
    <row r="5878" spans="2:5" x14ac:dyDescent="0.3">
      <c r="B5878" s="274"/>
      <c r="C5878" s="108"/>
      <c r="D5878" s="261"/>
      <c r="E5878" s="261"/>
    </row>
    <row r="5879" spans="2:5" x14ac:dyDescent="0.3">
      <c r="B5879" s="274"/>
      <c r="C5879" s="108"/>
      <c r="D5879" s="261"/>
      <c r="E5879" s="261"/>
    </row>
    <row r="5880" spans="2:5" x14ac:dyDescent="0.3">
      <c r="B5880" s="274"/>
      <c r="C5880" s="108"/>
      <c r="D5880" s="261"/>
      <c r="E5880" s="261"/>
    </row>
    <row r="5881" spans="2:5" x14ac:dyDescent="0.3">
      <c r="B5881" s="274"/>
      <c r="C5881" s="108"/>
      <c r="D5881" s="261"/>
      <c r="E5881" s="261"/>
    </row>
    <row r="5882" spans="2:5" x14ac:dyDescent="0.3">
      <c r="B5882" s="274"/>
      <c r="C5882" s="108"/>
      <c r="D5882" s="261"/>
      <c r="E5882" s="261"/>
    </row>
    <row r="5883" spans="2:5" x14ac:dyDescent="0.3">
      <c r="B5883" s="274"/>
      <c r="C5883" s="108"/>
      <c r="D5883" s="261"/>
      <c r="E5883" s="261"/>
    </row>
    <row r="5884" spans="2:5" x14ac:dyDescent="0.3">
      <c r="B5884" s="274"/>
      <c r="C5884" s="108"/>
      <c r="D5884" s="261"/>
      <c r="E5884" s="261"/>
    </row>
    <row r="5885" spans="2:5" x14ac:dyDescent="0.3">
      <c r="B5885" s="274"/>
      <c r="C5885" s="108"/>
      <c r="D5885" s="261"/>
      <c r="E5885" s="261"/>
    </row>
    <row r="5886" spans="2:5" x14ac:dyDescent="0.3">
      <c r="B5886" s="274"/>
      <c r="C5886" s="108"/>
      <c r="D5886" s="261"/>
      <c r="E5886" s="261"/>
    </row>
    <row r="5887" spans="2:5" x14ac:dyDescent="0.3">
      <c r="B5887" s="274"/>
      <c r="C5887" s="108"/>
      <c r="D5887" s="261"/>
      <c r="E5887" s="261"/>
    </row>
    <row r="5888" spans="2:5" x14ac:dyDescent="0.3">
      <c r="B5888" s="274"/>
      <c r="C5888" s="108"/>
      <c r="D5888" s="261"/>
      <c r="E5888" s="261"/>
    </row>
    <row r="5889" spans="2:5" x14ac:dyDescent="0.3">
      <c r="B5889" s="274"/>
      <c r="C5889" s="108"/>
      <c r="D5889" s="261"/>
      <c r="E5889" s="261"/>
    </row>
    <row r="5890" spans="2:5" x14ac:dyDescent="0.3">
      <c r="B5890" s="274"/>
      <c r="C5890" s="108"/>
      <c r="D5890" s="261"/>
      <c r="E5890" s="261"/>
    </row>
    <row r="5891" spans="2:5" x14ac:dyDescent="0.3">
      <c r="B5891" s="274"/>
      <c r="C5891" s="108"/>
      <c r="D5891" s="261"/>
      <c r="E5891" s="261"/>
    </row>
    <row r="5892" spans="2:5" x14ac:dyDescent="0.3">
      <c r="B5892" s="274"/>
      <c r="C5892" s="108"/>
      <c r="D5892" s="261"/>
      <c r="E5892" s="261"/>
    </row>
    <row r="5893" spans="2:5" x14ac:dyDescent="0.3">
      <c r="B5893" s="274"/>
      <c r="C5893" s="108"/>
      <c r="D5893" s="261"/>
      <c r="E5893" s="261"/>
    </row>
    <row r="5894" spans="2:5" x14ac:dyDescent="0.3">
      <c r="B5894" s="274"/>
      <c r="C5894" s="108"/>
      <c r="D5894" s="261"/>
      <c r="E5894" s="261"/>
    </row>
    <row r="5895" spans="2:5" x14ac:dyDescent="0.3">
      <c r="B5895" s="274"/>
      <c r="C5895" s="108"/>
      <c r="D5895" s="261"/>
      <c r="E5895" s="261"/>
    </row>
    <row r="5896" spans="2:5" x14ac:dyDescent="0.3">
      <c r="B5896" s="274"/>
      <c r="C5896" s="108"/>
      <c r="D5896" s="261"/>
      <c r="E5896" s="261"/>
    </row>
    <row r="5897" spans="2:5" x14ac:dyDescent="0.3">
      <c r="B5897" s="274"/>
      <c r="C5897" s="108"/>
      <c r="D5897" s="261"/>
      <c r="E5897" s="261"/>
    </row>
    <row r="5898" spans="2:5" x14ac:dyDescent="0.3">
      <c r="B5898" s="274"/>
      <c r="C5898" s="108"/>
      <c r="D5898" s="261"/>
      <c r="E5898" s="261"/>
    </row>
    <row r="5899" spans="2:5" x14ac:dyDescent="0.3">
      <c r="B5899" s="274"/>
      <c r="C5899" s="108"/>
      <c r="D5899" s="261"/>
      <c r="E5899" s="261"/>
    </row>
    <row r="5900" spans="2:5" x14ac:dyDescent="0.3">
      <c r="B5900" s="274"/>
      <c r="C5900" s="108"/>
      <c r="D5900" s="261"/>
      <c r="E5900" s="261"/>
    </row>
    <row r="5901" spans="2:5" x14ac:dyDescent="0.3">
      <c r="B5901" s="274"/>
      <c r="C5901" s="108"/>
      <c r="D5901" s="261"/>
      <c r="E5901" s="261"/>
    </row>
    <row r="5902" spans="2:5" x14ac:dyDescent="0.3">
      <c r="B5902" s="274"/>
      <c r="C5902" s="108"/>
      <c r="D5902" s="261"/>
      <c r="E5902" s="261"/>
    </row>
    <row r="5903" spans="2:5" x14ac:dyDescent="0.3">
      <c r="B5903" s="274"/>
      <c r="C5903" s="108"/>
      <c r="D5903" s="261"/>
      <c r="E5903" s="261"/>
    </row>
    <row r="5904" spans="2:5" x14ac:dyDescent="0.3">
      <c r="B5904" s="274"/>
      <c r="C5904" s="108"/>
      <c r="D5904" s="261"/>
      <c r="E5904" s="261"/>
    </row>
    <row r="5905" spans="2:5" x14ac:dyDescent="0.3">
      <c r="B5905" s="274"/>
      <c r="C5905" s="108"/>
      <c r="D5905" s="261"/>
      <c r="E5905" s="261"/>
    </row>
    <row r="5906" spans="2:5" x14ac:dyDescent="0.3">
      <c r="B5906" s="274"/>
      <c r="C5906" s="108"/>
      <c r="D5906" s="261"/>
      <c r="E5906" s="261"/>
    </row>
    <row r="5907" spans="2:5" x14ac:dyDescent="0.3">
      <c r="B5907" s="274"/>
      <c r="C5907" s="108"/>
      <c r="D5907" s="261"/>
      <c r="E5907" s="261"/>
    </row>
    <row r="5908" spans="2:5" x14ac:dyDescent="0.3">
      <c r="B5908" s="274"/>
      <c r="C5908" s="108"/>
      <c r="D5908" s="261"/>
      <c r="E5908" s="261"/>
    </row>
    <row r="5909" spans="2:5" x14ac:dyDescent="0.3">
      <c r="B5909" s="274"/>
      <c r="C5909" s="108"/>
      <c r="D5909" s="261"/>
      <c r="E5909" s="261"/>
    </row>
    <row r="5910" spans="2:5" x14ac:dyDescent="0.3">
      <c r="B5910" s="274"/>
      <c r="C5910" s="108"/>
      <c r="D5910" s="261"/>
      <c r="E5910" s="261"/>
    </row>
    <row r="5911" spans="2:5" x14ac:dyDescent="0.3">
      <c r="B5911" s="274"/>
      <c r="C5911" s="108"/>
      <c r="D5911" s="261"/>
      <c r="E5911" s="261"/>
    </row>
    <row r="5912" spans="2:5" x14ac:dyDescent="0.3">
      <c r="B5912" s="274"/>
      <c r="C5912" s="108"/>
      <c r="D5912" s="261"/>
      <c r="E5912" s="261"/>
    </row>
    <row r="5913" spans="2:5" x14ac:dyDescent="0.3">
      <c r="B5913" s="274"/>
      <c r="C5913" s="108"/>
      <c r="D5913" s="261"/>
      <c r="E5913" s="261"/>
    </row>
    <row r="5914" spans="2:5" x14ac:dyDescent="0.3">
      <c r="B5914" s="274"/>
      <c r="C5914" s="108"/>
      <c r="D5914" s="261"/>
      <c r="E5914" s="261"/>
    </row>
    <row r="5915" spans="2:5" x14ac:dyDescent="0.3">
      <c r="B5915" s="274"/>
      <c r="C5915" s="108"/>
      <c r="D5915" s="261"/>
      <c r="E5915" s="261"/>
    </row>
    <row r="5916" spans="2:5" x14ac:dyDescent="0.3">
      <c r="B5916" s="274"/>
      <c r="C5916" s="108"/>
      <c r="D5916" s="261"/>
      <c r="E5916" s="261"/>
    </row>
    <row r="5917" spans="2:5" x14ac:dyDescent="0.3">
      <c r="B5917" s="274"/>
      <c r="C5917" s="108"/>
      <c r="D5917" s="261"/>
      <c r="E5917" s="261"/>
    </row>
    <row r="5918" spans="2:5" x14ac:dyDescent="0.3">
      <c r="B5918" s="274"/>
      <c r="C5918" s="108"/>
      <c r="D5918" s="261"/>
      <c r="E5918" s="261"/>
    </row>
    <row r="5919" spans="2:5" x14ac:dyDescent="0.3">
      <c r="B5919" s="274"/>
      <c r="C5919" s="108"/>
      <c r="D5919" s="261"/>
      <c r="E5919" s="261"/>
    </row>
    <row r="5920" spans="2:5" x14ac:dyDescent="0.3">
      <c r="B5920" s="274"/>
      <c r="C5920" s="108"/>
      <c r="D5920" s="261"/>
      <c r="E5920" s="261"/>
    </row>
    <row r="5921" spans="2:5" x14ac:dyDescent="0.3">
      <c r="B5921" s="274"/>
      <c r="C5921" s="108"/>
      <c r="D5921" s="261"/>
      <c r="E5921" s="261"/>
    </row>
    <row r="5922" spans="2:5" x14ac:dyDescent="0.3">
      <c r="B5922" s="274"/>
      <c r="C5922" s="108"/>
      <c r="D5922" s="261"/>
      <c r="E5922" s="261"/>
    </row>
    <row r="5923" spans="2:5" x14ac:dyDescent="0.3">
      <c r="B5923" s="274"/>
      <c r="C5923" s="108"/>
      <c r="D5923" s="261"/>
      <c r="E5923" s="261"/>
    </row>
    <row r="5924" spans="2:5" x14ac:dyDescent="0.3">
      <c r="B5924" s="274"/>
      <c r="C5924" s="108"/>
      <c r="D5924" s="261"/>
      <c r="E5924" s="261"/>
    </row>
    <row r="5925" spans="2:5" x14ac:dyDescent="0.3">
      <c r="B5925" s="274"/>
      <c r="C5925" s="108"/>
      <c r="D5925" s="261"/>
      <c r="E5925" s="261"/>
    </row>
    <row r="5926" spans="2:5" x14ac:dyDescent="0.3">
      <c r="B5926" s="274"/>
      <c r="C5926" s="108"/>
      <c r="D5926" s="261"/>
      <c r="E5926" s="261"/>
    </row>
    <row r="5927" spans="2:5" x14ac:dyDescent="0.3">
      <c r="B5927" s="274"/>
      <c r="C5927" s="108"/>
      <c r="D5927" s="261"/>
      <c r="E5927" s="261"/>
    </row>
    <row r="5928" spans="2:5" x14ac:dyDescent="0.3">
      <c r="B5928" s="274"/>
      <c r="C5928" s="108"/>
      <c r="D5928" s="261"/>
      <c r="E5928" s="261"/>
    </row>
    <row r="5929" spans="2:5" x14ac:dyDescent="0.3">
      <c r="B5929" s="274"/>
      <c r="C5929" s="108"/>
      <c r="D5929" s="261"/>
      <c r="E5929" s="261"/>
    </row>
    <row r="5930" spans="2:5" x14ac:dyDescent="0.3">
      <c r="B5930" s="274"/>
      <c r="C5930" s="108"/>
      <c r="D5930" s="261"/>
      <c r="E5930" s="261"/>
    </row>
    <row r="5931" spans="2:5" x14ac:dyDescent="0.3">
      <c r="B5931" s="274"/>
      <c r="C5931" s="108"/>
      <c r="D5931" s="261"/>
      <c r="E5931" s="261"/>
    </row>
    <row r="5932" spans="2:5" x14ac:dyDescent="0.3">
      <c r="B5932" s="274"/>
      <c r="C5932" s="108"/>
      <c r="D5932" s="261"/>
      <c r="E5932" s="261"/>
    </row>
    <row r="5933" spans="2:5" x14ac:dyDescent="0.3">
      <c r="B5933" s="274"/>
      <c r="C5933" s="108"/>
      <c r="D5933" s="261"/>
      <c r="E5933" s="261"/>
    </row>
    <row r="5934" spans="2:5" x14ac:dyDescent="0.3">
      <c r="B5934" s="274"/>
      <c r="C5934" s="108"/>
      <c r="D5934" s="261"/>
      <c r="E5934" s="261"/>
    </row>
    <row r="5935" spans="2:5" x14ac:dyDescent="0.3">
      <c r="B5935" s="274"/>
      <c r="C5935" s="108"/>
      <c r="D5935" s="261"/>
      <c r="E5935" s="261"/>
    </row>
    <row r="5936" spans="2:5" x14ac:dyDescent="0.3">
      <c r="B5936" s="274"/>
      <c r="C5936" s="108"/>
      <c r="D5936" s="261"/>
      <c r="E5936" s="261"/>
    </row>
    <row r="5937" spans="2:5" x14ac:dyDescent="0.3">
      <c r="B5937" s="274"/>
      <c r="C5937" s="108"/>
      <c r="D5937" s="261"/>
      <c r="E5937" s="261"/>
    </row>
    <row r="5938" spans="2:5" x14ac:dyDescent="0.3">
      <c r="B5938" s="274"/>
      <c r="C5938" s="108"/>
      <c r="D5938" s="261"/>
      <c r="E5938" s="261"/>
    </row>
    <row r="5939" spans="2:5" x14ac:dyDescent="0.3">
      <c r="B5939" s="274"/>
      <c r="C5939" s="108"/>
      <c r="D5939" s="261"/>
      <c r="E5939" s="261"/>
    </row>
    <row r="5940" spans="2:5" x14ac:dyDescent="0.3">
      <c r="B5940" s="274"/>
      <c r="C5940" s="108"/>
      <c r="D5940" s="261"/>
      <c r="E5940" s="261"/>
    </row>
    <row r="5941" spans="2:5" x14ac:dyDescent="0.3">
      <c r="B5941" s="274"/>
      <c r="C5941" s="108"/>
      <c r="D5941" s="261"/>
      <c r="E5941" s="261"/>
    </row>
    <row r="5942" spans="2:5" x14ac:dyDescent="0.3">
      <c r="B5942" s="274"/>
      <c r="C5942" s="108"/>
      <c r="D5942" s="261"/>
      <c r="E5942" s="261"/>
    </row>
    <row r="5943" spans="2:5" x14ac:dyDescent="0.3">
      <c r="B5943" s="274"/>
      <c r="C5943" s="108"/>
      <c r="D5943" s="261"/>
      <c r="E5943" s="261"/>
    </row>
    <row r="5944" spans="2:5" x14ac:dyDescent="0.3">
      <c r="B5944" s="274"/>
      <c r="C5944" s="108"/>
      <c r="D5944" s="261"/>
      <c r="E5944" s="261"/>
    </row>
    <row r="5945" spans="2:5" x14ac:dyDescent="0.3">
      <c r="B5945" s="274"/>
      <c r="C5945" s="108"/>
      <c r="D5945" s="261"/>
      <c r="E5945" s="261"/>
    </row>
    <row r="5946" spans="2:5" x14ac:dyDescent="0.3">
      <c r="B5946" s="274"/>
      <c r="C5946" s="108"/>
      <c r="D5946" s="261"/>
      <c r="E5946" s="261"/>
    </row>
    <row r="5947" spans="2:5" x14ac:dyDescent="0.3">
      <c r="B5947" s="274"/>
      <c r="C5947" s="108"/>
      <c r="D5947" s="261"/>
      <c r="E5947" s="261"/>
    </row>
    <row r="5948" spans="2:5" x14ac:dyDescent="0.3">
      <c r="B5948" s="274"/>
      <c r="C5948" s="108"/>
      <c r="D5948" s="261"/>
      <c r="E5948" s="261"/>
    </row>
    <row r="5949" spans="2:5" x14ac:dyDescent="0.3">
      <c r="B5949" s="274"/>
      <c r="C5949" s="108"/>
      <c r="D5949" s="261"/>
      <c r="E5949" s="261"/>
    </row>
    <row r="5950" spans="2:5" x14ac:dyDescent="0.3">
      <c r="B5950" s="274"/>
      <c r="C5950" s="108"/>
      <c r="D5950" s="261"/>
      <c r="E5950" s="261"/>
    </row>
    <row r="5951" spans="2:5" x14ac:dyDescent="0.3">
      <c r="B5951" s="274"/>
      <c r="C5951" s="108"/>
      <c r="D5951" s="261"/>
      <c r="E5951" s="261"/>
    </row>
    <row r="5952" spans="2:5" x14ac:dyDescent="0.3">
      <c r="B5952" s="274"/>
      <c r="C5952" s="108"/>
      <c r="D5952" s="261"/>
      <c r="E5952" s="261"/>
    </row>
    <row r="5953" spans="2:5" x14ac:dyDescent="0.3">
      <c r="B5953" s="274"/>
      <c r="C5953" s="108"/>
      <c r="D5953" s="261"/>
      <c r="E5953" s="261"/>
    </row>
    <row r="5954" spans="2:5" x14ac:dyDescent="0.3">
      <c r="B5954" s="274"/>
      <c r="C5954" s="108"/>
      <c r="D5954" s="261"/>
      <c r="E5954" s="261"/>
    </row>
    <row r="5955" spans="2:5" x14ac:dyDescent="0.3">
      <c r="B5955" s="274"/>
      <c r="C5955" s="108"/>
      <c r="D5955" s="261"/>
      <c r="E5955" s="261"/>
    </row>
    <row r="5956" spans="2:5" x14ac:dyDescent="0.3">
      <c r="B5956" s="274"/>
      <c r="C5956" s="108"/>
      <c r="D5956" s="261"/>
      <c r="E5956" s="261"/>
    </row>
    <row r="5957" spans="2:5" x14ac:dyDescent="0.3">
      <c r="B5957" s="274"/>
      <c r="C5957" s="108"/>
      <c r="D5957" s="261"/>
      <c r="E5957" s="261"/>
    </row>
    <row r="5958" spans="2:5" x14ac:dyDescent="0.3">
      <c r="B5958" s="274"/>
      <c r="C5958" s="108"/>
      <c r="D5958" s="261"/>
      <c r="E5958" s="261"/>
    </row>
    <row r="5959" spans="2:5" x14ac:dyDescent="0.3">
      <c r="B5959" s="274"/>
      <c r="C5959" s="108"/>
      <c r="D5959" s="261"/>
      <c r="E5959" s="261"/>
    </row>
    <row r="5960" spans="2:5" x14ac:dyDescent="0.3">
      <c r="B5960" s="274"/>
      <c r="C5960" s="108"/>
      <c r="D5960" s="261"/>
      <c r="E5960" s="261"/>
    </row>
    <row r="5961" spans="2:5" x14ac:dyDescent="0.3">
      <c r="B5961" s="274"/>
      <c r="C5961" s="108"/>
      <c r="D5961" s="261"/>
      <c r="E5961" s="261"/>
    </row>
    <row r="5962" spans="2:5" x14ac:dyDescent="0.3">
      <c r="B5962" s="274"/>
      <c r="C5962" s="108"/>
      <c r="D5962" s="261"/>
      <c r="E5962" s="261"/>
    </row>
    <row r="5963" spans="2:5" x14ac:dyDescent="0.3">
      <c r="B5963" s="274"/>
      <c r="C5963" s="108"/>
      <c r="D5963" s="261"/>
      <c r="E5963" s="261"/>
    </row>
    <row r="5964" spans="2:5" x14ac:dyDescent="0.3">
      <c r="B5964" s="274"/>
      <c r="C5964" s="108"/>
      <c r="D5964" s="261"/>
      <c r="E5964" s="261"/>
    </row>
    <row r="5965" spans="2:5" x14ac:dyDescent="0.3">
      <c r="B5965" s="274"/>
      <c r="C5965" s="108"/>
      <c r="D5965" s="261"/>
      <c r="E5965" s="261"/>
    </row>
    <row r="5966" spans="2:5" x14ac:dyDescent="0.3">
      <c r="B5966" s="274"/>
      <c r="C5966" s="108"/>
      <c r="D5966" s="261"/>
      <c r="E5966" s="261"/>
    </row>
    <row r="5967" spans="2:5" x14ac:dyDescent="0.3">
      <c r="B5967" s="274"/>
      <c r="C5967" s="108"/>
      <c r="D5967" s="261"/>
      <c r="E5967" s="261"/>
    </row>
    <row r="5968" spans="2:5" x14ac:dyDescent="0.3">
      <c r="B5968" s="274"/>
      <c r="C5968" s="108"/>
      <c r="D5968" s="261"/>
      <c r="E5968" s="261"/>
    </row>
    <row r="5969" spans="2:5" x14ac:dyDescent="0.3">
      <c r="B5969" s="274"/>
      <c r="C5969" s="108"/>
      <c r="D5969" s="261"/>
      <c r="E5969" s="261"/>
    </row>
    <row r="5970" spans="2:5" x14ac:dyDescent="0.3">
      <c r="B5970" s="274"/>
      <c r="C5970" s="108"/>
      <c r="D5970" s="261"/>
      <c r="E5970" s="261"/>
    </row>
    <row r="5971" spans="2:5" x14ac:dyDescent="0.3">
      <c r="B5971" s="274"/>
      <c r="C5971" s="108"/>
      <c r="D5971" s="261"/>
      <c r="E5971" s="261"/>
    </row>
    <row r="5972" spans="2:5" x14ac:dyDescent="0.3">
      <c r="B5972" s="274"/>
      <c r="C5972" s="108"/>
      <c r="D5972" s="261"/>
      <c r="E5972" s="261"/>
    </row>
    <row r="5973" spans="2:5" x14ac:dyDescent="0.3">
      <c r="B5973" s="274"/>
      <c r="C5973" s="108"/>
      <c r="D5973" s="261"/>
      <c r="E5973" s="261"/>
    </row>
    <row r="5974" spans="2:5" x14ac:dyDescent="0.3">
      <c r="B5974" s="274"/>
      <c r="C5974" s="108"/>
      <c r="D5974" s="261"/>
      <c r="E5974" s="261"/>
    </row>
    <row r="5975" spans="2:5" x14ac:dyDescent="0.3">
      <c r="B5975" s="274"/>
      <c r="C5975" s="108"/>
      <c r="D5975" s="261"/>
      <c r="E5975" s="261"/>
    </row>
    <row r="5976" spans="2:5" x14ac:dyDescent="0.3">
      <c r="B5976" s="274"/>
      <c r="C5976" s="108"/>
      <c r="D5976" s="261"/>
      <c r="E5976" s="261"/>
    </row>
    <row r="5977" spans="2:5" x14ac:dyDescent="0.3">
      <c r="B5977" s="274"/>
      <c r="C5977" s="108"/>
      <c r="D5977" s="261"/>
      <c r="E5977" s="261"/>
    </row>
    <row r="5978" spans="2:5" x14ac:dyDescent="0.3">
      <c r="B5978" s="274"/>
      <c r="C5978" s="108"/>
      <c r="D5978" s="261"/>
      <c r="E5978" s="261"/>
    </row>
    <row r="5979" spans="2:5" x14ac:dyDescent="0.3">
      <c r="B5979" s="274"/>
      <c r="C5979" s="108"/>
      <c r="D5979" s="261"/>
      <c r="E5979" s="261"/>
    </row>
    <row r="5980" spans="2:5" x14ac:dyDescent="0.3">
      <c r="B5980" s="274"/>
      <c r="C5980" s="108"/>
      <c r="D5980" s="261"/>
      <c r="E5980" s="261"/>
    </row>
    <row r="5981" spans="2:5" x14ac:dyDescent="0.3">
      <c r="B5981" s="274"/>
      <c r="C5981" s="108"/>
      <c r="D5981" s="261"/>
      <c r="E5981" s="261"/>
    </row>
    <row r="5982" spans="2:5" x14ac:dyDescent="0.3">
      <c r="B5982" s="274"/>
      <c r="C5982" s="108"/>
      <c r="D5982" s="261"/>
      <c r="E5982" s="261"/>
    </row>
    <row r="5983" spans="2:5" x14ac:dyDescent="0.3">
      <c r="B5983" s="274"/>
      <c r="C5983" s="108"/>
      <c r="D5983" s="261"/>
      <c r="E5983" s="261"/>
    </row>
    <row r="5984" spans="2:5" x14ac:dyDescent="0.3">
      <c r="B5984" s="274"/>
      <c r="C5984" s="108"/>
      <c r="D5984" s="261"/>
      <c r="E5984" s="261"/>
    </row>
    <row r="5985" spans="2:5" x14ac:dyDescent="0.3">
      <c r="B5985" s="274"/>
      <c r="C5985" s="108"/>
      <c r="D5985" s="261"/>
      <c r="E5985" s="261"/>
    </row>
    <row r="5986" spans="2:5" x14ac:dyDescent="0.3">
      <c r="B5986" s="274"/>
      <c r="C5986" s="108"/>
      <c r="D5986" s="261"/>
      <c r="E5986" s="261"/>
    </row>
    <row r="5987" spans="2:5" x14ac:dyDescent="0.3">
      <c r="B5987" s="274"/>
      <c r="C5987" s="108"/>
      <c r="D5987" s="261"/>
      <c r="E5987" s="261"/>
    </row>
    <row r="5988" spans="2:5" x14ac:dyDescent="0.3">
      <c r="B5988" s="274"/>
      <c r="C5988" s="108"/>
      <c r="D5988" s="261"/>
      <c r="E5988" s="261"/>
    </row>
    <row r="5989" spans="2:5" x14ac:dyDescent="0.3">
      <c r="B5989" s="274"/>
      <c r="C5989" s="108"/>
      <c r="D5989" s="261"/>
      <c r="E5989" s="261"/>
    </row>
    <row r="5990" spans="2:5" x14ac:dyDescent="0.3">
      <c r="B5990" s="274"/>
      <c r="C5990" s="108"/>
      <c r="D5990" s="261"/>
      <c r="E5990" s="261"/>
    </row>
    <row r="5991" spans="2:5" x14ac:dyDescent="0.3">
      <c r="B5991" s="274"/>
      <c r="C5991" s="108"/>
      <c r="D5991" s="261"/>
      <c r="E5991" s="261"/>
    </row>
    <row r="5992" spans="2:5" x14ac:dyDescent="0.3">
      <c r="B5992" s="274"/>
      <c r="C5992" s="108"/>
      <c r="D5992" s="261"/>
      <c r="E5992" s="261"/>
    </row>
    <row r="5993" spans="2:5" x14ac:dyDescent="0.3">
      <c r="B5993" s="274"/>
      <c r="C5993" s="108"/>
      <c r="D5993" s="261"/>
      <c r="E5993" s="261"/>
    </row>
    <row r="5994" spans="2:5" x14ac:dyDescent="0.3">
      <c r="B5994" s="274"/>
      <c r="C5994" s="108"/>
      <c r="D5994" s="261"/>
      <c r="E5994" s="261"/>
    </row>
    <row r="5995" spans="2:5" x14ac:dyDescent="0.3">
      <c r="B5995" s="274"/>
      <c r="C5995" s="108"/>
      <c r="D5995" s="261"/>
      <c r="E5995" s="261"/>
    </row>
    <row r="5996" spans="2:5" x14ac:dyDescent="0.3">
      <c r="B5996" s="274"/>
      <c r="C5996" s="108"/>
      <c r="D5996" s="261"/>
      <c r="E5996" s="261"/>
    </row>
    <row r="5997" spans="2:5" x14ac:dyDescent="0.3">
      <c r="B5997" s="274"/>
      <c r="C5997" s="108"/>
      <c r="D5997" s="261"/>
      <c r="E5997" s="261"/>
    </row>
    <row r="5998" spans="2:5" x14ac:dyDescent="0.3">
      <c r="B5998" s="274"/>
      <c r="C5998" s="108"/>
      <c r="D5998" s="261"/>
      <c r="E5998" s="261"/>
    </row>
    <row r="5999" spans="2:5" x14ac:dyDescent="0.3">
      <c r="B5999" s="274"/>
      <c r="C5999" s="108"/>
      <c r="D5999" s="261"/>
      <c r="E5999" s="261"/>
    </row>
    <row r="6000" spans="2:5" x14ac:dyDescent="0.3">
      <c r="B6000" s="274"/>
      <c r="C6000" s="108"/>
      <c r="D6000" s="261"/>
      <c r="E6000" s="261"/>
    </row>
    <row r="6001" spans="2:5" x14ac:dyDescent="0.3">
      <c r="B6001" s="274"/>
      <c r="C6001" s="108"/>
      <c r="D6001" s="261"/>
      <c r="E6001" s="261"/>
    </row>
    <row r="6002" spans="2:5" x14ac:dyDescent="0.3">
      <c r="B6002" s="274"/>
      <c r="C6002" s="108"/>
      <c r="D6002" s="261"/>
      <c r="E6002" s="261"/>
    </row>
    <row r="6003" spans="2:5" x14ac:dyDescent="0.3">
      <c r="B6003" s="274"/>
      <c r="C6003" s="108"/>
      <c r="D6003" s="261"/>
      <c r="E6003" s="261"/>
    </row>
    <row r="6004" spans="2:5" x14ac:dyDescent="0.3">
      <c r="B6004" s="274"/>
      <c r="C6004" s="108"/>
      <c r="D6004" s="261"/>
      <c r="E6004" s="261"/>
    </row>
    <row r="6005" spans="2:5" x14ac:dyDescent="0.3">
      <c r="B6005" s="274"/>
      <c r="C6005" s="108"/>
      <c r="D6005" s="261"/>
      <c r="E6005" s="261"/>
    </row>
    <row r="6006" spans="2:5" x14ac:dyDescent="0.3">
      <c r="B6006" s="274"/>
      <c r="C6006" s="108"/>
      <c r="D6006" s="261"/>
      <c r="E6006" s="261"/>
    </row>
    <row r="6007" spans="2:5" x14ac:dyDescent="0.3">
      <c r="B6007" s="274"/>
      <c r="C6007" s="108"/>
      <c r="D6007" s="261"/>
      <c r="E6007" s="261"/>
    </row>
    <row r="6008" spans="2:5" x14ac:dyDescent="0.3">
      <c r="B6008" s="274"/>
      <c r="C6008" s="108"/>
      <c r="D6008" s="261"/>
      <c r="E6008" s="261"/>
    </row>
    <row r="6009" spans="2:5" x14ac:dyDescent="0.3">
      <c r="B6009" s="274"/>
      <c r="C6009" s="108"/>
      <c r="D6009" s="261"/>
      <c r="E6009" s="261"/>
    </row>
    <row r="6010" spans="2:5" x14ac:dyDescent="0.3">
      <c r="B6010" s="274"/>
      <c r="C6010" s="108"/>
      <c r="D6010" s="261"/>
      <c r="E6010" s="261"/>
    </row>
    <row r="6011" spans="2:5" x14ac:dyDescent="0.3">
      <c r="B6011" s="274"/>
      <c r="C6011" s="108"/>
      <c r="D6011" s="261"/>
      <c r="E6011" s="261"/>
    </row>
    <row r="6012" spans="2:5" x14ac:dyDescent="0.3">
      <c r="B6012" s="274"/>
      <c r="C6012" s="108"/>
      <c r="D6012" s="261"/>
      <c r="E6012" s="261"/>
    </row>
    <row r="6013" spans="2:5" x14ac:dyDescent="0.3">
      <c r="B6013" s="274"/>
      <c r="C6013" s="108"/>
      <c r="D6013" s="261"/>
      <c r="E6013" s="261"/>
    </row>
    <row r="6014" spans="2:5" x14ac:dyDescent="0.3">
      <c r="B6014" s="274"/>
      <c r="C6014" s="108"/>
      <c r="D6014" s="261"/>
      <c r="E6014" s="261"/>
    </row>
    <row r="6015" spans="2:5" x14ac:dyDescent="0.3">
      <c r="B6015" s="274"/>
      <c r="C6015" s="108"/>
      <c r="D6015" s="261"/>
      <c r="E6015" s="261"/>
    </row>
    <row r="6016" spans="2:5" x14ac:dyDescent="0.3">
      <c r="B6016" s="274"/>
      <c r="C6016" s="108"/>
      <c r="D6016" s="261"/>
      <c r="E6016" s="261"/>
    </row>
    <row r="6017" spans="2:5" x14ac:dyDescent="0.3">
      <c r="B6017" s="274"/>
      <c r="C6017" s="108"/>
      <c r="D6017" s="261"/>
      <c r="E6017" s="261"/>
    </row>
    <row r="6018" spans="2:5" x14ac:dyDescent="0.3">
      <c r="B6018" s="274"/>
      <c r="C6018" s="108"/>
      <c r="D6018" s="261"/>
      <c r="E6018" s="261"/>
    </row>
    <row r="6019" spans="2:5" x14ac:dyDescent="0.3">
      <c r="B6019" s="274"/>
      <c r="C6019" s="108"/>
      <c r="D6019" s="261"/>
      <c r="E6019" s="261"/>
    </row>
    <row r="6020" spans="2:5" x14ac:dyDescent="0.3">
      <c r="B6020" s="274"/>
      <c r="C6020" s="108"/>
      <c r="D6020" s="261"/>
      <c r="E6020" s="261"/>
    </row>
    <row r="6021" spans="2:5" x14ac:dyDescent="0.3">
      <c r="B6021" s="274"/>
      <c r="C6021" s="108"/>
      <c r="D6021" s="261"/>
      <c r="E6021" s="261"/>
    </row>
    <row r="6022" spans="2:5" x14ac:dyDescent="0.3">
      <c r="B6022" s="274"/>
      <c r="C6022" s="108"/>
      <c r="D6022" s="261"/>
      <c r="E6022" s="261"/>
    </row>
    <row r="6023" spans="2:5" x14ac:dyDescent="0.3">
      <c r="B6023" s="274"/>
      <c r="C6023" s="108"/>
      <c r="D6023" s="261"/>
      <c r="E6023" s="261"/>
    </row>
    <row r="6024" spans="2:5" x14ac:dyDescent="0.3">
      <c r="B6024" s="274"/>
      <c r="C6024" s="108"/>
      <c r="D6024" s="261"/>
      <c r="E6024" s="261"/>
    </row>
    <row r="6025" spans="2:5" x14ac:dyDescent="0.3">
      <c r="B6025" s="274"/>
      <c r="C6025" s="108"/>
      <c r="D6025" s="261"/>
      <c r="E6025" s="261"/>
    </row>
    <row r="6026" spans="2:5" x14ac:dyDescent="0.3">
      <c r="B6026" s="274"/>
      <c r="C6026" s="108"/>
      <c r="D6026" s="261"/>
      <c r="E6026" s="261"/>
    </row>
    <row r="6027" spans="2:5" x14ac:dyDescent="0.3">
      <c r="B6027" s="274"/>
      <c r="C6027" s="108"/>
      <c r="D6027" s="261"/>
      <c r="E6027" s="261"/>
    </row>
    <row r="6028" spans="2:5" x14ac:dyDescent="0.3">
      <c r="B6028" s="274"/>
      <c r="C6028" s="108"/>
      <c r="D6028" s="261"/>
      <c r="E6028" s="261"/>
    </row>
    <row r="6029" spans="2:5" x14ac:dyDescent="0.3">
      <c r="B6029" s="274"/>
      <c r="C6029" s="108"/>
      <c r="D6029" s="261"/>
      <c r="E6029" s="261"/>
    </row>
    <row r="6030" spans="2:5" x14ac:dyDescent="0.3">
      <c r="B6030" s="274"/>
      <c r="C6030" s="108"/>
      <c r="D6030" s="261"/>
      <c r="E6030" s="261"/>
    </row>
    <row r="6031" spans="2:5" x14ac:dyDescent="0.3">
      <c r="B6031" s="274"/>
      <c r="C6031" s="108"/>
      <c r="D6031" s="261"/>
      <c r="E6031" s="261"/>
    </row>
    <row r="6032" spans="2:5" x14ac:dyDescent="0.3">
      <c r="B6032" s="274"/>
      <c r="C6032" s="108"/>
      <c r="D6032" s="261"/>
      <c r="E6032" s="261"/>
    </row>
    <row r="6033" spans="2:5" x14ac:dyDescent="0.3">
      <c r="B6033" s="274"/>
      <c r="C6033" s="108"/>
      <c r="D6033" s="261"/>
      <c r="E6033" s="261"/>
    </row>
    <row r="6034" spans="2:5" x14ac:dyDescent="0.3">
      <c r="B6034" s="274"/>
      <c r="C6034" s="108"/>
      <c r="D6034" s="261"/>
      <c r="E6034" s="261"/>
    </row>
    <row r="6035" spans="2:5" x14ac:dyDescent="0.3">
      <c r="B6035" s="274"/>
      <c r="C6035" s="108"/>
      <c r="D6035" s="261"/>
      <c r="E6035" s="261"/>
    </row>
    <row r="6036" spans="2:5" x14ac:dyDescent="0.3">
      <c r="B6036" s="274"/>
      <c r="C6036" s="108"/>
      <c r="D6036" s="261"/>
      <c r="E6036" s="261"/>
    </row>
    <row r="6037" spans="2:5" x14ac:dyDescent="0.3">
      <c r="B6037" s="274"/>
      <c r="C6037" s="108"/>
      <c r="D6037" s="261"/>
      <c r="E6037" s="261"/>
    </row>
    <row r="6038" spans="2:5" x14ac:dyDescent="0.3">
      <c r="B6038" s="274"/>
      <c r="C6038" s="108"/>
      <c r="D6038" s="261"/>
      <c r="E6038" s="261"/>
    </row>
    <row r="6039" spans="2:5" x14ac:dyDescent="0.3">
      <c r="B6039" s="274"/>
      <c r="C6039" s="108"/>
      <c r="D6039" s="261"/>
      <c r="E6039" s="261"/>
    </row>
    <row r="6040" spans="2:5" x14ac:dyDescent="0.3">
      <c r="B6040" s="274"/>
      <c r="C6040" s="108"/>
      <c r="D6040" s="261"/>
      <c r="E6040" s="261"/>
    </row>
    <row r="6041" spans="2:5" x14ac:dyDescent="0.3">
      <c r="B6041" s="274"/>
      <c r="C6041" s="108"/>
      <c r="D6041" s="261"/>
      <c r="E6041" s="261"/>
    </row>
    <row r="6042" spans="2:5" x14ac:dyDescent="0.3">
      <c r="B6042" s="274"/>
      <c r="C6042" s="108"/>
      <c r="D6042" s="261"/>
      <c r="E6042" s="261"/>
    </row>
    <row r="6043" spans="2:5" x14ac:dyDescent="0.3">
      <c r="B6043" s="274"/>
      <c r="C6043" s="108"/>
      <c r="D6043" s="261"/>
      <c r="E6043" s="261"/>
    </row>
    <row r="6044" spans="2:5" x14ac:dyDescent="0.3">
      <c r="B6044" s="274"/>
      <c r="C6044" s="108"/>
      <c r="D6044" s="261"/>
      <c r="E6044" s="261"/>
    </row>
    <row r="6045" spans="2:5" x14ac:dyDescent="0.3">
      <c r="B6045" s="274"/>
      <c r="C6045" s="108"/>
      <c r="D6045" s="261"/>
      <c r="E6045" s="261"/>
    </row>
    <row r="6046" spans="2:5" x14ac:dyDescent="0.3">
      <c r="B6046" s="274"/>
      <c r="C6046" s="108"/>
      <c r="D6046" s="261"/>
      <c r="E6046" s="261"/>
    </row>
    <row r="6047" spans="2:5" x14ac:dyDescent="0.3">
      <c r="B6047" s="274"/>
      <c r="C6047" s="108"/>
      <c r="D6047" s="261"/>
      <c r="E6047" s="261"/>
    </row>
    <row r="6048" spans="2:5" x14ac:dyDescent="0.3">
      <c r="B6048" s="274"/>
      <c r="C6048" s="108"/>
      <c r="D6048" s="261"/>
      <c r="E6048" s="261"/>
    </row>
    <row r="6049" spans="2:5" x14ac:dyDescent="0.3">
      <c r="B6049" s="274"/>
      <c r="C6049" s="108"/>
      <c r="D6049" s="261"/>
      <c r="E6049" s="261"/>
    </row>
    <row r="6050" spans="2:5" x14ac:dyDescent="0.3">
      <c r="B6050" s="274"/>
      <c r="C6050" s="108"/>
      <c r="D6050" s="261"/>
      <c r="E6050" s="261"/>
    </row>
    <row r="6051" spans="2:5" x14ac:dyDescent="0.3">
      <c r="B6051" s="274"/>
      <c r="C6051" s="108"/>
      <c r="D6051" s="261"/>
      <c r="E6051" s="261"/>
    </row>
    <row r="6052" spans="2:5" x14ac:dyDescent="0.3">
      <c r="B6052" s="274"/>
      <c r="C6052" s="108"/>
      <c r="D6052" s="261"/>
      <c r="E6052" s="261"/>
    </row>
    <row r="6053" spans="2:5" x14ac:dyDescent="0.3">
      <c r="B6053" s="274"/>
      <c r="C6053" s="108"/>
      <c r="D6053" s="261"/>
      <c r="E6053" s="261"/>
    </row>
    <row r="6054" spans="2:5" x14ac:dyDescent="0.3">
      <c r="B6054" s="274"/>
      <c r="C6054" s="108"/>
      <c r="D6054" s="261"/>
      <c r="E6054" s="261"/>
    </row>
    <row r="6055" spans="2:5" x14ac:dyDescent="0.3">
      <c r="B6055" s="274"/>
      <c r="C6055" s="108"/>
      <c r="D6055" s="261"/>
      <c r="E6055" s="261"/>
    </row>
    <row r="6056" spans="2:5" x14ac:dyDescent="0.3">
      <c r="B6056" s="274"/>
      <c r="C6056" s="108"/>
      <c r="D6056" s="261"/>
      <c r="E6056" s="261"/>
    </row>
    <row r="6057" spans="2:5" x14ac:dyDescent="0.3">
      <c r="B6057" s="274"/>
      <c r="C6057" s="108"/>
      <c r="D6057" s="261"/>
      <c r="E6057" s="261"/>
    </row>
    <row r="6058" spans="2:5" x14ac:dyDescent="0.3">
      <c r="B6058" s="274"/>
      <c r="C6058" s="108"/>
      <c r="D6058" s="261"/>
      <c r="E6058" s="261"/>
    </row>
    <row r="6059" spans="2:5" x14ac:dyDescent="0.3">
      <c r="B6059" s="274"/>
      <c r="C6059" s="108"/>
      <c r="D6059" s="261"/>
      <c r="E6059" s="261"/>
    </row>
    <row r="6060" spans="2:5" x14ac:dyDescent="0.3">
      <c r="B6060" s="274"/>
      <c r="C6060" s="108"/>
      <c r="D6060" s="261"/>
      <c r="E6060" s="261"/>
    </row>
    <row r="6061" spans="2:5" x14ac:dyDescent="0.3">
      <c r="B6061" s="274"/>
      <c r="C6061" s="108"/>
      <c r="D6061" s="261"/>
      <c r="E6061" s="261"/>
    </row>
    <row r="6062" spans="2:5" x14ac:dyDescent="0.3">
      <c r="B6062" s="274"/>
      <c r="C6062" s="108"/>
      <c r="D6062" s="261"/>
      <c r="E6062" s="261"/>
    </row>
    <row r="6063" spans="2:5" x14ac:dyDescent="0.3">
      <c r="B6063" s="274"/>
      <c r="C6063" s="108"/>
      <c r="D6063" s="261"/>
      <c r="E6063" s="261"/>
    </row>
    <row r="6064" spans="2:5" x14ac:dyDescent="0.3">
      <c r="B6064" s="274"/>
      <c r="C6064" s="108"/>
      <c r="D6064" s="261"/>
      <c r="E6064" s="261"/>
    </row>
    <row r="6065" spans="2:5" x14ac:dyDescent="0.3">
      <c r="B6065" s="274"/>
      <c r="C6065" s="108"/>
      <c r="D6065" s="261"/>
      <c r="E6065" s="261"/>
    </row>
    <row r="6066" spans="2:5" x14ac:dyDescent="0.3">
      <c r="B6066" s="274"/>
      <c r="C6066" s="108"/>
      <c r="D6066" s="261"/>
      <c r="E6066" s="261"/>
    </row>
    <row r="6067" spans="2:5" x14ac:dyDescent="0.3">
      <c r="B6067" s="274"/>
      <c r="C6067" s="108"/>
      <c r="D6067" s="261"/>
      <c r="E6067" s="261"/>
    </row>
    <row r="6068" spans="2:5" x14ac:dyDescent="0.3">
      <c r="B6068" s="274"/>
      <c r="C6068" s="108"/>
      <c r="D6068" s="261"/>
      <c r="E6068" s="261"/>
    </row>
    <row r="6069" spans="2:5" x14ac:dyDescent="0.3">
      <c r="B6069" s="274"/>
      <c r="C6069" s="108"/>
      <c r="D6069" s="261"/>
      <c r="E6069" s="261"/>
    </row>
    <row r="6070" spans="2:5" x14ac:dyDescent="0.3">
      <c r="B6070" s="274"/>
      <c r="C6070" s="108"/>
      <c r="D6070" s="261"/>
      <c r="E6070" s="261"/>
    </row>
    <row r="6071" spans="2:5" x14ac:dyDescent="0.3">
      <c r="B6071" s="274"/>
      <c r="C6071" s="108"/>
      <c r="D6071" s="261"/>
      <c r="E6071" s="261"/>
    </row>
    <row r="6072" spans="2:5" x14ac:dyDescent="0.3">
      <c r="B6072" s="274"/>
      <c r="C6072" s="108"/>
      <c r="D6072" s="261"/>
      <c r="E6072" s="261"/>
    </row>
    <row r="6073" spans="2:5" x14ac:dyDescent="0.3">
      <c r="B6073" s="274"/>
      <c r="C6073" s="108"/>
      <c r="D6073" s="261"/>
      <c r="E6073" s="261"/>
    </row>
    <row r="6074" spans="2:5" x14ac:dyDescent="0.3">
      <c r="B6074" s="274"/>
      <c r="C6074" s="108"/>
      <c r="D6074" s="261"/>
      <c r="E6074" s="261"/>
    </row>
    <row r="6075" spans="2:5" x14ac:dyDescent="0.3">
      <c r="B6075" s="274"/>
      <c r="C6075" s="108"/>
      <c r="D6075" s="261"/>
      <c r="E6075" s="261"/>
    </row>
    <row r="6076" spans="2:5" x14ac:dyDescent="0.3">
      <c r="B6076" s="274"/>
      <c r="C6076" s="108"/>
      <c r="D6076" s="261"/>
      <c r="E6076" s="261"/>
    </row>
    <row r="6077" spans="2:5" x14ac:dyDescent="0.3">
      <c r="B6077" s="274"/>
      <c r="C6077" s="108"/>
      <c r="D6077" s="261"/>
      <c r="E6077" s="261"/>
    </row>
    <row r="6078" spans="2:5" x14ac:dyDescent="0.3">
      <c r="B6078" s="274"/>
      <c r="C6078" s="108"/>
      <c r="D6078" s="261"/>
      <c r="E6078" s="261"/>
    </row>
    <row r="6079" spans="2:5" x14ac:dyDescent="0.3">
      <c r="B6079" s="274"/>
      <c r="C6079" s="108"/>
      <c r="D6079" s="261"/>
      <c r="E6079" s="261"/>
    </row>
    <row r="6080" spans="2:5" x14ac:dyDescent="0.3">
      <c r="B6080" s="274"/>
      <c r="C6080" s="108"/>
      <c r="D6080" s="261"/>
      <c r="E6080" s="261"/>
    </row>
    <row r="6081" spans="2:5" x14ac:dyDescent="0.3">
      <c r="B6081" s="274"/>
      <c r="C6081" s="108"/>
      <c r="D6081" s="261"/>
      <c r="E6081" s="261"/>
    </row>
    <row r="6082" spans="2:5" x14ac:dyDescent="0.3">
      <c r="B6082" s="274"/>
      <c r="C6082" s="108"/>
      <c r="D6082" s="261"/>
      <c r="E6082" s="261"/>
    </row>
    <row r="6083" spans="2:5" x14ac:dyDescent="0.3">
      <c r="B6083" s="274"/>
      <c r="C6083" s="108"/>
      <c r="D6083" s="261"/>
      <c r="E6083" s="261"/>
    </row>
    <row r="6084" spans="2:5" x14ac:dyDescent="0.3">
      <c r="B6084" s="274"/>
      <c r="C6084" s="108"/>
      <c r="D6084" s="261"/>
      <c r="E6084" s="261"/>
    </row>
    <row r="6085" spans="2:5" x14ac:dyDescent="0.3">
      <c r="B6085" s="274"/>
      <c r="C6085" s="108"/>
      <c r="D6085" s="261"/>
      <c r="E6085" s="261"/>
    </row>
    <row r="6086" spans="2:5" x14ac:dyDescent="0.3">
      <c r="B6086" s="274"/>
      <c r="C6086" s="108"/>
      <c r="D6086" s="261"/>
      <c r="E6086" s="261"/>
    </row>
    <row r="6087" spans="2:5" x14ac:dyDescent="0.3">
      <c r="B6087" s="274"/>
      <c r="C6087" s="108"/>
      <c r="D6087" s="261"/>
      <c r="E6087" s="261"/>
    </row>
    <row r="6088" spans="2:5" x14ac:dyDescent="0.3">
      <c r="B6088" s="274"/>
      <c r="C6088" s="108"/>
      <c r="D6088" s="261"/>
      <c r="E6088" s="261"/>
    </row>
    <row r="6089" spans="2:5" x14ac:dyDescent="0.3">
      <c r="B6089" s="274"/>
      <c r="C6089" s="108"/>
      <c r="D6089" s="261"/>
      <c r="E6089" s="261"/>
    </row>
    <row r="6090" spans="2:5" x14ac:dyDescent="0.3">
      <c r="B6090" s="274"/>
      <c r="C6090" s="108"/>
      <c r="D6090" s="261"/>
      <c r="E6090" s="261"/>
    </row>
    <row r="6091" spans="2:5" x14ac:dyDescent="0.3">
      <c r="B6091" s="274"/>
      <c r="C6091" s="108"/>
      <c r="D6091" s="261"/>
      <c r="E6091" s="261"/>
    </row>
    <row r="6092" spans="2:5" x14ac:dyDescent="0.3">
      <c r="B6092" s="274"/>
      <c r="C6092" s="108"/>
      <c r="D6092" s="261"/>
      <c r="E6092" s="261"/>
    </row>
    <row r="6093" spans="2:5" x14ac:dyDescent="0.3">
      <c r="B6093" s="274"/>
      <c r="C6093" s="108"/>
      <c r="D6093" s="261"/>
      <c r="E6093" s="261"/>
    </row>
    <row r="6094" spans="2:5" x14ac:dyDescent="0.3">
      <c r="B6094" s="274"/>
      <c r="C6094" s="108"/>
      <c r="D6094" s="261"/>
      <c r="E6094" s="261"/>
    </row>
    <row r="6095" spans="2:5" x14ac:dyDescent="0.3">
      <c r="B6095" s="274"/>
      <c r="C6095" s="108"/>
      <c r="D6095" s="261"/>
      <c r="E6095" s="261"/>
    </row>
    <row r="6096" spans="2:5" x14ac:dyDescent="0.3">
      <c r="B6096" s="274"/>
      <c r="C6096" s="108"/>
      <c r="D6096" s="261"/>
      <c r="E6096" s="261"/>
    </row>
    <row r="6097" spans="2:5" x14ac:dyDescent="0.3">
      <c r="B6097" s="274"/>
      <c r="C6097" s="108"/>
      <c r="D6097" s="261"/>
      <c r="E6097" s="261"/>
    </row>
    <row r="6098" spans="2:5" x14ac:dyDescent="0.3">
      <c r="B6098" s="274"/>
      <c r="C6098" s="108"/>
      <c r="D6098" s="261"/>
      <c r="E6098" s="261"/>
    </row>
    <row r="6099" spans="2:5" x14ac:dyDescent="0.3">
      <c r="B6099" s="274"/>
      <c r="C6099" s="108"/>
      <c r="D6099" s="261"/>
      <c r="E6099" s="261"/>
    </row>
    <row r="6100" spans="2:5" x14ac:dyDescent="0.3">
      <c r="B6100" s="274"/>
      <c r="C6100" s="108"/>
      <c r="D6100" s="261"/>
      <c r="E6100" s="261"/>
    </row>
    <row r="6101" spans="2:5" x14ac:dyDescent="0.3">
      <c r="B6101" s="274"/>
      <c r="C6101" s="108"/>
      <c r="D6101" s="261"/>
      <c r="E6101" s="261"/>
    </row>
    <row r="6102" spans="2:5" x14ac:dyDescent="0.3">
      <c r="B6102" s="274"/>
      <c r="C6102" s="108"/>
      <c r="D6102" s="261"/>
      <c r="E6102" s="261"/>
    </row>
    <row r="6103" spans="2:5" x14ac:dyDescent="0.3">
      <c r="B6103" s="274"/>
      <c r="C6103" s="108"/>
      <c r="D6103" s="261"/>
      <c r="E6103" s="261"/>
    </row>
    <row r="6104" spans="2:5" x14ac:dyDescent="0.3">
      <c r="B6104" s="274"/>
      <c r="C6104" s="108"/>
      <c r="D6104" s="261"/>
      <c r="E6104" s="261"/>
    </row>
    <row r="6105" spans="2:5" x14ac:dyDescent="0.3">
      <c r="B6105" s="274"/>
      <c r="C6105" s="108"/>
      <c r="D6105" s="261"/>
      <c r="E6105" s="261"/>
    </row>
    <row r="6106" spans="2:5" x14ac:dyDescent="0.3">
      <c r="B6106" s="274"/>
      <c r="C6106" s="108"/>
      <c r="D6106" s="261"/>
      <c r="E6106" s="261"/>
    </row>
    <row r="6107" spans="2:5" x14ac:dyDescent="0.3">
      <c r="B6107" s="274"/>
      <c r="C6107" s="108"/>
      <c r="D6107" s="261"/>
      <c r="E6107" s="261"/>
    </row>
    <row r="6108" spans="2:5" x14ac:dyDescent="0.3">
      <c r="B6108" s="274"/>
      <c r="C6108" s="108"/>
      <c r="D6108" s="261"/>
      <c r="E6108" s="261"/>
    </row>
    <row r="6109" spans="2:5" x14ac:dyDescent="0.3">
      <c r="B6109" s="274"/>
      <c r="C6109" s="108"/>
      <c r="D6109" s="261"/>
      <c r="E6109" s="261"/>
    </row>
    <row r="6110" spans="2:5" x14ac:dyDescent="0.3">
      <c r="B6110" s="274"/>
      <c r="C6110" s="108"/>
      <c r="D6110" s="261"/>
      <c r="E6110" s="261"/>
    </row>
    <row r="6111" spans="2:5" x14ac:dyDescent="0.3">
      <c r="B6111" s="274"/>
      <c r="C6111" s="108"/>
      <c r="D6111" s="261"/>
      <c r="E6111" s="261"/>
    </row>
    <row r="6112" spans="2:5" x14ac:dyDescent="0.3">
      <c r="B6112" s="274"/>
      <c r="C6112" s="108"/>
      <c r="D6112" s="261"/>
      <c r="E6112" s="261"/>
    </row>
    <row r="6113" spans="2:5" x14ac:dyDescent="0.3">
      <c r="B6113" s="274"/>
      <c r="C6113" s="108"/>
      <c r="D6113" s="261"/>
      <c r="E6113" s="261"/>
    </row>
    <row r="6114" spans="2:5" x14ac:dyDescent="0.3">
      <c r="B6114" s="274"/>
      <c r="C6114" s="108"/>
      <c r="D6114" s="261"/>
      <c r="E6114" s="261"/>
    </row>
    <row r="6115" spans="2:5" x14ac:dyDescent="0.3">
      <c r="B6115" s="274"/>
      <c r="C6115" s="108"/>
      <c r="D6115" s="261"/>
      <c r="E6115" s="261"/>
    </row>
    <row r="6116" spans="2:5" x14ac:dyDescent="0.3">
      <c r="B6116" s="274"/>
      <c r="C6116" s="108"/>
      <c r="D6116" s="261"/>
      <c r="E6116" s="261"/>
    </row>
    <row r="6117" spans="2:5" x14ac:dyDescent="0.3">
      <c r="B6117" s="274"/>
      <c r="C6117" s="108"/>
      <c r="D6117" s="261"/>
      <c r="E6117" s="261"/>
    </row>
    <row r="6118" spans="2:5" x14ac:dyDescent="0.3">
      <c r="B6118" s="274"/>
      <c r="C6118" s="108"/>
      <c r="D6118" s="261"/>
      <c r="E6118" s="261"/>
    </row>
    <row r="6119" spans="2:5" x14ac:dyDescent="0.3">
      <c r="B6119" s="274"/>
      <c r="C6119" s="108"/>
      <c r="D6119" s="261"/>
      <c r="E6119" s="261"/>
    </row>
    <row r="6120" spans="2:5" x14ac:dyDescent="0.3">
      <c r="B6120" s="274"/>
      <c r="C6120" s="108"/>
      <c r="D6120" s="261"/>
      <c r="E6120" s="261"/>
    </row>
    <row r="6121" spans="2:5" x14ac:dyDescent="0.3">
      <c r="B6121" s="274"/>
      <c r="C6121" s="108"/>
      <c r="D6121" s="261"/>
      <c r="E6121" s="261"/>
    </row>
    <row r="6122" spans="2:5" x14ac:dyDescent="0.3">
      <c r="B6122" s="274"/>
      <c r="C6122" s="108"/>
      <c r="D6122" s="261"/>
      <c r="E6122" s="261"/>
    </row>
    <row r="6123" spans="2:5" x14ac:dyDescent="0.3">
      <c r="B6123" s="274"/>
      <c r="C6123" s="108"/>
      <c r="D6123" s="261"/>
      <c r="E6123" s="261"/>
    </row>
    <row r="6124" spans="2:5" x14ac:dyDescent="0.3">
      <c r="B6124" s="274"/>
      <c r="C6124" s="108"/>
      <c r="D6124" s="261"/>
      <c r="E6124" s="261"/>
    </row>
    <row r="6125" spans="2:5" x14ac:dyDescent="0.3">
      <c r="B6125" s="274"/>
      <c r="C6125" s="108"/>
      <c r="D6125" s="261"/>
      <c r="E6125" s="261"/>
    </row>
    <row r="6126" spans="2:5" x14ac:dyDescent="0.3">
      <c r="B6126" s="274"/>
      <c r="C6126" s="108"/>
      <c r="D6126" s="261"/>
      <c r="E6126" s="261"/>
    </row>
    <row r="6127" spans="2:5" x14ac:dyDescent="0.3">
      <c r="B6127" s="274"/>
      <c r="C6127" s="108"/>
      <c r="D6127" s="261"/>
      <c r="E6127" s="261"/>
    </row>
    <row r="6128" spans="2:5" x14ac:dyDescent="0.3">
      <c r="B6128" s="274"/>
      <c r="C6128" s="108"/>
      <c r="D6128" s="261"/>
      <c r="E6128" s="261"/>
    </row>
    <row r="6129" spans="2:5" x14ac:dyDescent="0.3">
      <c r="B6129" s="274"/>
      <c r="C6129" s="108"/>
      <c r="D6129" s="261"/>
      <c r="E6129" s="261"/>
    </row>
    <row r="6130" spans="2:5" x14ac:dyDescent="0.3">
      <c r="B6130" s="274"/>
      <c r="C6130" s="108"/>
      <c r="D6130" s="261"/>
      <c r="E6130" s="261"/>
    </row>
    <row r="6131" spans="2:5" x14ac:dyDescent="0.3">
      <c r="B6131" s="274"/>
      <c r="C6131" s="108"/>
      <c r="D6131" s="261"/>
      <c r="E6131" s="261"/>
    </row>
    <row r="6132" spans="2:5" x14ac:dyDescent="0.3">
      <c r="B6132" s="274"/>
      <c r="C6132" s="108"/>
      <c r="D6132" s="261"/>
      <c r="E6132" s="261"/>
    </row>
    <row r="6133" spans="2:5" x14ac:dyDescent="0.3">
      <c r="B6133" s="274"/>
      <c r="C6133" s="108"/>
      <c r="D6133" s="261"/>
      <c r="E6133" s="261"/>
    </row>
    <row r="6134" spans="2:5" x14ac:dyDescent="0.3">
      <c r="B6134" s="274"/>
      <c r="C6134" s="108"/>
      <c r="D6134" s="261"/>
      <c r="E6134" s="261"/>
    </row>
    <row r="6135" spans="2:5" x14ac:dyDescent="0.3">
      <c r="B6135" s="274"/>
      <c r="C6135" s="108"/>
      <c r="D6135" s="261"/>
      <c r="E6135" s="261"/>
    </row>
    <row r="6136" spans="2:5" x14ac:dyDescent="0.3">
      <c r="B6136" s="274"/>
      <c r="C6136" s="108"/>
      <c r="D6136" s="261"/>
      <c r="E6136" s="261"/>
    </row>
    <row r="6137" spans="2:5" x14ac:dyDescent="0.3">
      <c r="B6137" s="274"/>
      <c r="C6137" s="108"/>
      <c r="D6137" s="261"/>
      <c r="E6137" s="261"/>
    </row>
    <row r="6138" spans="2:5" x14ac:dyDescent="0.3">
      <c r="B6138" s="274"/>
      <c r="C6138" s="108"/>
      <c r="D6138" s="261"/>
      <c r="E6138" s="261"/>
    </row>
    <row r="6139" spans="2:5" x14ac:dyDescent="0.3">
      <c r="B6139" s="274"/>
      <c r="C6139" s="108"/>
      <c r="D6139" s="261"/>
      <c r="E6139" s="261"/>
    </row>
    <row r="6140" spans="2:5" x14ac:dyDescent="0.3">
      <c r="B6140" s="274"/>
      <c r="C6140" s="108"/>
      <c r="D6140" s="261"/>
      <c r="E6140" s="261"/>
    </row>
    <row r="6141" spans="2:5" x14ac:dyDescent="0.3">
      <c r="B6141" s="274"/>
      <c r="C6141" s="108"/>
      <c r="D6141" s="261"/>
      <c r="E6141" s="261"/>
    </row>
    <row r="6142" spans="2:5" x14ac:dyDescent="0.3">
      <c r="B6142" s="274"/>
      <c r="C6142" s="108"/>
      <c r="D6142" s="261"/>
      <c r="E6142" s="261"/>
    </row>
    <row r="6143" spans="2:5" x14ac:dyDescent="0.3">
      <c r="B6143" s="274"/>
      <c r="C6143" s="108"/>
      <c r="D6143" s="261"/>
      <c r="E6143" s="261"/>
    </row>
    <row r="6144" spans="2:5" x14ac:dyDescent="0.3">
      <c r="B6144" s="274"/>
      <c r="C6144" s="108"/>
      <c r="D6144" s="261"/>
      <c r="E6144" s="261"/>
    </row>
    <row r="6145" spans="2:5" x14ac:dyDescent="0.3">
      <c r="B6145" s="274"/>
      <c r="C6145" s="108"/>
      <c r="D6145" s="261"/>
      <c r="E6145" s="261"/>
    </row>
    <row r="6146" spans="2:5" x14ac:dyDescent="0.3">
      <c r="B6146" s="274"/>
      <c r="C6146" s="108"/>
      <c r="D6146" s="261"/>
      <c r="E6146" s="261"/>
    </row>
    <row r="6147" spans="2:5" x14ac:dyDescent="0.3">
      <c r="B6147" s="274"/>
      <c r="C6147" s="108"/>
      <c r="D6147" s="261"/>
      <c r="E6147" s="261"/>
    </row>
    <row r="6148" spans="2:5" x14ac:dyDescent="0.3">
      <c r="B6148" s="274"/>
      <c r="C6148" s="108"/>
      <c r="D6148" s="261"/>
      <c r="E6148" s="261"/>
    </row>
    <row r="6149" spans="2:5" x14ac:dyDescent="0.3">
      <c r="B6149" s="274"/>
      <c r="C6149" s="108"/>
      <c r="D6149" s="261"/>
      <c r="E6149" s="261"/>
    </row>
    <row r="6150" spans="2:5" x14ac:dyDescent="0.3">
      <c r="B6150" s="274"/>
      <c r="C6150" s="108"/>
      <c r="D6150" s="261"/>
      <c r="E6150" s="261"/>
    </row>
    <row r="6151" spans="2:5" x14ac:dyDescent="0.3">
      <c r="B6151" s="274"/>
      <c r="C6151" s="108"/>
      <c r="D6151" s="261"/>
      <c r="E6151" s="261"/>
    </row>
    <row r="6152" spans="2:5" x14ac:dyDescent="0.3">
      <c r="B6152" s="274"/>
      <c r="C6152" s="108"/>
      <c r="D6152" s="261"/>
      <c r="E6152" s="261"/>
    </row>
    <row r="6153" spans="2:5" x14ac:dyDescent="0.3">
      <c r="B6153" s="274"/>
      <c r="C6153" s="108"/>
      <c r="D6153" s="261"/>
      <c r="E6153" s="261"/>
    </row>
    <row r="6154" spans="2:5" x14ac:dyDescent="0.3">
      <c r="B6154" s="274"/>
      <c r="C6154" s="108"/>
      <c r="D6154" s="261"/>
      <c r="E6154" s="261"/>
    </row>
    <row r="6155" spans="2:5" x14ac:dyDescent="0.3">
      <c r="B6155" s="274"/>
      <c r="C6155" s="108"/>
      <c r="D6155" s="261"/>
      <c r="E6155" s="261"/>
    </row>
    <row r="6156" spans="2:5" x14ac:dyDescent="0.3">
      <c r="B6156" s="274"/>
      <c r="C6156" s="108"/>
      <c r="D6156" s="261"/>
      <c r="E6156" s="261"/>
    </row>
    <row r="6157" spans="2:5" x14ac:dyDescent="0.3">
      <c r="B6157" s="274"/>
      <c r="C6157" s="108"/>
      <c r="D6157" s="261"/>
      <c r="E6157" s="261"/>
    </row>
    <row r="6158" spans="2:5" x14ac:dyDescent="0.3">
      <c r="B6158" s="274"/>
      <c r="C6158" s="108"/>
      <c r="D6158" s="261"/>
      <c r="E6158" s="261"/>
    </row>
    <row r="6159" spans="2:5" x14ac:dyDescent="0.3">
      <c r="B6159" s="274"/>
      <c r="C6159" s="108"/>
      <c r="D6159" s="261"/>
      <c r="E6159" s="261"/>
    </row>
    <row r="6160" spans="2:5" x14ac:dyDescent="0.3">
      <c r="B6160" s="274"/>
      <c r="C6160" s="108"/>
      <c r="D6160" s="261"/>
      <c r="E6160" s="261"/>
    </row>
    <row r="6161" spans="2:5" x14ac:dyDescent="0.3">
      <c r="B6161" s="274"/>
      <c r="C6161" s="108"/>
      <c r="D6161" s="261"/>
      <c r="E6161" s="261"/>
    </row>
    <row r="6162" spans="2:5" x14ac:dyDescent="0.3">
      <c r="B6162" s="274"/>
      <c r="C6162" s="108"/>
      <c r="D6162" s="261"/>
      <c r="E6162" s="261"/>
    </row>
    <row r="6163" spans="2:5" x14ac:dyDescent="0.3">
      <c r="B6163" s="274"/>
      <c r="C6163" s="108"/>
      <c r="D6163" s="261"/>
      <c r="E6163" s="261"/>
    </row>
    <row r="6164" spans="2:5" x14ac:dyDescent="0.3">
      <c r="B6164" s="274"/>
      <c r="C6164" s="108"/>
      <c r="D6164" s="261"/>
      <c r="E6164" s="261"/>
    </row>
    <row r="6165" spans="2:5" x14ac:dyDescent="0.3">
      <c r="B6165" s="274"/>
      <c r="C6165" s="108"/>
      <c r="D6165" s="261"/>
      <c r="E6165" s="261"/>
    </row>
    <row r="6166" spans="2:5" x14ac:dyDescent="0.3">
      <c r="B6166" s="274"/>
      <c r="C6166" s="108"/>
      <c r="D6166" s="261"/>
      <c r="E6166" s="261"/>
    </row>
    <row r="6167" spans="2:5" x14ac:dyDescent="0.3">
      <c r="B6167" s="274"/>
      <c r="C6167" s="108"/>
      <c r="D6167" s="261"/>
      <c r="E6167" s="261"/>
    </row>
    <row r="6168" spans="2:5" x14ac:dyDescent="0.3">
      <c r="B6168" s="274"/>
      <c r="C6168" s="108"/>
      <c r="D6168" s="261"/>
      <c r="E6168" s="261"/>
    </row>
    <row r="6169" spans="2:5" x14ac:dyDescent="0.3">
      <c r="B6169" s="274"/>
      <c r="C6169" s="108"/>
      <c r="D6169" s="261"/>
      <c r="E6169" s="261"/>
    </row>
    <row r="6170" spans="2:5" x14ac:dyDescent="0.3">
      <c r="B6170" s="274"/>
      <c r="C6170" s="108"/>
      <c r="D6170" s="261"/>
      <c r="E6170" s="261"/>
    </row>
    <row r="6171" spans="2:5" x14ac:dyDescent="0.3">
      <c r="B6171" s="274"/>
      <c r="C6171" s="108"/>
      <c r="D6171" s="261"/>
      <c r="E6171" s="261"/>
    </row>
    <row r="6172" spans="2:5" x14ac:dyDescent="0.3">
      <c r="B6172" s="274"/>
      <c r="C6172" s="108"/>
      <c r="D6172" s="261"/>
      <c r="E6172" s="261"/>
    </row>
    <row r="6173" spans="2:5" x14ac:dyDescent="0.3">
      <c r="B6173" s="274"/>
      <c r="C6173" s="108"/>
      <c r="D6173" s="261"/>
      <c r="E6173" s="261"/>
    </row>
    <row r="6174" spans="2:5" x14ac:dyDescent="0.3">
      <c r="B6174" s="274"/>
      <c r="C6174" s="108"/>
      <c r="D6174" s="261"/>
      <c r="E6174" s="261"/>
    </row>
    <row r="6175" spans="2:5" x14ac:dyDescent="0.3">
      <c r="B6175" s="274"/>
      <c r="C6175" s="108"/>
      <c r="D6175" s="261"/>
      <c r="E6175" s="261"/>
    </row>
    <row r="6176" spans="2:5" x14ac:dyDescent="0.3">
      <c r="B6176" s="274"/>
      <c r="C6176" s="108"/>
      <c r="D6176" s="261"/>
      <c r="E6176" s="261"/>
    </row>
    <row r="6177" spans="2:5" x14ac:dyDescent="0.3">
      <c r="B6177" s="274"/>
      <c r="C6177" s="108"/>
      <c r="D6177" s="261"/>
      <c r="E6177" s="261"/>
    </row>
    <row r="6178" spans="2:5" x14ac:dyDescent="0.3">
      <c r="B6178" s="274"/>
      <c r="C6178" s="108"/>
      <c r="D6178" s="261"/>
      <c r="E6178" s="261"/>
    </row>
    <row r="6179" spans="2:5" x14ac:dyDescent="0.3">
      <c r="B6179" s="274"/>
      <c r="C6179" s="108"/>
      <c r="D6179" s="261"/>
      <c r="E6179" s="261"/>
    </row>
    <row r="6180" spans="2:5" x14ac:dyDescent="0.3">
      <c r="B6180" s="274"/>
      <c r="C6180" s="108"/>
      <c r="D6180" s="261"/>
      <c r="E6180" s="261"/>
    </row>
    <row r="6181" spans="2:5" x14ac:dyDescent="0.3">
      <c r="B6181" s="274"/>
      <c r="C6181" s="108"/>
      <c r="D6181" s="261"/>
      <c r="E6181" s="261"/>
    </row>
    <row r="6182" spans="2:5" x14ac:dyDescent="0.3">
      <c r="B6182" s="274"/>
      <c r="C6182" s="108"/>
      <c r="D6182" s="261"/>
      <c r="E6182" s="261"/>
    </row>
    <row r="6183" spans="2:5" x14ac:dyDescent="0.3">
      <c r="B6183" s="274"/>
      <c r="C6183" s="108"/>
      <c r="D6183" s="261"/>
      <c r="E6183" s="261"/>
    </row>
    <row r="6184" spans="2:5" x14ac:dyDescent="0.3">
      <c r="B6184" s="274"/>
      <c r="C6184" s="108"/>
      <c r="D6184" s="261"/>
      <c r="E6184" s="261"/>
    </row>
    <row r="6185" spans="2:5" x14ac:dyDescent="0.3">
      <c r="B6185" s="274"/>
      <c r="C6185" s="108"/>
      <c r="D6185" s="261"/>
      <c r="E6185" s="261"/>
    </row>
    <row r="6186" spans="2:5" x14ac:dyDescent="0.3">
      <c r="B6186" s="274"/>
      <c r="C6186" s="108"/>
      <c r="D6186" s="261"/>
      <c r="E6186" s="261"/>
    </row>
    <row r="6187" spans="2:5" x14ac:dyDescent="0.3">
      <c r="B6187" s="274"/>
      <c r="C6187" s="108"/>
      <c r="D6187" s="261"/>
      <c r="E6187" s="261"/>
    </row>
    <row r="6188" spans="2:5" x14ac:dyDescent="0.3">
      <c r="B6188" s="274"/>
      <c r="C6188" s="108"/>
      <c r="D6188" s="261"/>
      <c r="E6188" s="261"/>
    </row>
    <row r="6189" spans="2:5" x14ac:dyDescent="0.3">
      <c r="B6189" s="274"/>
      <c r="C6189" s="108"/>
      <c r="D6189" s="261"/>
      <c r="E6189" s="261"/>
    </row>
    <row r="6190" spans="2:5" x14ac:dyDescent="0.3">
      <c r="B6190" s="274"/>
      <c r="C6190" s="108"/>
      <c r="D6190" s="261"/>
      <c r="E6190" s="261"/>
    </row>
    <row r="6191" spans="2:5" x14ac:dyDescent="0.3">
      <c r="B6191" s="274"/>
      <c r="C6191" s="108"/>
      <c r="D6191" s="261"/>
      <c r="E6191" s="261"/>
    </row>
    <row r="6192" spans="2:5" x14ac:dyDescent="0.3">
      <c r="B6192" s="274"/>
      <c r="C6192" s="108"/>
      <c r="D6192" s="261"/>
      <c r="E6192" s="261"/>
    </row>
    <row r="6193" spans="2:5" x14ac:dyDescent="0.3">
      <c r="B6193" s="274"/>
      <c r="C6193" s="108"/>
      <c r="D6193" s="261"/>
      <c r="E6193" s="261"/>
    </row>
    <row r="6194" spans="2:5" x14ac:dyDescent="0.3">
      <c r="B6194" s="274"/>
      <c r="C6194" s="108"/>
      <c r="D6194" s="261"/>
      <c r="E6194" s="261"/>
    </row>
    <row r="6195" spans="2:5" x14ac:dyDescent="0.3">
      <c r="B6195" s="274"/>
      <c r="C6195" s="108"/>
      <c r="D6195" s="261"/>
      <c r="E6195" s="261"/>
    </row>
    <row r="6196" spans="2:5" x14ac:dyDescent="0.3">
      <c r="B6196" s="274"/>
      <c r="C6196" s="108"/>
      <c r="D6196" s="261"/>
      <c r="E6196" s="261"/>
    </row>
    <row r="6197" spans="2:5" x14ac:dyDescent="0.3">
      <c r="B6197" s="274"/>
      <c r="C6197" s="108"/>
      <c r="D6197" s="261"/>
      <c r="E6197" s="261"/>
    </row>
    <row r="6198" spans="2:5" x14ac:dyDescent="0.3">
      <c r="B6198" s="274"/>
      <c r="C6198" s="108"/>
      <c r="D6198" s="261"/>
      <c r="E6198" s="261"/>
    </row>
    <row r="6199" spans="2:5" x14ac:dyDescent="0.3">
      <c r="B6199" s="274"/>
      <c r="C6199" s="108"/>
      <c r="D6199" s="261"/>
      <c r="E6199" s="261"/>
    </row>
    <row r="6200" spans="2:5" x14ac:dyDescent="0.3">
      <c r="B6200" s="274"/>
      <c r="C6200" s="108"/>
      <c r="D6200" s="261"/>
      <c r="E6200" s="261"/>
    </row>
    <row r="6201" spans="2:5" x14ac:dyDescent="0.3">
      <c r="B6201" s="274"/>
      <c r="C6201" s="108"/>
      <c r="D6201" s="261"/>
      <c r="E6201" s="261"/>
    </row>
    <row r="6202" spans="2:5" x14ac:dyDescent="0.3">
      <c r="B6202" s="274"/>
      <c r="C6202" s="108"/>
      <c r="D6202" s="261"/>
      <c r="E6202" s="261"/>
    </row>
    <row r="6203" spans="2:5" x14ac:dyDescent="0.3">
      <c r="B6203" s="274"/>
      <c r="C6203" s="108"/>
      <c r="D6203" s="261"/>
      <c r="E6203" s="261"/>
    </row>
    <row r="6204" spans="2:5" x14ac:dyDescent="0.3">
      <c r="B6204" s="274"/>
      <c r="C6204" s="108"/>
      <c r="D6204" s="261"/>
      <c r="E6204" s="261"/>
    </row>
    <row r="6205" spans="2:5" x14ac:dyDescent="0.3">
      <c r="B6205" s="274"/>
      <c r="C6205" s="108"/>
      <c r="D6205" s="261"/>
      <c r="E6205" s="261"/>
    </row>
    <row r="6206" spans="2:5" x14ac:dyDescent="0.3">
      <c r="B6206" s="274"/>
      <c r="C6206" s="108"/>
      <c r="D6206" s="261"/>
      <c r="E6206" s="261"/>
    </row>
    <row r="6207" spans="2:5" x14ac:dyDescent="0.3">
      <c r="B6207" s="274"/>
      <c r="C6207" s="108"/>
      <c r="D6207" s="261"/>
      <c r="E6207" s="261"/>
    </row>
    <row r="6208" spans="2:5" x14ac:dyDescent="0.3">
      <c r="B6208" s="274"/>
      <c r="C6208" s="108"/>
      <c r="D6208" s="261"/>
      <c r="E6208" s="261"/>
    </row>
    <row r="6209" spans="2:5" x14ac:dyDescent="0.3">
      <c r="B6209" s="274"/>
      <c r="C6209" s="108"/>
      <c r="D6209" s="261"/>
      <c r="E6209" s="261"/>
    </row>
    <row r="6210" spans="2:5" x14ac:dyDescent="0.3">
      <c r="B6210" s="274"/>
      <c r="C6210" s="108"/>
      <c r="D6210" s="261"/>
      <c r="E6210" s="261"/>
    </row>
    <row r="6211" spans="2:5" x14ac:dyDescent="0.3">
      <c r="B6211" s="274"/>
      <c r="C6211" s="108"/>
      <c r="D6211" s="261"/>
      <c r="E6211" s="261"/>
    </row>
    <row r="6212" spans="2:5" x14ac:dyDescent="0.3">
      <c r="B6212" s="274"/>
      <c r="C6212" s="108"/>
      <c r="D6212" s="261"/>
      <c r="E6212" s="261"/>
    </row>
    <row r="6213" spans="2:5" x14ac:dyDescent="0.3">
      <c r="B6213" s="274"/>
      <c r="C6213" s="108"/>
      <c r="D6213" s="261"/>
      <c r="E6213" s="261"/>
    </row>
    <row r="6214" spans="2:5" x14ac:dyDescent="0.3">
      <c r="B6214" s="274"/>
      <c r="C6214" s="108"/>
      <c r="D6214" s="261"/>
      <c r="E6214" s="261"/>
    </row>
    <row r="6215" spans="2:5" x14ac:dyDescent="0.3">
      <c r="B6215" s="274"/>
      <c r="C6215" s="108"/>
      <c r="D6215" s="261"/>
      <c r="E6215" s="261"/>
    </row>
    <row r="6216" spans="2:5" x14ac:dyDescent="0.3">
      <c r="B6216" s="274"/>
      <c r="C6216" s="108"/>
      <c r="D6216" s="261"/>
      <c r="E6216" s="261"/>
    </row>
    <row r="6217" spans="2:5" x14ac:dyDescent="0.3">
      <c r="B6217" s="274"/>
      <c r="C6217" s="108"/>
      <c r="D6217" s="261"/>
      <c r="E6217" s="261"/>
    </row>
    <row r="6218" spans="2:5" x14ac:dyDescent="0.3">
      <c r="B6218" s="274"/>
      <c r="C6218" s="108"/>
      <c r="D6218" s="261"/>
      <c r="E6218" s="261"/>
    </row>
    <row r="6219" spans="2:5" x14ac:dyDescent="0.3">
      <c r="B6219" s="274"/>
      <c r="C6219" s="108"/>
      <c r="D6219" s="261"/>
      <c r="E6219" s="261"/>
    </row>
    <row r="6220" spans="2:5" x14ac:dyDescent="0.3">
      <c r="B6220" s="274"/>
      <c r="C6220" s="108"/>
      <c r="D6220" s="261"/>
      <c r="E6220" s="261"/>
    </row>
    <row r="6221" spans="2:5" x14ac:dyDescent="0.3">
      <c r="B6221" s="274"/>
      <c r="C6221" s="108"/>
      <c r="D6221" s="261"/>
      <c r="E6221" s="261"/>
    </row>
    <row r="6222" spans="2:5" x14ac:dyDescent="0.3">
      <c r="B6222" s="274"/>
      <c r="C6222" s="108"/>
      <c r="D6222" s="261"/>
      <c r="E6222" s="261"/>
    </row>
    <row r="6223" spans="2:5" x14ac:dyDescent="0.3">
      <c r="B6223" s="274"/>
      <c r="C6223" s="108"/>
      <c r="D6223" s="261"/>
      <c r="E6223" s="261"/>
    </row>
    <row r="6224" spans="2:5" x14ac:dyDescent="0.3">
      <c r="B6224" s="274"/>
      <c r="C6224" s="108"/>
      <c r="D6224" s="261"/>
      <c r="E6224" s="261"/>
    </row>
    <row r="6225" spans="2:5" x14ac:dyDescent="0.3">
      <c r="B6225" s="274"/>
      <c r="C6225" s="108"/>
      <c r="D6225" s="261"/>
      <c r="E6225" s="261"/>
    </row>
    <row r="6226" spans="2:5" x14ac:dyDescent="0.3">
      <c r="B6226" s="274"/>
      <c r="C6226" s="108"/>
      <c r="D6226" s="261"/>
      <c r="E6226" s="261"/>
    </row>
    <row r="6227" spans="2:5" x14ac:dyDescent="0.3">
      <c r="B6227" s="274"/>
      <c r="C6227" s="108"/>
      <c r="D6227" s="261"/>
      <c r="E6227" s="261"/>
    </row>
    <row r="6228" spans="2:5" x14ac:dyDescent="0.3">
      <c r="B6228" s="274"/>
      <c r="C6228" s="108"/>
      <c r="D6228" s="261"/>
      <c r="E6228" s="261"/>
    </row>
    <row r="6229" spans="2:5" x14ac:dyDescent="0.3">
      <c r="B6229" s="274"/>
      <c r="C6229" s="108"/>
      <c r="D6229" s="261"/>
      <c r="E6229" s="261"/>
    </row>
    <row r="6230" spans="2:5" x14ac:dyDescent="0.3">
      <c r="B6230" s="274"/>
      <c r="C6230" s="108"/>
      <c r="D6230" s="261"/>
      <c r="E6230" s="261"/>
    </row>
    <row r="6231" spans="2:5" x14ac:dyDescent="0.3">
      <c r="B6231" s="274"/>
      <c r="C6231" s="108"/>
      <c r="D6231" s="261"/>
      <c r="E6231" s="261"/>
    </row>
    <row r="6232" spans="2:5" x14ac:dyDescent="0.3">
      <c r="B6232" s="274"/>
      <c r="C6232" s="108"/>
      <c r="D6232" s="261"/>
      <c r="E6232" s="261"/>
    </row>
    <row r="6233" spans="2:5" x14ac:dyDescent="0.3">
      <c r="B6233" s="274"/>
      <c r="C6233" s="108"/>
      <c r="D6233" s="261"/>
      <c r="E6233" s="261"/>
    </row>
    <row r="6234" spans="2:5" x14ac:dyDescent="0.3">
      <c r="B6234" s="274"/>
      <c r="C6234" s="108"/>
      <c r="D6234" s="261"/>
      <c r="E6234" s="261"/>
    </row>
    <row r="6235" spans="2:5" x14ac:dyDescent="0.3">
      <c r="B6235" s="274"/>
      <c r="C6235" s="108"/>
      <c r="D6235" s="261"/>
      <c r="E6235" s="261"/>
    </row>
    <row r="6236" spans="2:5" x14ac:dyDescent="0.3">
      <c r="B6236" s="274"/>
      <c r="C6236" s="108"/>
      <c r="D6236" s="261"/>
      <c r="E6236" s="261"/>
    </row>
    <row r="6237" spans="2:5" x14ac:dyDescent="0.3">
      <c r="B6237" s="274"/>
      <c r="C6237" s="108"/>
      <c r="D6237" s="261"/>
      <c r="E6237" s="261"/>
    </row>
    <row r="6238" spans="2:5" x14ac:dyDescent="0.3">
      <c r="B6238" s="274"/>
      <c r="C6238" s="108"/>
      <c r="D6238" s="261"/>
      <c r="E6238" s="261"/>
    </row>
    <row r="6239" spans="2:5" x14ac:dyDescent="0.3">
      <c r="B6239" s="274"/>
      <c r="C6239" s="108"/>
      <c r="D6239" s="261"/>
      <c r="E6239" s="261"/>
    </row>
    <row r="6240" spans="2:5" x14ac:dyDescent="0.3">
      <c r="B6240" s="274"/>
      <c r="C6240" s="108"/>
      <c r="D6240" s="261"/>
      <c r="E6240" s="261"/>
    </row>
    <row r="6241" spans="2:5" x14ac:dyDescent="0.3">
      <c r="B6241" s="274"/>
      <c r="C6241" s="108"/>
      <c r="D6241" s="261"/>
      <c r="E6241" s="261"/>
    </row>
    <row r="6242" spans="2:5" x14ac:dyDescent="0.3">
      <c r="B6242" s="274"/>
      <c r="C6242" s="108"/>
      <c r="D6242" s="261"/>
      <c r="E6242" s="261"/>
    </row>
    <row r="6243" spans="2:5" x14ac:dyDescent="0.3">
      <c r="B6243" s="274"/>
      <c r="C6243" s="108"/>
      <c r="D6243" s="261"/>
      <c r="E6243" s="261"/>
    </row>
    <row r="6244" spans="2:5" x14ac:dyDescent="0.3">
      <c r="B6244" s="274"/>
      <c r="C6244" s="108"/>
      <c r="D6244" s="261"/>
      <c r="E6244" s="261"/>
    </row>
    <row r="6245" spans="2:5" x14ac:dyDescent="0.3">
      <c r="B6245" s="274"/>
      <c r="C6245" s="108"/>
      <c r="D6245" s="261"/>
      <c r="E6245" s="261"/>
    </row>
    <row r="6246" spans="2:5" x14ac:dyDescent="0.3">
      <c r="B6246" s="274"/>
      <c r="C6246" s="108"/>
      <c r="D6246" s="261"/>
      <c r="E6246" s="261"/>
    </row>
    <row r="6247" spans="2:5" x14ac:dyDescent="0.3">
      <c r="B6247" s="274"/>
      <c r="C6247" s="108"/>
      <c r="D6247" s="261"/>
      <c r="E6247" s="261"/>
    </row>
    <row r="6248" spans="2:5" x14ac:dyDescent="0.3">
      <c r="B6248" s="274"/>
      <c r="C6248" s="108"/>
      <c r="D6248" s="261"/>
      <c r="E6248" s="261"/>
    </row>
    <row r="6249" spans="2:5" x14ac:dyDescent="0.3">
      <c r="B6249" s="274"/>
      <c r="C6249" s="108"/>
      <c r="D6249" s="261"/>
      <c r="E6249" s="261"/>
    </row>
    <row r="6250" spans="2:5" x14ac:dyDescent="0.3">
      <c r="B6250" s="274"/>
      <c r="C6250" s="108"/>
      <c r="D6250" s="261"/>
      <c r="E6250" s="261"/>
    </row>
    <row r="6251" spans="2:5" x14ac:dyDescent="0.3">
      <c r="B6251" s="274"/>
      <c r="C6251" s="108"/>
      <c r="D6251" s="261"/>
      <c r="E6251" s="261"/>
    </row>
    <row r="6252" spans="2:5" x14ac:dyDescent="0.3">
      <c r="B6252" s="274"/>
      <c r="C6252" s="108"/>
      <c r="D6252" s="261"/>
      <c r="E6252" s="261"/>
    </row>
    <row r="6253" spans="2:5" x14ac:dyDescent="0.3">
      <c r="B6253" s="274"/>
      <c r="C6253" s="108"/>
      <c r="D6253" s="261"/>
      <c r="E6253" s="261"/>
    </row>
    <row r="6254" spans="2:5" x14ac:dyDescent="0.3">
      <c r="B6254" s="274"/>
      <c r="C6254" s="108"/>
      <c r="D6254" s="261"/>
      <c r="E6254" s="261"/>
    </row>
    <row r="6255" spans="2:5" x14ac:dyDescent="0.3">
      <c r="B6255" s="274"/>
      <c r="C6255" s="108"/>
      <c r="D6255" s="261"/>
      <c r="E6255" s="261"/>
    </row>
    <row r="6256" spans="2:5" x14ac:dyDescent="0.3">
      <c r="B6256" s="274"/>
      <c r="C6256" s="108"/>
      <c r="D6256" s="261"/>
      <c r="E6256" s="261"/>
    </row>
    <row r="6257" spans="2:5" x14ac:dyDescent="0.3">
      <c r="B6257" s="274"/>
      <c r="C6257" s="108"/>
      <c r="D6257" s="261"/>
      <c r="E6257" s="261"/>
    </row>
    <row r="6258" spans="2:5" x14ac:dyDescent="0.3">
      <c r="B6258" s="274"/>
      <c r="C6258" s="108"/>
      <c r="D6258" s="261"/>
      <c r="E6258" s="261"/>
    </row>
    <row r="6259" spans="2:5" x14ac:dyDescent="0.3">
      <c r="B6259" s="274"/>
      <c r="C6259" s="108"/>
      <c r="D6259" s="261"/>
      <c r="E6259" s="261"/>
    </row>
    <row r="6260" spans="2:5" x14ac:dyDescent="0.3">
      <c r="B6260" s="274"/>
      <c r="C6260" s="108"/>
      <c r="D6260" s="261"/>
      <c r="E6260" s="261"/>
    </row>
    <row r="6261" spans="2:5" x14ac:dyDescent="0.3">
      <c r="B6261" s="274"/>
      <c r="C6261" s="108"/>
      <c r="D6261" s="261"/>
      <c r="E6261" s="261"/>
    </row>
    <row r="6262" spans="2:5" x14ac:dyDescent="0.3">
      <c r="B6262" s="274"/>
      <c r="C6262" s="108"/>
      <c r="D6262" s="261"/>
      <c r="E6262" s="261"/>
    </row>
    <row r="6263" spans="2:5" x14ac:dyDescent="0.3">
      <c r="B6263" s="274"/>
      <c r="C6263" s="108"/>
      <c r="D6263" s="261"/>
      <c r="E6263" s="261"/>
    </row>
    <row r="6264" spans="2:5" x14ac:dyDescent="0.3">
      <c r="B6264" s="274"/>
      <c r="C6264" s="108"/>
      <c r="D6264" s="261"/>
      <c r="E6264" s="261"/>
    </row>
    <row r="6265" spans="2:5" x14ac:dyDescent="0.3">
      <c r="B6265" s="274"/>
      <c r="C6265" s="108"/>
      <c r="D6265" s="261"/>
      <c r="E6265" s="261"/>
    </row>
    <row r="6266" spans="2:5" x14ac:dyDescent="0.3">
      <c r="B6266" s="274"/>
      <c r="C6266" s="108"/>
      <c r="D6266" s="261"/>
      <c r="E6266" s="261"/>
    </row>
    <row r="6267" spans="2:5" x14ac:dyDescent="0.3">
      <c r="B6267" s="274"/>
      <c r="C6267" s="108"/>
      <c r="D6267" s="261"/>
      <c r="E6267" s="261"/>
    </row>
    <row r="6268" spans="2:5" x14ac:dyDescent="0.3">
      <c r="B6268" s="274"/>
      <c r="C6268" s="108"/>
      <c r="D6268" s="261"/>
      <c r="E6268" s="261"/>
    </row>
    <row r="6269" spans="2:5" x14ac:dyDescent="0.3">
      <c r="B6269" s="274"/>
      <c r="C6269" s="108"/>
      <c r="D6269" s="261"/>
      <c r="E6269" s="261"/>
    </row>
    <row r="6270" spans="2:5" x14ac:dyDescent="0.3">
      <c r="B6270" s="274"/>
      <c r="C6270" s="108"/>
      <c r="D6270" s="261"/>
      <c r="E6270" s="261"/>
    </row>
    <row r="6271" spans="2:5" x14ac:dyDescent="0.3">
      <c r="B6271" s="274"/>
      <c r="C6271" s="108"/>
      <c r="D6271" s="261"/>
      <c r="E6271" s="261"/>
    </row>
    <row r="6272" spans="2:5" x14ac:dyDescent="0.3">
      <c r="B6272" s="274"/>
      <c r="C6272" s="108"/>
      <c r="D6272" s="261"/>
      <c r="E6272" s="261"/>
    </row>
    <row r="6273" spans="2:5" x14ac:dyDescent="0.3">
      <c r="B6273" s="274"/>
      <c r="C6273" s="108"/>
      <c r="D6273" s="261"/>
      <c r="E6273" s="261"/>
    </row>
    <row r="6274" spans="2:5" x14ac:dyDescent="0.3">
      <c r="B6274" s="274"/>
      <c r="C6274" s="108"/>
      <c r="D6274" s="261"/>
      <c r="E6274" s="261"/>
    </row>
    <row r="6275" spans="2:5" x14ac:dyDescent="0.3">
      <c r="B6275" s="274"/>
      <c r="C6275" s="108"/>
      <c r="D6275" s="261"/>
      <c r="E6275" s="261"/>
    </row>
    <row r="6276" spans="2:5" x14ac:dyDescent="0.3">
      <c r="B6276" s="274"/>
      <c r="C6276" s="108"/>
      <c r="D6276" s="261"/>
      <c r="E6276" s="261"/>
    </row>
    <row r="6277" spans="2:5" x14ac:dyDescent="0.3">
      <c r="B6277" s="274"/>
      <c r="C6277" s="108"/>
      <c r="D6277" s="261"/>
      <c r="E6277" s="261"/>
    </row>
    <row r="6278" spans="2:5" x14ac:dyDescent="0.3">
      <c r="B6278" s="274"/>
      <c r="C6278" s="108"/>
      <c r="D6278" s="261"/>
      <c r="E6278" s="261"/>
    </row>
    <row r="6279" spans="2:5" x14ac:dyDescent="0.3">
      <c r="B6279" s="274"/>
      <c r="C6279" s="108"/>
      <c r="D6279" s="261"/>
      <c r="E6279" s="261"/>
    </row>
    <row r="6280" spans="2:5" x14ac:dyDescent="0.3">
      <c r="B6280" s="274"/>
      <c r="C6280" s="108"/>
      <c r="D6280" s="261"/>
      <c r="E6280" s="261"/>
    </row>
    <row r="6281" spans="2:5" x14ac:dyDescent="0.3">
      <c r="B6281" s="274"/>
      <c r="C6281" s="108"/>
      <c r="D6281" s="261"/>
      <c r="E6281" s="261"/>
    </row>
    <row r="6282" spans="2:5" x14ac:dyDescent="0.3">
      <c r="B6282" s="274"/>
      <c r="C6282" s="108"/>
      <c r="D6282" s="261"/>
      <c r="E6282" s="261"/>
    </row>
    <row r="6283" spans="2:5" x14ac:dyDescent="0.3">
      <c r="B6283" s="274"/>
      <c r="C6283" s="108"/>
      <c r="D6283" s="261"/>
      <c r="E6283" s="261"/>
    </row>
    <row r="6284" spans="2:5" x14ac:dyDescent="0.3">
      <c r="B6284" s="274"/>
      <c r="C6284" s="108"/>
      <c r="D6284" s="261"/>
      <c r="E6284" s="261"/>
    </row>
    <row r="6285" spans="2:5" x14ac:dyDescent="0.3">
      <c r="B6285" s="274"/>
      <c r="C6285" s="108"/>
      <c r="D6285" s="261"/>
      <c r="E6285" s="261"/>
    </row>
    <row r="6286" spans="2:5" x14ac:dyDescent="0.3">
      <c r="B6286" s="274"/>
      <c r="C6286" s="108"/>
      <c r="D6286" s="261"/>
      <c r="E6286" s="261"/>
    </row>
    <row r="6287" spans="2:5" x14ac:dyDescent="0.3">
      <c r="B6287" s="274"/>
      <c r="C6287" s="108"/>
      <c r="D6287" s="261"/>
      <c r="E6287" s="261"/>
    </row>
    <row r="6288" spans="2:5" x14ac:dyDescent="0.3">
      <c r="B6288" s="274"/>
      <c r="C6288" s="108"/>
      <c r="D6288" s="261"/>
      <c r="E6288" s="261"/>
    </row>
    <row r="6289" spans="2:5" x14ac:dyDescent="0.3">
      <c r="B6289" s="274"/>
      <c r="C6289" s="108"/>
      <c r="D6289" s="261"/>
      <c r="E6289" s="261"/>
    </row>
    <row r="6290" spans="2:5" x14ac:dyDescent="0.3">
      <c r="B6290" s="274"/>
      <c r="C6290" s="108"/>
      <c r="D6290" s="261"/>
      <c r="E6290" s="261"/>
    </row>
    <row r="6291" spans="2:5" x14ac:dyDescent="0.3">
      <c r="B6291" s="274"/>
      <c r="C6291" s="108"/>
      <c r="D6291" s="261"/>
      <c r="E6291" s="261"/>
    </row>
    <row r="6292" spans="2:5" x14ac:dyDescent="0.3">
      <c r="B6292" s="274"/>
      <c r="C6292" s="108"/>
      <c r="D6292" s="261"/>
      <c r="E6292" s="261"/>
    </row>
    <row r="6293" spans="2:5" x14ac:dyDescent="0.3">
      <c r="B6293" s="274"/>
      <c r="C6293" s="108"/>
      <c r="D6293" s="261"/>
      <c r="E6293" s="261"/>
    </row>
    <row r="6294" spans="2:5" x14ac:dyDescent="0.3">
      <c r="B6294" s="274"/>
      <c r="C6294" s="108"/>
      <c r="D6294" s="261"/>
      <c r="E6294" s="261"/>
    </row>
    <row r="6295" spans="2:5" x14ac:dyDescent="0.3">
      <c r="B6295" s="274"/>
      <c r="C6295" s="108"/>
      <c r="D6295" s="261"/>
      <c r="E6295" s="261"/>
    </row>
    <row r="6296" spans="2:5" x14ac:dyDescent="0.3">
      <c r="B6296" s="274"/>
      <c r="C6296" s="108"/>
      <c r="D6296" s="261"/>
      <c r="E6296" s="261"/>
    </row>
    <row r="6297" spans="2:5" x14ac:dyDescent="0.3">
      <c r="B6297" s="274"/>
      <c r="C6297" s="108"/>
      <c r="D6297" s="261"/>
      <c r="E6297" s="261"/>
    </row>
    <row r="6298" spans="2:5" x14ac:dyDescent="0.3">
      <c r="B6298" s="274"/>
      <c r="C6298" s="108"/>
      <c r="D6298" s="261"/>
      <c r="E6298" s="261"/>
    </row>
    <row r="6299" spans="2:5" x14ac:dyDescent="0.3">
      <c r="B6299" s="274"/>
      <c r="C6299" s="108"/>
      <c r="D6299" s="261"/>
      <c r="E6299" s="261"/>
    </row>
    <row r="6300" spans="2:5" x14ac:dyDescent="0.3">
      <c r="B6300" s="274"/>
      <c r="C6300" s="108"/>
      <c r="D6300" s="261"/>
      <c r="E6300" s="261"/>
    </row>
    <row r="6301" spans="2:5" x14ac:dyDescent="0.3">
      <c r="B6301" s="274"/>
      <c r="C6301" s="108"/>
      <c r="D6301" s="261"/>
      <c r="E6301" s="261"/>
    </row>
    <row r="6302" spans="2:5" x14ac:dyDescent="0.3">
      <c r="B6302" s="274"/>
      <c r="C6302" s="108"/>
      <c r="D6302" s="261"/>
      <c r="E6302" s="261"/>
    </row>
    <row r="6303" spans="2:5" x14ac:dyDescent="0.3">
      <c r="B6303" s="274"/>
      <c r="C6303" s="108"/>
      <c r="D6303" s="261"/>
      <c r="E6303" s="261"/>
    </row>
    <row r="6304" spans="2:5" x14ac:dyDescent="0.3">
      <c r="B6304" s="274"/>
      <c r="C6304" s="108"/>
      <c r="D6304" s="261"/>
      <c r="E6304" s="261"/>
    </row>
    <row r="6305" spans="2:5" x14ac:dyDescent="0.3">
      <c r="B6305" s="274"/>
      <c r="C6305" s="108"/>
      <c r="D6305" s="261"/>
      <c r="E6305" s="261"/>
    </row>
    <row r="6306" spans="2:5" x14ac:dyDescent="0.3">
      <c r="B6306" s="274"/>
      <c r="C6306" s="108"/>
      <c r="D6306" s="261"/>
      <c r="E6306" s="261"/>
    </row>
    <row r="6307" spans="2:5" x14ac:dyDescent="0.3">
      <c r="B6307" s="274"/>
      <c r="C6307" s="108"/>
      <c r="D6307" s="261"/>
      <c r="E6307" s="261"/>
    </row>
    <row r="6308" spans="2:5" x14ac:dyDescent="0.3">
      <c r="B6308" s="274"/>
      <c r="C6308" s="108"/>
      <c r="D6308" s="261"/>
      <c r="E6308" s="261"/>
    </row>
    <row r="6309" spans="2:5" x14ac:dyDescent="0.3">
      <c r="B6309" s="274"/>
      <c r="C6309" s="108"/>
      <c r="D6309" s="261"/>
      <c r="E6309" s="261"/>
    </row>
    <row r="6310" spans="2:5" x14ac:dyDescent="0.3">
      <c r="B6310" s="274"/>
      <c r="C6310" s="108"/>
      <c r="D6310" s="261"/>
      <c r="E6310" s="261"/>
    </row>
    <row r="6311" spans="2:5" x14ac:dyDescent="0.3">
      <c r="B6311" s="274"/>
      <c r="C6311" s="108"/>
      <c r="D6311" s="261"/>
      <c r="E6311" s="261"/>
    </row>
    <row r="6312" spans="2:5" x14ac:dyDescent="0.3">
      <c r="B6312" s="274"/>
      <c r="C6312" s="108"/>
      <c r="D6312" s="261"/>
      <c r="E6312" s="261"/>
    </row>
    <row r="6313" spans="2:5" x14ac:dyDescent="0.3">
      <c r="B6313" s="274"/>
      <c r="C6313" s="108"/>
      <c r="D6313" s="261"/>
      <c r="E6313" s="261"/>
    </row>
    <row r="6314" spans="2:5" x14ac:dyDescent="0.3">
      <c r="B6314" s="274"/>
      <c r="C6314" s="108"/>
      <c r="D6314" s="261"/>
      <c r="E6314" s="261"/>
    </row>
    <row r="6315" spans="2:5" x14ac:dyDescent="0.3">
      <c r="B6315" s="274"/>
      <c r="C6315" s="108"/>
      <c r="D6315" s="261"/>
      <c r="E6315" s="261"/>
    </row>
    <row r="6316" spans="2:5" x14ac:dyDescent="0.3">
      <c r="B6316" s="274"/>
      <c r="C6316" s="108"/>
      <c r="D6316" s="261"/>
      <c r="E6316" s="261"/>
    </row>
    <row r="6317" spans="2:5" x14ac:dyDescent="0.3">
      <c r="B6317" s="274"/>
      <c r="C6317" s="108"/>
      <c r="D6317" s="261"/>
      <c r="E6317" s="261"/>
    </row>
    <row r="6318" spans="2:5" x14ac:dyDescent="0.3">
      <c r="B6318" s="274"/>
      <c r="C6318" s="108"/>
      <c r="D6318" s="261"/>
      <c r="E6318" s="261"/>
    </row>
    <row r="6319" spans="2:5" x14ac:dyDescent="0.3">
      <c r="B6319" s="274"/>
      <c r="C6319" s="108"/>
      <c r="D6319" s="261"/>
      <c r="E6319" s="261"/>
    </row>
    <row r="6320" spans="2:5" x14ac:dyDescent="0.3">
      <c r="B6320" s="274"/>
      <c r="C6320" s="108"/>
      <c r="D6320" s="261"/>
      <c r="E6320" s="261"/>
    </row>
    <row r="6321" spans="2:5" x14ac:dyDescent="0.3">
      <c r="B6321" s="274"/>
      <c r="C6321" s="108"/>
      <c r="D6321" s="261"/>
      <c r="E6321" s="261"/>
    </row>
    <row r="6322" spans="2:5" x14ac:dyDescent="0.3">
      <c r="B6322" s="274"/>
      <c r="C6322" s="108"/>
      <c r="D6322" s="261"/>
      <c r="E6322" s="261"/>
    </row>
    <row r="6323" spans="2:5" x14ac:dyDescent="0.3">
      <c r="B6323" s="274"/>
      <c r="C6323" s="108"/>
      <c r="D6323" s="261"/>
      <c r="E6323" s="261"/>
    </row>
    <row r="6324" spans="2:5" x14ac:dyDescent="0.3">
      <c r="B6324" s="274"/>
      <c r="C6324" s="108"/>
      <c r="D6324" s="261"/>
      <c r="E6324" s="261"/>
    </row>
    <row r="6325" spans="2:5" x14ac:dyDescent="0.3">
      <c r="B6325" s="274"/>
      <c r="C6325" s="108"/>
      <c r="D6325" s="261"/>
      <c r="E6325" s="261"/>
    </row>
    <row r="6326" spans="2:5" x14ac:dyDescent="0.3">
      <c r="B6326" s="274"/>
      <c r="C6326" s="108"/>
      <c r="D6326" s="261"/>
      <c r="E6326" s="261"/>
    </row>
    <row r="6327" spans="2:5" x14ac:dyDescent="0.3">
      <c r="B6327" s="274"/>
      <c r="C6327" s="108"/>
      <c r="D6327" s="261"/>
      <c r="E6327" s="261"/>
    </row>
    <row r="6328" spans="2:5" x14ac:dyDescent="0.3">
      <c r="B6328" s="274"/>
      <c r="C6328" s="108"/>
      <c r="D6328" s="261"/>
      <c r="E6328" s="261"/>
    </row>
    <row r="6329" spans="2:5" x14ac:dyDescent="0.3">
      <c r="B6329" s="274"/>
      <c r="C6329" s="108"/>
      <c r="D6329" s="261"/>
      <c r="E6329" s="261"/>
    </row>
    <row r="6330" spans="2:5" x14ac:dyDescent="0.3">
      <c r="B6330" s="274"/>
      <c r="C6330" s="108"/>
      <c r="D6330" s="261"/>
      <c r="E6330" s="261"/>
    </row>
    <row r="6331" spans="2:5" x14ac:dyDescent="0.3">
      <c r="B6331" s="274"/>
      <c r="C6331" s="108"/>
      <c r="D6331" s="261"/>
      <c r="E6331" s="261"/>
    </row>
    <row r="6332" spans="2:5" x14ac:dyDescent="0.3">
      <c r="B6332" s="274"/>
      <c r="C6332" s="108"/>
      <c r="D6332" s="261"/>
      <c r="E6332" s="261"/>
    </row>
    <row r="6333" spans="2:5" x14ac:dyDescent="0.3">
      <c r="B6333" s="274"/>
      <c r="C6333" s="108"/>
      <c r="D6333" s="261"/>
      <c r="E6333" s="261"/>
    </row>
    <row r="6334" spans="2:5" x14ac:dyDescent="0.3">
      <c r="B6334" s="274"/>
      <c r="C6334" s="108"/>
      <c r="D6334" s="261"/>
      <c r="E6334" s="261"/>
    </row>
    <row r="6335" spans="2:5" x14ac:dyDescent="0.3">
      <c r="B6335" s="274"/>
      <c r="C6335" s="108"/>
      <c r="D6335" s="261"/>
      <c r="E6335" s="261"/>
    </row>
    <row r="6336" spans="2:5" x14ac:dyDescent="0.3">
      <c r="B6336" s="274"/>
      <c r="C6336" s="108"/>
      <c r="D6336" s="261"/>
      <c r="E6336" s="261"/>
    </row>
    <row r="6337" spans="2:5" x14ac:dyDescent="0.3">
      <c r="B6337" s="274"/>
      <c r="C6337" s="108"/>
      <c r="D6337" s="261"/>
      <c r="E6337" s="261"/>
    </row>
    <row r="6338" spans="2:5" x14ac:dyDescent="0.3">
      <c r="B6338" s="274"/>
      <c r="C6338" s="108"/>
      <c r="D6338" s="261"/>
      <c r="E6338" s="261"/>
    </row>
    <row r="6339" spans="2:5" x14ac:dyDescent="0.3">
      <c r="B6339" s="274"/>
      <c r="C6339" s="108"/>
      <c r="D6339" s="261"/>
      <c r="E6339" s="261"/>
    </row>
    <row r="6340" spans="2:5" x14ac:dyDescent="0.3">
      <c r="B6340" s="274"/>
      <c r="C6340" s="108"/>
      <c r="D6340" s="261"/>
      <c r="E6340" s="261"/>
    </row>
    <row r="6341" spans="2:5" x14ac:dyDescent="0.3">
      <c r="B6341" s="274"/>
      <c r="C6341" s="108"/>
      <c r="D6341" s="261"/>
      <c r="E6341" s="261"/>
    </row>
    <row r="6342" spans="2:5" x14ac:dyDescent="0.3">
      <c r="B6342" s="274"/>
      <c r="C6342" s="108"/>
      <c r="D6342" s="261"/>
      <c r="E6342" s="261"/>
    </row>
    <row r="6343" spans="2:5" x14ac:dyDescent="0.3">
      <c r="B6343" s="274"/>
      <c r="C6343" s="108"/>
      <c r="D6343" s="261"/>
      <c r="E6343" s="261"/>
    </row>
    <row r="6344" spans="2:5" x14ac:dyDescent="0.3">
      <c r="B6344" s="274"/>
      <c r="C6344" s="108"/>
      <c r="D6344" s="261"/>
      <c r="E6344" s="261"/>
    </row>
    <row r="6345" spans="2:5" x14ac:dyDescent="0.3">
      <c r="B6345" s="274"/>
      <c r="C6345" s="108"/>
      <c r="D6345" s="261"/>
      <c r="E6345" s="261"/>
    </row>
    <row r="6346" spans="2:5" x14ac:dyDescent="0.3">
      <c r="B6346" s="274"/>
      <c r="C6346" s="108"/>
      <c r="D6346" s="261"/>
      <c r="E6346" s="261"/>
    </row>
    <row r="6347" spans="2:5" x14ac:dyDescent="0.3">
      <c r="B6347" s="274"/>
      <c r="C6347" s="108"/>
      <c r="D6347" s="261"/>
      <c r="E6347" s="261"/>
    </row>
    <row r="6348" spans="2:5" x14ac:dyDescent="0.3">
      <c r="B6348" s="274"/>
      <c r="C6348" s="108"/>
      <c r="D6348" s="261"/>
      <c r="E6348" s="261"/>
    </row>
    <row r="6349" spans="2:5" x14ac:dyDescent="0.3">
      <c r="B6349" s="274"/>
      <c r="C6349" s="108"/>
      <c r="D6349" s="261"/>
      <c r="E6349" s="261"/>
    </row>
    <row r="6350" spans="2:5" x14ac:dyDescent="0.3">
      <c r="B6350" s="274"/>
      <c r="C6350" s="108"/>
      <c r="D6350" s="261"/>
      <c r="E6350" s="261"/>
    </row>
    <row r="6351" spans="2:5" x14ac:dyDescent="0.3">
      <c r="B6351" s="274"/>
      <c r="C6351" s="108"/>
      <c r="D6351" s="261"/>
      <c r="E6351" s="261"/>
    </row>
    <row r="6352" spans="2:5" x14ac:dyDescent="0.3">
      <c r="B6352" s="274"/>
      <c r="C6352" s="108"/>
      <c r="D6352" s="261"/>
      <c r="E6352" s="261"/>
    </row>
    <row r="6353" spans="2:5" x14ac:dyDescent="0.3">
      <c r="B6353" s="274"/>
      <c r="C6353" s="108"/>
      <c r="D6353" s="261"/>
      <c r="E6353" s="261"/>
    </row>
    <row r="6354" spans="2:5" x14ac:dyDescent="0.3">
      <c r="B6354" s="274"/>
      <c r="C6354" s="108"/>
      <c r="D6354" s="261"/>
      <c r="E6354" s="261"/>
    </row>
    <row r="6355" spans="2:5" x14ac:dyDescent="0.3">
      <c r="B6355" s="274"/>
      <c r="C6355" s="108"/>
      <c r="D6355" s="261"/>
      <c r="E6355" s="261"/>
    </row>
    <row r="6356" spans="2:5" x14ac:dyDescent="0.3">
      <c r="B6356" s="274"/>
      <c r="C6356" s="108"/>
      <c r="D6356" s="261"/>
      <c r="E6356" s="261"/>
    </row>
    <row r="6357" spans="2:5" x14ac:dyDescent="0.3">
      <c r="B6357" s="274"/>
      <c r="C6357" s="108"/>
      <c r="D6357" s="261"/>
      <c r="E6357" s="261"/>
    </row>
    <row r="6358" spans="2:5" x14ac:dyDescent="0.3">
      <c r="B6358" s="274"/>
      <c r="C6358" s="108"/>
      <c r="D6358" s="261"/>
      <c r="E6358" s="261"/>
    </row>
    <row r="6359" spans="2:5" x14ac:dyDescent="0.3">
      <c r="B6359" s="274"/>
      <c r="C6359" s="108"/>
      <c r="D6359" s="261"/>
      <c r="E6359" s="261"/>
    </row>
    <row r="6360" spans="2:5" x14ac:dyDescent="0.3">
      <c r="B6360" s="274"/>
      <c r="C6360" s="108"/>
      <c r="D6360" s="261"/>
      <c r="E6360" s="261"/>
    </row>
    <row r="6361" spans="2:5" x14ac:dyDescent="0.3">
      <c r="B6361" s="274"/>
      <c r="C6361" s="108"/>
      <c r="D6361" s="261"/>
      <c r="E6361" s="261"/>
    </row>
    <row r="6362" spans="2:5" x14ac:dyDescent="0.3">
      <c r="B6362" s="274"/>
      <c r="C6362" s="108"/>
      <c r="D6362" s="261"/>
      <c r="E6362" s="261"/>
    </row>
    <row r="6363" spans="2:5" x14ac:dyDescent="0.3">
      <c r="B6363" s="274"/>
      <c r="C6363" s="108"/>
      <c r="D6363" s="261"/>
      <c r="E6363" s="261"/>
    </row>
    <row r="6364" spans="2:5" x14ac:dyDescent="0.3">
      <c r="B6364" s="274"/>
      <c r="C6364" s="108"/>
      <c r="D6364" s="261"/>
      <c r="E6364" s="261"/>
    </row>
    <row r="6365" spans="2:5" x14ac:dyDescent="0.3">
      <c r="B6365" s="274"/>
      <c r="C6365" s="108"/>
      <c r="D6365" s="261"/>
      <c r="E6365" s="261"/>
    </row>
    <row r="6366" spans="2:5" x14ac:dyDescent="0.3">
      <c r="B6366" s="274"/>
      <c r="C6366" s="108"/>
      <c r="D6366" s="261"/>
      <c r="E6366" s="261"/>
    </row>
    <row r="6367" spans="2:5" x14ac:dyDescent="0.3">
      <c r="B6367" s="274"/>
      <c r="C6367" s="108"/>
      <c r="D6367" s="261"/>
      <c r="E6367" s="261"/>
    </row>
    <row r="6368" spans="2:5" x14ac:dyDescent="0.3">
      <c r="B6368" s="274"/>
      <c r="C6368" s="108"/>
      <c r="D6368" s="261"/>
      <c r="E6368" s="261"/>
    </row>
    <row r="6369" spans="2:5" x14ac:dyDescent="0.3">
      <c r="B6369" s="274"/>
      <c r="C6369" s="108"/>
      <c r="D6369" s="261"/>
      <c r="E6369" s="261"/>
    </row>
    <row r="6370" spans="2:5" x14ac:dyDescent="0.3">
      <c r="B6370" s="274"/>
      <c r="C6370" s="108"/>
      <c r="D6370" s="261"/>
      <c r="E6370" s="261"/>
    </row>
    <row r="6371" spans="2:5" x14ac:dyDescent="0.3">
      <c r="B6371" s="274"/>
      <c r="C6371" s="108"/>
      <c r="D6371" s="261"/>
      <c r="E6371" s="261"/>
    </row>
    <row r="6372" spans="2:5" x14ac:dyDescent="0.3">
      <c r="B6372" s="274"/>
      <c r="C6372" s="108"/>
      <c r="D6372" s="261"/>
      <c r="E6372" s="261"/>
    </row>
    <row r="6373" spans="2:5" x14ac:dyDescent="0.3">
      <c r="B6373" s="274"/>
      <c r="C6373" s="108"/>
      <c r="D6373" s="261"/>
      <c r="E6373" s="261"/>
    </row>
    <row r="6374" spans="2:5" x14ac:dyDescent="0.3">
      <c r="B6374" s="274"/>
      <c r="C6374" s="108"/>
      <c r="D6374" s="261"/>
      <c r="E6374" s="261"/>
    </row>
    <row r="6375" spans="2:5" x14ac:dyDescent="0.3">
      <c r="B6375" s="274"/>
      <c r="C6375" s="108"/>
      <c r="D6375" s="261"/>
      <c r="E6375" s="261"/>
    </row>
    <row r="6376" spans="2:5" x14ac:dyDescent="0.3">
      <c r="B6376" s="274"/>
      <c r="C6376" s="108"/>
      <c r="D6376" s="261"/>
      <c r="E6376" s="261"/>
    </row>
    <row r="6377" spans="2:5" x14ac:dyDescent="0.3">
      <c r="B6377" s="274"/>
      <c r="C6377" s="108"/>
      <c r="D6377" s="261"/>
      <c r="E6377" s="261"/>
    </row>
    <row r="6378" spans="2:5" x14ac:dyDescent="0.3">
      <c r="B6378" s="274"/>
      <c r="C6378" s="108"/>
      <c r="D6378" s="261"/>
      <c r="E6378" s="261"/>
    </row>
    <row r="6379" spans="2:5" x14ac:dyDescent="0.3">
      <c r="B6379" s="274"/>
      <c r="C6379" s="108"/>
      <c r="D6379" s="261"/>
      <c r="E6379" s="261"/>
    </row>
    <row r="6380" spans="2:5" x14ac:dyDescent="0.3">
      <c r="B6380" s="274"/>
      <c r="C6380" s="108"/>
      <c r="D6380" s="261"/>
      <c r="E6380" s="261"/>
    </row>
    <row r="6381" spans="2:5" x14ac:dyDescent="0.3">
      <c r="B6381" s="274"/>
      <c r="C6381" s="108"/>
      <c r="D6381" s="261"/>
      <c r="E6381" s="261"/>
    </row>
    <row r="6382" spans="2:5" x14ac:dyDescent="0.3">
      <c r="B6382" s="274"/>
      <c r="C6382" s="108"/>
      <c r="D6382" s="261"/>
      <c r="E6382" s="261"/>
    </row>
    <row r="6383" spans="2:5" x14ac:dyDescent="0.3">
      <c r="B6383" s="274"/>
      <c r="C6383" s="108"/>
      <c r="D6383" s="261"/>
      <c r="E6383" s="261"/>
    </row>
    <row r="6384" spans="2:5" x14ac:dyDescent="0.3">
      <c r="B6384" s="274"/>
      <c r="C6384" s="108"/>
      <c r="D6384" s="261"/>
      <c r="E6384" s="261"/>
    </row>
    <row r="6385" spans="2:5" x14ac:dyDescent="0.3">
      <c r="B6385" s="274"/>
      <c r="C6385" s="108"/>
      <c r="D6385" s="261"/>
      <c r="E6385" s="261"/>
    </row>
    <row r="6386" spans="2:5" x14ac:dyDescent="0.3">
      <c r="B6386" s="274"/>
      <c r="C6386" s="108"/>
      <c r="D6386" s="261"/>
      <c r="E6386" s="261"/>
    </row>
    <row r="6387" spans="2:5" x14ac:dyDescent="0.3">
      <c r="B6387" s="274"/>
      <c r="C6387" s="108"/>
      <c r="D6387" s="261"/>
      <c r="E6387" s="261"/>
    </row>
    <row r="6388" spans="2:5" x14ac:dyDescent="0.3">
      <c r="B6388" s="274"/>
      <c r="C6388" s="108"/>
      <c r="D6388" s="261"/>
      <c r="E6388" s="261"/>
    </row>
    <row r="6389" spans="2:5" x14ac:dyDescent="0.3">
      <c r="B6389" s="274"/>
      <c r="C6389" s="108"/>
      <c r="D6389" s="261"/>
      <c r="E6389" s="261"/>
    </row>
    <row r="6390" spans="2:5" x14ac:dyDescent="0.3">
      <c r="B6390" s="274"/>
      <c r="C6390" s="108"/>
      <c r="D6390" s="261"/>
      <c r="E6390" s="261"/>
    </row>
    <row r="6391" spans="2:5" x14ac:dyDescent="0.3">
      <c r="B6391" s="274"/>
      <c r="C6391" s="108"/>
      <c r="D6391" s="261"/>
      <c r="E6391" s="261"/>
    </row>
    <row r="6392" spans="2:5" x14ac:dyDescent="0.3">
      <c r="B6392" s="274"/>
      <c r="C6392" s="108"/>
      <c r="D6392" s="261"/>
      <c r="E6392" s="261"/>
    </row>
    <row r="6393" spans="2:5" x14ac:dyDescent="0.3">
      <c r="B6393" s="274"/>
      <c r="C6393" s="108"/>
      <c r="D6393" s="261"/>
      <c r="E6393" s="261"/>
    </row>
    <row r="6394" spans="2:5" x14ac:dyDescent="0.3">
      <c r="B6394" s="274"/>
      <c r="C6394" s="108"/>
      <c r="D6394" s="261"/>
      <c r="E6394" s="261"/>
    </row>
    <row r="6395" spans="2:5" x14ac:dyDescent="0.3">
      <c r="B6395" s="274"/>
      <c r="C6395" s="108"/>
      <c r="D6395" s="261"/>
      <c r="E6395" s="261"/>
    </row>
    <row r="6396" spans="2:5" x14ac:dyDescent="0.3">
      <c r="B6396" s="274"/>
      <c r="C6396" s="108"/>
      <c r="D6396" s="261"/>
      <c r="E6396" s="261"/>
    </row>
    <row r="6397" spans="2:5" x14ac:dyDescent="0.3">
      <c r="B6397" s="274"/>
      <c r="C6397" s="108"/>
      <c r="D6397" s="261"/>
      <c r="E6397" s="261"/>
    </row>
    <row r="6398" spans="2:5" x14ac:dyDescent="0.3">
      <c r="B6398" s="274"/>
      <c r="C6398" s="108"/>
      <c r="D6398" s="261"/>
      <c r="E6398" s="261"/>
    </row>
    <row r="6399" spans="2:5" x14ac:dyDescent="0.3">
      <c r="B6399" s="274"/>
      <c r="C6399" s="108"/>
      <c r="D6399" s="261"/>
      <c r="E6399" s="261"/>
    </row>
    <row r="6400" spans="2:5" x14ac:dyDescent="0.3">
      <c r="B6400" s="274"/>
      <c r="C6400" s="108"/>
      <c r="D6400" s="261"/>
      <c r="E6400" s="261"/>
    </row>
    <row r="6401" spans="2:5" x14ac:dyDescent="0.3">
      <c r="B6401" s="274"/>
      <c r="C6401" s="108"/>
      <c r="D6401" s="261"/>
      <c r="E6401" s="261"/>
    </row>
    <row r="6402" spans="2:5" x14ac:dyDescent="0.3">
      <c r="B6402" s="274"/>
      <c r="C6402" s="108"/>
      <c r="D6402" s="261"/>
      <c r="E6402" s="261"/>
    </row>
    <row r="6403" spans="2:5" x14ac:dyDescent="0.3">
      <c r="B6403" s="274"/>
      <c r="C6403" s="108"/>
      <c r="D6403" s="261"/>
      <c r="E6403" s="261"/>
    </row>
    <row r="6404" spans="2:5" x14ac:dyDescent="0.3">
      <c r="B6404" s="274"/>
      <c r="C6404" s="108"/>
      <c r="D6404" s="261"/>
      <c r="E6404" s="261"/>
    </row>
    <row r="6405" spans="2:5" x14ac:dyDescent="0.3">
      <c r="B6405" s="274"/>
      <c r="C6405" s="108"/>
      <c r="D6405" s="261"/>
      <c r="E6405" s="261"/>
    </row>
    <row r="6406" spans="2:5" x14ac:dyDescent="0.3">
      <c r="B6406" s="274"/>
      <c r="C6406" s="108"/>
      <c r="D6406" s="261"/>
      <c r="E6406" s="261"/>
    </row>
    <row r="6407" spans="2:5" x14ac:dyDescent="0.3">
      <c r="B6407" s="274"/>
      <c r="C6407" s="108"/>
      <c r="D6407" s="261"/>
      <c r="E6407" s="261"/>
    </row>
    <row r="6408" spans="2:5" x14ac:dyDescent="0.3">
      <c r="B6408" s="274"/>
      <c r="C6408" s="108"/>
      <c r="D6408" s="261"/>
      <c r="E6408" s="261"/>
    </row>
    <row r="6409" spans="2:5" x14ac:dyDescent="0.3">
      <c r="B6409" s="274"/>
      <c r="C6409" s="108"/>
      <c r="D6409" s="261"/>
      <c r="E6409" s="261"/>
    </row>
    <row r="6410" spans="2:5" x14ac:dyDescent="0.3">
      <c r="B6410" s="274"/>
      <c r="C6410" s="108"/>
      <c r="D6410" s="261"/>
      <c r="E6410" s="261"/>
    </row>
    <row r="6411" spans="2:5" x14ac:dyDescent="0.3">
      <c r="B6411" s="274"/>
      <c r="C6411" s="108"/>
      <c r="D6411" s="261"/>
      <c r="E6411" s="261"/>
    </row>
    <row r="6412" spans="2:5" x14ac:dyDescent="0.3">
      <c r="B6412" s="274"/>
      <c r="C6412" s="108"/>
      <c r="D6412" s="261"/>
      <c r="E6412" s="261"/>
    </row>
    <row r="6413" spans="2:5" x14ac:dyDescent="0.3">
      <c r="B6413" s="274"/>
      <c r="C6413" s="108"/>
      <c r="D6413" s="261"/>
      <c r="E6413" s="261"/>
    </row>
    <row r="6414" spans="2:5" x14ac:dyDescent="0.3">
      <c r="B6414" s="274"/>
      <c r="C6414" s="108"/>
      <c r="D6414" s="261"/>
      <c r="E6414" s="261"/>
    </row>
    <row r="6415" spans="2:5" x14ac:dyDescent="0.3">
      <c r="B6415" s="274"/>
      <c r="C6415" s="108"/>
      <c r="D6415" s="261"/>
      <c r="E6415" s="261"/>
    </row>
    <row r="6416" spans="2:5" x14ac:dyDescent="0.3">
      <c r="B6416" s="274"/>
      <c r="C6416" s="108"/>
      <c r="D6416" s="261"/>
      <c r="E6416" s="261"/>
    </row>
    <row r="6417" spans="2:5" x14ac:dyDescent="0.3">
      <c r="B6417" s="274"/>
      <c r="C6417" s="108"/>
      <c r="D6417" s="261"/>
      <c r="E6417" s="261"/>
    </row>
    <row r="6418" spans="2:5" x14ac:dyDescent="0.3">
      <c r="B6418" s="274"/>
      <c r="C6418" s="108"/>
      <c r="D6418" s="261"/>
      <c r="E6418" s="261"/>
    </row>
    <row r="6419" spans="2:5" x14ac:dyDescent="0.3">
      <c r="B6419" s="274"/>
      <c r="C6419" s="108"/>
      <c r="D6419" s="261"/>
      <c r="E6419" s="261"/>
    </row>
    <row r="6420" spans="2:5" x14ac:dyDescent="0.3">
      <c r="B6420" s="274"/>
      <c r="C6420" s="108"/>
      <c r="D6420" s="261"/>
      <c r="E6420" s="261"/>
    </row>
    <row r="6421" spans="2:5" x14ac:dyDescent="0.3">
      <c r="B6421" s="274"/>
      <c r="C6421" s="108"/>
      <c r="D6421" s="261"/>
      <c r="E6421" s="261"/>
    </row>
    <row r="6422" spans="2:5" x14ac:dyDescent="0.3">
      <c r="B6422" s="274"/>
      <c r="C6422" s="108"/>
      <c r="D6422" s="261"/>
      <c r="E6422" s="261"/>
    </row>
    <row r="6423" spans="2:5" x14ac:dyDescent="0.3">
      <c r="B6423" s="274"/>
      <c r="C6423" s="108"/>
      <c r="D6423" s="261"/>
      <c r="E6423" s="261"/>
    </row>
    <row r="6424" spans="2:5" x14ac:dyDescent="0.3">
      <c r="B6424" s="274"/>
      <c r="C6424" s="108"/>
      <c r="D6424" s="261"/>
      <c r="E6424" s="261"/>
    </row>
    <row r="6425" spans="2:5" x14ac:dyDescent="0.3">
      <c r="B6425" s="274"/>
      <c r="C6425" s="108"/>
      <c r="D6425" s="261"/>
      <c r="E6425" s="261"/>
    </row>
    <row r="6426" spans="2:5" x14ac:dyDescent="0.3">
      <c r="B6426" s="274"/>
      <c r="C6426" s="108"/>
      <c r="D6426" s="261"/>
      <c r="E6426" s="261"/>
    </row>
    <row r="6427" spans="2:5" x14ac:dyDescent="0.3">
      <c r="B6427" s="274"/>
      <c r="C6427" s="108"/>
      <c r="D6427" s="261"/>
      <c r="E6427" s="261"/>
    </row>
    <row r="6428" spans="2:5" x14ac:dyDescent="0.3">
      <c r="B6428" s="274"/>
      <c r="C6428" s="108"/>
      <c r="D6428" s="261"/>
      <c r="E6428" s="261"/>
    </row>
    <row r="6429" spans="2:5" x14ac:dyDescent="0.3">
      <c r="B6429" s="274"/>
      <c r="C6429" s="108"/>
      <c r="D6429" s="261"/>
      <c r="E6429" s="261"/>
    </row>
    <row r="6430" spans="2:5" x14ac:dyDescent="0.3">
      <c r="B6430" s="274"/>
      <c r="C6430" s="108"/>
      <c r="D6430" s="261"/>
      <c r="E6430" s="261"/>
    </row>
    <row r="6431" spans="2:5" x14ac:dyDescent="0.3">
      <c r="B6431" s="274"/>
      <c r="C6431" s="108"/>
      <c r="D6431" s="261"/>
      <c r="E6431" s="261"/>
    </row>
    <row r="6432" spans="2:5" x14ac:dyDescent="0.3">
      <c r="B6432" s="274"/>
      <c r="C6432" s="108"/>
      <c r="D6432" s="261"/>
      <c r="E6432" s="261"/>
    </row>
    <row r="6433" spans="2:5" x14ac:dyDescent="0.3">
      <c r="B6433" s="274"/>
      <c r="C6433" s="108"/>
      <c r="D6433" s="261"/>
      <c r="E6433" s="261"/>
    </row>
    <row r="6434" spans="2:5" x14ac:dyDescent="0.3">
      <c r="B6434" s="274"/>
      <c r="C6434" s="108"/>
      <c r="D6434" s="261"/>
      <c r="E6434" s="261"/>
    </row>
    <row r="6435" spans="2:5" x14ac:dyDescent="0.3">
      <c r="B6435" s="274"/>
      <c r="C6435" s="108"/>
      <c r="D6435" s="261"/>
      <c r="E6435" s="261"/>
    </row>
    <row r="6436" spans="2:5" x14ac:dyDescent="0.3">
      <c r="B6436" s="274"/>
      <c r="C6436" s="108"/>
      <c r="D6436" s="261"/>
      <c r="E6436" s="261"/>
    </row>
    <row r="6437" spans="2:5" x14ac:dyDescent="0.3">
      <c r="B6437" s="274"/>
      <c r="C6437" s="108"/>
      <c r="D6437" s="261"/>
      <c r="E6437" s="261"/>
    </row>
    <row r="6438" spans="2:5" x14ac:dyDescent="0.3">
      <c r="B6438" s="274"/>
      <c r="C6438" s="108"/>
      <c r="D6438" s="261"/>
      <c r="E6438" s="261"/>
    </row>
    <row r="6439" spans="2:5" x14ac:dyDescent="0.3">
      <c r="B6439" s="274"/>
      <c r="C6439" s="108"/>
      <c r="D6439" s="261"/>
      <c r="E6439" s="261"/>
    </row>
    <row r="6440" spans="2:5" x14ac:dyDescent="0.3">
      <c r="B6440" s="274"/>
      <c r="C6440" s="108"/>
      <c r="D6440" s="261"/>
      <c r="E6440" s="261"/>
    </row>
    <row r="6441" spans="2:5" x14ac:dyDescent="0.3">
      <c r="B6441" s="274"/>
      <c r="C6441" s="108"/>
      <c r="D6441" s="261"/>
      <c r="E6441" s="261"/>
    </row>
    <row r="6442" spans="2:5" x14ac:dyDescent="0.3">
      <c r="B6442" s="274"/>
      <c r="C6442" s="108"/>
      <c r="D6442" s="261"/>
      <c r="E6442" s="261"/>
    </row>
    <row r="6443" spans="2:5" x14ac:dyDescent="0.3">
      <c r="B6443" s="274"/>
      <c r="C6443" s="108"/>
      <c r="D6443" s="261"/>
      <c r="E6443" s="261"/>
    </row>
    <row r="6444" spans="2:5" x14ac:dyDescent="0.3">
      <c r="B6444" s="274"/>
      <c r="C6444" s="108"/>
      <c r="D6444" s="261"/>
      <c r="E6444" s="261"/>
    </row>
    <row r="6445" spans="2:5" x14ac:dyDescent="0.3">
      <c r="B6445" s="274"/>
      <c r="C6445" s="108"/>
      <c r="D6445" s="261"/>
      <c r="E6445" s="261"/>
    </row>
    <row r="6446" spans="2:5" x14ac:dyDescent="0.3">
      <c r="B6446" s="274"/>
      <c r="C6446" s="108"/>
      <c r="D6446" s="261"/>
      <c r="E6446" s="261"/>
    </row>
    <row r="6447" spans="2:5" x14ac:dyDescent="0.3">
      <c r="B6447" s="274"/>
      <c r="C6447" s="108"/>
      <c r="D6447" s="261"/>
      <c r="E6447" s="261"/>
    </row>
    <row r="6448" spans="2:5" x14ac:dyDescent="0.3">
      <c r="B6448" s="274"/>
      <c r="C6448" s="108"/>
      <c r="D6448" s="261"/>
      <c r="E6448" s="261"/>
    </row>
    <row r="6449" spans="2:5" x14ac:dyDescent="0.3">
      <c r="B6449" s="274"/>
      <c r="C6449" s="108"/>
      <c r="D6449" s="261"/>
      <c r="E6449" s="261"/>
    </row>
    <row r="6450" spans="2:5" x14ac:dyDescent="0.3">
      <c r="B6450" s="274"/>
      <c r="C6450" s="108"/>
      <c r="D6450" s="261"/>
      <c r="E6450" s="261"/>
    </row>
    <row r="6451" spans="2:5" x14ac:dyDescent="0.3">
      <c r="B6451" s="274"/>
      <c r="C6451" s="108"/>
      <c r="D6451" s="261"/>
      <c r="E6451" s="261"/>
    </row>
    <row r="6452" spans="2:5" x14ac:dyDescent="0.3">
      <c r="B6452" s="274"/>
      <c r="C6452" s="108"/>
      <c r="D6452" s="261"/>
      <c r="E6452" s="261"/>
    </row>
    <row r="6453" spans="2:5" x14ac:dyDescent="0.3">
      <c r="B6453" s="274"/>
      <c r="C6453" s="108"/>
      <c r="D6453" s="261"/>
      <c r="E6453" s="261"/>
    </row>
    <row r="6454" spans="2:5" x14ac:dyDescent="0.3">
      <c r="B6454" s="274"/>
      <c r="C6454" s="108"/>
      <c r="D6454" s="261"/>
      <c r="E6454" s="261"/>
    </row>
    <row r="6455" spans="2:5" x14ac:dyDescent="0.3">
      <c r="B6455" s="274"/>
      <c r="C6455" s="108"/>
      <c r="D6455" s="261"/>
      <c r="E6455" s="261"/>
    </row>
    <row r="6456" spans="2:5" x14ac:dyDescent="0.3">
      <c r="B6456" s="274"/>
      <c r="C6456" s="108"/>
      <c r="D6456" s="261"/>
      <c r="E6456" s="261"/>
    </row>
    <row r="6457" spans="2:5" x14ac:dyDescent="0.3">
      <c r="B6457" s="274"/>
      <c r="C6457" s="108"/>
      <c r="D6457" s="261"/>
      <c r="E6457" s="261"/>
    </row>
    <row r="6458" spans="2:5" x14ac:dyDescent="0.3">
      <c r="B6458" s="274"/>
      <c r="C6458" s="108"/>
      <c r="D6458" s="261"/>
      <c r="E6458" s="261"/>
    </row>
    <row r="6459" spans="2:5" x14ac:dyDescent="0.3">
      <c r="B6459" s="274"/>
      <c r="C6459" s="108"/>
      <c r="D6459" s="261"/>
      <c r="E6459" s="261"/>
    </row>
    <row r="6460" spans="2:5" x14ac:dyDescent="0.3">
      <c r="B6460" s="274"/>
      <c r="C6460" s="108"/>
      <c r="D6460" s="261"/>
      <c r="E6460" s="261"/>
    </row>
    <row r="6461" spans="2:5" x14ac:dyDescent="0.3">
      <c r="B6461" s="274"/>
      <c r="C6461" s="108"/>
      <c r="D6461" s="261"/>
      <c r="E6461" s="261"/>
    </row>
    <row r="6462" spans="2:5" x14ac:dyDescent="0.3">
      <c r="B6462" s="274"/>
      <c r="C6462" s="108"/>
      <c r="D6462" s="261"/>
      <c r="E6462" s="261"/>
    </row>
    <row r="6463" spans="2:5" x14ac:dyDescent="0.3">
      <c r="B6463" s="274"/>
      <c r="C6463" s="108"/>
      <c r="D6463" s="261"/>
      <c r="E6463" s="261"/>
    </row>
    <row r="6464" spans="2:5" x14ac:dyDescent="0.3">
      <c r="B6464" s="274"/>
      <c r="C6464" s="108"/>
      <c r="D6464" s="261"/>
      <c r="E6464" s="261"/>
    </row>
    <row r="6465" spans="2:5" x14ac:dyDescent="0.3">
      <c r="B6465" s="274"/>
      <c r="C6465" s="108"/>
      <c r="D6465" s="261"/>
      <c r="E6465" s="261"/>
    </row>
    <row r="6466" spans="2:5" x14ac:dyDescent="0.3">
      <c r="B6466" s="274"/>
      <c r="C6466" s="108"/>
      <c r="D6466" s="261"/>
      <c r="E6466" s="261"/>
    </row>
    <row r="6467" spans="2:5" x14ac:dyDescent="0.3">
      <c r="B6467" s="274"/>
      <c r="C6467" s="108"/>
      <c r="D6467" s="261"/>
      <c r="E6467" s="261"/>
    </row>
    <row r="6468" spans="2:5" x14ac:dyDescent="0.3">
      <c r="B6468" s="274"/>
      <c r="C6468" s="108"/>
      <c r="D6468" s="261"/>
      <c r="E6468" s="261"/>
    </row>
    <row r="6469" spans="2:5" x14ac:dyDescent="0.3">
      <c r="B6469" s="274"/>
      <c r="C6469" s="108"/>
      <c r="D6469" s="261"/>
      <c r="E6469" s="261"/>
    </row>
    <row r="6470" spans="2:5" x14ac:dyDescent="0.3">
      <c r="B6470" s="274"/>
      <c r="C6470" s="108"/>
      <c r="D6470" s="261"/>
      <c r="E6470" s="261"/>
    </row>
    <row r="6471" spans="2:5" x14ac:dyDescent="0.3">
      <c r="B6471" s="274"/>
      <c r="C6471" s="108"/>
      <c r="D6471" s="261"/>
      <c r="E6471" s="261"/>
    </row>
    <row r="6472" spans="2:5" x14ac:dyDescent="0.3">
      <c r="B6472" s="274"/>
      <c r="C6472" s="108"/>
      <c r="D6472" s="261"/>
      <c r="E6472" s="261"/>
    </row>
    <row r="6473" spans="2:5" x14ac:dyDescent="0.3">
      <c r="B6473" s="274"/>
      <c r="C6473" s="108"/>
      <c r="D6473" s="261"/>
      <c r="E6473" s="261"/>
    </row>
    <row r="6474" spans="2:5" x14ac:dyDescent="0.3">
      <c r="B6474" s="274"/>
      <c r="C6474" s="108"/>
      <c r="D6474" s="261"/>
      <c r="E6474" s="261"/>
    </row>
    <row r="6475" spans="2:5" x14ac:dyDescent="0.3">
      <c r="B6475" s="274"/>
      <c r="C6475" s="108"/>
      <c r="D6475" s="261"/>
      <c r="E6475" s="261"/>
    </row>
    <row r="6476" spans="2:5" x14ac:dyDescent="0.3">
      <c r="B6476" s="274"/>
      <c r="C6476" s="108"/>
      <c r="D6476" s="261"/>
      <c r="E6476" s="261"/>
    </row>
    <row r="6477" spans="2:5" x14ac:dyDescent="0.3">
      <c r="B6477" s="274"/>
      <c r="C6477" s="108"/>
      <c r="D6477" s="261"/>
      <c r="E6477" s="261"/>
    </row>
    <row r="6478" spans="2:5" x14ac:dyDescent="0.3">
      <c r="B6478" s="274"/>
      <c r="C6478" s="108"/>
      <c r="D6478" s="261"/>
      <c r="E6478" s="261"/>
    </row>
    <row r="6479" spans="2:5" x14ac:dyDescent="0.3">
      <c r="B6479" s="274"/>
      <c r="C6479" s="108"/>
      <c r="D6479" s="261"/>
      <c r="E6479" s="261"/>
    </row>
    <row r="6480" spans="2:5" x14ac:dyDescent="0.3">
      <c r="B6480" s="274"/>
      <c r="C6480" s="108"/>
      <c r="D6480" s="261"/>
      <c r="E6480" s="261"/>
    </row>
    <row r="6481" spans="2:5" x14ac:dyDescent="0.3">
      <c r="B6481" s="274"/>
      <c r="C6481" s="108"/>
      <c r="D6481" s="261"/>
      <c r="E6481" s="261"/>
    </row>
    <row r="6482" spans="2:5" x14ac:dyDescent="0.3">
      <c r="B6482" s="274"/>
      <c r="C6482" s="108"/>
      <c r="D6482" s="261"/>
      <c r="E6482" s="261"/>
    </row>
    <row r="6483" spans="2:5" x14ac:dyDescent="0.3">
      <c r="B6483" s="274"/>
      <c r="C6483" s="108"/>
      <c r="D6483" s="261"/>
      <c r="E6483" s="261"/>
    </row>
    <row r="6484" spans="2:5" x14ac:dyDescent="0.3">
      <c r="B6484" s="274"/>
      <c r="C6484" s="108"/>
      <c r="D6484" s="261"/>
      <c r="E6484" s="261"/>
    </row>
    <row r="6485" spans="2:5" x14ac:dyDescent="0.3">
      <c r="B6485" s="274"/>
      <c r="C6485" s="108"/>
      <c r="D6485" s="261"/>
      <c r="E6485" s="261"/>
    </row>
    <row r="6486" spans="2:5" x14ac:dyDescent="0.3">
      <c r="B6486" s="274"/>
      <c r="C6486" s="108"/>
      <c r="D6486" s="261"/>
      <c r="E6486" s="261"/>
    </row>
    <row r="6487" spans="2:5" x14ac:dyDescent="0.3">
      <c r="B6487" s="274"/>
      <c r="C6487" s="108"/>
      <c r="D6487" s="261"/>
      <c r="E6487" s="261"/>
    </row>
    <row r="6488" spans="2:5" x14ac:dyDescent="0.3">
      <c r="B6488" s="274"/>
      <c r="C6488" s="108"/>
      <c r="D6488" s="261"/>
      <c r="E6488" s="261"/>
    </row>
    <row r="6489" spans="2:5" x14ac:dyDescent="0.3">
      <c r="B6489" s="274"/>
      <c r="C6489" s="108"/>
      <c r="D6489" s="261"/>
      <c r="E6489" s="261"/>
    </row>
    <row r="6490" spans="2:5" x14ac:dyDescent="0.3">
      <c r="B6490" s="274"/>
      <c r="C6490" s="108"/>
      <c r="D6490" s="261"/>
      <c r="E6490" s="261"/>
    </row>
    <row r="6491" spans="2:5" x14ac:dyDescent="0.3">
      <c r="B6491" s="274"/>
      <c r="C6491" s="108"/>
      <c r="D6491" s="261"/>
      <c r="E6491" s="261"/>
    </row>
    <row r="6492" spans="2:5" x14ac:dyDescent="0.3">
      <c r="B6492" s="274"/>
      <c r="C6492" s="108"/>
      <c r="D6492" s="261"/>
      <c r="E6492" s="261"/>
    </row>
    <row r="6493" spans="2:5" x14ac:dyDescent="0.3">
      <c r="B6493" s="274"/>
      <c r="C6493" s="108"/>
      <c r="D6493" s="261"/>
      <c r="E6493" s="261"/>
    </row>
    <row r="6494" spans="2:5" x14ac:dyDescent="0.3">
      <c r="B6494" s="274"/>
      <c r="C6494" s="108"/>
      <c r="D6494" s="261"/>
      <c r="E6494" s="261"/>
    </row>
    <row r="6495" spans="2:5" x14ac:dyDescent="0.3">
      <c r="B6495" s="274"/>
      <c r="C6495" s="108"/>
      <c r="D6495" s="261"/>
      <c r="E6495" s="261"/>
    </row>
    <row r="6496" spans="2:5" x14ac:dyDescent="0.3">
      <c r="B6496" s="274"/>
      <c r="C6496" s="108"/>
      <c r="D6496" s="261"/>
      <c r="E6496" s="261"/>
    </row>
    <row r="6497" spans="2:5" x14ac:dyDescent="0.3">
      <c r="B6497" s="274"/>
      <c r="C6497" s="108"/>
      <c r="D6497" s="261"/>
      <c r="E6497" s="261"/>
    </row>
    <row r="6498" spans="2:5" x14ac:dyDescent="0.3">
      <c r="B6498" s="274"/>
      <c r="C6498" s="108"/>
      <c r="D6498" s="261"/>
      <c r="E6498" s="261"/>
    </row>
    <row r="6499" spans="2:5" x14ac:dyDescent="0.3">
      <c r="B6499" s="274"/>
      <c r="C6499" s="108"/>
      <c r="D6499" s="261"/>
      <c r="E6499" s="261"/>
    </row>
    <row r="6500" spans="2:5" x14ac:dyDescent="0.3">
      <c r="B6500" s="274"/>
      <c r="C6500" s="108"/>
      <c r="D6500" s="261"/>
      <c r="E6500" s="261"/>
    </row>
    <row r="6501" spans="2:5" x14ac:dyDescent="0.3">
      <c r="B6501" s="274"/>
      <c r="C6501" s="108"/>
      <c r="D6501" s="261"/>
      <c r="E6501" s="261"/>
    </row>
    <row r="6502" spans="2:5" x14ac:dyDescent="0.3">
      <c r="B6502" s="274"/>
      <c r="C6502" s="108"/>
      <c r="D6502" s="261"/>
      <c r="E6502" s="261"/>
    </row>
    <row r="6503" spans="2:5" x14ac:dyDescent="0.3">
      <c r="B6503" s="274"/>
      <c r="C6503" s="108"/>
      <c r="D6503" s="261"/>
      <c r="E6503" s="261"/>
    </row>
    <row r="6504" spans="2:5" x14ac:dyDescent="0.3">
      <c r="B6504" s="274"/>
      <c r="C6504" s="108"/>
      <c r="D6504" s="261"/>
      <c r="E6504" s="261"/>
    </row>
    <row r="6505" spans="2:5" x14ac:dyDescent="0.3">
      <c r="B6505" s="274"/>
      <c r="C6505" s="108"/>
      <c r="D6505" s="261"/>
      <c r="E6505" s="261"/>
    </row>
    <row r="6506" spans="2:5" x14ac:dyDescent="0.3">
      <c r="B6506" s="274"/>
      <c r="C6506" s="108"/>
      <c r="D6506" s="261"/>
      <c r="E6506" s="261"/>
    </row>
    <row r="6507" spans="2:5" x14ac:dyDescent="0.3">
      <c r="B6507" s="274"/>
      <c r="C6507" s="108"/>
      <c r="D6507" s="261"/>
      <c r="E6507" s="261"/>
    </row>
    <row r="6508" spans="2:5" x14ac:dyDescent="0.3">
      <c r="B6508" s="274"/>
      <c r="C6508" s="108"/>
      <c r="D6508" s="261"/>
      <c r="E6508" s="261"/>
    </row>
    <row r="6509" spans="2:5" x14ac:dyDescent="0.3">
      <c r="B6509" s="274"/>
      <c r="C6509" s="108"/>
      <c r="D6509" s="261"/>
      <c r="E6509" s="261"/>
    </row>
    <row r="6510" spans="2:5" x14ac:dyDescent="0.3">
      <c r="B6510" s="274"/>
      <c r="C6510" s="108"/>
      <c r="D6510" s="261"/>
      <c r="E6510" s="261"/>
    </row>
    <row r="6511" spans="2:5" x14ac:dyDescent="0.3">
      <c r="B6511" s="274"/>
      <c r="C6511" s="108"/>
      <c r="D6511" s="261"/>
      <c r="E6511" s="261"/>
    </row>
    <row r="6512" spans="2:5" x14ac:dyDescent="0.3">
      <c r="B6512" s="274"/>
      <c r="C6512" s="108"/>
      <c r="D6512" s="261"/>
      <c r="E6512" s="261"/>
    </row>
    <row r="6513" spans="2:5" x14ac:dyDescent="0.3">
      <c r="B6513" s="274"/>
      <c r="C6513" s="108"/>
      <c r="D6513" s="261"/>
      <c r="E6513" s="261"/>
    </row>
    <row r="6514" spans="2:5" x14ac:dyDescent="0.3">
      <c r="B6514" s="274"/>
      <c r="C6514" s="108"/>
      <c r="D6514" s="261"/>
      <c r="E6514" s="261"/>
    </row>
    <row r="6515" spans="2:5" x14ac:dyDescent="0.3">
      <c r="B6515" s="274"/>
      <c r="C6515" s="108"/>
      <c r="D6515" s="261"/>
      <c r="E6515" s="261"/>
    </row>
    <row r="6516" spans="2:5" x14ac:dyDescent="0.3">
      <c r="B6516" s="274"/>
      <c r="C6516" s="108"/>
      <c r="D6516" s="261"/>
      <c r="E6516" s="261"/>
    </row>
    <row r="6517" spans="2:5" x14ac:dyDescent="0.3">
      <c r="B6517" s="274"/>
      <c r="C6517" s="108"/>
      <c r="D6517" s="261"/>
      <c r="E6517" s="261"/>
    </row>
    <row r="6518" spans="2:5" x14ac:dyDescent="0.3">
      <c r="B6518" s="274"/>
      <c r="C6518" s="108"/>
      <c r="D6518" s="261"/>
      <c r="E6518" s="261"/>
    </row>
    <row r="6519" spans="2:5" x14ac:dyDescent="0.3">
      <c r="B6519" s="274"/>
      <c r="C6519" s="108"/>
      <c r="D6519" s="261"/>
      <c r="E6519" s="261"/>
    </row>
    <row r="6520" spans="2:5" x14ac:dyDescent="0.3">
      <c r="B6520" s="274"/>
      <c r="C6520" s="108"/>
      <c r="D6520" s="261"/>
      <c r="E6520" s="261"/>
    </row>
    <row r="6521" spans="2:5" x14ac:dyDescent="0.3">
      <c r="B6521" s="274"/>
      <c r="C6521" s="108"/>
      <c r="D6521" s="261"/>
      <c r="E6521" s="261"/>
    </row>
    <row r="6522" spans="2:5" x14ac:dyDescent="0.3">
      <c r="B6522" s="274"/>
      <c r="C6522" s="108"/>
      <c r="D6522" s="261"/>
      <c r="E6522" s="261"/>
    </row>
    <row r="6523" spans="2:5" x14ac:dyDescent="0.3">
      <c r="B6523" s="274"/>
      <c r="C6523" s="108"/>
      <c r="D6523" s="261"/>
      <c r="E6523" s="261"/>
    </row>
    <row r="6524" spans="2:5" x14ac:dyDescent="0.3">
      <c r="B6524" s="274"/>
      <c r="C6524" s="108"/>
      <c r="D6524" s="261"/>
      <c r="E6524" s="261"/>
    </row>
    <row r="6525" spans="2:5" x14ac:dyDescent="0.3">
      <c r="B6525" s="274"/>
      <c r="C6525" s="108"/>
      <c r="D6525" s="261"/>
      <c r="E6525" s="261"/>
    </row>
    <row r="6526" spans="2:5" x14ac:dyDescent="0.3">
      <c r="B6526" s="274"/>
      <c r="C6526" s="108"/>
      <c r="D6526" s="261"/>
      <c r="E6526" s="261"/>
    </row>
    <row r="6527" spans="2:5" x14ac:dyDescent="0.3">
      <c r="B6527" s="274"/>
      <c r="C6527" s="108"/>
      <c r="D6527" s="261"/>
      <c r="E6527" s="261"/>
    </row>
    <row r="6528" spans="2:5" x14ac:dyDescent="0.3">
      <c r="B6528" s="274"/>
      <c r="C6528" s="108"/>
      <c r="D6528" s="261"/>
      <c r="E6528" s="261"/>
    </row>
    <row r="6529" spans="2:5" x14ac:dyDescent="0.3">
      <c r="B6529" s="274"/>
      <c r="C6529" s="108"/>
      <c r="D6529" s="261"/>
      <c r="E6529" s="261"/>
    </row>
    <row r="6530" spans="2:5" x14ac:dyDescent="0.3">
      <c r="B6530" s="274"/>
      <c r="C6530" s="108"/>
      <c r="D6530" s="261"/>
      <c r="E6530" s="261"/>
    </row>
    <row r="6531" spans="2:5" x14ac:dyDescent="0.3">
      <c r="B6531" s="274"/>
      <c r="C6531" s="108"/>
      <c r="D6531" s="261"/>
      <c r="E6531" s="261"/>
    </row>
    <row r="6532" spans="2:5" x14ac:dyDescent="0.3">
      <c r="B6532" s="274"/>
      <c r="C6532" s="108"/>
      <c r="D6532" s="261"/>
      <c r="E6532" s="261"/>
    </row>
    <row r="6533" spans="2:5" x14ac:dyDescent="0.3">
      <c r="B6533" s="274"/>
      <c r="C6533" s="108"/>
      <c r="D6533" s="261"/>
      <c r="E6533" s="261"/>
    </row>
    <row r="6534" spans="2:5" x14ac:dyDescent="0.3">
      <c r="B6534" s="274"/>
      <c r="C6534" s="108"/>
      <c r="D6534" s="261"/>
      <c r="E6534" s="261"/>
    </row>
    <row r="6535" spans="2:5" x14ac:dyDescent="0.3">
      <c r="B6535" s="274"/>
      <c r="C6535" s="108"/>
      <c r="D6535" s="261"/>
      <c r="E6535" s="261"/>
    </row>
    <row r="6536" spans="2:5" x14ac:dyDescent="0.3">
      <c r="B6536" s="274"/>
      <c r="C6536" s="108"/>
      <c r="D6536" s="261"/>
      <c r="E6536" s="261"/>
    </row>
    <row r="6537" spans="2:5" x14ac:dyDescent="0.3">
      <c r="B6537" s="274"/>
      <c r="C6537" s="108"/>
      <c r="D6537" s="261"/>
      <c r="E6537" s="261"/>
    </row>
    <row r="6538" spans="2:5" x14ac:dyDescent="0.3">
      <c r="B6538" s="274"/>
      <c r="C6538" s="108"/>
      <c r="D6538" s="261"/>
      <c r="E6538" s="261"/>
    </row>
    <row r="6539" spans="2:5" x14ac:dyDescent="0.3">
      <c r="B6539" s="274"/>
      <c r="C6539" s="108"/>
      <c r="D6539" s="261"/>
      <c r="E6539" s="261"/>
    </row>
    <row r="6540" spans="2:5" x14ac:dyDescent="0.3">
      <c r="B6540" s="274"/>
      <c r="C6540" s="108"/>
      <c r="D6540" s="261"/>
      <c r="E6540" s="261"/>
    </row>
    <row r="6541" spans="2:5" x14ac:dyDescent="0.3">
      <c r="B6541" s="274"/>
      <c r="C6541" s="108"/>
      <c r="D6541" s="261"/>
      <c r="E6541" s="261"/>
    </row>
    <row r="6542" spans="2:5" x14ac:dyDescent="0.3">
      <c r="B6542" s="274"/>
      <c r="C6542" s="108"/>
      <c r="D6542" s="261"/>
      <c r="E6542" s="261"/>
    </row>
    <row r="6543" spans="2:5" x14ac:dyDescent="0.3">
      <c r="B6543" s="274"/>
      <c r="C6543" s="108"/>
      <c r="D6543" s="261"/>
      <c r="E6543" s="261"/>
    </row>
    <row r="6544" spans="2:5" x14ac:dyDescent="0.3">
      <c r="B6544" s="274"/>
      <c r="C6544" s="108"/>
      <c r="D6544" s="261"/>
      <c r="E6544" s="261"/>
    </row>
    <row r="6545" spans="2:5" x14ac:dyDescent="0.3">
      <c r="B6545" s="274"/>
      <c r="C6545" s="108"/>
      <c r="D6545" s="261"/>
      <c r="E6545" s="261"/>
    </row>
    <row r="6546" spans="2:5" x14ac:dyDescent="0.3">
      <c r="B6546" s="274"/>
      <c r="C6546" s="108"/>
      <c r="D6546" s="261"/>
      <c r="E6546" s="261"/>
    </row>
    <row r="6547" spans="2:5" x14ac:dyDescent="0.3">
      <c r="B6547" s="274"/>
      <c r="C6547" s="108"/>
      <c r="D6547" s="261"/>
      <c r="E6547" s="261"/>
    </row>
    <row r="6548" spans="2:5" x14ac:dyDescent="0.3">
      <c r="B6548" s="274"/>
      <c r="C6548" s="108"/>
      <c r="D6548" s="261"/>
      <c r="E6548" s="261"/>
    </row>
    <row r="6549" spans="2:5" x14ac:dyDescent="0.3">
      <c r="B6549" s="274"/>
      <c r="C6549" s="108"/>
      <c r="D6549" s="261"/>
      <c r="E6549" s="261"/>
    </row>
    <row r="6550" spans="2:5" x14ac:dyDescent="0.3">
      <c r="B6550" s="274"/>
      <c r="C6550" s="108"/>
      <c r="D6550" s="261"/>
      <c r="E6550" s="261"/>
    </row>
    <row r="6551" spans="2:5" x14ac:dyDescent="0.3">
      <c r="B6551" s="274"/>
      <c r="C6551" s="108"/>
      <c r="D6551" s="261"/>
      <c r="E6551" s="261"/>
    </row>
    <row r="6552" spans="2:5" x14ac:dyDescent="0.3">
      <c r="B6552" s="274"/>
      <c r="C6552" s="108"/>
      <c r="D6552" s="261"/>
      <c r="E6552" s="261"/>
    </row>
    <row r="6553" spans="2:5" x14ac:dyDescent="0.3">
      <c r="B6553" s="274"/>
      <c r="C6553" s="108"/>
      <c r="D6553" s="261"/>
      <c r="E6553" s="261"/>
    </row>
    <row r="6554" spans="2:5" x14ac:dyDescent="0.3">
      <c r="B6554" s="274"/>
      <c r="C6554" s="108"/>
      <c r="D6554" s="261"/>
      <c r="E6554" s="261"/>
    </row>
    <row r="6555" spans="2:5" x14ac:dyDescent="0.3">
      <c r="B6555" s="274"/>
      <c r="C6555" s="108"/>
      <c r="D6555" s="261"/>
      <c r="E6555" s="261"/>
    </row>
    <row r="6556" spans="2:5" x14ac:dyDescent="0.3">
      <c r="B6556" s="274"/>
      <c r="C6556" s="108"/>
      <c r="D6556" s="261"/>
      <c r="E6556" s="261"/>
    </row>
    <row r="6557" spans="2:5" x14ac:dyDescent="0.3">
      <c r="B6557" s="274"/>
      <c r="C6557" s="108"/>
      <c r="D6557" s="261"/>
      <c r="E6557" s="261"/>
    </row>
    <row r="6558" spans="2:5" x14ac:dyDescent="0.3">
      <c r="B6558" s="274"/>
      <c r="C6558" s="108"/>
      <c r="D6558" s="261"/>
      <c r="E6558" s="261"/>
    </row>
    <row r="6559" spans="2:5" x14ac:dyDescent="0.3">
      <c r="B6559" s="274"/>
      <c r="C6559" s="108"/>
      <c r="D6559" s="261"/>
      <c r="E6559" s="261"/>
    </row>
    <row r="6560" spans="2:5" x14ac:dyDescent="0.3">
      <c r="B6560" s="274"/>
      <c r="C6560" s="108"/>
      <c r="D6560" s="261"/>
      <c r="E6560" s="261"/>
    </row>
    <row r="6561" spans="2:5" x14ac:dyDescent="0.3">
      <c r="B6561" s="274"/>
      <c r="C6561" s="108"/>
      <c r="D6561" s="261"/>
      <c r="E6561" s="261"/>
    </row>
    <row r="6562" spans="2:5" x14ac:dyDescent="0.3">
      <c r="B6562" s="274"/>
      <c r="C6562" s="108"/>
      <c r="D6562" s="261"/>
      <c r="E6562" s="261"/>
    </row>
    <row r="6563" spans="2:5" x14ac:dyDescent="0.3">
      <c r="B6563" s="274"/>
      <c r="C6563" s="108"/>
      <c r="D6563" s="261"/>
      <c r="E6563" s="261"/>
    </row>
    <row r="6564" spans="2:5" x14ac:dyDescent="0.3">
      <c r="B6564" s="274"/>
      <c r="C6564" s="108"/>
      <c r="D6564" s="261"/>
      <c r="E6564" s="261"/>
    </row>
    <row r="6565" spans="2:5" x14ac:dyDescent="0.3">
      <c r="B6565" s="274"/>
      <c r="C6565" s="108"/>
      <c r="D6565" s="261"/>
      <c r="E6565" s="261"/>
    </row>
    <row r="6566" spans="2:5" x14ac:dyDescent="0.3">
      <c r="B6566" s="274"/>
      <c r="C6566" s="108"/>
      <c r="D6566" s="261"/>
      <c r="E6566" s="261"/>
    </row>
    <row r="6567" spans="2:5" x14ac:dyDescent="0.3">
      <c r="B6567" s="274"/>
      <c r="C6567" s="108"/>
      <c r="D6567" s="261"/>
      <c r="E6567" s="261"/>
    </row>
    <row r="6568" spans="2:5" x14ac:dyDescent="0.3">
      <c r="B6568" s="274"/>
      <c r="C6568" s="108"/>
      <c r="D6568" s="261"/>
      <c r="E6568" s="261"/>
    </row>
    <row r="6569" spans="2:5" x14ac:dyDescent="0.3">
      <c r="B6569" s="274"/>
      <c r="C6569" s="108"/>
      <c r="D6569" s="261"/>
      <c r="E6569" s="261"/>
    </row>
    <row r="6570" spans="2:5" x14ac:dyDescent="0.3">
      <c r="B6570" s="274"/>
      <c r="C6570" s="108"/>
      <c r="D6570" s="261"/>
      <c r="E6570" s="261"/>
    </row>
    <row r="6571" spans="2:5" x14ac:dyDescent="0.3">
      <c r="B6571" s="274"/>
      <c r="C6571" s="108"/>
      <c r="D6571" s="261"/>
      <c r="E6571" s="261"/>
    </row>
    <row r="6572" spans="2:5" x14ac:dyDescent="0.3">
      <c r="B6572" s="274"/>
      <c r="C6572" s="108"/>
      <c r="D6572" s="261"/>
      <c r="E6572" s="261"/>
    </row>
    <row r="6573" spans="2:5" x14ac:dyDescent="0.3">
      <c r="B6573" s="274"/>
      <c r="C6573" s="108"/>
      <c r="D6573" s="261"/>
      <c r="E6573" s="261"/>
    </row>
    <row r="6574" spans="2:5" x14ac:dyDescent="0.3">
      <c r="B6574" s="274"/>
      <c r="C6574" s="108"/>
      <c r="D6574" s="261"/>
      <c r="E6574" s="261"/>
    </row>
    <row r="6575" spans="2:5" x14ac:dyDescent="0.3">
      <c r="B6575" s="274"/>
      <c r="C6575" s="108"/>
      <c r="D6575" s="261"/>
      <c r="E6575" s="261"/>
    </row>
    <row r="6576" spans="2:5" x14ac:dyDescent="0.3">
      <c r="B6576" s="274"/>
      <c r="C6576" s="108"/>
      <c r="D6576" s="261"/>
      <c r="E6576" s="261"/>
    </row>
    <row r="6577" spans="2:5" x14ac:dyDescent="0.3">
      <c r="B6577" s="274"/>
      <c r="C6577" s="108"/>
      <c r="D6577" s="261"/>
      <c r="E6577" s="261"/>
    </row>
    <row r="6578" spans="2:5" x14ac:dyDescent="0.3">
      <c r="B6578" s="274"/>
      <c r="C6578" s="108"/>
      <c r="D6578" s="261"/>
      <c r="E6578" s="261"/>
    </row>
    <row r="6579" spans="2:5" x14ac:dyDescent="0.3">
      <c r="B6579" s="274"/>
      <c r="C6579" s="108"/>
      <c r="D6579" s="261"/>
      <c r="E6579" s="261"/>
    </row>
    <row r="6580" spans="2:5" x14ac:dyDescent="0.3">
      <c r="B6580" s="274"/>
      <c r="C6580" s="108"/>
      <c r="D6580" s="261"/>
      <c r="E6580" s="261"/>
    </row>
    <row r="6581" spans="2:5" x14ac:dyDescent="0.3">
      <c r="B6581" s="274"/>
      <c r="C6581" s="108"/>
      <c r="D6581" s="261"/>
      <c r="E6581" s="261"/>
    </row>
    <row r="6582" spans="2:5" x14ac:dyDescent="0.3">
      <c r="B6582" s="274"/>
      <c r="C6582" s="108"/>
      <c r="D6582" s="261"/>
      <c r="E6582" s="261"/>
    </row>
    <row r="6583" spans="2:5" x14ac:dyDescent="0.3">
      <c r="B6583" s="274"/>
      <c r="C6583" s="108"/>
      <c r="D6583" s="261"/>
      <c r="E6583" s="261"/>
    </row>
    <row r="6584" spans="2:5" x14ac:dyDescent="0.3">
      <c r="B6584" s="274"/>
      <c r="C6584" s="108"/>
      <c r="D6584" s="261"/>
      <c r="E6584" s="261"/>
    </row>
    <row r="6585" spans="2:5" x14ac:dyDescent="0.3">
      <c r="B6585" s="274"/>
      <c r="C6585" s="108"/>
      <c r="D6585" s="261"/>
      <c r="E6585" s="261"/>
    </row>
    <row r="6586" spans="2:5" x14ac:dyDescent="0.3">
      <c r="B6586" s="274"/>
      <c r="C6586" s="108"/>
      <c r="D6586" s="261"/>
      <c r="E6586" s="261"/>
    </row>
    <row r="6587" spans="2:5" x14ac:dyDescent="0.3">
      <c r="B6587" s="274"/>
      <c r="C6587" s="108"/>
      <c r="D6587" s="261"/>
      <c r="E6587" s="261"/>
    </row>
    <row r="6588" spans="2:5" x14ac:dyDescent="0.3">
      <c r="B6588" s="274"/>
      <c r="C6588" s="108"/>
      <c r="D6588" s="261"/>
      <c r="E6588" s="261"/>
    </row>
    <row r="6589" spans="2:5" x14ac:dyDescent="0.3">
      <c r="B6589" s="274"/>
      <c r="C6589" s="108"/>
      <c r="D6589" s="261"/>
      <c r="E6589" s="261"/>
    </row>
    <row r="6590" spans="2:5" x14ac:dyDescent="0.3">
      <c r="B6590" s="274"/>
      <c r="C6590" s="108"/>
      <c r="D6590" s="261"/>
      <c r="E6590" s="261"/>
    </row>
    <row r="6591" spans="2:5" x14ac:dyDescent="0.3">
      <c r="B6591" s="274"/>
      <c r="C6591" s="108"/>
      <c r="D6591" s="261"/>
      <c r="E6591" s="261"/>
    </row>
    <row r="6592" spans="2:5" x14ac:dyDescent="0.3">
      <c r="B6592" s="274"/>
      <c r="C6592" s="108"/>
      <c r="D6592" s="261"/>
      <c r="E6592" s="261"/>
    </row>
    <row r="6593" spans="2:5" x14ac:dyDescent="0.3">
      <c r="B6593" s="274"/>
      <c r="C6593" s="108"/>
      <c r="D6593" s="261"/>
      <c r="E6593" s="261"/>
    </row>
    <row r="6594" spans="2:5" x14ac:dyDescent="0.3">
      <c r="B6594" s="274"/>
      <c r="C6594" s="108"/>
      <c r="D6594" s="261"/>
      <c r="E6594" s="261"/>
    </row>
    <row r="6595" spans="2:5" x14ac:dyDescent="0.3">
      <c r="B6595" s="274"/>
      <c r="C6595" s="108"/>
      <c r="D6595" s="261"/>
      <c r="E6595" s="261"/>
    </row>
    <row r="6596" spans="2:5" x14ac:dyDescent="0.3">
      <c r="B6596" s="274"/>
      <c r="C6596" s="108"/>
      <c r="D6596" s="261"/>
      <c r="E6596" s="261"/>
    </row>
    <row r="6597" spans="2:5" x14ac:dyDescent="0.3">
      <c r="B6597" s="274"/>
      <c r="C6597" s="108"/>
      <c r="D6597" s="261"/>
      <c r="E6597" s="261"/>
    </row>
    <row r="6598" spans="2:5" x14ac:dyDescent="0.3">
      <c r="B6598" s="274"/>
      <c r="C6598" s="108"/>
      <c r="D6598" s="261"/>
      <c r="E6598" s="261"/>
    </row>
    <row r="6599" spans="2:5" x14ac:dyDescent="0.3">
      <c r="B6599" s="274"/>
      <c r="C6599" s="108"/>
      <c r="D6599" s="261"/>
      <c r="E6599" s="261"/>
    </row>
    <row r="6600" spans="2:5" x14ac:dyDescent="0.3">
      <c r="B6600" s="274"/>
      <c r="C6600" s="108"/>
      <c r="D6600" s="261"/>
      <c r="E6600" s="261"/>
    </row>
    <row r="6601" spans="2:5" x14ac:dyDescent="0.3">
      <c r="B6601" s="274"/>
      <c r="C6601" s="108"/>
      <c r="D6601" s="261"/>
      <c r="E6601" s="261"/>
    </row>
    <row r="6602" spans="2:5" x14ac:dyDescent="0.3">
      <c r="B6602" s="274"/>
      <c r="C6602" s="108"/>
      <c r="D6602" s="261"/>
      <c r="E6602" s="261"/>
    </row>
    <row r="6603" spans="2:5" x14ac:dyDescent="0.3">
      <c r="B6603" s="274"/>
      <c r="C6603" s="108"/>
      <c r="D6603" s="261"/>
      <c r="E6603" s="261"/>
    </row>
    <row r="6604" spans="2:5" x14ac:dyDescent="0.3">
      <c r="B6604" s="274"/>
      <c r="C6604" s="108"/>
      <c r="D6604" s="261"/>
      <c r="E6604" s="261"/>
    </row>
    <row r="6605" spans="2:5" x14ac:dyDescent="0.3">
      <c r="B6605" s="274"/>
      <c r="C6605" s="108"/>
      <c r="D6605" s="261"/>
      <c r="E6605" s="261"/>
    </row>
    <row r="6606" spans="2:5" x14ac:dyDescent="0.3">
      <c r="B6606" s="274"/>
      <c r="C6606" s="108"/>
      <c r="D6606" s="261"/>
      <c r="E6606" s="261"/>
    </row>
    <row r="6607" spans="2:5" x14ac:dyDescent="0.3">
      <c r="B6607" s="274"/>
      <c r="C6607" s="108"/>
      <c r="D6607" s="261"/>
      <c r="E6607" s="261"/>
    </row>
    <row r="6608" spans="2:5" x14ac:dyDescent="0.3">
      <c r="B6608" s="274"/>
      <c r="C6608" s="108"/>
      <c r="D6608" s="261"/>
      <c r="E6608" s="261"/>
    </row>
    <row r="6609" spans="2:5" x14ac:dyDescent="0.3">
      <c r="B6609" s="274"/>
      <c r="C6609" s="108"/>
      <c r="D6609" s="261"/>
      <c r="E6609" s="261"/>
    </row>
    <row r="6610" spans="2:5" x14ac:dyDescent="0.3">
      <c r="B6610" s="274"/>
      <c r="C6610" s="108"/>
      <c r="D6610" s="261"/>
      <c r="E6610" s="261"/>
    </row>
    <row r="6611" spans="2:5" x14ac:dyDescent="0.3">
      <c r="B6611" s="274"/>
      <c r="C6611" s="108"/>
      <c r="D6611" s="261"/>
      <c r="E6611" s="261"/>
    </row>
    <row r="6612" spans="2:5" x14ac:dyDescent="0.3">
      <c r="B6612" s="274"/>
      <c r="C6612" s="108"/>
      <c r="D6612" s="261"/>
      <c r="E6612" s="261"/>
    </row>
    <row r="6613" spans="2:5" x14ac:dyDescent="0.3">
      <c r="B6613" s="274"/>
      <c r="C6613" s="108"/>
      <c r="D6613" s="261"/>
      <c r="E6613" s="261"/>
    </row>
    <row r="6614" spans="2:5" x14ac:dyDescent="0.3">
      <c r="B6614" s="274"/>
      <c r="C6614" s="108"/>
      <c r="D6614" s="261"/>
      <c r="E6614" s="261"/>
    </row>
    <row r="6615" spans="2:5" x14ac:dyDescent="0.3">
      <c r="B6615" s="274"/>
      <c r="C6615" s="108"/>
      <c r="D6615" s="261"/>
      <c r="E6615" s="261"/>
    </row>
    <row r="6616" spans="2:5" x14ac:dyDescent="0.3">
      <c r="B6616" s="274"/>
      <c r="C6616" s="108"/>
      <c r="D6616" s="261"/>
      <c r="E6616" s="261"/>
    </row>
    <row r="6617" spans="2:5" x14ac:dyDescent="0.3">
      <c r="B6617" s="274"/>
      <c r="C6617" s="108"/>
      <c r="D6617" s="261"/>
      <c r="E6617" s="261"/>
    </row>
    <row r="6618" spans="2:5" x14ac:dyDescent="0.3">
      <c r="B6618" s="274"/>
      <c r="C6618" s="108"/>
      <c r="D6618" s="261"/>
      <c r="E6618" s="261"/>
    </row>
    <row r="6619" spans="2:5" x14ac:dyDescent="0.3">
      <c r="B6619" s="274"/>
      <c r="C6619" s="108"/>
      <c r="D6619" s="261"/>
      <c r="E6619" s="261"/>
    </row>
    <row r="6620" spans="2:5" x14ac:dyDescent="0.3">
      <c r="B6620" s="274"/>
      <c r="C6620" s="108"/>
      <c r="D6620" s="261"/>
      <c r="E6620" s="261"/>
    </row>
    <row r="6621" spans="2:5" x14ac:dyDescent="0.3">
      <c r="B6621" s="274"/>
      <c r="C6621" s="108"/>
      <c r="D6621" s="261"/>
      <c r="E6621" s="261"/>
    </row>
    <row r="6622" spans="2:5" x14ac:dyDescent="0.3">
      <c r="B6622" s="274"/>
      <c r="C6622" s="108"/>
      <c r="D6622" s="261"/>
      <c r="E6622" s="261"/>
    </row>
    <row r="6623" spans="2:5" x14ac:dyDescent="0.3">
      <c r="B6623" s="274"/>
      <c r="C6623" s="108"/>
      <c r="D6623" s="261"/>
      <c r="E6623" s="261"/>
    </row>
    <row r="6624" spans="2:5" x14ac:dyDescent="0.3">
      <c r="B6624" s="274"/>
      <c r="C6624" s="108"/>
      <c r="D6624" s="261"/>
      <c r="E6624" s="261"/>
    </row>
    <row r="6625" spans="2:5" x14ac:dyDescent="0.3">
      <c r="B6625" s="274"/>
      <c r="C6625" s="108"/>
      <c r="D6625" s="261"/>
      <c r="E6625" s="261"/>
    </row>
    <row r="6626" spans="2:5" x14ac:dyDescent="0.3">
      <c r="B6626" s="274"/>
      <c r="C6626" s="108"/>
      <c r="D6626" s="261"/>
      <c r="E6626" s="261"/>
    </row>
    <row r="6627" spans="2:5" x14ac:dyDescent="0.3">
      <c r="B6627" s="274"/>
      <c r="C6627" s="108"/>
      <c r="D6627" s="261"/>
      <c r="E6627" s="261"/>
    </row>
    <row r="6628" spans="2:5" x14ac:dyDescent="0.3">
      <c r="B6628" s="274"/>
      <c r="C6628" s="108"/>
      <c r="D6628" s="261"/>
      <c r="E6628" s="261"/>
    </row>
    <row r="6629" spans="2:5" x14ac:dyDescent="0.3">
      <c r="B6629" s="274"/>
      <c r="C6629" s="108"/>
      <c r="D6629" s="261"/>
      <c r="E6629" s="261"/>
    </row>
    <row r="6630" spans="2:5" x14ac:dyDescent="0.3">
      <c r="B6630" s="274"/>
      <c r="C6630" s="108"/>
      <c r="D6630" s="261"/>
      <c r="E6630" s="261"/>
    </row>
    <row r="6631" spans="2:5" x14ac:dyDescent="0.3">
      <c r="B6631" s="274"/>
      <c r="C6631" s="108"/>
      <c r="D6631" s="261"/>
      <c r="E6631" s="261"/>
    </row>
    <row r="6632" spans="2:5" x14ac:dyDescent="0.3">
      <c r="B6632" s="274"/>
      <c r="C6632" s="108"/>
      <c r="D6632" s="261"/>
      <c r="E6632" s="261"/>
    </row>
    <row r="6633" spans="2:5" x14ac:dyDescent="0.3">
      <c r="B6633" s="274"/>
      <c r="C6633" s="108"/>
      <c r="D6633" s="261"/>
      <c r="E6633" s="261"/>
    </row>
    <row r="6634" spans="2:5" x14ac:dyDescent="0.3">
      <c r="B6634" s="274"/>
      <c r="C6634" s="108"/>
      <c r="D6634" s="261"/>
      <c r="E6634" s="261"/>
    </row>
    <row r="6635" spans="2:5" x14ac:dyDescent="0.3">
      <c r="B6635" s="274"/>
      <c r="C6635" s="108"/>
      <c r="D6635" s="261"/>
      <c r="E6635" s="261"/>
    </row>
    <row r="6636" spans="2:5" x14ac:dyDescent="0.3">
      <c r="B6636" s="274"/>
      <c r="C6636" s="108"/>
      <c r="D6636" s="261"/>
      <c r="E6636" s="261"/>
    </row>
    <row r="6637" spans="2:5" x14ac:dyDescent="0.3">
      <c r="B6637" s="274"/>
      <c r="C6637" s="108"/>
      <c r="D6637" s="261"/>
      <c r="E6637" s="261"/>
    </row>
    <row r="6638" spans="2:5" x14ac:dyDescent="0.3">
      <c r="B6638" s="274"/>
      <c r="C6638" s="108"/>
      <c r="D6638" s="261"/>
      <c r="E6638" s="261"/>
    </row>
    <row r="6639" spans="2:5" x14ac:dyDescent="0.3">
      <c r="B6639" s="274"/>
      <c r="C6639" s="108"/>
      <c r="D6639" s="261"/>
      <c r="E6639" s="261"/>
    </row>
    <row r="6640" spans="2:5" x14ac:dyDescent="0.3">
      <c r="B6640" s="274"/>
      <c r="C6640" s="108"/>
      <c r="D6640" s="261"/>
      <c r="E6640" s="261"/>
    </row>
    <row r="6641" spans="2:5" x14ac:dyDescent="0.3">
      <c r="B6641" s="274"/>
      <c r="C6641" s="108"/>
      <c r="D6641" s="261"/>
      <c r="E6641" s="261"/>
    </row>
    <row r="6642" spans="2:5" x14ac:dyDescent="0.3">
      <c r="B6642" s="274"/>
      <c r="C6642" s="108"/>
      <c r="D6642" s="261"/>
      <c r="E6642" s="261"/>
    </row>
    <row r="6643" spans="2:5" x14ac:dyDescent="0.3">
      <c r="B6643" s="274"/>
      <c r="C6643" s="108"/>
      <c r="D6643" s="261"/>
      <c r="E6643" s="261"/>
    </row>
    <row r="6644" spans="2:5" x14ac:dyDescent="0.3">
      <c r="B6644" s="274"/>
      <c r="C6644" s="108"/>
      <c r="D6644" s="261"/>
      <c r="E6644" s="261"/>
    </row>
    <row r="6645" spans="2:5" x14ac:dyDescent="0.3">
      <c r="B6645" s="274"/>
      <c r="C6645" s="108"/>
      <c r="D6645" s="261"/>
      <c r="E6645" s="261"/>
    </row>
    <row r="6646" spans="2:5" x14ac:dyDescent="0.3">
      <c r="B6646" s="274"/>
      <c r="C6646" s="108"/>
      <c r="D6646" s="261"/>
      <c r="E6646" s="261"/>
    </row>
    <row r="6647" spans="2:5" x14ac:dyDescent="0.3">
      <c r="B6647" s="274"/>
      <c r="C6647" s="108"/>
      <c r="D6647" s="261"/>
      <c r="E6647" s="261"/>
    </row>
    <row r="6648" spans="2:5" x14ac:dyDescent="0.3">
      <c r="B6648" s="274"/>
      <c r="C6648" s="108"/>
      <c r="D6648" s="261"/>
      <c r="E6648" s="261"/>
    </row>
    <row r="6649" spans="2:5" x14ac:dyDescent="0.3">
      <c r="B6649" s="274"/>
      <c r="C6649" s="108"/>
      <c r="D6649" s="261"/>
      <c r="E6649" s="261"/>
    </row>
    <row r="6650" spans="2:5" x14ac:dyDescent="0.3">
      <c r="B6650" s="274"/>
      <c r="C6650" s="108"/>
      <c r="D6650" s="261"/>
      <c r="E6650" s="261"/>
    </row>
    <row r="6651" spans="2:5" x14ac:dyDescent="0.3">
      <c r="B6651" s="274"/>
      <c r="C6651" s="108"/>
      <c r="D6651" s="261"/>
      <c r="E6651" s="261"/>
    </row>
    <row r="6652" spans="2:5" x14ac:dyDescent="0.3">
      <c r="B6652" s="274"/>
      <c r="C6652" s="108"/>
      <c r="D6652" s="261"/>
      <c r="E6652" s="261"/>
    </row>
    <row r="6653" spans="2:5" x14ac:dyDescent="0.3">
      <c r="B6653" s="274"/>
      <c r="C6653" s="108"/>
      <c r="D6653" s="261"/>
      <c r="E6653" s="261"/>
    </row>
    <row r="6654" spans="2:5" x14ac:dyDescent="0.3">
      <c r="B6654" s="274"/>
      <c r="C6654" s="108"/>
      <c r="D6654" s="261"/>
      <c r="E6654" s="261"/>
    </row>
    <row r="6655" spans="2:5" x14ac:dyDescent="0.3">
      <c r="B6655" s="274"/>
      <c r="C6655" s="108"/>
      <c r="D6655" s="261"/>
      <c r="E6655" s="261"/>
    </row>
    <row r="6656" spans="2:5" x14ac:dyDescent="0.3">
      <c r="B6656" s="274"/>
      <c r="C6656" s="108"/>
      <c r="D6656" s="261"/>
      <c r="E6656" s="261"/>
    </row>
    <row r="6657" spans="2:5" x14ac:dyDescent="0.3">
      <c r="B6657" s="274"/>
      <c r="C6657" s="108"/>
      <c r="D6657" s="261"/>
      <c r="E6657" s="261"/>
    </row>
    <row r="6658" spans="2:5" x14ac:dyDescent="0.3">
      <c r="B6658" s="274"/>
      <c r="C6658" s="108"/>
      <c r="D6658" s="261"/>
      <c r="E6658" s="261"/>
    </row>
    <row r="6659" spans="2:5" x14ac:dyDescent="0.3">
      <c r="B6659" s="274"/>
      <c r="C6659" s="108"/>
      <c r="D6659" s="261"/>
      <c r="E6659" s="261"/>
    </row>
    <row r="6660" spans="2:5" x14ac:dyDescent="0.3">
      <c r="B6660" s="274"/>
      <c r="C6660" s="108"/>
      <c r="D6660" s="261"/>
      <c r="E6660" s="261"/>
    </row>
    <row r="6661" spans="2:5" x14ac:dyDescent="0.3">
      <c r="B6661" s="274"/>
      <c r="C6661" s="108"/>
      <c r="D6661" s="261"/>
      <c r="E6661" s="261"/>
    </row>
    <row r="6662" spans="2:5" x14ac:dyDescent="0.3">
      <c r="B6662" s="274"/>
      <c r="C6662" s="108"/>
      <c r="D6662" s="261"/>
      <c r="E6662" s="261"/>
    </row>
    <row r="6663" spans="2:5" x14ac:dyDescent="0.3">
      <c r="B6663" s="274"/>
      <c r="C6663" s="108"/>
      <c r="D6663" s="261"/>
      <c r="E6663" s="261"/>
    </row>
    <row r="6664" spans="2:5" x14ac:dyDescent="0.3">
      <c r="B6664" s="274"/>
      <c r="C6664" s="108"/>
      <c r="D6664" s="261"/>
      <c r="E6664" s="261"/>
    </row>
    <row r="6665" spans="2:5" x14ac:dyDescent="0.3">
      <c r="B6665" s="274"/>
      <c r="C6665" s="108"/>
      <c r="D6665" s="261"/>
      <c r="E6665" s="261"/>
    </row>
    <row r="6666" spans="2:5" x14ac:dyDescent="0.3">
      <c r="B6666" s="274"/>
      <c r="C6666" s="108"/>
      <c r="D6666" s="261"/>
      <c r="E6666" s="261"/>
    </row>
    <row r="6667" spans="2:5" x14ac:dyDescent="0.3">
      <c r="B6667" s="274"/>
      <c r="C6667" s="108"/>
      <c r="D6667" s="261"/>
      <c r="E6667" s="261"/>
    </row>
    <row r="6668" spans="2:5" x14ac:dyDescent="0.3">
      <c r="B6668" s="274"/>
      <c r="C6668" s="108"/>
      <c r="D6668" s="261"/>
      <c r="E6668" s="261"/>
    </row>
    <row r="6669" spans="2:5" x14ac:dyDescent="0.3">
      <c r="B6669" s="274"/>
      <c r="C6669" s="108"/>
      <c r="D6669" s="261"/>
      <c r="E6669" s="261"/>
    </row>
    <row r="6670" spans="2:5" x14ac:dyDescent="0.3">
      <c r="B6670" s="274"/>
      <c r="C6670" s="108"/>
      <c r="D6670" s="261"/>
      <c r="E6670" s="261"/>
    </row>
    <row r="6671" spans="2:5" x14ac:dyDescent="0.3">
      <c r="B6671" s="274"/>
      <c r="C6671" s="108"/>
      <c r="D6671" s="261"/>
      <c r="E6671" s="261"/>
    </row>
    <row r="6672" spans="2:5" x14ac:dyDescent="0.3">
      <c r="B6672" s="274"/>
      <c r="C6672" s="108"/>
      <c r="D6672" s="261"/>
      <c r="E6672" s="261"/>
    </row>
    <row r="6673" spans="2:5" x14ac:dyDescent="0.3">
      <c r="B6673" s="274"/>
      <c r="C6673" s="108"/>
      <c r="D6673" s="261"/>
      <c r="E6673" s="261"/>
    </row>
    <row r="6674" spans="2:5" x14ac:dyDescent="0.3">
      <c r="B6674" s="274"/>
      <c r="C6674" s="108"/>
      <c r="D6674" s="261"/>
      <c r="E6674" s="261"/>
    </row>
    <row r="6675" spans="2:5" x14ac:dyDescent="0.3">
      <c r="B6675" s="274"/>
      <c r="C6675" s="108"/>
      <c r="D6675" s="261"/>
      <c r="E6675" s="261"/>
    </row>
    <row r="6676" spans="2:5" x14ac:dyDescent="0.3">
      <c r="B6676" s="274"/>
      <c r="C6676" s="108"/>
      <c r="D6676" s="261"/>
      <c r="E6676" s="261"/>
    </row>
    <row r="6677" spans="2:5" x14ac:dyDescent="0.3">
      <c r="B6677" s="274"/>
      <c r="C6677" s="108"/>
      <c r="D6677" s="261"/>
      <c r="E6677" s="261"/>
    </row>
    <row r="6678" spans="2:5" x14ac:dyDescent="0.3">
      <c r="B6678" s="274"/>
      <c r="C6678" s="108"/>
      <c r="D6678" s="261"/>
      <c r="E6678" s="261"/>
    </row>
    <row r="6679" spans="2:5" x14ac:dyDescent="0.3">
      <c r="B6679" s="274"/>
      <c r="C6679" s="108"/>
      <c r="D6679" s="261"/>
      <c r="E6679" s="261"/>
    </row>
    <row r="6680" spans="2:5" x14ac:dyDescent="0.3">
      <c r="B6680" s="274"/>
      <c r="C6680" s="108"/>
      <c r="D6680" s="261"/>
      <c r="E6680" s="261"/>
    </row>
    <row r="6681" spans="2:5" x14ac:dyDescent="0.3">
      <c r="B6681" s="274"/>
      <c r="C6681" s="108"/>
      <c r="D6681" s="261"/>
      <c r="E6681" s="261"/>
    </row>
    <row r="6682" spans="2:5" x14ac:dyDescent="0.3">
      <c r="B6682" s="274"/>
      <c r="C6682" s="108"/>
      <c r="D6682" s="261"/>
      <c r="E6682" s="261"/>
    </row>
    <row r="6683" spans="2:5" x14ac:dyDescent="0.3">
      <c r="B6683" s="274"/>
      <c r="C6683" s="108"/>
      <c r="D6683" s="261"/>
      <c r="E6683" s="261"/>
    </row>
    <row r="6684" spans="2:5" x14ac:dyDescent="0.3">
      <c r="B6684" s="274"/>
      <c r="C6684" s="108"/>
      <c r="D6684" s="261"/>
      <c r="E6684" s="261"/>
    </row>
    <row r="6685" spans="2:5" x14ac:dyDescent="0.3">
      <c r="B6685" s="274"/>
      <c r="C6685" s="108"/>
      <c r="D6685" s="261"/>
      <c r="E6685" s="261"/>
    </row>
    <row r="6686" spans="2:5" x14ac:dyDescent="0.3">
      <c r="B6686" s="274"/>
      <c r="C6686" s="108"/>
      <c r="D6686" s="261"/>
      <c r="E6686" s="261"/>
    </row>
    <row r="6687" spans="2:5" x14ac:dyDescent="0.3">
      <c r="B6687" s="274"/>
      <c r="C6687" s="108"/>
      <c r="D6687" s="261"/>
      <c r="E6687" s="261"/>
    </row>
    <row r="6688" spans="2:5" x14ac:dyDescent="0.3">
      <c r="B6688" s="274"/>
      <c r="C6688" s="108"/>
      <c r="D6688" s="261"/>
      <c r="E6688" s="261"/>
    </row>
    <row r="6689" spans="2:5" x14ac:dyDescent="0.3">
      <c r="B6689" s="274"/>
      <c r="C6689" s="108"/>
      <c r="D6689" s="261"/>
      <c r="E6689" s="261"/>
    </row>
    <row r="6690" spans="2:5" x14ac:dyDescent="0.3">
      <c r="B6690" s="274"/>
      <c r="C6690" s="108"/>
      <c r="D6690" s="261"/>
      <c r="E6690" s="261"/>
    </row>
    <row r="6691" spans="2:5" x14ac:dyDescent="0.3">
      <c r="B6691" s="274"/>
      <c r="C6691" s="108"/>
      <c r="D6691" s="261"/>
      <c r="E6691" s="261"/>
    </row>
    <row r="6692" spans="2:5" x14ac:dyDescent="0.3">
      <c r="B6692" s="274"/>
      <c r="C6692" s="108"/>
      <c r="D6692" s="261"/>
      <c r="E6692" s="261"/>
    </row>
    <row r="6693" spans="2:5" x14ac:dyDescent="0.3">
      <c r="B6693" s="274"/>
      <c r="C6693" s="108"/>
      <c r="D6693" s="261"/>
      <c r="E6693" s="261"/>
    </row>
    <row r="6694" spans="2:5" x14ac:dyDescent="0.3">
      <c r="B6694" s="274"/>
      <c r="C6694" s="108"/>
      <c r="D6694" s="261"/>
      <c r="E6694" s="261"/>
    </row>
    <row r="6695" spans="2:5" x14ac:dyDescent="0.3">
      <c r="B6695" s="274"/>
      <c r="C6695" s="108"/>
      <c r="D6695" s="261"/>
      <c r="E6695" s="261"/>
    </row>
    <row r="6696" spans="2:5" x14ac:dyDescent="0.3">
      <c r="B6696" s="274"/>
      <c r="C6696" s="108"/>
      <c r="D6696" s="261"/>
      <c r="E6696" s="261"/>
    </row>
    <row r="6697" spans="2:5" x14ac:dyDescent="0.3">
      <c r="B6697" s="274"/>
      <c r="C6697" s="108"/>
      <c r="D6697" s="261"/>
      <c r="E6697" s="261"/>
    </row>
    <row r="6698" spans="2:5" x14ac:dyDescent="0.3">
      <c r="B6698" s="274"/>
      <c r="C6698" s="108"/>
      <c r="D6698" s="261"/>
      <c r="E6698" s="261"/>
    </row>
    <row r="6699" spans="2:5" x14ac:dyDescent="0.3">
      <c r="B6699" s="274"/>
      <c r="C6699" s="108"/>
      <c r="D6699" s="261"/>
      <c r="E6699" s="261"/>
    </row>
    <row r="6700" spans="2:5" x14ac:dyDescent="0.3">
      <c r="B6700" s="274"/>
      <c r="C6700" s="108"/>
      <c r="D6700" s="261"/>
      <c r="E6700" s="261"/>
    </row>
    <row r="6701" spans="2:5" x14ac:dyDescent="0.3">
      <c r="B6701" s="274"/>
      <c r="C6701" s="108"/>
      <c r="D6701" s="261"/>
      <c r="E6701" s="261"/>
    </row>
    <row r="6702" spans="2:5" x14ac:dyDescent="0.3">
      <c r="B6702" s="274"/>
      <c r="C6702" s="108"/>
      <c r="D6702" s="261"/>
      <c r="E6702" s="261"/>
    </row>
    <row r="6703" spans="2:5" x14ac:dyDescent="0.3">
      <c r="B6703" s="274"/>
      <c r="C6703" s="108"/>
      <c r="D6703" s="261"/>
      <c r="E6703" s="261"/>
    </row>
    <row r="6704" spans="2:5" x14ac:dyDescent="0.3">
      <c r="B6704" s="274"/>
      <c r="C6704" s="108"/>
      <c r="D6704" s="261"/>
      <c r="E6704" s="261"/>
    </row>
    <row r="6705" spans="2:5" x14ac:dyDescent="0.3">
      <c r="B6705" s="274"/>
      <c r="C6705" s="108"/>
      <c r="D6705" s="261"/>
      <c r="E6705" s="261"/>
    </row>
    <row r="6706" spans="2:5" x14ac:dyDescent="0.3">
      <c r="B6706" s="274"/>
      <c r="C6706" s="108"/>
      <c r="D6706" s="261"/>
      <c r="E6706" s="261"/>
    </row>
    <row r="6707" spans="2:5" x14ac:dyDescent="0.3">
      <c r="B6707" s="274"/>
      <c r="C6707" s="108"/>
      <c r="D6707" s="261"/>
      <c r="E6707" s="261"/>
    </row>
    <row r="6708" spans="2:5" x14ac:dyDescent="0.3">
      <c r="B6708" s="274"/>
      <c r="C6708" s="108"/>
      <c r="D6708" s="261"/>
      <c r="E6708" s="261"/>
    </row>
    <row r="6709" spans="2:5" x14ac:dyDescent="0.3">
      <c r="B6709" s="274"/>
      <c r="C6709" s="108"/>
      <c r="D6709" s="261"/>
      <c r="E6709" s="261"/>
    </row>
    <row r="6710" spans="2:5" x14ac:dyDescent="0.3">
      <c r="B6710" s="274"/>
      <c r="C6710" s="108"/>
      <c r="D6710" s="261"/>
      <c r="E6710" s="261"/>
    </row>
    <row r="6711" spans="2:5" x14ac:dyDescent="0.3">
      <c r="B6711" s="274"/>
      <c r="C6711" s="108"/>
      <c r="D6711" s="261"/>
      <c r="E6711" s="261"/>
    </row>
    <row r="6712" spans="2:5" x14ac:dyDescent="0.3">
      <c r="B6712" s="274"/>
      <c r="C6712" s="108"/>
      <c r="D6712" s="261"/>
      <c r="E6712" s="261"/>
    </row>
    <row r="6713" spans="2:5" x14ac:dyDescent="0.3">
      <c r="B6713" s="274"/>
      <c r="C6713" s="108"/>
      <c r="D6713" s="261"/>
      <c r="E6713" s="261"/>
    </row>
    <row r="6714" spans="2:5" x14ac:dyDescent="0.3">
      <c r="B6714" s="274"/>
      <c r="C6714" s="108"/>
      <c r="D6714" s="261"/>
      <c r="E6714" s="261"/>
    </row>
    <row r="6715" spans="2:5" x14ac:dyDescent="0.3">
      <c r="B6715" s="274"/>
      <c r="C6715" s="108"/>
      <c r="D6715" s="261"/>
      <c r="E6715" s="261"/>
    </row>
    <row r="6716" spans="2:5" x14ac:dyDescent="0.3">
      <c r="B6716" s="274"/>
      <c r="C6716" s="108"/>
      <c r="D6716" s="261"/>
      <c r="E6716" s="261"/>
    </row>
    <row r="6717" spans="2:5" x14ac:dyDescent="0.3">
      <c r="B6717" s="274"/>
      <c r="C6717" s="108"/>
      <c r="D6717" s="261"/>
      <c r="E6717" s="261"/>
    </row>
    <row r="6718" spans="2:5" x14ac:dyDescent="0.3">
      <c r="B6718" s="274"/>
      <c r="C6718" s="108"/>
      <c r="D6718" s="261"/>
      <c r="E6718" s="261"/>
    </row>
    <row r="6719" spans="2:5" x14ac:dyDescent="0.3">
      <c r="B6719" s="274"/>
      <c r="C6719" s="108"/>
      <c r="D6719" s="261"/>
      <c r="E6719" s="261"/>
    </row>
    <row r="6720" spans="2:5" x14ac:dyDescent="0.3">
      <c r="B6720" s="274"/>
      <c r="C6720" s="108"/>
      <c r="D6720" s="261"/>
      <c r="E6720" s="261"/>
    </row>
    <row r="6721" spans="2:5" x14ac:dyDescent="0.3">
      <c r="B6721" s="274"/>
      <c r="C6721" s="108"/>
      <c r="D6721" s="261"/>
      <c r="E6721" s="261"/>
    </row>
    <row r="6722" spans="2:5" x14ac:dyDescent="0.3">
      <c r="B6722" s="274"/>
      <c r="C6722" s="108"/>
      <c r="D6722" s="261"/>
      <c r="E6722" s="261"/>
    </row>
    <row r="6723" spans="2:5" x14ac:dyDescent="0.3">
      <c r="B6723" s="274"/>
      <c r="C6723" s="108"/>
      <c r="D6723" s="261"/>
      <c r="E6723" s="261"/>
    </row>
    <row r="6724" spans="2:5" x14ac:dyDescent="0.3">
      <c r="B6724" s="274"/>
      <c r="C6724" s="108"/>
      <c r="D6724" s="261"/>
      <c r="E6724" s="261"/>
    </row>
    <row r="6725" spans="2:5" x14ac:dyDescent="0.3">
      <c r="B6725" s="274"/>
      <c r="C6725" s="108"/>
      <c r="D6725" s="261"/>
      <c r="E6725" s="261"/>
    </row>
    <row r="6726" spans="2:5" x14ac:dyDescent="0.3">
      <c r="B6726" s="274"/>
      <c r="C6726" s="108"/>
      <c r="D6726" s="261"/>
      <c r="E6726" s="261"/>
    </row>
    <row r="6727" spans="2:5" x14ac:dyDescent="0.3">
      <c r="B6727" s="274"/>
      <c r="C6727" s="108"/>
      <c r="D6727" s="261"/>
      <c r="E6727" s="261"/>
    </row>
    <row r="6728" spans="2:5" x14ac:dyDescent="0.3">
      <c r="B6728" s="274"/>
      <c r="C6728" s="108"/>
      <c r="D6728" s="261"/>
      <c r="E6728" s="261"/>
    </row>
    <row r="6729" spans="2:5" x14ac:dyDescent="0.3">
      <c r="B6729" s="274"/>
      <c r="C6729" s="108"/>
      <c r="D6729" s="261"/>
      <c r="E6729" s="261"/>
    </row>
    <row r="6730" spans="2:5" x14ac:dyDescent="0.3">
      <c r="B6730" s="274"/>
      <c r="C6730" s="108"/>
      <c r="D6730" s="261"/>
      <c r="E6730" s="261"/>
    </row>
    <row r="6731" spans="2:5" x14ac:dyDescent="0.3">
      <c r="B6731" s="274"/>
      <c r="C6731" s="108"/>
      <c r="D6731" s="261"/>
      <c r="E6731" s="261"/>
    </row>
    <row r="6732" spans="2:5" x14ac:dyDescent="0.3">
      <c r="B6732" s="274"/>
      <c r="C6732" s="108"/>
      <c r="D6732" s="261"/>
      <c r="E6732" s="261"/>
    </row>
    <row r="6733" spans="2:5" x14ac:dyDescent="0.3">
      <c r="B6733" s="274"/>
      <c r="C6733" s="108"/>
      <c r="D6733" s="261"/>
      <c r="E6733" s="261"/>
    </row>
    <row r="6734" spans="2:5" x14ac:dyDescent="0.3">
      <c r="B6734" s="274"/>
      <c r="C6734" s="108"/>
      <c r="D6734" s="261"/>
      <c r="E6734" s="261"/>
    </row>
    <row r="6735" spans="2:5" x14ac:dyDescent="0.3">
      <c r="B6735" s="274"/>
      <c r="C6735" s="108"/>
      <c r="D6735" s="261"/>
      <c r="E6735" s="261"/>
    </row>
    <row r="6736" spans="2:5" x14ac:dyDescent="0.3">
      <c r="B6736" s="274"/>
      <c r="C6736" s="108"/>
      <c r="D6736" s="261"/>
      <c r="E6736" s="261"/>
    </row>
    <row r="6737" spans="2:5" x14ac:dyDescent="0.3">
      <c r="B6737" s="274"/>
      <c r="C6737" s="108"/>
      <c r="D6737" s="261"/>
      <c r="E6737" s="261"/>
    </row>
    <row r="6738" spans="2:5" x14ac:dyDescent="0.3">
      <c r="B6738" s="274"/>
      <c r="C6738" s="108"/>
      <c r="D6738" s="261"/>
      <c r="E6738" s="261"/>
    </row>
    <row r="6739" spans="2:5" x14ac:dyDescent="0.3">
      <c r="B6739" s="274"/>
      <c r="C6739" s="108"/>
      <c r="D6739" s="261"/>
      <c r="E6739" s="261"/>
    </row>
    <row r="6740" spans="2:5" x14ac:dyDescent="0.3">
      <c r="B6740" s="274"/>
      <c r="C6740" s="108"/>
      <c r="D6740" s="261"/>
      <c r="E6740" s="261"/>
    </row>
    <row r="6741" spans="2:5" x14ac:dyDescent="0.3">
      <c r="B6741" s="274"/>
      <c r="C6741" s="108"/>
      <c r="D6741" s="261"/>
      <c r="E6741" s="261"/>
    </row>
    <row r="6742" spans="2:5" x14ac:dyDescent="0.3">
      <c r="B6742" s="274"/>
      <c r="C6742" s="108"/>
      <c r="D6742" s="261"/>
      <c r="E6742" s="261"/>
    </row>
    <row r="6743" spans="2:5" x14ac:dyDescent="0.3">
      <c r="B6743" s="274"/>
      <c r="C6743" s="108"/>
      <c r="D6743" s="261"/>
      <c r="E6743" s="261"/>
    </row>
    <row r="6744" spans="2:5" x14ac:dyDescent="0.3">
      <c r="B6744" s="274"/>
      <c r="C6744" s="108"/>
      <c r="D6744" s="261"/>
      <c r="E6744" s="261"/>
    </row>
    <row r="6745" spans="2:5" x14ac:dyDescent="0.3">
      <c r="B6745" s="274"/>
      <c r="C6745" s="108"/>
      <c r="D6745" s="261"/>
      <c r="E6745" s="261"/>
    </row>
    <row r="6746" spans="2:5" x14ac:dyDescent="0.3">
      <c r="B6746" s="274"/>
      <c r="C6746" s="108"/>
      <c r="D6746" s="261"/>
      <c r="E6746" s="261"/>
    </row>
    <row r="6747" spans="2:5" x14ac:dyDescent="0.3">
      <c r="B6747" s="274"/>
      <c r="C6747" s="108"/>
      <c r="D6747" s="261"/>
      <c r="E6747" s="261"/>
    </row>
    <row r="6748" spans="2:5" x14ac:dyDescent="0.3">
      <c r="B6748" s="274"/>
      <c r="C6748" s="108"/>
      <c r="D6748" s="261"/>
      <c r="E6748" s="261"/>
    </row>
    <row r="6749" spans="2:5" x14ac:dyDescent="0.3">
      <c r="B6749" s="274"/>
      <c r="C6749" s="108"/>
      <c r="D6749" s="261"/>
      <c r="E6749" s="261"/>
    </row>
    <row r="6750" spans="2:5" x14ac:dyDescent="0.3">
      <c r="B6750" s="274"/>
      <c r="C6750" s="108"/>
      <c r="D6750" s="261"/>
      <c r="E6750" s="261"/>
    </row>
    <row r="6751" spans="2:5" x14ac:dyDescent="0.3">
      <c r="B6751" s="274"/>
      <c r="C6751" s="108"/>
      <c r="D6751" s="261"/>
      <c r="E6751" s="261"/>
    </row>
    <row r="6752" spans="2:5" x14ac:dyDescent="0.3">
      <c r="B6752" s="274"/>
      <c r="C6752" s="108"/>
      <c r="D6752" s="261"/>
      <c r="E6752" s="261"/>
    </row>
    <row r="6753" spans="2:5" x14ac:dyDescent="0.3">
      <c r="B6753" s="274"/>
      <c r="C6753" s="108"/>
      <c r="D6753" s="261"/>
      <c r="E6753" s="261"/>
    </row>
    <row r="6754" spans="2:5" x14ac:dyDescent="0.3">
      <c r="B6754" s="274"/>
      <c r="C6754" s="108"/>
      <c r="D6754" s="261"/>
      <c r="E6754" s="261"/>
    </row>
    <row r="6755" spans="2:5" x14ac:dyDescent="0.3">
      <c r="B6755" s="274"/>
      <c r="C6755" s="108"/>
      <c r="D6755" s="261"/>
      <c r="E6755" s="261"/>
    </row>
    <row r="6756" spans="2:5" x14ac:dyDescent="0.3">
      <c r="B6756" s="274"/>
      <c r="C6756" s="108"/>
      <c r="D6756" s="261"/>
      <c r="E6756" s="261"/>
    </row>
    <row r="6757" spans="2:5" x14ac:dyDescent="0.3">
      <c r="B6757" s="274"/>
      <c r="C6757" s="108"/>
      <c r="D6757" s="261"/>
      <c r="E6757" s="261"/>
    </row>
    <row r="6758" spans="2:5" x14ac:dyDescent="0.3">
      <c r="B6758" s="274"/>
      <c r="C6758" s="108"/>
      <c r="D6758" s="261"/>
      <c r="E6758" s="261"/>
    </row>
    <row r="6759" spans="2:5" x14ac:dyDescent="0.3">
      <c r="B6759" s="274"/>
      <c r="C6759" s="108"/>
      <c r="D6759" s="261"/>
      <c r="E6759" s="261"/>
    </row>
    <row r="6760" spans="2:5" x14ac:dyDescent="0.3">
      <c r="B6760" s="274"/>
      <c r="C6760" s="108"/>
      <c r="D6760" s="261"/>
      <c r="E6760" s="261"/>
    </row>
    <row r="6761" spans="2:5" x14ac:dyDescent="0.3">
      <c r="B6761" s="274"/>
      <c r="C6761" s="108"/>
      <c r="D6761" s="261"/>
      <c r="E6761" s="261"/>
    </row>
    <row r="6762" spans="2:5" x14ac:dyDescent="0.3">
      <c r="B6762" s="274"/>
      <c r="C6762" s="108"/>
      <c r="D6762" s="261"/>
      <c r="E6762" s="261"/>
    </row>
    <row r="6763" spans="2:5" x14ac:dyDescent="0.3">
      <c r="B6763" s="274"/>
      <c r="C6763" s="108"/>
      <c r="D6763" s="261"/>
      <c r="E6763" s="261"/>
    </row>
    <row r="6764" spans="2:5" x14ac:dyDescent="0.3">
      <c r="B6764" s="274"/>
      <c r="C6764" s="108"/>
      <c r="D6764" s="261"/>
      <c r="E6764" s="261"/>
    </row>
    <row r="6765" spans="2:5" x14ac:dyDescent="0.3">
      <c r="B6765" s="274"/>
      <c r="C6765" s="108"/>
      <c r="D6765" s="261"/>
      <c r="E6765" s="261"/>
    </row>
    <row r="6766" spans="2:5" x14ac:dyDescent="0.3">
      <c r="B6766" s="274"/>
      <c r="C6766" s="108"/>
      <c r="D6766" s="261"/>
      <c r="E6766" s="261"/>
    </row>
    <row r="6767" spans="2:5" x14ac:dyDescent="0.3">
      <c r="B6767" s="274"/>
      <c r="C6767" s="108"/>
      <c r="D6767" s="261"/>
      <c r="E6767" s="261"/>
    </row>
    <row r="6768" spans="2:5" x14ac:dyDescent="0.3">
      <c r="B6768" s="274"/>
      <c r="C6768" s="108"/>
      <c r="D6768" s="261"/>
      <c r="E6768" s="261"/>
    </row>
    <row r="6769" spans="2:5" x14ac:dyDescent="0.3">
      <c r="B6769" s="274"/>
      <c r="C6769" s="108"/>
      <c r="D6769" s="261"/>
      <c r="E6769" s="261"/>
    </row>
    <row r="6770" spans="2:5" x14ac:dyDescent="0.3">
      <c r="B6770" s="274"/>
      <c r="C6770" s="108"/>
      <c r="D6770" s="261"/>
      <c r="E6770" s="261"/>
    </row>
    <row r="6771" spans="2:5" x14ac:dyDescent="0.3">
      <c r="B6771" s="274"/>
      <c r="C6771" s="108"/>
      <c r="D6771" s="261"/>
      <c r="E6771" s="261"/>
    </row>
    <row r="6772" spans="2:5" x14ac:dyDescent="0.3">
      <c r="B6772" s="274"/>
      <c r="C6772" s="108"/>
      <c r="D6772" s="261"/>
      <c r="E6772" s="261"/>
    </row>
    <row r="6773" spans="2:5" x14ac:dyDescent="0.3">
      <c r="B6773" s="274"/>
      <c r="C6773" s="108"/>
      <c r="D6773" s="261"/>
      <c r="E6773" s="261"/>
    </row>
    <row r="6774" spans="2:5" x14ac:dyDescent="0.3">
      <c r="B6774" s="274"/>
      <c r="C6774" s="108"/>
      <c r="D6774" s="261"/>
      <c r="E6774" s="261"/>
    </row>
    <row r="6775" spans="2:5" x14ac:dyDescent="0.3">
      <c r="B6775" s="274"/>
      <c r="C6775" s="108"/>
      <c r="D6775" s="261"/>
      <c r="E6775" s="261"/>
    </row>
    <row r="6776" spans="2:5" x14ac:dyDescent="0.3">
      <c r="B6776" s="274"/>
      <c r="C6776" s="108"/>
      <c r="D6776" s="261"/>
      <c r="E6776" s="261"/>
    </row>
    <row r="6777" spans="2:5" x14ac:dyDescent="0.3">
      <c r="B6777" s="274"/>
      <c r="C6777" s="108"/>
      <c r="D6777" s="261"/>
      <c r="E6777" s="261"/>
    </row>
    <row r="6778" spans="2:5" x14ac:dyDescent="0.3">
      <c r="B6778" s="274"/>
      <c r="C6778" s="108"/>
      <c r="D6778" s="261"/>
      <c r="E6778" s="261"/>
    </row>
    <row r="6779" spans="2:5" x14ac:dyDescent="0.3">
      <c r="B6779" s="274"/>
      <c r="C6779" s="108"/>
      <c r="D6779" s="261"/>
      <c r="E6779" s="261"/>
    </row>
    <row r="6780" spans="2:5" x14ac:dyDescent="0.3">
      <c r="B6780" s="274"/>
      <c r="C6780" s="108"/>
      <c r="D6780" s="261"/>
      <c r="E6780" s="261"/>
    </row>
    <row r="6781" spans="2:5" x14ac:dyDescent="0.3">
      <c r="B6781" s="274"/>
      <c r="C6781" s="108"/>
      <c r="D6781" s="261"/>
      <c r="E6781" s="261"/>
    </row>
    <row r="6782" spans="2:5" x14ac:dyDescent="0.3">
      <c r="B6782" s="274"/>
      <c r="C6782" s="108"/>
      <c r="D6782" s="261"/>
      <c r="E6782" s="261"/>
    </row>
    <row r="6783" spans="2:5" x14ac:dyDescent="0.3">
      <c r="B6783" s="274"/>
      <c r="C6783" s="108"/>
      <c r="D6783" s="261"/>
      <c r="E6783" s="261"/>
    </row>
    <row r="6784" spans="2:5" x14ac:dyDescent="0.3">
      <c r="B6784" s="274"/>
      <c r="C6784" s="108"/>
      <c r="D6784" s="261"/>
      <c r="E6784" s="261"/>
    </row>
    <row r="6785" spans="2:5" x14ac:dyDescent="0.3">
      <c r="B6785" s="274"/>
      <c r="C6785" s="108"/>
      <c r="D6785" s="261"/>
      <c r="E6785" s="261"/>
    </row>
    <row r="6786" spans="2:5" x14ac:dyDescent="0.3">
      <c r="B6786" s="274"/>
      <c r="C6786" s="108"/>
      <c r="D6786" s="261"/>
      <c r="E6786" s="261"/>
    </row>
    <row r="6787" spans="2:5" x14ac:dyDescent="0.3">
      <c r="B6787" s="274"/>
      <c r="C6787" s="108"/>
      <c r="D6787" s="261"/>
      <c r="E6787" s="261"/>
    </row>
    <row r="6788" spans="2:5" x14ac:dyDescent="0.3">
      <c r="B6788" s="274"/>
      <c r="C6788" s="108"/>
      <c r="D6788" s="261"/>
      <c r="E6788" s="261"/>
    </row>
    <row r="6789" spans="2:5" x14ac:dyDescent="0.3">
      <c r="B6789" s="274"/>
      <c r="C6789" s="108"/>
      <c r="D6789" s="261"/>
      <c r="E6789" s="261"/>
    </row>
    <row r="6790" spans="2:5" x14ac:dyDescent="0.3">
      <c r="B6790" s="274"/>
      <c r="C6790" s="108"/>
      <c r="D6790" s="261"/>
      <c r="E6790" s="261"/>
    </row>
    <row r="6791" spans="2:5" x14ac:dyDescent="0.3">
      <c r="B6791" s="274"/>
      <c r="C6791" s="108"/>
      <c r="D6791" s="261"/>
      <c r="E6791" s="261"/>
    </row>
    <row r="6792" spans="2:5" x14ac:dyDescent="0.3">
      <c r="B6792" s="274"/>
      <c r="C6792" s="108"/>
      <c r="D6792" s="261"/>
      <c r="E6792" s="261"/>
    </row>
    <row r="6793" spans="2:5" x14ac:dyDescent="0.3">
      <c r="B6793" s="274"/>
      <c r="C6793" s="108"/>
      <c r="D6793" s="261"/>
      <c r="E6793" s="261"/>
    </row>
    <row r="6794" spans="2:5" x14ac:dyDescent="0.3">
      <c r="B6794" s="274"/>
      <c r="C6794" s="108"/>
      <c r="D6794" s="261"/>
      <c r="E6794" s="261"/>
    </row>
    <row r="6795" spans="2:5" x14ac:dyDescent="0.3">
      <c r="B6795" s="274"/>
      <c r="C6795" s="108"/>
      <c r="D6795" s="261"/>
      <c r="E6795" s="261"/>
    </row>
    <row r="6796" spans="2:5" x14ac:dyDescent="0.3">
      <c r="B6796" s="274"/>
      <c r="C6796" s="108"/>
      <c r="D6796" s="261"/>
      <c r="E6796" s="261"/>
    </row>
    <row r="6797" spans="2:5" x14ac:dyDescent="0.3">
      <c r="B6797" s="274"/>
      <c r="C6797" s="108"/>
      <c r="D6797" s="261"/>
      <c r="E6797" s="261"/>
    </row>
    <row r="6798" spans="2:5" x14ac:dyDescent="0.3">
      <c r="B6798" s="274"/>
      <c r="C6798" s="108"/>
      <c r="D6798" s="261"/>
      <c r="E6798" s="261"/>
    </row>
    <row r="6799" spans="2:5" x14ac:dyDescent="0.3">
      <c r="B6799" s="274"/>
      <c r="C6799" s="108"/>
      <c r="D6799" s="261"/>
      <c r="E6799" s="261"/>
    </row>
    <row r="6800" spans="2:5" x14ac:dyDescent="0.3">
      <c r="B6800" s="274"/>
      <c r="C6800" s="108"/>
      <c r="D6800" s="261"/>
      <c r="E6800" s="261"/>
    </row>
    <row r="6801" spans="2:5" x14ac:dyDescent="0.3">
      <c r="B6801" s="274"/>
      <c r="C6801" s="108"/>
      <c r="D6801" s="261"/>
      <c r="E6801" s="261"/>
    </row>
    <row r="6802" spans="2:5" x14ac:dyDescent="0.3">
      <c r="B6802" s="274"/>
      <c r="C6802" s="108"/>
      <c r="D6802" s="261"/>
      <c r="E6802" s="261"/>
    </row>
    <row r="6803" spans="2:5" x14ac:dyDescent="0.3">
      <c r="B6803" s="274"/>
      <c r="C6803" s="108"/>
      <c r="D6803" s="261"/>
      <c r="E6803" s="261"/>
    </row>
    <row r="6804" spans="2:5" x14ac:dyDescent="0.3">
      <c r="B6804" s="274"/>
      <c r="C6804" s="108"/>
    </row>
  </sheetData>
  <sortState xmlns:xlrd2="http://schemas.microsoft.com/office/spreadsheetml/2017/richdata2" ref="E3:E1360">
    <sortCondition descending="1" ref="E3:E1360"/>
  </sortState>
  <mergeCells count="1">
    <mergeCell ref="G2:K2"/>
  </mergeCells>
  <pageMargins left="0.7" right="0.7" top="0.75" bottom="0.75" header="0.3" footer="0.3"/>
  <pageSetup scale="72" orientation="portrait" r:id="rId1"/>
  <rowBreaks count="1" manualBreakCount="1">
    <brk id="65"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2470B-04FE-4328-A7AE-26A50E417106}">
  <sheetPr>
    <tabColor rgb="FF33CCCC"/>
  </sheetPr>
  <dimension ref="B2:M1361"/>
  <sheetViews>
    <sheetView showGridLines="0" zoomScale="66" zoomScaleNormal="66" workbookViewId="0">
      <selection activeCell="P34" sqref="P34"/>
    </sheetView>
  </sheetViews>
  <sheetFormatPr defaultRowHeight="14.4" x14ac:dyDescent="0.3"/>
  <cols>
    <col min="1" max="1" width="1.88671875" customWidth="1"/>
    <col min="2" max="2" width="10.33203125" bestFit="1" customWidth="1"/>
    <col min="4" max="4" width="10.33203125" customWidth="1"/>
    <col min="5" max="5" width="13.5546875" customWidth="1"/>
    <col min="6" max="6" width="11" customWidth="1"/>
    <col min="7" max="7" width="16" customWidth="1"/>
    <col min="8" max="8" width="3.44140625" customWidth="1"/>
    <col min="9" max="9" width="16.5546875" bestFit="1" customWidth="1"/>
    <col min="10" max="10" width="10.5546875" bestFit="1" customWidth="1"/>
    <col min="12" max="12" width="10.21875" bestFit="1" customWidth="1"/>
    <col min="13" max="13" width="9" bestFit="1" customWidth="1"/>
  </cols>
  <sheetData>
    <row r="2" spans="2:13" x14ac:dyDescent="0.3">
      <c r="B2" s="255" t="s">
        <v>249</v>
      </c>
      <c r="C2" s="100" t="s">
        <v>250</v>
      </c>
      <c r="D2" s="100" t="s">
        <v>415</v>
      </c>
      <c r="E2" s="100" t="s">
        <v>416</v>
      </c>
      <c r="F2" s="100" t="s">
        <v>429</v>
      </c>
      <c r="G2" s="101" t="s">
        <v>430</v>
      </c>
      <c r="I2" s="375" t="str">
        <f>"Calculation of VAR (Monte Carlo Simulation)"&amp;" - "&amp;'Data Sheet'!B1</f>
        <v>Calculation of VAR (Monte Carlo Simulation) - TITAN COMPANY LTD</v>
      </c>
      <c r="J2" s="376"/>
      <c r="K2" s="376"/>
      <c r="L2" s="376"/>
      <c r="M2" s="377"/>
    </row>
    <row r="3" spans="2:13" x14ac:dyDescent="0.3">
      <c r="B3" s="102">
        <v>46213.645833333336</v>
      </c>
      <c r="C3" s="108">
        <v>4584.3999999999996</v>
      </c>
      <c r="D3" s="261">
        <f t="shared" ref="D3:D66" si="0">(C3-C4)/C4</f>
        <v>6.2777119276525425E-3</v>
      </c>
      <c r="E3" s="261">
        <v>0.10602286219821656</v>
      </c>
      <c r="F3">
        <v>1</v>
      </c>
      <c r="G3" s="259">
        <f ca="1">_xlfn.NORM.INV(RAND(),'VAR Historical Approach'!K$4,'VAR Historical Approach'!K$5)</f>
        <v>1.1126216160680795E-2</v>
      </c>
      <c r="I3" s="111"/>
      <c r="M3" s="103"/>
    </row>
    <row r="4" spans="2:13" x14ac:dyDescent="0.3">
      <c r="B4" s="102">
        <v>46212.645833333336</v>
      </c>
      <c r="C4" s="108">
        <v>4555.8</v>
      </c>
      <c r="D4" s="261">
        <f t="shared" si="0"/>
        <v>-6.6718995290422677E-3</v>
      </c>
      <c r="E4" s="261">
        <v>6.7154802651531564E-2</v>
      </c>
      <c r="F4">
        <v>2</v>
      </c>
      <c r="G4" s="259">
        <f ca="1">_xlfn.NORM.INV(RAND(),'VAR Historical Approach'!K$4,'VAR Historical Approach'!K$5)</f>
        <v>-1.805842348009002E-3</v>
      </c>
      <c r="I4" s="279" t="s">
        <v>418</v>
      </c>
      <c r="J4" s="161"/>
      <c r="K4" s="161"/>
      <c r="L4" s="161"/>
      <c r="M4" s="280">
        <f ca="1">AVERAGE(G3:G1360)</f>
        <v>1.5819375456820059E-3</v>
      </c>
    </row>
    <row r="5" spans="2:13" x14ac:dyDescent="0.3">
      <c r="B5" s="102">
        <v>46211.645833333336</v>
      </c>
      <c r="C5" s="108">
        <v>4586.3999999999996</v>
      </c>
      <c r="D5" s="261">
        <f t="shared" si="0"/>
        <v>-3.8660353590200649E-3</v>
      </c>
      <c r="E5" s="261">
        <v>6.6532130920098381E-2</v>
      </c>
      <c r="F5">
        <v>3</v>
      </c>
      <c r="G5" s="259">
        <f ca="1">_xlfn.NORM.INV(RAND(),'VAR Historical Approach'!K$4,'VAR Historical Approach'!K$5)</f>
        <v>1.6884459026533207E-2</v>
      </c>
      <c r="I5" s="279" t="s">
        <v>419</v>
      </c>
      <c r="J5" s="161"/>
      <c r="K5" s="161"/>
      <c r="L5" s="161"/>
      <c r="M5" s="280">
        <f ca="1">STDEV(G3:G1360)</f>
        <v>1.5686261958722702E-2</v>
      </c>
    </row>
    <row r="6" spans="2:13" x14ac:dyDescent="0.3">
      <c r="B6" s="102">
        <v>46210.645833333336</v>
      </c>
      <c r="C6" s="108">
        <v>4604.2</v>
      </c>
      <c r="D6" s="261">
        <f t="shared" si="0"/>
        <v>2.6714833645526757E-2</v>
      </c>
      <c r="E6" s="261">
        <v>6.5264484014195975E-2</v>
      </c>
      <c r="F6">
        <v>4</v>
      </c>
      <c r="G6" s="259">
        <f ca="1">_xlfn.NORM.INV(RAND(),'VAR Historical Approach'!K$4,'VAR Historical Approach'!K$5)</f>
        <v>1.3353493135837386E-2</v>
      </c>
      <c r="I6" s="279" t="s">
        <v>431</v>
      </c>
      <c r="J6" s="161"/>
      <c r="K6" s="161"/>
      <c r="L6" s="161"/>
      <c r="M6" s="280">
        <f ca="1">MAX(G3:G1360)</f>
        <v>4.7637990475767673E-2</v>
      </c>
    </row>
    <row r="7" spans="2:13" x14ac:dyDescent="0.3">
      <c r="B7" s="102">
        <v>46209.645833333336</v>
      </c>
      <c r="C7" s="108">
        <v>4484.3999999999996</v>
      </c>
      <c r="D7" s="261">
        <f t="shared" si="0"/>
        <v>5.2229270807646706E-3</v>
      </c>
      <c r="E7" s="261">
        <v>6.19061126081406E-2</v>
      </c>
      <c r="F7">
        <v>5</v>
      </c>
      <c r="G7" s="259">
        <f ca="1">_xlfn.NORM.INV(RAND(),'VAR Historical Approach'!K$4,'VAR Historical Approach'!K$5)</f>
        <v>-5.9284948950252044E-3</v>
      </c>
      <c r="I7" s="279" t="s">
        <v>432</v>
      </c>
      <c r="J7" s="161"/>
      <c r="K7" s="161"/>
      <c r="L7" s="161"/>
      <c r="M7" s="280">
        <f ca="1">MIN(G3:G1360)</f>
        <v>-4.857778479556496E-2</v>
      </c>
    </row>
    <row r="8" spans="2:13" x14ac:dyDescent="0.3">
      <c r="B8" s="102">
        <v>46206.645833333336</v>
      </c>
      <c r="C8" s="108">
        <v>4461.1000000000004</v>
      </c>
      <c r="D8" s="261">
        <f t="shared" si="0"/>
        <v>-4.4631898417799194E-3</v>
      </c>
      <c r="E8" s="261">
        <v>5.9336289952592068E-2</v>
      </c>
      <c r="F8">
        <v>6</v>
      </c>
      <c r="G8" s="259">
        <f ca="1">_xlfn.NORM.INV(RAND(),'VAR Historical Approach'!K$4,'VAR Historical Approach'!K$5)</f>
        <v>2.084214556905788E-3</v>
      </c>
      <c r="I8" s="279" t="s">
        <v>422</v>
      </c>
      <c r="J8" s="161"/>
      <c r="K8" s="161"/>
      <c r="L8" s="161"/>
      <c r="M8" s="281">
        <f>'Data Sheet'!$B$8</f>
        <v>4584.3999999999996</v>
      </c>
    </row>
    <row r="9" spans="2:13" x14ac:dyDescent="0.3">
      <c r="B9" s="102">
        <v>46205.645833333336</v>
      </c>
      <c r="C9" s="108">
        <v>4481.1000000000004</v>
      </c>
      <c r="D9" s="261">
        <f t="shared" si="0"/>
        <v>1.8755967807938888E-2</v>
      </c>
      <c r="E9" s="261">
        <v>5.7206224037175249E-2</v>
      </c>
      <c r="F9">
        <v>7</v>
      </c>
      <c r="G9" s="259">
        <f ca="1">_xlfn.NORM.INV(RAND(),'VAR Historical Approach'!K$4,'VAR Historical Approach'!K$5)</f>
        <v>-1.3758991636871191E-2</v>
      </c>
      <c r="I9" s="111"/>
      <c r="M9" s="103"/>
    </row>
    <row r="10" spans="2:13" x14ac:dyDescent="0.3">
      <c r="B10" s="102">
        <v>46204.645833333336</v>
      </c>
      <c r="C10" s="108">
        <v>4398.6000000000004</v>
      </c>
      <c r="D10" s="261">
        <f t="shared" si="0"/>
        <v>-1.2261580381470565E-3</v>
      </c>
      <c r="E10" s="261">
        <v>5.6591591964440933E-2</v>
      </c>
      <c r="F10">
        <v>8</v>
      </c>
      <c r="G10" s="259">
        <f ca="1">_xlfn.NORM.INV(RAND(),'VAR Historical Approach'!K$4,'VAR Historical Approach'!K$5)</f>
        <v>-3.4508951114873822E-2</v>
      </c>
      <c r="I10" s="265" t="s">
        <v>423</v>
      </c>
      <c r="J10" s="256" t="s">
        <v>424</v>
      </c>
      <c r="K10" s="256" t="s">
        <v>425</v>
      </c>
      <c r="L10" s="256" t="s">
        <v>426</v>
      </c>
      <c r="M10" s="266" t="s">
        <v>427</v>
      </c>
    </row>
    <row r="11" spans="2:13" x14ac:dyDescent="0.3">
      <c r="B11" s="102">
        <v>46203.645833333336</v>
      </c>
      <c r="C11" s="108">
        <v>4404</v>
      </c>
      <c r="D11" s="261">
        <f t="shared" si="0"/>
        <v>2.964556251753488E-2</v>
      </c>
      <c r="E11" s="261">
        <v>5.5113443955299615E-2</v>
      </c>
      <c r="F11">
        <v>9</v>
      </c>
      <c r="G11" s="259">
        <f ca="1">_xlfn.NORM.INV(RAND(),'VAR Historical Approach'!K$4,'VAR Historical Approach'!K$5)</f>
        <v>-1.9728348890558755E-2</v>
      </c>
      <c r="I11" s="111"/>
      <c r="M11" s="103"/>
    </row>
    <row r="12" spans="2:13" x14ac:dyDescent="0.3">
      <c r="B12" s="102">
        <v>46202.645833333336</v>
      </c>
      <c r="C12" s="108">
        <v>4277.2</v>
      </c>
      <c r="D12" s="261">
        <f t="shared" si="0"/>
        <v>-3.285717614708914E-3</v>
      </c>
      <c r="E12" s="261">
        <v>5.3088300518734248E-2</v>
      </c>
      <c r="F12">
        <v>10</v>
      </c>
      <c r="G12" s="259">
        <f ca="1">_xlfn.NORM.INV(RAND(),'VAR Historical Approach'!K$4,'VAR Historical Approach'!K$5)</f>
        <v>2.5413877340608487E-2</v>
      </c>
      <c r="I12" s="282">
        <v>0.05</v>
      </c>
      <c r="J12" s="276">
        <f>100%-I12</f>
        <v>0.95</v>
      </c>
      <c r="K12" s="277">
        <f ca="1">_xlfn.PERCENTILE.INC($G$3:$G$1360,I12)</f>
        <v>-2.5177501969445664E-2</v>
      </c>
      <c r="L12" s="278">
        <f>$M$8*(1-I12)</f>
        <v>4355.1799999999994</v>
      </c>
      <c r="M12" s="283">
        <f>$M$8-L12</f>
        <v>229.22000000000025</v>
      </c>
    </row>
    <row r="13" spans="2:13" x14ac:dyDescent="0.3">
      <c r="B13" s="102">
        <v>46198.645833333336</v>
      </c>
      <c r="C13" s="108">
        <v>4291.3</v>
      </c>
      <c r="D13" s="261">
        <f t="shared" si="0"/>
        <v>-7.5165363800360789E-3</v>
      </c>
      <c r="E13" s="261">
        <v>4.9646380048390233E-2</v>
      </c>
      <c r="F13">
        <v>11</v>
      </c>
      <c r="G13" s="259">
        <f ca="1">_xlfn.NORM.INV(RAND(),'VAR Historical Approach'!K$4,'VAR Historical Approach'!K$5)</f>
        <v>4.6093904413448249E-3</v>
      </c>
      <c r="I13" s="282">
        <v>0.01</v>
      </c>
      <c r="J13" s="276">
        <f t="shared" ref="J13:J14" si="1">100%-I13</f>
        <v>0.99</v>
      </c>
      <c r="K13" s="277">
        <f t="shared" ref="K13:K14" ca="1" si="2">_xlfn.PERCENTILE.INC($G$3:$G$1360,I13)</f>
        <v>-3.5521154055281771E-2</v>
      </c>
      <c r="L13" s="278">
        <f t="shared" ref="L13:L14" si="3">$M$8*(1-I13)</f>
        <v>4538.5559999999996</v>
      </c>
      <c r="M13" s="283">
        <f>$M$8-L13</f>
        <v>45.844000000000051</v>
      </c>
    </row>
    <row r="14" spans="2:13" x14ac:dyDescent="0.3">
      <c r="B14" s="102">
        <v>46197.645833333336</v>
      </c>
      <c r="C14" s="108">
        <v>4323.8</v>
      </c>
      <c r="D14" s="261">
        <f t="shared" si="0"/>
        <v>4.2970292430260376E-3</v>
      </c>
      <c r="E14" s="261">
        <v>4.8321187768167302E-2</v>
      </c>
      <c r="F14">
        <v>12</v>
      </c>
      <c r="G14" s="259">
        <f ca="1">_xlfn.NORM.INV(RAND(),'VAR Historical Approach'!K$4,'VAR Historical Approach'!K$5)</f>
        <v>3.3945100437109139E-2</v>
      </c>
      <c r="I14" s="284">
        <v>5.0000000000000001E-3</v>
      </c>
      <c r="J14" s="285">
        <f t="shared" si="1"/>
        <v>0.995</v>
      </c>
      <c r="K14" s="286">
        <f t="shared" ca="1" si="2"/>
        <v>-4.024282564658227E-2</v>
      </c>
      <c r="L14" s="287">
        <f t="shared" si="3"/>
        <v>4561.4780000000001</v>
      </c>
      <c r="M14" s="288">
        <f>$M$8-L14</f>
        <v>22.921999999999571</v>
      </c>
    </row>
    <row r="15" spans="2:13" x14ac:dyDescent="0.3">
      <c r="B15" s="102">
        <v>46196.645833333336</v>
      </c>
      <c r="C15" s="108">
        <v>4305.3</v>
      </c>
      <c r="D15" s="261">
        <f t="shared" si="0"/>
        <v>-1.536878216123495E-2</v>
      </c>
      <c r="E15" s="261">
        <v>4.6778874056877542E-2</v>
      </c>
      <c r="F15">
        <v>13</v>
      </c>
      <c r="G15" s="259">
        <f ca="1">_xlfn.NORM.INV(RAND(),'VAR Historical Approach'!K$4,'VAR Historical Approach'!K$5)</f>
        <v>-2.4787359967995491E-2</v>
      </c>
    </row>
    <row r="16" spans="2:13" x14ac:dyDescent="0.3">
      <c r="B16" s="102">
        <v>46195.645833333336</v>
      </c>
      <c r="C16" s="108">
        <v>4372.5</v>
      </c>
      <c r="D16" s="261">
        <f t="shared" si="0"/>
        <v>-1.072422452996666E-2</v>
      </c>
      <c r="E16" s="261">
        <v>4.4718432342596454E-2</v>
      </c>
      <c r="F16">
        <v>14</v>
      </c>
      <c r="G16" s="259">
        <f ca="1">_xlfn.NORM.INV(RAND(),'VAR Historical Approach'!K$4,'VAR Historical Approach'!K$5)</f>
        <v>-3.3584608471996104E-2</v>
      </c>
    </row>
    <row r="17" spans="2:7" x14ac:dyDescent="0.3">
      <c r="B17" s="102">
        <v>46192.645833333336</v>
      </c>
      <c r="C17" s="108">
        <v>4419.8999999999996</v>
      </c>
      <c r="D17" s="261">
        <f t="shared" si="0"/>
        <v>7.2927824243943576E-3</v>
      </c>
      <c r="E17" s="261">
        <v>4.317878071347795E-2</v>
      </c>
      <c r="F17">
        <v>15</v>
      </c>
      <c r="G17" s="259">
        <f ca="1">_xlfn.NORM.INV(RAND(),'VAR Historical Approach'!K$4,'VAR Historical Approach'!K$5)</f>
        <v>2.1260935392329954E-3</v>
      </c>
    </row>
    <row r="18" spans="2:7" x14ac:dyDescent="0.3">
      <c r="B18" s="102">
        <v>46191.645833333336</v>
      </c>
      <c r="C18" s="108">
        <v>4387.8999999999996</v>
      </c>
      <c r="D18" s="261">
        <f t="shared" si="0"/>
        <v>1.6893048738727625E-3</v>
      </c>
      <c r="E18" s="261">
        <v>4.312211105260081E-2</v>
      </c>
      <c r="F18">
        <v>16</v>
      </c>
      <c r="G18" s="259">
        <f ca="1">_xlfn.NORM.INV(RAND(),'VAR Historical Approach'!K$4,'VAR Historical Approach'!K$5)</f>
        <v>-1.8160585960976699E-4</v>
      </c>
    </row>
    <row r="19" spans="2:7" x14ac:dyDescent="0.3">
      <c r="B19" s="102">
        <v>46190.645833333336</v>
      </c>
      <c r="C19" s="108">
        <v>4380.5</v>
      </c>
      <c r="D19" s="261">
        <f t="shared" si="0"/>
        <v>9.797141539880129E-3</v>
      </c>
      <c r="E19" s="261">
        <v>4.1848455168729405E-2</v>
      </c>
      <c r="F19">
        <v>17</v>
      </c>
      <c r="G19" s="259">
        <f ca="1">_xlfn.NORM.INV(RAND(),'VAR Historical Approach'!K$4,'VAR Historical Approach'!K$5)</f>
        <v>2.0985706709867796E-2</v>
      </c>
    </row>
    <row r="20" spans="2:7" x14ac:dyDescent="0.3">
      <c r="B20" s="102">
        <v>46189.645833333336</v>
      </c>
      <c r="C20" s="108">
        <v>4338</v>
      </c>
      <c r="D20" s="261">
        <f t="shared" si="0"/>
        <v>1.2723240340842769E-2</v>
      </c>
      <c r="E20" s="261">
        <v>4.1520045484579778E-2</v>
      </c>
      <c r="F20">
        <v>18</v>
      </c>
      <c r="G20" s="259">
        <f ca="1">_xlfn.NORM.INV(RAND(),'VAR Historical Approach'!K$4,'VAR Historical Approach'!K$5)</f>
        <v>-5.7962702019301749E-3</v>
      </c>
    </row>
    <row r="21" spans="2:7" x14ac:dyDescent="0.3">
      <c r="B21" s="102">
        <v>46188.645833333336</v>
      </c>
      <c r="C21" s="108">
        <v>4283.5</v>
      </c>
      <c r="D21" s="261">
        <f t="shared" si="0"/>
        <v>2.3781070745697897E-2</v>
      </c>
      <c r="E21" s="261">
        <v>4.0979093583350376E-2</v>
      </c>
      <c r="F21">
        <v>19</v>
      </c>
      <c r="G21" s="259">
        <f ca="1">_xlfn.NORM.INV(RAND(),'VAR Historical Approach'!K$4,'VAR Historical Approach'!K$5)</f>
        <v>5.1470157138717356E-3</v>
      </c>
    </row>
    <row r="22" spans="2:7" x14ac:dyDescent="0.3">
      <c r="B22" s="102">
        <v>46185.645833333336</v>
      </c>
      <c r="C22" s="108">
        <v>4184</v>
      </c>
      <c r="D22" s="261">
        <f t="shared" si="0"/>
        <v>3.945145582828187E-2</v>
      </c>
      <c r="E22" s="261">
        <v>4.0825688073394532E-2</v>
      </c>
      <c r="F22">
        <v>20</v>
      </c>
      <c r="G22" s="259">
        <f ca="1">_xlfn.NORM.INV(RAND(),'VAR Historical Approach'!K$4,'VAR Historical Approach'!K$5)</f>
        <v>-8.2767071353242617E-3</v>
      </c>
    </row>
    <row r="23" spans="2:7" x14ac:dyDescent="0.3">
      <c r="B23" s="102">
        <v>46184.645833333336</v>
      </c>
      <c r="C23" s="108">
        <v>4025.2</v>
      </c>
      <c r="D23" s="261">
        <f t="shared" si="0"/>
        <v>-4.1809950273372981E-3</v>
      </c>
      <c r="E23" s="261">
        <v>3.945145582828187E-2</v>
      </c>
      <c r="F23">
        <v>21</v>
      </c>
      <c r="G23" s="259">
        <f ca="1">_xlfn.NORM.INV(RAND(),'VAR Historical Approach'!K$4,'VAR Historical Approach'!K$5)</f>
        <v>1.3034940084365548E-2</v>
      </c>
    </row>
    <row r="24" spans="2:7" x14ac:dyDescent="0.3">
      <c r="B24" s="102">
        <v>46183.645833333336</v>
      </c>
      <c r="C24" s="108">
        <v>4042.1</v>
      </c>
      <c r="D24" s="261">
        <f t="shared" si="0"/>
        <v>-1.5298789251869652E-2</v>
      </c>
      <c r="E24" s="261">
        <v>3.925288194951107E-2</v>
      </c>
      <c r="F24">
        <v>22</v>
      </c>
      <c r="G24" s="259">
        <f ca="1">_xlfn.NORM.INV(RAND(),'VAR Historical Approach'!K$4,'VAR Historical Approach'!K$5)</f>
        <v>-1.9324117402399109E-2</v>
      </c>
    </row>
    <row r="25" spans="2:7" x14ac:dyDescent="0.3">
      <c r="B25" s="102">
        <v>46182.645833333336</v>
      </c>
      <c r="C25" s="108">
        <v>4104.8999999999996</v>
      </c>
      <c r="D25" s="261">
        <f t="shared" si="0"/>
        <v>-2.0871100085869669E-2</v>
      </c>
      <c r="E25" s="261">
        <v>3.921719257139579E-2</v>
      </c>
      <c r="F25">
        <v>23</v>
      </c>
      <c r="G25" s="259">
        <f ca="1">_xlfn.NORM.INV(RAND(),'VAR Historical Approach'!K$4,'VAR Historical Approach'!K$5)</f>
        <v>-1.1112590198183963E-2</v>
      </c>
    </row>
    <row r="26" spans="2:7" x14ac:dyDescent="0.3">
      <c r="B26" s="102">
        <v>46181.645833333336</v>
      </c>
      <c r="C26" s="108">
        <v>4192.3999999999996</v>
      </c>
      <c r="D26" s="261">
        <f t="shared" si="0"/>
        <v>-1.5914745786582835E-2</v>
      </c>
      <c r="E26" s="261">
        <v>3.9040944708089616E-2</v>
      </c>
      <c r="F26">
        <v>24</v>
      </c>
      <c r="G26" s="259">
        <f ca="1">_xlfn.NORM.INV(RAND(),'VAR Historical Approach'!K$4,'VAR Historical Approach'!K$5)</f>
        <v>-6.1598059462175138E-4</v>
      </c>
    </row>
    <row r="27" spans="2:7" x14ac:dyDescent="0.3">
      <c r="B27" s="102">
        <v>46178.645833333336</v>
      </c>
      <c r="C27" s="108">
        <v>4260.2</v>
      </c>
      <c r="D27" s="261">
        <f t="shared" si="0"/>
        <v>6.9014417395414362E-3</v>
      </c>
      <c r="E27" s="261">
        <v>3.8751375913747901E-2</v>
      </c>
      <c r="F27">
        <v>25</v>
      </c>
      <c r="G27" s="259">
        <f ca="1">_xlfn.NORM.INV(RAND(),'VAR Historical Approach'!K$4,'VAR Historical Approach'!K$5)</f>
        <v>-1.1263527200074699E-2</v>
      </c>
    </row>
    <row r="28" spans="2:7" x14ac:dyDescent="0.3">
      <c r="B28" s="102">
        <v>46177.645833333336</v>
      </c>
      <c r="C28" s="108">
        <v>4231</v>
      </c>
      <c r="D28" s="261">
        <f t="shared" si="0"/>
        <v>3.4777929954998975E-2</v>
      </c>
      <c r="E28" s="261">
        <v>3.8428623823301568E-2</v>
      </c>
      <c r="F28">
        <v>26</v>
      </c>
      <c r="G28" s="259">
        <f ca="1">_xlfn.NORM.INV(RAND(),'VAR Historical Approach'!K$4,'VAR Historical Approach'!K$5)</f>
        <v>7.8065950913020418E-3</v>
      </c>
    </row>
    <row r="29" spans="2:7" x14ac:dyDescent="0.3">
      <c r="B29" s="102">
        <v>46176.645833333336</v>
      </c>
      <c r="C29" s="108">
        <v>4088.8</v>
      </c>
      <c r="D29" s="261">
        <f t="shared" si="0"/>
        <v>2.6237708736912466E-3</v>
      </c>
      <c r="E29" s="261">
        <v>3.7967688456912431E-2</v>
      </c>
      <c r="F29">
        <v>27</v>
      </c>
      <c r="G29" s="259">
        <f ca="1">_xlfn.NORM.INV(RAND(),'VAR Historical Approach'!K$4,'VAR Historical Approach'!K$5)</f>
        <v>-4.8793167325950019E-3</v>
      </c>
    </row>
    <row r="30" spans="2:7" x14ac:dyDescent="0.3">
      <c r="B30" s="102">
        <v>46175.645833333336</v>
      </c>
      <c r="C30" s="108">
        <v>4078.1</v>
      </c>
      <c r="D30" s="261">
        <f t="shared" si="0"/>
        <v>1.3293246533817025E-2</v>
      </c>
      <c r="E30" s="261">
        <v>3.7908812075679775E-2</v>
      </c>
      <c r="F30">
        <v>28</v>
      </c>
      <c r="G30" s="259">
        <f ca="1">_xlfn.NORM.INV(RAND(),'VAR Historical Approach'!K$4,'VAR Historical Approach'!K$5)</f>
        <v>-2.177891515580508E-2</v>
      </c>
    </row>
    <row r="31" spans="2:7" x14ac:dyDescent="0.3">
      <c r="B31" s="102">
        <v>46174.645833333336</v>
      </c>
      <c r="C31" s="108">
        <v>4024.6</v>
      </c>
      <c r="D31" s="261">
        <f t="shared" si="0"/>
        <v>-1.2343861199047873E-2</v>
      </c>
      <c r="E31" s="261">
        <v>3.7778218083349878E-2</v>
      </c>
      <c r="F31">
        <v>29</v>
      </c>
      <c r="G31" s="259">
        <f ca="1">_xlfn.NORM.INV(RAND(),'VAR Historical Approach'!K$4,'VAR Historical Approach'!K$5)</f>
        <v>1.0792428329846213E-2</v>
      </c>
    </row>
    <row r="32" spans="2:7" x14ac:dyDescent="0.3">
      <c r="B32" s="102">
        <v>46171.645833333336</v>
      </c>
      <c r="C32" s="108">
        <v>4074.9</v>
      </c>
      <c r="D32" s="261">
        <f t="shared" si="0"/>
        <v>-1.5225114188356304E-2</v>
      </c>
      <c r="E32" s="261">
        <v>3.7329048025577932E-2</v>
      </c>
      <c r="F32">
        <v>30</v>
      </c>
      <c r="G32" s="259">
        <f ca="1">_xlfn.NORM.INV(RAND(),'VAR Historical Approach'!K$4,'VAR Historical Approach'!K$5)</f>
        <v>6.024605662903971E-3</v>
      </c>
    </row>
    <row r="33" spans="2:7" x14ac:dyDescent="0.3">
      <c r="B33" s="102">
        <v>46169.645833333336</v>
      </c>
      <c r="C33" s="108">
        <v>4137.8999999999996</v>
      </c>
      <c r="D33" s="261">
        <f t="shared" si="0"/>
        <v>7.793662777953677E-3</v>
      </c>
      <c r="E33" s="261">
        <v>3.6849156292806315E-2</v>
      </c>
      <c r="F33">
        <v>31</v>
      </c>
      <c r="G33" s="259">
        <f ca="1">_xlfn.NORM.INV(RAND(),'VAR Historical Approach'!K$4,'VAR Historical Approach'!K$5)</f>
        <v>-1.0690225877437371E-3</v>
      </c>
    </row>
    <row r="34" spans="2:7" x14ac:dyDescent="0.3">
      <c r="B34" s="102">
        <v>46168.645833333336</v>
      </c>
      <c r="C34" s="108">
        <v>4105.8999999999996</v>
      </c>
      <c r="D34" s="261">
        <f t="shared" si="0"/>
        <v>-1.2814964416233936E-2</v>
      </c>
      <c r="E34" s="261">
        <v>3.6341892023821279E-2</v>
      </c>
      <c r="F34">
        <v>32</v>
      </c>
      <c r="G34" s="259">
        <f ca="1">_xlfn.NORM.INV(RAND(),'VAR Historical Approach'!K$4,'VAR Historical Approach'!K$5)</f>
        <v>-7.0691467867465597E-4</v>
      </c>
    </row>
    <row r="35" spans="2:7" x14ac:dyDescent="0.3">
      <c r="B35" s="102">
        <v>46167.645833333336</v>
      </c>
      <c r="C35" s="108">
        <v>4159.2</v>
      </c>
      <c r="D35" s="261">
        <f t="shared" si="0"/>
        <v>1.9461738320505816E-2</v>
      </c>
      <c r="E35" s="261">
        <v>3.617444484028022E-2</v>
      </c>
      <c r="F35">
        <v>33</v>
      </c>
      <c r="G35" s="259">
        <f ca="1">_xlfn.NORM.INV(RAND(),'VAR Historical Approach'!K$4,'VAR Historical Approach'!K$5)</f>
        <v>-3.0599327283713717E-4</v>
      </c>
    </row>
    <row r="36" spans="2:7" x14ac:dyDescent="0.3">
      <c r="B36" s="102">
        <v>46164.645833333336</v>
      </c>
      <c r="C36" s="108">
        <v>4079.8</v>
      </c>
      <c r="D36" s="261">
        <f t="shared" si="0"/>
        <v>-8.0820944870312441E-4</v>
      </c>
      <c r="E36" s="261">
        <v>3.5850750096166221E-2</v>
      </c>
      <c r="F36">
        <v>34</v>
      </c>
      <c r="G36" s="259">
        <f ca="1">_xlfn.NORM.INV(RAND(),'VAR Historical Approach'!K$4,'VAR Historical Approach'!K$5)</f>
        <v>4.4244973265567802E-3</v>
      </c>
    </row>
    <row r="37" spans="2:7" x14ac:dyDescent="0.3">
      <c r="B37" s="102">
        <v>46163.645833333336</v>
      </c>
      <c r="C37" s="108">
        <v>4083.1</v>
      </c>
      <c r="D37" s="261">
        <f t="shared" si="0"/>
        <v>-5.6740697447885567E-3</v>
      </c>
      <c r="E37" s="261">
        <v>3.5791264889393028E-2</v>
      </c>
      <c r="F37">
        <v>35</v>
      </c>
      <c r="G37" s="259">
        <f ca="1">_xlfn.NORM.INV(RAND(),'VAR Historical Approach'!K$4,'VAR Historical Approach'!K$5)</f>
        <v>-3.0894785295151996E-3</v>
      </c>
    </row>
    <row r="38" spans="2:7" x14ac:dyDescent="0.3">
      <c r="B38" s="102">
        <v>46162.645833333336</v>
      </c>
      <c r="C38" s="108">
        <v>4106.3999999999996</v>
      </c>
      <c r="D38" s="261">
        <f t="shared" si="0"/>
        <v>1.0726474890296529E-3</v>
      </c>
      <c r="E38" s="261">
        <v>3.4915685389570385E-2</v>
      </c>
      <c r="F38">
        <v>36</v>
      </c>
      <c r="G38" s="259">
        <f ca="1">_xlfn.NORM.INV(RAND(),'VAR Historical Approach'!K$4,'VAR Historical Approach'!K$5)</f>
        <v>-1.5965366424633143E-2</v>
      </c>
    </row>
    <row r="39" spans="2:7" x14ac:dyDescent="0.3">
      <c r="B39" s="102">
        <v>46161.645833333336</v>
      </c>
      <c r="C39" s="108">
        <v>4102</v>
      </c>
      <c r="D39" s="261">
        <f t="shared" si="0"/>
        <v>-1.6236180060915612E-2</v>
      </c>
      <c r="E39" s="261">
        <v>3.4777929954998975E-2</v>
      </c>
      <c r="F39">
        <v>37</v>
      </c>
      <c r="G39" s="259">
        <f ca="1">_xlfn.NORM.INV(RAND(),'VAR Historical Approach'!K$4,'VAR Historical Approach'!K$5)</f>
        <v>-9.0231037548635599E-3</v>
      </c>
    </row>
    <row r="40" spans="2:7" x14ac:dyDescent="0.3">
      <c r="B40" s="102">
        <v>46160.645833333336</v>
      </c>
      <c r="C40" s="108">
        <v>4169.7</v>
      </c>
      <c r="D40" s="261">
        <f t="shared" si="0"/>
        <v>1.4391595308326839E-4</v>
      </c>
      <c r="E40" s="261">
        <v>3.3244874748476275E-2</v>
      </c>
      <c r="F40">
        <v>38</v>
      </c>
      <c r="G40" s="259">
        <f ca="1">_xlfn.NORM.INV(RAND(),'VAR Historical Approach'!K$4,'VAR Historical Approach'!K$5)</f>
        <v>-1.5283206135096971E-2</v>
      </c>
    </row>
    <row r="41" spans="2:7" x14ac:dyDescent="0.3">
      <c r="B41" s="102">
        <v>46157.645833333336</v>
      </c>
      <c r="C41" s="108">
        <v>4169.1000000000004</v>
      </c>
      <c r="D41" s="261">
        <f t="shared" si="0"/>
        <v>8.1979106210099996E-3</v>
      </c>
      <c r="E41" s="261">
        <v>3.3121567070346226E-2</v>
      </c>
      <c r="F41">
        <v>39</v>
      </c>
      <c r="G41" s="259">
        <f ca="1">_xlfn.NORM.INV(RAND(),'VAR Historical Approach'!K$4,'VAR Historical Approach'!K$5)</f>
        <v>2.4193267593941661E-2</v>
      </c>
    </row>
    <row r="42" spans="2:7" x14ac:dyDescent="0.3">
      <c r="B42" s="102">
        <v>46156.645833333336</v>
      </c>
      <c r="C42" s="108">
        <v>4135.2</v>
      </c>
      <c r="D42" s="261">
        <f t="shared" si="0"/>
        <v>1.0878333781504388E-2</v>
      </c>
      <c r="E42" s="261">
        <v>3.296148015703354E-2</v>
      </c>
      <c r="F42">
        <v>40</v>
      </c>
      <c r="G42" s="259">
        <f ca="1">_xlfn.NORM.INV(RAND(),'VAR Historical Approach'!K$4,'VAR Historical Approach'!K$5)</f>
        <v>-2.3578332550788675E-3</v>
      </c>
    </row>
    <row r="43" spans="2:7" x14ac:dyDescent="0.3">
      <c r="B43" s="102">
        <v>46155.645833333336</v>
      </c>
      <c r="C43" s="108">
        <v>4090.7</v>
      </c>
      <c r="D43" s="261">
        <f t="shared" si="0"/>
        <v>8.7293171898502296E-3</v>
      </c>
      <c r="E43" s="261">
        <v>3.216291136541332E-2</v>
      </c>
      <c r="F43">
        <v>41</v>
      </c>
      <c r="G43" s="259">
        <f ca="1">_xlfn.NORM.INV(RAND(),'VAR Historical Approach'!K$4,'VAR Historical Approach'!K$5)</f>
        <v>-1.5711379467636406E-2</v>
      </c>
    </row>
    <row r="44" spans="2:7" x14ac:dyDescent="0.3">
      <c r="B44" s="102">
        <v>46154.645833333336</v>
      </c>
      <c r="C44" s="108">
        <v>4055.3</v>
      </c>
      <c r="D44" s="261">
        <f t="shared" si="0"/>
        <v>-3.5738063534335215E-2</v>
      </c>
      <c r="E44" s="261">
        <v>3.191784239266017E-2</v>
      </c>
      <c r="F44">
        <v>42</v>
      </c>
      <c r="G44" s="259">
        <f ca="1">_xlfn.NORM.INV(RAND(),'VAR Historical Approach'!K$4,'VAR Historical Approach'!K$5)</f>
        <v>2.2810579618862379E-2</v>
      </c>
    </row>
    <row r="45" spans="2:7" x14ac:dyDescent="0.3">
      <c r="B45" s="102">
        <v>46153.645833333336</v>
      </c>
      <c r="C45" s="108">
        <v>4205.6000000000004</v>
      </c>
      <c r="D45" s="261">
        <f t="shared" si="0"/>
        <v>-6.7287646928365405E-2</v>
      </c>
      <c r="E45" s="261">
        <v>3.1826401446654669E-2</v>
      </c>
      <c r="F45">
        <v>43</v>
      </c>
      <c r="G45" s="259">
        <f ca="1">_xlfn.NORM.INV(RAND(),'VAR Historical Approach'!K$4,'VAR Historical Approach'!K$5)</f>
        <v>-3.8566393853573258E-2</v>
      </c>
    </row>
    <row r="46" spans="2:7" x14ac:dyDescent="0.3">
      <c r="B46" s="102">
        <v>46150.645833333336</v>
      </c>
      <c r="C46" s="108">
        <v>4509</v>
      </c>
      <c r="D46" s="261">
        <f t="shared" si="0"/>
        <v>4.6778874056877542E-2</v>
      </c>
      <c r="E46" s="261">
        <v>3.1776054473236198E-2</v>
      </c>
      <c r="F46">
        <v>44</v>
      </c>
      <c r="G46" s="259">
        <f ca="1">_xlfn.NORM.INV(RAND(),'VAR Historical Approach'!K$4,'VAR Historical Approach'!K$5)</f>
        <v>-7.0969094197846042E-4</v>
      </c>
    </row>
    <row r="47" spans="2:7" x14ac:dyDescent="0.3">
      <c r="B47" s="102">
        <v>46149.645833333336</v>
      </c>
      <c r="C47" s="108">
        <v>4307.5</v>
      </c>
      <c r="D47" s="261">
        <f t="shared" si="0"/>
        <v>-1.1950637673181108E-2</v>
      </c>
      <c r="E47" s="261">
        <v>3.1641069397042094E-2</v>
      </c>
      <c r="F47">
        <v>45</v>
      </c>
      <c r="G47" s="259">
        <f ca="1">_xlfn.NORM.INV(RAND(),'VAR Historical Approach'!K$4,'VAR Historical Approach'!K$5)</f>
        <v>-4.354793322472144E-2</v>
      </c>
    </row>
    <row r="48" spans="2:7" x14ac:dyDescent="0.3">
      <c r="B48" s="102">
        <v>46148.645833333336</v>
      </c>
      <c r="C48" s="108">
        <v>4359.6000000000004</v>
      </c>
      <c r="D48" s="261">
        <f t="shared" si="0"/>
        <v>-3.201024327784891E-3</v>
      </c>
      <c r="E48" s="261">
        <v>3.1639287812189984E-2</v>
      </c>
      <c r="F48">
        <v>46</v>
      </c>
      <c r="G48" s="259">
        <f ca="1">_xlfn.NORM.INV(RAND(),'VAR Historical Approach'!K$4,'VAR Historical Approach'!K$5)</f>
        <v>5.070899212600617E-3</v>
      </c>
    </row>
    <row r="49" spans="2:7" x14ac:dyDescent="0.3">
      <c r="B49" s="102">
        <v>46147.645833333336</v>
      </c>
      <c r="C49" s="108">
        <v>4373.6000000000004</v>
      </c>
      <c r="D49" s="261">
        <f t="shared" si="0"/>
        <v>2.4295209718084719E-3</v>
      </c>
      <c r="E49" s="261">
        <v>3.1205915260008803E-2</v>
      </c>
      <c r="F49">
        <v>47</v>
      </c>
      <c r="G49" s="259">
        <f ca="1">_xlfn.NORM.INV(RAND(),'VAR Historical Approach'!K$4,'VAR Historical Approach'!K$5)</f>
        <v>2.1599905770641546E-2</v>
      </c>
    </row>
    <row r="50" spans="2:7" x14ac:dyDescent="0.3">
      <c r="B50" s="102">
        <v>46146.645833333336</v>
      </c>
      <c r="C50" s="108">
        <v>4363</v>
      </c>
      <c r="D50" s="261">
        <f t="shared" si="0"/>
        <v>-5.0624828970171985E-3</v>
      </c>
      <c r="E50" s="261">
        <v>3.0779958163163753E-2</v>
      </c>
      <c r="F50">
        <v>48</v>
      </c>
      <c r="G50" s="259">
        <f ca="1">_xlfn.NORM.INV(RAND(),'VAR Historical Approach'!K$4,'VAR Historical Approach'!K$5)</f>
        <v>1.21790989485939E-3</v>
      </c>
    </row>
    <row r="51" spans="2:7" x14ac:dyDescent="0.3">
      <c r="B51" s="102">
        <v>46142.645833333336</v>
      </c>
      <c r="C51" s="108">
        <v>4385.2</v>
      </c>
      <c r="D51" s="261">
        <f t="shared" si="0"/>
        <v>-1.2297851254561098E-2</v>
      </c>
      <c r="E51" s="261">
        <v>3.0671312172505606E-2</v>
      </c>
      <c r="F51">
        <v>49</v>
      </c>
      <c r="G51" s="259">
        <f ca="1">_xlfn.NORM.INV(RAND(),'VAR Historical Approach'!K$4,'VAR Historical Approach'!K$5)</f>
        <v>3.6532680955518653E-3</v>
      </c>
    </row>
    <row r="52" spans="2:7" x14ac:dyDescent="0.3">
      <c r="B52" s="102">
        <v>46141.645833333336</v>
      </c>
      <c r="C52" s="108">
        <v>4439.8</v>
      </c>
      <c r="D52" s="261">
        <f t="shared" si="0"/>
        <v>5.1618745755037769E-3</v>
      </c>
      <c r="E52" s="261">
        <v>3.0596552894889217E-2</v>
      </c>
      <c r="F52">
        <v>50</v>
      </c>
      <c r="G52" s="259">
        <f ca="1">_xlfn.NORM.INV(RAND(),'VAR Historical Approach'!K$4,'VAR Historical Approach'!K$5)</f>
        <v>1.844614502398775E-2</v>
      </c>
    </row>
    <row r="53" spans="2:7" x14ac:dyDescent="0.3">
      <c r="B53" s="102">
        <v>46140.645833333336</v>
      </c>
      <c r="C53" s="108">
        <v>4417</v>
      </c>
      <c r="D53" s="261">
        <f t="shared" si="0"/>
        <v>-5.5833220766356387E-3</v>
      </c>
      <c r="E53" s="261">
        <v>3.0344121785851327E-2</v>
      </c>
      <c r="F53">
        <v>51</v>
      </c>
      <c r="G53" s="259">
        <f ca="1">_xlfn.NORM.INV(RAND(),'VAR Historical Approach'!K$4,'VAR Historical Approach'!K$5)</f>
        <v>3.1438445596241295E-2</v>
      </c>
    </row>
    <row r="54" spans="2:7" x14ac:dyDescent="0.3">
      <c r="B54" s="102">
        <v>46139.645833333336</v>
      </c>
      <c r="C54" s="108">
        <v>4441.8</v>
      </c>
      <c r="D54" s="261">
        <f t="shared" si="0"/>
        <v>7.2108843537415377E-3</v>
      </c>
      <c r="E54" s="261">
        <v>3.0292759394992159E-2</v>
      </c>
      <c r="F54">
        <v>52</v>
      </c>
      <c r="G54" s="259">
        <f ca="1">_xlfn.NORM.INV(RAND(),'VAR Historical Approach'!K$4,'VAR Historical Approach'!K$5)</f>
        <v>-4.6977716082324209E-3</v>
      </c>
    </row>
    <row r="55" spans="2:7" x14ac:dyDescent="0.3">
      <c r="B55" s="102">
        <v>46136.645833333336</v>
      </c>
      <c r="C55" s="108">
        <v>4410</v>
      </c>
      <c r="D55" s="261">
        <f t="shared" si="0"/>
        <v>-1.0434197239986537E-2</v>
      </c>
      <c r="E55" s="261">
        <v>2.9804463756665938E-2</v>
      </c>
      <c r="F55">
        <v>53</v>
      </c>
      <c r="G55" s="259">
        <f ca="1">_xlfn.NORM.INV(RAND(),'VAR Historical Approach'!K$4,'VAR Historical Approach'!K$5)</f>
        <v>2.6816156170110808E-2</v>
      </c>
    </row>
    <row r="56" spans="2:7" x14ac:dyDescent="0.3">
      <c r="B56" s="102">
        <v>46135.645833333336</v>
      </c>
      <c r="C56" s="108">
        <v>4456.5</v>
      </c>
      <c r="D56" s="261">
        <f t="shared" si="0"/>
        <v>4.2652538948494503E-4</v>
      </c>
      <c r="E56" s="261">
        <v>2.964556251753488E-2</v>
      </c>
      <c r="F56">
        <v>54</v>
      </c>
      <c r="G56" s="259">
        <f ca="1">_xlfn.NORM.INV(RAND(),'VAR Historical Approach'!K$4,'VAR Historical Approach'!K$5)</f>
        <v>-8.656972006454617E-3</v>
      </c>
    </row>
    <row r="57" spans="2:7" x14ac:dyDescent="0.3">
      <c r="B57" s="102">
        <v>46134.645833333336</v>
      </c>
      <c r="C57" s="108">
        <v>4454.6000000000004</v>
      </c>
      <c r="D57" s="261">
        <f t="shared" si="0"/>
        <v>-5.6030537759223734E-3</v>
      </c>
      <c r="E57" s="261">
        <v>2.9260382147641546E-2</v>
      </c>
      <c r="F57">
        <v>55</v>
      </c>
      <c r="G57" s="259">
        <f ca="1">_xlfn.NORM.INV(RAND(),'VAR Historical Approach'!K$4,'VAR Historical Approach'!K$5)</f>
        <v>2.4212892985089954E-2</v>
      </c>
    </row>
    <row r="58" spans="2:7" x14ac:dyDescent="0.3">
      <c r="B58" s="102">
        <v>46133.645833333336</v>
      </c>
      <c r="C58" s="108">
        <v>4479.7</v>
      </c>
      <c r="D58" s="261">
        <f t="shared" si="0"/>
        <v>-7.3786838023488103E-3</v>
      </c>
      <c r="E58" s="261">
        <v>2.9191541030051629E-2</v>
      </c>
      <c r="F58">
        <v>56</v>
      </c>
      <c r="G58" s="259">
        <f ca="1">_xlfn.NORM.INV(RAND(),'VAR Historical Approach'!K$4,'VAR Historical Approach'!K$5)</f>
        <v>-1.8365586210367012E-2</v>
      </c>
    </row>
    <row r="59" spans="2:7" x14ac:dyDescent="0.3">
      <c r="B59" s="102">
        <v>46132.645833333336</v>
      </c>
      <c r="C59" s="108">
        <v>4513</v>
      </c>
      <c r="D59" s="261">
        <f t="shared" si="0"/>
        <v>-2.8502618263769939E-3</v>
      </c>
      <c r="E59" s="261">
        <v>2.8991139437276544E-2</v>
      </c>
      <c r="F59">
        <v>57</v>
      </c>
      <c r="G59" s="259">
        <f ca="1">_xlfn.NORM.INV(RAND(),'VAR Historical Approach'!K$4,'VAR Historical Approach'!K$5)</f>
        <v>-5.334986520789323E-3</v>
      </c>
    </row>
    <row r="60" spans="2:7" x14ac:dyDescent="0.3">
      <c r="B60" s="102">
        <v>46129.645833333336</v>
      </c>
      <c r="C60" s="108">
        <v>4525.8999999999996</v>
      </c>
      <c r="D60" s="261">
        <f t="shared" si="0"/>
        <v>1.4457345227955351E-2</v>
      </c>
      <c r="E60" s="261">
        <v>2.8875841473907957E-2</v>
      </c>
      <c r="F60">
        <v>58</v>
      </c>
      <c r="G60" s="259">
        <f ca="1">_xlfn.NORM.INV(RAND(),'VAR Historical Approach'!K$4,'VAR Historical Approach'!K$5)</f>
        <v>-3.5085144526950857E-2</v>
      </c>
    </row>
    <row r="61" spans="2:7" x14ac:dyDescent="0.3">
      <c r="B61" s="102">
        <v>46128.645833333336</v>
      </c>
      <c r="C61" s="108">
        <v>4461.3999999999996</v>
      </c>
      <c r="D61" s="261">
        <f t="shared" si="0"/>
        <v>-1.3444783512449734E-2</v>
      </c>
      <c r="E61" s="261">
        <v>2.8814630485444671E-2</v>
      </c>
      <c r="F61">
        <v>59</v>
      </c>
      <c r="G61" s="259">
        <f ca="1">_xlfn.NORM.INV(RAND(),'VAR Historical Approach'!K$4,'VAR Historical Approach'!K$5)</f>
        <v>5.0393263976890434E-3</v>
      </c>
    </row>
    <row r="62" spans="2:7" x14ac:dyDescent="0.3">
      <c r="B62" s="102">
        <v>46127.645833333336</v>
      </c>
      <c r="C62" s="108">
        <v>4522.2</v>
      </c>
      <c r="D62" s="261">
        <f t="shared" si="0"/>
        <v>1.8674115288446293E-2</v>
      </c>
      <c r="E62" s="261">
        <v>2.8205747404008736E-2</v>
      </c>
      <c r="F62">
        <v>60</v>
      </c>
      <c r="G62" s="259">
        <f ca="1">_xlfn.NORM.INV(RAND(),'VAR Historical Approach'!K$4,'VAR Historical Approach'!K$5)</f>
        <v>-2.0634439728922087E-2</v>
      </c>
    </row>
    <row r="63" spans="2:7" x14ac:dyDescent="0.3">
      <c r="B63" s="102">
        <v>46125.645833333336</v>
      </c>
      <c r="C63" s="108">
        <v>4439.3</v>
      </c>
      <c r="D63" s="261">
        <f t="shared" si="0"/>
        <v>-1.4583795782463889E-2</v>
      </c>
      <c r="E63" s="261">
        <v>2.7981284245521175E-2</v>
      </c>
      <c r="F63">
        <v>61</v>
      </c>
      <c r="G63" s="259">
        <f ca="1">_xlfn.NORM.INV(RAND(),'VAR Historical Approach'!K$4,'VAR Historical Approach'!K$5)</f>
        <v>9.7041342049652354E-3</v>
      </c>
    </row>
    <row r="64" spans="2:7" x14ac:dyDescent="0.3">
      <c r="B64" s="102">
        <v>46122.645833333336</v>
      </c>
      <c r="C64" s="108">
        <v>4505</v>
      </c>
      <c r="D64" s="261">
        <f t="shared" si="0"/>
        <v>1.4685346186765128E-2</v>
      </c>
      <c r="E64" s="261">
        <v>2.6941555677187975E-2</v>
      </c>
      <c r="F64">
        <v>62</v>
      </c>
      <c r="G64" s="259">
        <f ca="1">_xlfn.NORM.INV(RAND(),'VAR Historical Approach'!K$4,'VAR Historical Approach'!K$5)</f>
        <v>-5.9819574050353633E-3</v>
      </c>
    </row>
    <row r="65" spans="2:7" x14ac:dyDescent="0.3">
      <c r="B65" s="102">
        <v>46121.645833333336</v>
      </c>
      <c r="C65" s="108">
        <v>4439.8</v>
      </c>
      <c r="D65" s="261">
        <f t="shared" si="0"/>
        <v>-1.1730662214802408E-2</v>
      </c>
      <c r="E65" s="261">
        <v>2.6725907974014636E-2</v>
      </c>
      <c r="F65">
        <v>63</v>
      </c>
      <c r="G65" s="259">
        <f ca="1">_xlfn.NORM.INV(RAND(),'VAR Historical Approach'!K$4,'VAR Historical Approach'!K$5)</f>
        <v>2.4281675986987192E-2</v>
      </c>
    </row>
    <row r="66" spans="2:7" x14ac:dyDescent="0.3">
      <c r="B66" s="102">
        <v>46120.645833333336</v>
      </c>
      <c r="C66" s="108">
        <v>4492.5</v>
      </c>
      <c r="D66" s="261">
        <f t="shared" si="0"/>
        <v>6.19061126081406E-2</v>
      </c>
      <c r="E66" s="261">
        <v>2.6714833645526757E-2</v>
      </c>
      <c r="F66">
        <v>64</v>
      </c>
      <c r="G66" s="259">
        <f ca="1">_xlfn.NORM.INV(RAND(),'VAR Historical Approach'!K$4,'VAR Historical Approach'!K$5)</f>
        <v>-8.751866217107487E-3</v>
      </c>
    </row>
    <row r="67" spans="2:7" x14ac:dyDescent="0.3">
      <c r="B67" s="102">
        <v>46119.645833333336</v>
      </c>
      <c r="C67" s="108">
        <v>4230.6000000000004</v>
      </c>
      <c r="D67" s="261">
        <f t="shared" ref="D67:D130" si="4">(C67-C68)/C68</f>
        <v>-3.6504086102541154E-3</v>
      </c>
      <c r="E67" s="261">
        <v>2.6606416290101745E-2</v>
      </c>
      <c r="F67">
        <v>65</v>
      </c>
      <c r="G67" s="259">
        <f ca="1">_xlfn.NORM.INV(RAND(),'VAR Historical Approach'!K$4,'VAR Historical Approach'!K$5)</f>
        <v>4.0911472405462182E-3</v>
      </c>
    </row>
    <row r="68" spans="2:7" x14ac:dyDescent="0.3">
      <c r="B68" s="102">
        <v>46118.645833333336</v>
      </c>
      <c r="C68" s="108">
        <v>4246.1000000000004</v>
      </c>
      <c r="D68" s="261">
        <f t="shared" si="4"/>
        <v>3.6341892023821279E-2</v>
      </c>
      <c r="E68" s="261">
        <v>2.6579546462466259E-2</v>
      </c>
      <c r="F68">
        <v>66</v>
      </c>
      <c r="G68" s="259">
        <f ca="1">_xlfn.NORM.INV(RAND(),'VAR Historical Approach'!K$4,'VAR Historical Approach'!K$5)</f>
        <v>-2.3550149321897217E-2</v>
      </c>
    </row>
    <row r="69" spans="2:7" x14ac:dyDescent="0.3">
      <c r="B69" s="102">
        <v>46114.645833333336</v>
      </c>
      <c r="C69" s="108">
        <v>4097.2</v>
      </c>
      <c r="D69" s="261">
        <f t="shared" si="4"/>
        <v>7.7973189029639199E-3</v>
      </c>
      <c r="E69" s="261">
        <v>2.6536525850236414E-2</v>
      </c>
      <c r="F69">
        <v>67</v>
      </c>
      <c r="G69" s="259">
        <f ca="1">_xlfn.NORM.INV(RAND(),'VAR Historical Approach'!K$4,'VAR Historical Approach'!K$5)</f>
        <v>-7.7500887429617091E-3</v>
      </c>
    </row>
    <row r="70" spans="2:7" x14ac:dyDescent="0.3">
      <c r="B70" s="102">
        <v>46113.645833333336</v>
      </c>
      <c r="C70" s="108">
        <v>4065.5</v>
      </c>
      <c r="D70" s="261">
        <f t="shared" si="4"/>
        <v>2.8875841473907957E-2</v>
      </c>
      <c r="E70" s="261">
        <v>2.6315234580917276E-2</v>
      </c>
      <c r="F70">
        <v>68</v>
      </c>
      <c r="G70" s="259">
        <f ca="1">_xlfn.NORM.INV(RAND(),'VAR Historical Approach'!K$4,'VAR Historical Approach'!K$5)</f>
        <v>1.0560193570574933E-2</v>
      </c>
    </row>
    <row r="71" spans="2:7" x14ac:dyDescent="0.3">
      <c r="B71" s="102">
        <v>46111.645833333336</v>
      </c>
      <c r="C71" s="108">
        <v>3951.4</v>
      </c>
      <c r="D71" s="261">
        <f t="shared" si="4"/>
        <v>-7.5599648373728262E-3</v>
      </c>
      <c r="E71" s="261">
        <v>2.5941041752304862E-2</v>
      </c>
      <c r="F71">
        <v>69</v>
      </c>
      <c r="G71" s="259">
        <f ca="1">_xlfn.NORM.INV(RAND(),'VAR Historical Approach'!K$4,'VAR Historical Approach'!K$5)</f>
        <v>-2.9787094495847622E-3</v>
      </c>
    </row>
    <row r="72" spans="2:7" x14ac:dyDescent="0.3">
      <c r="B72" s="102">
        <v>46108.645833333336</v>
      </c>
      <c r="C72" s="108">
        <v>3981.5</v>
      </c>
      <c r="D72" s="261">
        <f t="shared" si="4"/>
        <v>-1.4309410046295195E-2</v>
      </c>
      <c r="E72" s="261">
        <v>2.5893448047650525E-2</v>
      </c>
      <c r="F72">
        <v>70</v>
      </c>
      <c r="G72" s="259">
        <f ca="1">_xlfn.NORM.INV(RAND(),'VAR Historical Approach'!K$4,'VAR Historical Approach'!K$5)</f>
        <v>1.3543174750404783E-2</v>
      </c>
    </row>
    <row r="73" spans="2:7" x14ac:dyDescent="0.3">
      <c r="B73" s="102">
        <v>46106.645833333336</v>
      </c>
      <c r="C73" s="108">
        <v>4039.3</v>
      </c>
      <c r="D73" s="261">
        <f t="shared" si="4"/>
        <v>3.5850750096166221E-2</v>
      </c>
      <c r="E73" s="261">
        <v>2.5800444094262642E-2</v>
      </c>
      <c r="F73">
        <v>71</v>
      </c>
      <c r="G73" s="259">
        <f ca="1">_xlfn.NORM.INV(RAND(),'VAR Historical Approach'!K$4,'VAR Historical Approach'!K$5)</f>
        <v>1.3359988548384117E-2</v>
      </c>
    </row>
    <row r="74" spans="2:7" x14ac:dyDescent="0.3">
      <c r="B74" s="102">
        <v>46105.645833333336</v>
      </c>
      <c r="C74" s="108">
        <v>3899.5</v>
      </c>
      <c r="D74" s="261">
        <f t="shared" si="4"/>
        <v>1.2042251693441669E-2</v>
      </c>
      <c r="E74" s="261">
        <v>2.5725556494787315E-2</v>
      </c>
      <c r="F74">
        <v>72</v>
      </c>
      <c r="G74" s="259">
        <f ca="1">_xlfn.NORM.INV(RAND(),'VAR Historical Approach'!K$4,'VAR Historical Approach'!K$5)</f>
        <v>1.4515412036766099E-2</v>
      </c>
    </row>
    <row r="75" spans="2:7" x14ac:dyDescent="0.3">
      <c r="B75" s="102">
        <v>46104.645833333336</v>
      </c>
      <c r="C75" s="108">
        <v>3853.1</v>
      </c>
      <c r="D75" s="261">
        <f t="shared" si="4"/>
        <v>-6.172989821263343E-2</v>
      </c>
      <c r="E75" s="261">
        <v>2.5700157899110742E-2</v>
      </c>
      <c r="F75">
        <v>73</v>
      </c>
      <c r="G75" s="259">
        <f ca="1">_xlfn.NORM.INV(RAND(),'VAR Historical Approach'!K$4,'VAR Historical Approach'!K$5)</f>
        <v>2.0234141330968989E-2</v>
      </c>
    </row>
    <row r="76" spans="2:7" x14ac:dyDescent="0.3">
      <c r="B76" s="102">
        <v>46101.645833333336</v>
      </c>
      <c r="C76" s="108">
        <v>4106.6000000000004</v>
      </c>
      <c r="D76" s="261">
        <f t="shared" si="4"/>
        <v>1.7013794299016883E-2</v>
      </c>
      <c r="E76" s="261">
        <v>2.5582197230916204E-2</v>
      </c>
      <c r="F76">
        <v>74</v>
      </c>
      <c r="G76" s="259">
        <f ca="1">_xlfn.NORM.INV(RAND(),'VAR Historical Approach'!K$4,'VAR Historical Approach'!K$5)</f>
        <v>1.9690492961010258E-2</v>
      </c>
    </row>
    <row r="77" spans="2:7" x14ac:dyDescent="0.3">
      <c r="B77" s="102">
        <v>46100.645833333336</v>
      </c>
      <c r="C77" s="108">
        <v>4037.9</v>
      </c>
      <c r="D77" s="261">
        <f t="shared" si="4"/>
        <v>-2.5955855747195732E-2</v>
      </c>
      <c r="E77" s="261">
        <v>2.5563882355086304E-2</v>
      </c>
      <c r="F77">
        <v>75</v>
      </c>
      <c r="G77" s="259">
        <f ca="1">_xlfn.NORM.INV(RAND(),'VAR Historical Approach'!K$4,'VAR Historical Approach'!K$5)</f>
        <v>-5.059784886797261E-3</v>
      </c>
    </row>
    <row r="78" spans="2:7" x14ac:dyDescent="0.3">
      <c r="B78" s="102">
        <v>46099.645833333336</v>
      </c>
      <c r="C78" s="108">
        <v>4145.5</v>
      </c>
      <c r="D78" s="261">
        <f t="shared" si="4"/>
        <v>1.3445789023346779E-2</v>
      </c>
      <c r="E78" s="261">
        <v>2.4605024605024603E-2</v>
      </c>
      <c r="F78">
        <v>76</v>
      </c>
      <c r="G78" s="259">
        <f ca="1">_xlfn.NORM.INV(RAND(),'VAR Historical Approach'!K$4,'VAR Historical Approach'!K$5)</f>
        <v>6.2550994379123879E-3</v>
      </c>
    </row>
    <row r="79" spans="2:7" x14ac:dyDescent="0.3">
      <c r="B79" s="102">
        <v>46098.645833333336</v>
      </c>
      <c r="C79" s="108">
        <v>4090.5</v>
      </c>
      <c r="D79" s="261">
        <f t="shared" si="4"/>
        <v>-7.3335288941082894E-5</v>
      </c>
      <c r="E79" s="261">
        <v>2.450568745705772E-2</v>
      </c>
      <c r="F79">
        <v>77</v>
      </c>
      <c r="G79" s="259">
        <f ca="1">_xlfn.NORM.INV(RAND(),'VAR Historical Approach'!K$4,'VAR Historical Approach'!K$5)</f>
        <v>1.0350240582067169E-2</v>
      </c>
    </row>
    <row r="80" spans="2:7" x14ac:dyDescent="0.3">
      <c r="B80" s="102">
        <v>46097.645833333336</v>
      </c>
      <c r="C80" s="108">
        <v>4090.8</v>
      </c>
      <c r="D80" s="261">
        <f t="shared" si="4"/>
        <v>4.3209270352549262E-3</v>
      </c>
      <c r="E80" s="261">
        <v>2.4297997807931668E-2</v>
      </c>
      <c r="F80">
        <v>78</v>
      </c>
      <c r="G80" s="259">
        <f ca="1">_xlfn.NORM.INV(RAND(),'VAR Historical Approach'!K$4,'VAR Historical Approach'!K$5)</f>
        <v>2.3446500393427085E-2</v>
      </c>
    </row>
    <row r="81" spans="2:7" x14ac:dyDescent="0.3">
      <c r="B81" s="102">
        <v>46094.645833333336</v>
      </c>
      <c r="C81" s="108">
        <v>4073.2</v>
      </c>
      <c r="D81" s="261">
        <f t="shared" si="4"/>
        <v>-1.3657497094149686E-2</v>
      </c>
      <c r="E81" s="261">
        <v>2.4295310440077728E-2</v>
      </c>
      <c r="F81">
        <v>79</v>
      </c>
      <c r="G81" s="259">
        <f ca="1">_xlfn.NORM.INV(RAND(),'VAR Historical Approach'!K$4,'VAR Historical Approach'!K$5)</f>
        <v>3.9468569590049261E-3</v>
      </c>
    </row>
    <row r="82" spans="2:7" x14ac:dyDescent="0.3">
      <c r="B82" s="102">
        <v>46093.645833333336</v>
      </c>
      <c r="C82" s="108">
        <v>4129.6000000000004</v>
      </c>
      <c r="D82" s="261">
        <f t="shared" si="4"/>
        <v>-2.5843537907880632E-3</v>
      </c>
      <c r="E82" s="261">
        <v>2.4001917414229922E-2</v>
      </c>
      <c r="F82">
        <v>80</v>
      </c>
      <c r="G82" s="259">
        <f ca="1">_xlfn.NORM.INV(RAND(),'VAR Historical Approach'!K$4,'VAR Historical Approach'!K$5)</f>
        <v>2.3629627356513888E-2</v>
      </c>
    </row>
    <row r="83" spans="2:7" x14ac:dyDescent="0.3">
      <c r="B83" s="102">
        <v>46092.645833333336</v>
      </c>
      <c r="C83" s="108">
        <v>4140.3</v>
      </c>
      <c r="D83" s="261">
        <f t="shared" si="4"/>
        <v>-1.8909504514111081E-2</v>
      </c>
      <c r="E83" s="261">
        <v>2.389582494294536E-2</v>
      </c>
      <c r="F83">
        <v>81</v>
      </c>
      <c r="G83" s="259">
        <f ca="1">_xlfn.NORM.INV(RAND(),'VAR Historical Approach'!K$4,'VAR Historical Approach'!K$5)</f>
        <v>2.2860367127725514E-2</v>
      </c>
    </row>
    <row r="84" spans="2:7" x14ac:dyDescent="0.3">
      <c r="B84" s="102">
        <v>46091.645833333336</v>
      </c>
      <c r="C84" s="108">
        <v>4220.1000000000004</v>
      </c>
      <c r="D84" s="261">
        <f t="shared" si="4"/>
        <v>1.4642238892094766E-2</v>
      </c>
      <c r="E84" s="261">
        <v>2.3848460070863994E-2</v>
      </c>
      <c r="F84">
        <v>82</v>
      </c>
      <c r="G84" s="259">
        <f ca="1">_xlfn.NORM.INV(RAND(),'VAR Historical Approach'!K$4,'VAR Historical Approach'!K$5)</f>
        <v>9.8517885616153517E-3</v>
      </c>
    </row>
    <row r="85" spans="2:7" x14ac:dyDescent="0.3">
      <c r="B85" s="102">
        <v>46090.645833333336</v>
      </c>
      <c r="C85" s="108">
        <v>4159.2</v>
      </c>
      <c r="D85" s="261">
        <f t="shared" si="4"/>
        <v>-2.0119681477642308E-2</v>
      </c>
      <c r="E85" s="261">
        <v>2.3781070745697897E-2</v>
      </c>
      <c r="F85">
        <v>83</v>
      </c>
      <c r="G85" s="259">
        <f ca="1">_xlfn.NORM.INV(RAND(),'VAR Historical Approach'!K$4,'VAR Historical Approach'!K$5)</f>
        <v>-1.0338627949913911E-2</v>
      </c>
    </row>
    <row r="86" spans="2:7" x14ac:dyDescent="0.3">
      <c r="B86" s="102">
        <v>46087.645833333336</v>
      </c>
      <c r="C86" s="108">
        <v>4244.6000000000004</v>
      </c>
      <c r="D86" s="261">
        <f t="shared" si="4"/>
        <v>-7.1575598802393935E-3</v>
      </c>
      <c r="E86" s="261">
        <v>2.3760375005375648E-2</v>
      </c>
      <c r="F86">
        <v>84</v>
      </c>
      <c r="G86" s="259">
        <f ca="1">_xlfn.NORM.INV(RAND(),'VAR Historical Approach'!K$4,'VAR Historical Approach'!K$5)</f>
        <v>-1.4047368927275376E-2</v>
      </c>
    </row>
    <row r="87" spans="2:7" x14ac:dyDescent="0.3">
      <c r="B87" s="102">
        <v>46086.645833333336</v>
      </c>
      <c r="C87" s="108">
        <v>4275.2</v>
      </c>
      <c r="D87" s="261">
        <f t="shared" si="4"/>
        <v>1.6839501474645652E-2</v>
      </c>
      <c r="E87" s="261">
        <v>2.3488263890003136E-2</v>
      </c>
      <c r="F87">
        <v>85</v>
      </c>
      <c r="G87" s="259">
        <f ca="1">_xlfn.NORM.INV(RAND(),'VAR Historical Approach'!K$4,'VAR Historical Approach'!K$5)</f>
        <v>-2.2210673974474657E-2</v>
      </c>
    </row>
    <row r="88" spans="2:7" x14ac:dyDescent="0.3">
      <c r="B88" s="102">
        <v>46085.645833333336</v>
      </c>
      <c r="C88" s="108">
        <v>4204.3999999999996</v>
      </c>
      <c r="D88" s="261">
        <f t="shared" si="4"/>
        <v>-1.5432171041847305E-2</v>
      </c>
      <c r="E88" s="261">
        <v>2.3436416585771773E-2</v>
      </c>
      <c r="F88">
        <v>86</v>
      </c>
      <c r="G88" s="259">
        <f ca="1">_xlfn.NORM.INV(RAND(),'VAR Historical Approach'!K$4,'VAR Historical Approach'!K$5)</f>
        <v>3.3570557309746757E-2</v>
      </c>
    </row>
    <row r="89" spans="2:7" x14ac:dyDescent="0.3">
      <c r="B89" s="102">
        <v>46083.645833333336</v>
      </c>
      <c r="C89" s="108">
        <v>4270.3</v>
      </c>
      <c r="D89" s="261">
        <f t="shared" si="4"/>
        <v>-1.3217793183131096E-2</v>
      </c>
      <c r="E89" s="261">
        <v>2.3404733373277409E-2</v>
      </c>
      <c r="F89">
        <v>87</v>
      </c>
      <c r="G89" s="259">
        <f ca="1">_xlfn.NORM.INV(RAND(),'VAR Historical Approach'!K$4,'VAR Historical Approach'!K$5)</f>
        <v>-1.7956874218064025E-3</v>
      </c>
    </row>
    <row r="90" spans="2:7" x14ac:dyDescent="0.3">
      <c r="B90" s="102">
        <v>46080.645833333336</v>
      </c>
      <c r="C90" s="108">
        <v>4327.5</v>
      </c>
      <c r="D90" s="261">
        <f t="shared" si="4"/>
        <v>-3.4771795698430347E-3</v>
      </c>
      <c r="E90" s="261">
        <v>2.2971066570842909E-2</v>
      </c>
      <c r="F90">
        <v>88</v>
      </c>
      <c r="G90" s="259">
        <f ca="1">_xlfn.NORM.INV(RAND(),'VAR Historical Approach'!K$4,'VAR Historical Approach'!K$5)</f>
        <v>8.1877961678391287E-3</v>
      </c>
    </row>
    <row r="91" spans="2:7" x14ac:dyDescent="0.3">
      <c r="B91" s="102">
        <v>46079.645833333336</v>
      </c>
      <c r="C91" s="108">
        <v>4342.6000000000004</v>
      </c>
      <c r="D91" s="261">
        <f t="shared" si="4"/>
        <v>4.0693641618497955E-3</v>
      </c>
      <c r="E91" s="261">
        <v>2.2801811650788692E-2</v>
      </c>
      <c r="F91">
        <v>89</v>
      </c>
      <c r="G91" s="259">
        <f ca="1">_xlfn.NORM.INV(RAND(),'VAR Historical Approach'!K$4,'VAR Historical Approach'!K$5)</f>
        <v>1.3732993199656929E-2</v>
      </c>
    </row>
    <row r="92" spans="2:7" x14ac:dyDescent="0.3">
      <c r="B92" s="102">
        <v>46078.645833333336</v>
      </c>
      <c r="C92" s="108">
        <v>4325</v>
      </c>
      <c r="D92" s="261">
        <f t="shared" si="4"/>
        <v>7.1021073466061239E-3</v>
      </c>
      <c r="E92" s="261">
        <v>2.2767465707619481E-2</v>
      </c>
      <c r="F92">
        <v>90</v>
      </c>
      <c r="G92" s="259">
        <f ca="1">_xlfn.NORM.INV(RAND(),'VAR Historical Approach'!K$4,'VAR Historical Approach'!K$5)</f>
        <v>8.3900949424407754E-3</v>
      </c>
    </row>
    <row r="93" spans="2:7" x14ac:dyDescent="0.3">
      <c r="B93" s="102">
        <v>46077.645833333336</v>
      </c>
      <c r="C93" s="108">
        <v>4294.5</v>
      </c>
      <c r="D93" s="261">
        <f t="shared" si="4"/>
        <v>5.1021602265546801E-3</v>
      </c>
      <c r="E93" s="261">
        <v>2.2210200462837625E-2</v>
      </c>
      <c r="F93">
        <v>91</v>
      </c>
      <c r="G93" s="259">
        <f ca="1">_xlfn.NORM.INV(RAND(),'VAR Historical Approach'!K$4,'VAR Historical Approach'!K$5)</f>
        <v>-8.0159667715831041E-3</v>
      </c>
    </row>
    <row r="94" spans="2:7" x14ac:dyDescent="0.3">
      <c r="B94" s="102">
        <v>46076.645833333336</v>
      </c>
      <c r="C94" s="108">
        <v>4272.7</v>
      </c>
      <c r="D94" s="261">
        <f t="shared" si="4"/>
        <v>8.5685959777169734E-3</v>
      </c>
      <c r="E94" s="261">
        <v>2.2072110833835378E-2</v>
      </c>
      <c r="F94">
        <v>92</v>
      </c>
      <c r="G94" s="259">
        <f ca="1">_xlfn.NORM.INV(RAND(),'VAR Historical Approach'!K$4,'VAR Historical Approach'!K$5)</f>
        <v>-6.569324728848731E-3</v>
      </c>
    </row>
    <row r="95" spans="2:7" x14ac:dyDescent="0.3">
      <c r="B95" s="102">
        <v>46073.645833333336</v>
      </c>
      <c r="C95" s="108">
        <v>4236.3999999999996</v>
      </c>
      <c r="D95" s="261">
        <f t="shared" si="4"/>
        <v>9.0991377256919199E-3</v>
      </c>
      <c r="E95" s="261">
        <v>2.1992316917010656E-2</v>
      </c>
      <c r="F95">
        <v>93</v>
      </c>
      <c r="G95" s="259">
        <f ca="1">_xlfn.NORM.INV(RAND(),'VAR Historical Approach'!K$4,'VAR Historical Approach'!K$5)</f>
        <v>1.6538739163857313E-2</v>
      </c>
    </row>
    <row r="96" spans="2:7" x14ac:dyDescent="0.3">
      <c r="B96" s="102">
        <v>46072.645833333336</v>
      </c>
      <c r="C96" s="108">
        <v>4198.2</v>
      </c>
      <c r="D96" s="261">
        <f t="shared" si="4"/>
        <v>-1.1862731252648058E-2</v>
      </c>
      <c r="E96" s="261">
        <v>2.1819134126338614E-2</v>
      </c>
      <c r="F96">
        <v>94</v>
      </c>
      <c r="G96" s="259">
        <f ca="1">_xlfn.NORM.INV(RAND(),'VAR Historical Approach'!K$4,'VAR Historical Approach'!K$5)</f>
        <v>1.6952711276263046E-2</v>
      </c>
    </row>
    <row r="97" spans="2:7" x14ac:dyDescent="0.3">
      <c r="B97" s="102">
        <v>46071.645833333336</v>
      </c>
      <c r="C97" s="108">
        <v>4248.6000000000004</v>
      </c>
      <c r="D97" s="261">
        <f t="shared" si="4"/>
        <v>2.8798036068361649E-3</v>
      </c>
      <c r="E97" s="261">
        <v>2.1806640179019957E-2</v>
      </c>
      <c r="F97">
        <v>95</v>
      </c>
      <c r="G97" s="259">
        <f ca="1">_xlfn.NORM.INV(RAND(),'VAR Historical Approach'!K$4,'VAR Historical Approach'!K$5)</f>
        <v>7.1120359270189417E-3</v>
      </c>
    </row>
    <row r="98" spans="2:7" x14ac:dyDescent="0.3">
      <c r="B98" s="102">
        <v>46070.645833333336</v>
      </c>
      <c r="C98" s="108">
        <v>4236.3999999999996</v>
      </c>
      <c r="D98" s="261">
        <f t="shared" si="4"/>
        <v>1.3226184496902554E-2</v>
      </c>
      <c r="E98" s="261">
        <v>2.1767985134058934E-2</v>
      </c>
      <c r="F98">
        <v>96</v>
      </c>
      <c r="G98" s="259">
        <f ca="1">_xlfn.NORM.INV(RAND(),'VAR Historical Approach'!K$4,'VAR Historical Approach'!K$5)</f>
        <v>-1.1908276323946934E-2</v>
      </c>
    </row>
    <row r="99" spans="2:7" x14ac:dyDescent="0.3">
      <c r="B99" s="102">
        <v>46069.645833333336</v>
      </c>
      <c r="C99" s="108">
        <v>4181.1000000000004</v>
      </c>
      <c r="D99" s="261">
        <f t="shared" si="4"/>
        <v>4.546324655437753E-4</v>
      </c>
      <c r="E99" s="261">
        <v>2.1568758791613719E-2</v>
      </c>
      <c r="F99">
        <v>97</v>
      </c>
      <c r="G99" s="259">
        <f ca="1">_xlfn.NORM.INV(RAND(),'VAR Historical Approach'!K$4,'VAR Historical Approach'!K$5)</f>
        <v>2.2240698669601943E-2</v>
      </c>
    </row>
    <row r="100" spans="2:7" x14ac:dyDescent="0.3">
      <c r="B100" s="102">
        <v>46066.645833333336</v>
      </c>
      <c r="C100" s="108">
        <v>4179.2</v>
      </c>
      <c r="D100" s="261">
        <f t="shared" si="4"/>
        <v>-2.259226343608222E-2</v>
      </c>
      <c r="E100" s="261">
        <v>2.1365397992646327E-2</v>
      </c>
      <c r="F100">
        <v>98</v>
      </c>
      <c r="G100" s="259">
        <f ca="1">_xlfn.NORM.INV(RAND(),'VAR Historical Approach'!K$4,'VAR Historical Approach'!K$5)</f>
        <v>-7.4977835947669027E-4</v>
      </c>
    </row>
    <row r="101" spans="2:7" x14ac:dyDescent="0.3">
      <c r="B101" s="102">
        <v>46065.645833333336</v>
      </c>
      <c r="C101" s="108">
        <v>4275.8</v>
      </c>
      <c r="D101" s="261">
        <f t="shared" si="4"/>
        <v>6.2836836035865982E-3</v>
      </c>
      <c r="E101" s="261">
        <v>2.1362177483222874E-2</v>
      </c>
      <c r="F101">
        <v>99</v>
      </c>
      <c r="G101" s="259">
        <f ca="1">_xlfn.NORM.INV(RAND(),'VAR Historical Approach'!K$4,'VAR Historical Approach'!K$5)</f>
        <v>1.418923577535956E-3</v>
      </c>
    </row>
    <row r="102" spans="2:7" x14ac:dyDescent="0.3">
      <c r="B102" s="102">
        <v>46064.645833333336</v>
      </c>
      <c r="C102" s="108">
        <v>4249.1000000000004</v>
      </c>
      <c r="D102" s="261">
        <f t="shared" si="4"/>
        <v>-4.6848281839263544E-3</v>
      </c>
      <c r="E102" s="261">
        <v>2.1326660811639322E-2</v>
      </c>
      <c r="F102">
        <v>100</v>
      </c>
      <c r="G102" s="259">
        <f ca="1">_xlfn.NORM.INV(RAND(),'VAR Historical Approach'!K$4,'VAR Historical Approach'!K$5)</f>
        <v>2.44408296900041E-2</v>
      </c>
    </row>
    <row r="103" spans="2:7" x14ac:dyDescent="0.3">
      <c r="B103" s="102">
        <v>46063.645833333336</v>
      </c>
      <c r="C103" s="108">
        <v>4269.1000000000004</v>
      </c>
      <c r="D103" s="261">
        <f t="shared" si="4"/>
        <v>2.6539527455493872E-3</v>
      </c>
      <c r="E103" s="261">
        <v>2.115468242396332E-2</v>
      </c>
      <c r="F103">
        <v>101</v>
      </c>
      <c r="G103" s="259">
        <f ca="1">_xlfn.NORM.INV(RAND(),'VAR Historical Approach'!K$4,'VAR Historical Approach'!K$5)</f>
        <v>1.9377350687346073E-3</v>
      </c>
    </row>
    <row r="104" spans="2:7" x14ac:dyDescent="0.3">
      <c r="B104" s="102">
        <v>46062.645833333336</v>
      </c>
      <c r="C104" s="108">
        <v>4257.8</v>
      </c>
      <c r="D104" s="261">
        <f t="shared" si="4"/>
        <v>2.8205747404008736E-2</v>
      </c>
      <c r="E104" s="261">
        <v>2.1063679187717961E-2</v>
      </c>
      <c r="F104">
        <v>102</v>
      </c>
      <c r="G104" s="259">
        <f ca="1">_xlfn.NORM.INV(RAND(),'VAR Historical Approach'!K$4,'VAR Historical Approach'!K$5)</f>
        <v>-2.9523042416357181E-2</v>
      </c>
    </row>
    <row r="105" spans="2:7" x14ac:dyDescent="0.3">
      <c r="B105" s="102">
        <v>46059.645833333336</v>
      </c>
      <c r="C105" s="108">
        <v>4141</v>
      </c>
      <c r="D105" s="261">
        <f t="shared" si="4"/>
        <v>1.059156579461139E-2</v>
      </c>
      <c r="E105" s="261">
        <v>2.0998387436023308E-2</v>
      </c>
      <c r="F105">
        <v>103</v>
      </c>
      <c r="G105" s="259">
        <f ca="1">_xlfn.NORM.INV(RAND(),'VAR Historical Approach'!K$4,'VAR Historical Approach'!K$5)</f>
        <v>-1.0878417205719393E-3</v>
      </c>
    </row>
    <row r="106" spans="2:7" x14ac:dyDescent="0.3">
      <c r="B106" s="102">
        <v>46058.645833333336</v>
      </c>
      <c r="C106" s="108">
        <v>4097.6000000000004</v>
      </c>
      <c r="D106" s="261">
        <f t="shared" si="4"/>
        <v>-1.1196911196911109E-2</v>
      </c>
      <c r="E106" s="261">
        <v>2.0989688205503655E-2</v>
      </c>
      <c r="F106">
        <v>104</v>
      </c>
      <c r="G106" s="259">
        <f ca="1">_xlfn.NORM.INV(RAND(),'VAR Historical Approach'!K$4,'VAR Historical Approach'!K$5)</f>
        <v>-1.2496393343602571E-2</v>
      </c>
    </row>
    <row r="107" spans="2:7" x14ac:dyDescent="0.3">
      <c r="B107" s="102">
        <v>46057.645833333336</v>
      </c>
      <c r="C107" s="108">
        <v>4144</v>
      </c>
      <c r="D107" s="261">
        <f t="shared" si="4"/>
        <v>1.8532173229120603E-2</v>
      </c>
      <c r="E107" s="261">
        <v>2.0955829341365362E-2</v>
      </c>
      <c r="F107">
        <v>105</v>
      </c>
      <c r="G107" s="259">
        <f ca="1">_xlfn.NORM.INV(RAND(),'VAR Historical Approach'!K$4,'VAR Historical Approach'!K$5)</f>
        <v>7.3170960707939761E-3</v>
      </c>
    </row>
    <row r="108" spans="2:7" x14ac:dyDescent="0.3">
      <c r="B108" s="102">
        <v>46056.645833333336</v>
      </c>
      <c r="C108" s="108">
        <v>4068.6</v>
      </c>
      <c r="D108" s="261">
        <f t="shared" si="4"/>
        <v>2.9191541030051629E-2</v>
      </c>
      <c r="E108" s="261">
        <v>2.0825290610388934E-2</v>
      </c>
      <c r="F108">
        <v>106</v>
      </c>
      <c r="G108" s="259">
        <f ca="1">_xlfn.NORM.INV(RAND(),'VAR Historical Approach'!K$4,'VAR Historical Approach'!K$5)</f>
        <v>-7.5015311602346204E-3</v>
      </c>
    </row>
    <row r="109" spans="2:7" x14ac:dyDescent="0.3">
      <c r="B109" s="102">
        <v>46055.645833333336</v>
      </c>
      <c r="C109" s="108">
        <v>3953.2</v>
      </c>
      <c r="D109" s="261">
        <f t="shared" si="4"/>
        <v>-6.0843767285161847E-3</v>
      </c>
      <c r="E109" s="261">
        <v>2.0478023090945992E-2</v>
      </c>
      <c r="F109">
        <v>107</v>
      </c>
      <c r="G109" s="259">
        <f ca="1">_xlfn.NORM.INV(RAND(),'VAR Historical Approach'!K$4,'VAR Historical Approach'!K$5)</f>
        <v>3.2842009983264496E-2</v>
      </c>
    </row>
    <row r="110" spans="2:7" x14ac:dyDescent="0.3">
      <c r="B110" s="102">
        <v>46052.645833333336</v>
      </c>
      <c r="C110" s="108">
        <v>3977.4</v>
      </c>
      <c r="D110" s="261">
        <f t="shared" si="4"/>
        <v>9.569256542376392E-3</v>
      </c>
      <c r="E110" s="261">
        <v>2.0322917503413956E-2</v>
      </c>
      <c r="F110">
        <v>108</v>
      </c>
      <c r="G110" s="259">
        <f ca="1">_xlfn.NORM.INV(RAND(),'VAR Historical Approach'!K$4,'VAR Historical Approach'!K$5)</f>
        <v>3.4115060259069213E-2</v>
      </c>
    </row>
    <row r="111" spans="2:7" x14ac:dyDescent="0.3">
      <c r="B111" s="102">
        <v>46051.645833333336</v>
      </c>
      <c r="C111" s="108">
        <v>3939.7</v>
      </c>
      <c r="D111" s="261">
        <f t="shared" si="4"/>
        <v>-8.930368283356813E-3</v>
      </c>
      <c r="E111" s="261">
        <v>2.0275419116046158E-2</v>
      </c>
      <c r="F111">
        <v>109</v>
      </c>
      <c r="G111" s="259">
        <f ca="1">_xlfn.NORM.INV(RAND(),'VAR Historical Approach'!K$4,'VAR Historical Approach'!K$5)</f>
        <v>-1.166269383096488E-2</v>
      </c>
    </row>
    <row r="112" spans="2:7" x14ac:dyDescent="0.3">
      <c r="B112" s="102">
        <v>46050.645833333336</v>
      </c>
      <c r="C112" s="108">
        <v>3975.2</v>
      </c>
      <c r="D112" s="261">
        <f t="shared" si="4"/>
        <v>-5.4540905679259901E-3</v>
      </c>
      <c r="E112" s="261">
        <v>2.0154557678384172E-2</v>
      </c>
      <c r="F112">
        <v>110</v>
      </c>
      <c r="G112" s="259">
        <f ca="1">_xlfn.NORM.INV(RAND(),'VAR Historical Approach'!K$4,'VAR Historical Approach'!K$5)</f>
        <v>-3.5084662630748883E-3</v>
      </c>
    </row>
    <row r="113" spans="2:7" x14ac:dyDescent="0.3">
      <c r="B113" s="102">
        <v>46049.645833333336</v>
      </c>
      <c r="C113" s="108">
        <v>3997</v>
      </c>
      <c r="D113" s="261">
        <f t="shared" si="4"/>
        <v>-6.1663931572927995E-3</v>
      </c>
      <c r="E113" s="261">
        <v>2.0142140745906843E-2</v>
      </c>
      <c r="F113">
        <v>111</v>
      </c>
      <c r="G113" s="259">
        <f ca="1">_xlfn.NORM.INV(RAND(),'VAR Historical Approach'!K$4,'VAR Historical Approach'!K$5)</f>
        <v>-3.8316464872017947E-3</v>
      </c>
    </row>
    <row r="114" spans="2:7" x14ac:dyDescent="0.3">
      <c r="B114" s="102">
        <v>46045.645833333336</v>
      </c>
      <c r="C114" s="108">
        <v>4021.8</v>
      </c>
      <c r="D114" s="261">
        <f t="shared" si="4"/>
        <v>7.962972179366627E-4</v>
      </c>
      <c r="E114" s="261">
        <v>1.9993575132704076E-2</v>
      </c>
      <c r="F114">
        <v>112</v>
      </c>
      <c r="G114" s="259">
        <f ca="1">_xlfn.NORM.INV(RAND(),'VAR Historical Approach'!K$4,'VAR Historical Approach'!K$5)</f>
        <v>6.7877511198902443E-3</v>
      </c>
    </row>
    <row r="115" spans="2:7" x14ac:dyDescent="0.3">
      <c r="B115" s="102">
        <v>46044.645833333336</v>
      </c>
      <c r="C115" s="108">
        <v>4018.6</v>
      </c>
      <c r="D115" s="261">
        <f t="shared" si="4"/>
        <v>-1.4855854089037045E-2</v>
      </c>
      <c r="E115" s="261">
        <v>1.980218592860393E-2</v>
      </c>
      <c r="F115">
        <v>113</v>
      </c>
      <c r="G115" s="259">
        <f ca="1">_xlfn.NORM.INV(RAND(),'VAR Historical Approach'!K$4,'VAR Historical Approach'!K$5)</f>
        <v>-2.1334636735697271E-2</v>
      </c>
    </row>
    <row r="116" spans="2:7" x14ac:dyDescent="0.3">
      <c r="B116" s="102">
        <v>46043.645833333336</v>
      </c>
      <c r="C116" s="108">
        <v>4079.2</v>
      </c>
      <c r="D116" s="261">
        <f t="shared" si="4"/>
        <v>9.0786406575875801E-4</v>
      </c>
      <c r="E116" s="261">
        <v>1.952178645412728E-2</v>
      </c>
      <c r="F116">
        <v>114</v>
      </c>
      <c r="G116" s="259">
        <f ca="1">_xlfn.NORM.INV(RAND(),'VAR Historical Approach'!K$4,'VAR Historical Approach'!K$5)</f>
        <v>1.1299684196087192E-2</v>
      </c>
    </row>
    <row r="117" spans="2:7" x14ac:dyDescent="0.3">
      <c r="B117" s="102">
        <v>46042.645833333336</v>
      </c>
      <c r="C117" s="108">
        <v>4075.5</v>
      </c>
      <c r="D117" s="261">
        <f t="shared" si="4"/>
        <v>-1.6553654593277276E-2</v>
      </c>
      <c r="E117" s="261">
        <v>1.9476107797992023E-2</v>
      </c>
      <c r="F117">
        <v>115</v>
      </c>
      <c r="G117" s="259">
        <f ca="1">_xlfn.NORM.INV(RAND(),'VAR Historical Approach'!K$4,'VAR Historical Approach'!K$5)</f>
        <v>4.4122522106151332E-3</v>
      </c>
    </row>
    <row r="118" spans="2:7" x14ac:dyDescent="0.3">
      <c r="B118" s="102">
        <v>46041.645833333336</v>
      </c>
      <c r="C118" s="108">
        <v>4144.1000000000004</v>
      </c>
      <c r="D118" s="261">
        <f t="shared" si="4"/>
        <v>-1.2580714336772207E-2</v>
      </c>
      <c r="E118" s="261">
        <v>1.9461738320505816E-2</v>
      </c>
      <c r="F118">
        <v>116</v>
      </c>
      <c r="G118" s="259">
        <f ca="1">_xlfn.NORM.INV(RAND(),'VAR Historical Approach'!K$4,'VAR Historical Approach'!K$5)</f>
        <v>-1.3642978305091919E-2</v>
      </c>
    </row>
    <row r="119" spans="2:7" x14ac:dyDescent="0.3">
      <c r="B119" s="102">
        <v>46038.645833333336</v>
      </c>
      <c r="C119" s="108">
        <v>4196.8999999999996</v>
      </c>
      <c r="D119" s="261">
        <f t="shared" si="4"/>
        <v>-5.8273125666233241E-3</v>
      </c>
      <c r="E119" s="261">
        <v>1.9333812075346627E-2</v>
      </c>
      <c r="F119">
        <v>117</v>
      </c>
      <c r="G119" s="259">
        <f ca="1">_xlfn.NORM.INV(RAND(),'VAR Historical Approach'!K$4,'VAR Historical Approach'!K$5)</f>
        <v>3.7037551104205937E-3</v>
      </c>
    </row>
    <row r="120" spans="2:7" x14ac:dyDescent="0.3">
      <c r="B120" s="102">
        <v>46036.645833333336</v>
      </c>
      <c r="C120" s="108">
        <v>4221.5</v>
      </c>
      <c r="D120" s="261">
        <f t="shared" si="4"/>
        <v>-4.1753160973768211E-3</v>
      </c>
      <c r="E120" s="261">
        <v>1.9303852133356485E-2</v>
      </c>
      <c r="F120">
        <v>118</v>
      </c>
      <c r="G120" s="259">
        <f ca="1">_xlfn.NORM.INV(RAND(),'VAR Historical Approach'!K$4,'VAR Historical Approach'!K$5)</f>
        <v>3.7999884796298651E-3</v>
      </c>
    </row>
    <row r="121" spans="2:7" x14ac:dyDescent="0.3">
      <c r="B121" s="102">
        <v>46035.645833333336</v>
      </c>
      <c r="C121" s="108">
        <v>4239.2</v>
      </c>
      <c r="D121" s="261">
        <f t="shared" si="4"/>
        <v>1.7960109651194475E-3</v>
      </c>
      <c r="E121" s="261">
        <v>1.9138982089693304E-2</v>
      </c>
      <c r="F121">
        <v>119</v>
      </c>
      <c r="G121" s="259">
        <f ca="1">_xlfn.NORM.INV(RAND(),'VAR Historical Approach'!K$4,'VAR Historical Approach'!K$5)</f>
        <v>7.0469079918017482E-3</v>
      </c>
    </row>
    <row r="122" spans="2:7" x14ac:dyDescent="0.3">
      <c r="B122" s="102">
        <v>46034.645833333336</v>
      </c>
      <c r="C122" s="108">
        <v>4231.6000000000004</v>
      </c>
      <c r="D122" s="261">
        <f t="shared" si="4"/>
        <v>7.0921985815603269E-3</v>
      </c>
      <c r="E122" s="261">
        <v>1.9112551693304915E-2</v>
      </c>
      <c r="F122">
        <v>120</v>
      </c>
      <c r="G122" s="259">
        <f ca="1">_xlfn.NORM.INV(RAND(),'VAR Historical Approach'!K$4,'VAR Historical Approach'!K$5)</f>
        <v>-6.0781113913196596E-3</v>
      </c>
    </row>
    <row r="123" spans="2:7" x14ac:dyDescent="0.3">
      <c r="B123" s="102">
        <v>46031.645833333336</v>
      </c>
      <c r="C123" s="108">
        <v>4201.8</v>
      </c>
      <c r="D123" s="261">
        <f t="shared" si="4"/>
        <v>-1.1108496116733306E-2</v>
      </c>
      <c r="E123" s="261">
        <v>1.8922558922558924E-2</v>
      </c>
      <c r="F123">
        <v>121</v>
      </c>
      <c r="G123" s="259">
        <f ca="1">_xlfn.NORM.INV(RAND(),'VAR Historical Approach'!K$4,'VAR Historical Approach'!K$5)</f>
        <v>-1.8439456010489429E-3</v>
      </c>
    </row>
    <row r="124" spans="2:7" x14ac:dyDescent="0.3">
      <c r="B124" s="102">
        <v>46030.645833333336</v>
      </c>
      <c r="C124" s="108">
        <v>4249</v>
      </c>
      <c r="D124" s="261">
        <f t="shared" si="4"/>
        <v>-5.6632032200692262E-3</v>
      </c>
      <c r="E124" s="261">
        <v>1.8880708252405339E-2</v>
      </c>
      <c r="F124">
        <v>122</v>
      </c>
      <c r="G124" s="259">
        <f ca="1">_xlfn.NORM.INV(RAND(),'VAR Historical Approach'!K$4,'VAR Historical Approach'!K$5)</f>
        <v>-1.4489852510920626E-2</v>
      </c>
    </row>
    <row r="125" spans="2:7" x14ac:dyDescent="0.3">
      <c r="B125" s="102">
        <v>46029.645833333336</v>
      </c>
      <c r="C125" s="108">
        <v>4273.2</v>
      </c>
      <c r="D125" s="261">
        <f t="shared" si="4"/>
        <v>3.925288194951107E-2</v>
      </c>
      <c r="E125" s="261">
        <v>1.8755967807938888E-2</v>
      </c>
      <c r="F125">
        <v>123</v>
      </c>
      <c r="G125" s="259">
        <f ca="1">_xlfn.NORM.INV(RAND(),'VAR Historical Approach'!K$4,'VAR Historical Approach'!K$5)</f>
        <v>1.1748832151643088E-2</v>
      </c>
    </row>
    <row r="126" spans="2:7" x14ac:dyDescent="0.3">
      <c r="B126" s="102">
        <v>46028.645833333336</v>
      </c>
      <c r="C126" s="108">
        <v>4111.8</v>
      </c>
      <c r="D126" s="261">
        <f t="shared" si="4"/>
        <v>7.8682256048239734E-3</v>
      </c>
      <c r="E126" s="261">
        <v>1.8742477216713502E-2</v>
      </c>
      <c r="F126">
        <v>124</v>
      </c>
      <c r="G126" s="259">
        <f ca="1">_xlfn.NORM.INV(RAND(),'VAR Historical Approach'!K$4,'VAR Historical Approach'!K$5)</f>
        <v>-2.2302121000595431E-2</v>
      </c>
    </row>
    <row r="127" spans="2:7" x14ac:dyDescent="0.3">
      <c r="B127" s="102">
        <v>46027.645833333336</v>
      </c>
      <c r="C127" s="108">
        <v>4079.7</v>
      </c>
      <c r="D127" s="261">
        <f t="shared" si="4"/>
        <v>6.9106794678776813E-3</v>
      </c>
      <c r="E127" s="261">
        <v>1.8681975840210589E-2</v>
      </c>
      <c r="F127">
        <v>125</v>
      </c>
      <c r="G127" s="259">
        <f ca="1">_xlfn.NORM.INV(RAND(),'VAR Historical Approach'!K$4,'VAR Historical Approach'!K$5)</f>
        <v>2.6726097454413929E-3</v>
      </c>
    </row>
    <row r="128" spans="2:7" x14ac:dyDescent="0.3">
      <c r="B128" s="102">
        <v>46024.645833333336</v>
      </c>
      <c r="C128" s="108">
        <v>4051.7</v>
      </c>
      <c r="D128" s="261">
        <f t="shared" si="4"/>
        <v>5.9269503370944015E-4</v>
      </c>
      <c r="E128" s="261">
        <v>1.8677523604334414E-2</v>
      </c>
      <c r="F128">
        <v>126</v>
      </c>
      <c r="G128" s="259">
        <f ca="1">_xlfn.NORM.INV(RAND(),'VAR Historical Approach'!K$4,'VAR Historical Approach'!K$5)</f>
        <v>2.320634575239227E-2</v>
      </c>
    </row>
    <row r="129" spans="2:7" x14ac:dyDescent="0.3">
      <c r="B129" s="102">
        <v>46023.645833333336</v>
      </c>
      <c r="C129" s="108">
        <v>4049.3</v>
      </c>
      <c r="D129" s="261">
        <f t="shared" si="4"/>
        <v>-5.4300876218679945E-4</v>
      </c>
      <c r="E129" s="261">
        <v>1.8674115288446293E-2</v>
      </c>
      <c r="F129">
        <v>127</v>
      </c>
      <c r="G129" s="259">
        <f ca="1">_xlfn.NORM.INV(RAND(),'VAR Historical Approach'!K$4,'VAR Historical Approach'!K$5)</f>
        <v>2.7061064996008022E-2</v>
      </c>
    </row>
    <row r="130" spans="2:7" x14ac:dyDescent="0.3">
      <c r="B130" s="102">
        <v>46022.645833333336</v>
      </c>
      <c r="C130" s="108">
        <v>4051.5</v>
      </c>
      <c r="D130" s="261">
        <f t="shared" si="4"/>
        <v>1.9476107797992023E-2</v>
      </c>
      <c r="E130" s="261">
        <v>1.8649517684887425E-2</v>
      </c>
      <c r="F130">
        <v>128</v>
      </c>
      <c r="G130" s="259">
        <f ca="1">_xlfn.NORM.INV(RAND(),'VAR Historical Approach'!K$4,'VAR Historical Approach'!K$5)</f>
        <v>1.2409110575430185E-2</v>
      </c>
    </row>
    <row r="131" spans="2:7" x14ac:dyDescent="0.3">
      <c r="B131" s="102">
        <v>46021.645833333336</v>
      </c>
      <c r="C131" s="108">
        <v>3974.1</v>
      </c>
      <c r="D131" s="261">
        <f t="shared" ref="D131:D194" si="5">(C131-C132)/C132</f>
        <v>-2.40982001656749E-3</v>
      </c>
      <c r="E131" s="261">
        <v>1.8611485245500149E-2</v>
      </c>
      <c r="F131">
        <v>129</v>
      </c>
      <c r="G131" s="259">
        <f ca="1">_xlfn.NORM.INV(RAND(),'VAR Historical Approach'!K$4,'VAR Historical Approach'!K$5)</f>
        <v>-1.8981582904788664E-2</v>
      </c>
    </row>
    <row r="132" spans="2:7" x14ac:dyDescent="0.3">
      <c r="B132" s="102">
        <v>46020.645833333336</v>
      </c>
      <c r="C132" s="108">
        <v>3983.7</v>
      </c>
      <c r="D132" s="261">
        <f t="shared" si="5"/>
        <v>-2.0791583166333122E-3</v>
      </c>
      <c r="E132" s="261">
        <v>1.8532173229120603E-2</v>
      </c>
      <c r="F132">
        <v>130</v>
      </c>
      <c r="G132" s="259">
        <f ca="1">_xlfn.NORM.INV(RAND(),'VAR Historical Approach'!K$4,'VAR Historical Approach'!K$5)</f>
        <v>-7.3099891359754031E-3</v>
      </c>
    </row>
    <row r="133" spans="2:7" x14ac:dyDescent="0.3">
      <c r="B133" s="102">
        <v>46017.645833333336</v>
      </c>
      <c r="C133" s="108">
        <v>3992</v>
      </c>
      <c r="D133" s="261">
        <f t="shared" si="5"/>
        <v>2.115468242396332E-2</v>
      </c>
      <c r="E133" s="261">
        <v>1.8501305714159335E-2</v>
      </c>
      <c r="F133">
        <v>131</v>
      </c>
      <c r="G133" s="259">
        <f ca="1">_xlfn.NORM.INV(RAND(),'VAR Historical Approach'!K$4,'VAR Historical Approach'!K$5)</f>
        <v>-4.3768102300773513E-3</v>
      </c>
    </row>
    <row r="134" spans="2:7" x14ac:dyDescent="0.3">
      <c r="B134" s="102">
        <v>46015.645833333336</v>
      </c>
      <c r="C134" s="108">
        <v>3909.3</v>
      </c>
      <c r="D134" s="261">
        <f t="shared" si="5"/>
        <v>-4.2029650007641755E-3</v>
      </c>
      <c r="E134" s="261">
        <v>1.8466632705043302E-2</v>
      </c>
      <c r="F134">
        <v>132</v>
      </c>
      <c r="G134" s="259">
        <f ca="1">_xlfn.NORM.INV(RAND(),'VAR Historical Approach'!K$4,'VAR Historical Approach'!K$5)</f>
        <v>2.3603203117393411E-2</v>
      </c>
    </row>
    <row r="135" spans="2:7" x14ac:dyDescent="0.3">
      <c r="B135" s="102">
        <v>46014.645833333336</v>
      </c>
      <c r="C135" s="108">
        <v>3925.8</v>
      </c>
      <c r="D135" s="261">
        <f t="shared" si="5"/>
        <v>-2.0336570237429455E-3</v>
      </c>
      <c r="E135" s="261">
        <v>1.8442928224532858E-2</v>
      </c>
      <c r="F135">
        <v>133</v>
      </c>
      <c r="G135" s="259">
        <f ca="1">_xlfn.NORM.INV(RAND(),'VAR Historical Approach'!K$4,'VAR Historical Approach'!K$5)</f>
        <v>1.4527603593886329E-2</v>
      </c>
    </row>
    <row r="136" spans="2:7" x14ac:dyDescent="0.3">
      <c r="B136" s="102">
        <v>46013.645833333336</v>
      </c>
      <c r="C136" s="108">
        <v>3933.8</v>
      </c>
      <c r="D136" s="261">
        <f t="shared" si="5"/>
        <v>9.4145187145372206E-4</v>
      </c>
      <c r="E136" s="261">
        <v>1.8436276514930145E-2</v>
      </c>
      <c r="F136">
        <v>134</v>
      </c>
      <c r="G136" s="259">
        <f ca="1">_xlfn.NORM.INV(RAND(),'VAR Historical Approach'!K$4,'VAR Historical Approach'!K$5)</f>
        <v>-1.1149560366834437E-2</v>
      </c>
    </row>
    <row r="137" spans="2:7" x14ac:dyDescent="0.3">
      <c r="B137" s="102">
        <v>46010.645833333336</v>
      </c>
      <c r="C137" s="108">
        <v>3930.1</v>
      </c>
      <c r="D137" s="261">
        <f t="shared" si="5"/>
        <v>2.7555941111932557E-3</v>
      </c>
      <c r="E137" s="261">
        <v>1.8312413843140075E-2</v>
      </c>
      <c r="F137">
        <v>135</v>
      </c>
      <c r="G137" s="259">
        <f ca="1">_xlfn.NORM.INV(RAND(),'VAR Historical Approach'!K$4,'VAR Historical Approach'!K$5)</f>
        <v>-1.3156676570153297E-2</v>
      </c>
    </row>
    <row r="138" spans="2:7" x14ac:dyDescent="0.3">
      <c r="B138" s="102">
        <v>46009.645833333336</v>
      </c>
      <c r="C138" s="108">
        <v>3919.3</v>
      </c>
      <c r="D138" s="261">
        <f t="shared" si="5"/>
        <v>2.9171677883262342E-3</v>
      </c>
      <c r="E138" s="261">
        <v>1.8234136888158194E-2</v>
      </c>
      <c r="F138">
        <v>136</v>
      </c>
      <c r="G138" s="259">
        <f ca="1">_xlfn.NORM.INV(RAND(),'VAR Historical Approach'!K$4,'VAR Historical Approach'!K$5)</f>
        <v>-9.0435643124798185E-3</v>
      </c>
    </row>
    <row r="139" spans="2:7" x14ac:dyDescent="0.3">
      <c r="B139" s="102">
        <v>46008.645833333336</v>
      </c>
      <c r="C139" s="108">
        <v>3907.9</v>
      </c>
      <c r="D139" s="261">
        <f t="shared" si="5"/>
        <v>-5.4968825550324235E-3</v>
      </c>
      <c r="E139" s="261">
        <v>1.8206608918832249E-2</v>
      </c>
      <c r="F139">
        <v>137</v>
      </c>
      <c r="G139" s="259">
        <f ca="1">_xlfn.NORM.INV(RAND(),'VAR Historical Approach'!K$4,'VAR Historical Approach'!K$5)</f>
        <v>-2.0298716342854102E-3</v>
      </c>
    </row>
    <row r="140" spans="2:7" x14ac:dyDescent="0.3">
      <c r="B140" s="102">
        <v>46007.645833333336</v>
      </c>
      <c r="C140" s="108">
        <v>3929.5</v>
      </c>
      <c r="D140" s="261">
        <f t="shared" si="5"/>
        <v>1.6372665666546011E-2</v>
      </c>
      <c r="E140" s="261">
        <v>1.8176634115047399E-2</v>
      </c>
      <c r="F140">
        <v>138</v>
      </c>
      <c r="G140" s="259">
        <f ca="1">_xlfn.NORM.INV(RAND(),'VAR Historical Approach'!K$4,'VAR Historical Approach'!K$5)</f>
        <v>2.2008590182187152E-2</v>
      </c>
    </row>
    <row r="141" spans="2:7" x14ac:dyDescent="0.3">
      <c r="B141" s="102">
        <v>46006.645833333336</v>
      </c>
      <c r="C141" s="108">
        <v>3866.2</v>
      </c>
      <c r="D141" s="261">
        <f t="shared" si="5"/>
        <v>-3.6080614401319522E-3</v>
      </c>
      <c r="E141" s="261">
        <v>1.8158430058633424E-2</v>
      </c>
      <c r="F141">
        <v>139</v>
      </c>
      <c r="G141" s="259">
        <f ca="1">_xlfn.NORM.INV(RAND(),'VAR Historical Approach'!K$4,'VAR Historical Approach'!K$5)</f>
        <v>-5.3554327287611975E-3</v>
      </c>
    </row>
    <row r="142" spans="2:7" x14ac:dyDescent="0.3">
      <c r="B142" s="102">
        <v>46003.645833333336</v>
      </c>
      <c r="C142" s="108">
        <v>3880.2</v>
      </c>
      <c r="D142" s="261">
        <f t="shared" si="5"/>
        <v>9.207240948813887E-3</v>
      </c>
      <c r="E142" s="261">
        <v>1.8102923563252205E-2</v>
      </c>
      <c r="F142">
        <v>140</v>
      </c>
      <c r="G142" s="259">
        <f ca="1">_xlfn.NORM.INV(RAND(),'VAR Historical Approach'!K$4,'VAR Historical Approach'!K$5)</f>
        <v>1.3391403828170542E-2</v>
      </c>
    </row>
    <row r="143" spans="2:7" x14ac:dyDescent="0.3">
      <c r="B143" s="102">
        <v>46002.645833333336</v>
      </c>
      <c r="C143" s="108">
        <v>3844.8</v>
      </c>
      <c r="D143" s="261">
        <f t="shared" si="5"/>
        <v>-2.3402761525850594E-4</v>
      </c>
      <c r="E143" s="261">
        <v>1.7892963170986084E-2</v>
      </c>
      <c r="F143">
        <v>141</v>
      </c>
      <c r="G143" s="259">
        <f ca="1">_xlfn.NORM.INV(RAND(),'VAR Historical Approach'!K$4,'VAR Historical Approach'!K$5)</f>
        <v>-1.2527789588354541E-2</v>
      </c>
    </row>
    <row r="144" spans="2:7" x14ac:dyDescent="0.3">
      <c r="B144" s="102">
        <v>46001.645833333336</v>
      </c>
      <c r="C144" s="108">
        <v>3845.7</v>
      </c>
      <c r="D144" s="261">
        <f t="shared" si="5"/>
        <v>-8.5736554949342213E-4</v>
      </c>
      <c r="E144" s="261">
        <v>1.7875368150934514E-2</v>
      </c>
      <c r="F144">
        <v>142</v>
      </c>
      <c r="G144" s="259">
        <f ca="1">_xlfn.NORM.INV(RAND(),'VAR Historical Approach'!K$4,'VAR Historical Approach'!K$5)</f>
        <v>1.8652602061221893E-3</v>
      </c>
    </row>
    <row r="145" spans="2:7" x14ac:dyDescent="0.3">
      <c r="B145" s="102">
        <v>46000.645833333336</v>
      </c>
      <c r="C145" s="108">
        <v>3849</v>
      </c>
      <c r="D145" s="261">
        <f t="shared" si="5"/>
        <v>2.1767985134058934E-2</v>
      </c>
      <c r="E145" s="261">
        <v>1.7811650360728695E-2</v>
      </c>
      <c r="F145">
        <v>143</v>
      </c>
      <c r="G145" s="259">
        <f ca="1">_xlfn.NORM.INV(RAND(),'VAR Historical Approach'!K$4,'VAR Historical Approach'!K$5)</f>
        <v>-5.48572881198008E-3</v>
      </c>
    </row>
    <row r="146" spans="2:7" x14ac:dyDescent="0.3">
      <c r="B146" s="102">
        <v>45999.645833333336</v>
      </c>
      <c r="C146" s="108">
        <v>3767</v>
      </c>
      <c r="D146" s="261">
        <f t="shared" si="5"/>
        <v>-1.2141714525476669E-2</v>
      </c>
      <c r="E146" s="261">
        <v>1.7805478608802681E-2</v>
      </c>
      <c r="F146">
        <v>144</v>
      </c>
      <c r="G146" s="259">
        <f ca="1">_xlfn.NORM.INV(RAND(),'VAR Historical Approach'!K$4,'VAR Historical Approach'!K$5)</f>
        <v>-1.3625984794451375E-2</v>
      </c>
    </row>
    <row r="147" spans="2:7" x14ac:dyDescent="0.3">
      <c r="B147" s="102">
        <v>45996.645833333336</v>
      </c>
      <c r="C147" s="108">
        <v>3813.3</v>
      </c>
      <c r="D147" s="261">
        <f t="shared" si="5"/>
        <v>3.394379538995919E-3</v>
      </c>
      <c r="E147" s="261">
        <v>1.7803350820781827E-2</v>
      </c>
      <c r="F147">
        <v>145</v>
      </c>
      <c r="G147" s="259">
        <f ca="1">_xlfn.NORM.INV(RAND(),'VAR Historical Approach'!K$4,'VAR Historical Approach'!K$5)</f>
        <v>-7.2424243196705278E-3</v>
      </c>
    </row>
    <row r="148" spans="2:7" x14ac:dyDescent="0.3">
      <c r="B148" s="102">
        <v>45995.645833333336</v>
      </c>
      <c r="C148" s="108">
        <v>3800.4</v>
      </c>
      <c r="D148" s="261">
        <f t="shared" si="5"/>
        <v>-4.5575986170045815E-3</v>
      </c>
      <c r="E148" s="261">
        <v>1.760930201297177E-2</v>
      </c>
      <c r="F148">
        <v>146</v>
      </c>
      <c r="G148" s="259">
        <f ca="1">_xlfn.NORM.INV(RAND(),'VAR Historical Approach'!K$4,'VAR Historical Approach'!K$5)</f>
        <v>1.8332826384987344E-2</v>
      </c>
    </row>
    <row r="149" spans="2:7" x14ac:dyDescent="0.3">
      <c r="B149" s="102">
        <v>45994.645833333336</v>
      </c>
      <c r="C149" s="108">
        <v>3817.8</v>
      </c>
      <c r="D149" s="261">
        <f t="shared" si="5"/>
        <v>-1.74996139791034E-2</v>
      </c>
      <c r="E149" s="261">
        <v>1.7507848345810192E-2</v>
      </c>
      <c r="F149">
        <v>147</v>
      </c>
      <c r="G149" s="259">
        <f ca="1">_xlfn.NORM.INV(RAND(),'VAR Historical Approach'!K$4,'VAR Historical Approach'!K$5)</f>
        <v>-7.2234094049819638E-3</v>
      </c>
    </row>
    <row r="150" spans="2:7" x14ac:dyDescent="0.3">
      <c r="B150" s="102">
        <v>45993.645833333336</v>
      </c>
      <c r="C150" s="108">
        <v>3885.8</v>
      </c>
      <c r="D150" s="261">
        <f t="shared" si="5"/>
        <v>-2.3363886107473641E-3</v>
      </c>
      <c r="E150" s="261">
        <v>1.7330852834622539E-2</v>
      </c>
      <c r="F150">
        <v>148</v>
      </c>
      <c r="G150" s="259">
        <f ca="1">_xlfn.NORM.INV(RAND(),'VAR Historical Approach'!K$4,'VAR Historical Approach'!K$5)</f>
        <v>2.1795224401538488E-3</v>
      </c>
    </row>
    <row r="151" spans="2:7" x14ac:dyDescent="0.3">
      <c r="B151" s="102">
        <v>45992.645833333336</v>
      </c>
      <c r="C151" s="108">
        <v>3894.9</v>
      </c>
      <c r="D151" s="261">
        <f t="shared" si="5"/>
        <v>-3.2755841031808296E-3</v>
      </c>
      <c r="E151" s="261">
        <v>1.7329374101053174E-2</v>
      </c>
      <c r="F151">
        <v>149</v>
      </c>
      <c r="G151" s="259">
        <f ca="1">_xlfn.NORM.INV(RAND(),'VAR Historical Approach'!K$4,'VAR Historical Approach'!K$5)</f>
        <v>-1.5489154819759133E-3</v>
      </c>
    </row>
    <row r="152" spans="2:7" x14ac:dyDescent="0.3">
      <c r="B152" s="102">
        <v>45989.645833333336</v>
      </c>
      <c r="C152" s="108">
        <v>3907.7</v>
      </c>
      <c r="D152" s="261">
        <f t="shared" si="5"/>
        <v>1.127251300181804E-3</v>
      </c>
      <c r="E152" s="261">
        <v>1.7013794299016883E-2</v>
      </c>
      <c r="F152">
        <v>150</v>
      </c>
      <c r="G152" s="259">
        <f ca="1">_xlfn.NORM.INV(RAND(),'VAR Historical Approach'!K$4,'VAR Historical Approach'!K$5)</f>
        <v>1.6687529123552459E-2</v>
      </c>
    </row>
    <row r="153" spans="2:7" x14ac:dyDescent="0.3">
      <c r="B153" s="102">
        <v>45988.645833333336</v>
      </c>
      <c r="C153" s="108">
        <v>3903.3</v>
      </c>
      <c r="D153" s="261">
        <f t="shared" si="5"/>
        <v>1.4367447469021126E-3</v>
      </c>
      <c r="E153" s="261">
        <v>1.6980515946445965E-2</v>
      </c>
      <c r="F153">
        <v>151</v>
      </c>
      <c r="G153" s="259">
        <f ca="1">_xlfn.NORM.INV(RAND(),'VAR Historical Approach'!K$4,'VAR Historical Approach'!K$5)</f>
        <v>-1.2549927297348098E-2</v>
      </c>
    </row>
    <row r="154" spans="2:7" x14ac:dyDescent="0.3">
      <c r="B154" s="102">
        <v>45987.645833333336</v>
      </c>
      <c r="C154" s="108">
        <v>3897.7</v>
      </c>
      <c r="D154" s="261">
        <f t="shared" si="5"/>
        <v>1.1050297009156678E-2</v>
      </c>
      <c r="E154" s="261">
        <v>1.6931022890498484E-2</v>
      </c>
      <c r="F154">
        <v>152</v>
      </c>
      <c r="G154" s="259">
        <f ca="1">_xlfn.NORM.INV(RAND(),'VAR Historical Approach'!K$4,'VAR Historical Approach'!K$5)</f>
        <v>6.4272674999659917E-3</v>
      </c>
    </row>
    <row r="155" spans="2:7" x14ac:dyDescent="0.3">
      <c r="B155" s="102">
        <v>45986.645833333336</v>
      </c>
      <c r="C155" s="108">
        <v>3855.1</v>
      </c>
      <c r="D155" s="261">
        <f t="shared" si="5"/>
        <v>-4.9557339390342179E-3</v>
      </c>
      <c r="E155" s="261">
        <v>1.6862745098039165E-2</v>
      </c>
      <c r="F155">
        <v>153</v>
      </c>
      <c r="G155" s="259">
        <f ca="1">_xlfn.NORM.INV(RAND(),'VAR Historical Approach'!K$4,'VAR Historical Approach'!K$5)</f>
        <v>7.5422757364288482E-5</v>
      </c>
    </row>
    <row r="156" spans="2:7" x14ac:dyDescent="0.3">
      <c r="B156" s="102">
        <v>45985.645833333336</v>
      </c>
      <c r="C156" s="108">
        <v>3874.3</v>
      </c>
      <c r="D156" s="261">
        <f t="shared" si="5"/>
        <v>-7.6584191383637203E-3</v>
      </c>
      <c r="E156" s="261">
        <v>1.6839563767315324E-2</v>
      </c>
      <c r="F156">
        <v>154</v>
      </c>
      <c r="G156" s="259">
        <f ca="1">_xlfn.NORM.INV(RAND(),'VAR Historical Approach'!K$4,'VAR Historical Approach'!K$5)</f>
        <v>5.3948920048020503E-3</v>
      </c>
    </row>
    <row r="157" spans="2:7" x14ac:dyDescent="0.3">
      <c r="B157" s="102">
        <v>45982.645833333336</v>
      </c>
      <c r="C157" s="108">
        <v>3904.2</v>
      </c>
      <c r="D157" s="261">
        <f t="shared" si="5"/>
        <v>4.6125461254605552E-4</v>
      </c>
      <c r="E157" s="261">
        <v>1.6839501474645652E-2</v>
      </c>
      <c r="F157">
        <v>155</v>
      </c>
      <c r="G157" s="259">
        <f ca="1">_xlfn.NORM.INV(RAND(),'VAR Historical Approach'!K$4,'VAR Historical Approach'!K$5)</f>
        <v>9.4552407776355256E-3</v>
      </c>
    </row>
    <row r="158" spans="2:7" x14ac:dyDescent="0.3">
      <c r="B158" s="102">
        <v>45981.645833333336</v>
      </c>
      <c r="C158" s="108">
        <v>3902.4</v>
      </c>
      <c r="D158" s="261">
        <f t="shared" si="5"/>
        <v>-7.8055477867330653E-3</v>
      </c>
      <c r="E158" s="261">
        <v>1.6715896885069879E-2</v>
      </c>
      <c r="F158">
        <v>156</v>
      </c>
      <c r="G158" s="259">
        <f ca="1">_xlfn.NORM.INV(RAND(),'VAR Historical Approach'!K$4,'VAR Historical Approach'!K$5)</f>
        <v>-2.1952364040236521E-2</v>
      </c>
    </row>
    <row r="159" spans="2:7" x14ac:dyDescent="0.3">
      <c r="B159" s="102">
        <v>45980.645833333336</v>
      </c>
      <c r="C159" s="108">
        <v>3933.1</v>
      </c>
      <c r="D159" s="261">
        <f t="shared" si="5"/>
        <v>1.3894617446896291E-2</v>
      </c>
      <c r="E159" s="261">
        <v>1.6699480177334546E-2</v>
      </c>
      <c r="F159">
        <v>157</v>
      </c>
      <c r="G159" s="259">
        <f ca="1">_xlfn.NORM.INV(RAND(),'VAR Historical Approach'!K$4,'VAR Historical Approach'!K$5)</f>
        <v>1.1523195760447648E-2</v>
      </c>
    </row>
    <row r="160" spans="2:7" x14ac:dyDescent="0.3">
      <c r="B160" s="102">
        <v>45979.645833333336</v>
      </c>
      <c r="C160" s="108">
        <v>3879.2</v>
      </c>
      <c r="D160" s="261">
        <f t="shared" si="5"/>
        <v>2.7400093056919581E-3</v>
      </c>
      <c r="E160" s="261">
        <v>1.6660906629802536E-2</v>
      </c>
      <c r="F160">
        <v>158</v>
      </c>
      <c r="G160" s="259">
        <f ca="1">_xlfn.NORM.INV(RAND(),'VAR Historical Approach'!K$4,'VAR Historical Approach'!K$5)</f>
        <v>1.82757147445777E-2</v>
      </c>
    </row>
    <row r="161" spans="2:7" x14ac:dyDescent="0.3">
      <c r="B161" s="102">
        <v>45978.645833333336</v>
      </c>
      <c r="C161" s="108">
        <v>3868.6</v>
      </c>
      <c r="D161" s="261">
        <f t="shared" si="5"/>
        <v>1.0289355478951242E-2</v>
      </c>
      <c r="E161" s="261">
        <v>1.6606347884572239E-2</v>
      </c>
      <c r="F161">
        <v>159</v>
      </c>
      <c r="G161" s="259">
        <f ca="1">_xlfn.NORM.INV(RAND(),'VAR Historical Approach'!K$4,'VAR Historical Approach'!K$5)</f>
        <v>-2.1473285730077559E-2</v>
      </c>
    </row>
    <row r="162" spans="2:7" x14ac:dyDescent="0.3">
      <c r="B162" s="102">
        <v>45975.645833333336</v>
      </c>
      <c r="C162" s="108">
        <v>3829.2</v>
      </c>
      <c r="D162" s="261">
        <f t="shared" si="5"/>
        <v>-2.6047093144405085E-3</v>
      </c>
      <c r="E162" s="261">
        <v>1.6575314359410318E-2</v>
      </c>
      <c r="F162">
        <v>160</v>
      </c>
      <c r="G162" s="259">
        <f ca="1">_xlfn.NORM.INV(RAND(),'VAR Historical Approach'!K$4,'VAR Historical Approach'!K$5)</f>
        <v>2.3923496396904425E-2</v>
      </c>
    </row>
    <row r="163" spans="2:7" x14ac:dyDescent="0.3">
      <c r="B163" s="102">
        <v>45974.645833333336</v>
      </c>
      <c r="C163" s="108">
        <v>3839.2</v>
      </c>
      <c r="D163" s="261">
        <f t="shared" si="5"/>
        <v>-3.0900262262730364E-3</v>
      </c>
      <c r="E163" s="261">
        <v>1.6548591206532983E-2</v>
      </c>
      <c r="F163">
        <v>161</v>
      </c>
      <c r="G163" s="259">
        <f ca="1">_xlfn.NORM.INV(RAND(),'VAR Historical Approach'!K$4,'VAR Historical Approach'!K$5)</f>
        <v>1.4768711389881534E-2</v>
      </c>
    </row>
    <row r="164" spans="2:7" x14ac:dyDescent="0.3">
      <c r="B164" s="102">
        <v>45973.645833333336</v>
      </c>
      <c r="C164" s="108">
        <v>3851.1</v>
      </c>
      <c r="D164" s="261">
        <f t="shared" si="5"/>
        <v>1.0151085930122709E-2</v>
      </c>
      <c r="E164" s="261">
        <v>1.6517983797244784E-2</v>
      </c>
      <c r="F164">
        <v>162</v>
      </c>
      <c r="G164" s="259">
        <f ca="1">_xlfn.NORM.INV(RAND(),'VAR Historical Approach'!K$4,'VAR Historical Approach'!K$5)</f>
        <v>2.2825338947480732E-3</v>
      </c>
    </row>
    <row r="165" spans="2:7" x14ac:dyDescent="0.3">
      <c r="B165" s="102">
        <v>45972.645833333336</v>
      </c>
      <c r="C165" s="108">
        <v>3812.4</v>
      </c>
      <c r="D165" s="261">
        <f t="shared" si="5"/>
        <v>2.4717328424927929E-3</v>
      </c>
      <c r="E165" s="261">
        <v>1.6372665666546011E-2</v>
      </c>
      <c r="F165">
        <v>163</v>
      </c>
      <c r="G165" s="259">
        <f ca="1">_xlfn.NORM.INV(RAND(),'VAR Historical Approach'!K$4,'VAR Historical Approach'!K$5)</f>
        <v>-2.7101644351880335E-2</v>
      </c>
    </row>
    <row r="166" spans="2:7" x14ac:dyDescent="0.3">
      <c r="B166" s="102">
        <v>45971.645833333336</v>
      </c>
      <c r="C166" s="108">
        <v>3803</v>
      </c>
      <c r="D166" s="261">
        <f t="shared" si="5"/>
        <v>8.940652110471391E-3</v>
      </c>
      <c r="E166" s="261">
        <v>1.6348085185628657E-2</v>
      </c>
      <c r="F166">
        <v>164</v>
      </c>
      <c r="G166" s="259">
        <f ca="1">_xlfn.NORM.INV(RAND(),'VAR Historical Approach'!K$4,'VAR Historical Approach'!K$5)</f>
        <v>1.6146674341618011E-2</v>
      </c>
    </row>
    <row r="167" spans="2:7" x14ac:dyDescent="0.3">
      <c r="B167" s="102">
        <v>45968.645833333336</v>
      </c>
      <c r="C167" s="108">
        <v>3769.3</v>
      </c>
      <c r="D167" s="261">
        <f t="shared" si="5"/>
        <v>-1.3512081390419429E-3</v>
      </c>
      <c r="E167" s="261">
        <v>1.6311202843710609E-2</v>
      </c>
      <c r="F167">
        <v>165</v>
      </c>
      <c r="G167" s="259">
        <f ca="1">_xlfn.NORM.INV(RAND(),'VAR Historical Approach'!K$4,'VAR Historical Approach'!K$5)</f>
        <v>-9.166737526357379E-3</v>
      </c>
    </row>
    <row r="168" spans="2:7" x14ac:dyDescent="0.3">
      <c r="B168" s="102">
        <v>45967.645833333336</v>
      </c>
      <c r="C168" s="108">
        <v>3774.4</v>
      </c>
      <c r="D168" s="261">
        <f t="shared" si="5"/>
        <v>-1.0253048380752566E-2</v>
      </c>
      <c r="E168" s="261">
        <v>1.626016260162607E-2</v>
      </c>
      <c r="F168">
        <v>166</v>
      </c>
      <c r="G168" s="259">
        <f ca="1">_xlfn.NORM.INV(RAND(),'VAR Historical Approach'!K$4,'VAR Historical Approach'!K$5)</f>
        <v>-5.894670558245752E-3</v>
      </c>
    </row>
    <row r="169" spans="2:7" x14ac:dyDescent="0.3">
      <c r="B169" s="102">
        <v>45965.645833333336</v>
      </c>
      <c r="C169" s="108">
        <v>3813.5</v>
      </c>
      <c r="D169" s="261">
        <f t="shared" si="5"/>
        <v>2.389582494294536E-2</v>
      </c>
      <c r="E169" s="261">
        <v>1.5996800639872025E-2</v>
      </c>
      <c r="F169">
        <v>167</v>
      </c>
      <c r="G169" s="259">
        <f ca="1">_xlfn.NORM.INV(RAND(),'VAR Historical Approach'!K$4,'VAR Historical Approach'!K$5)</f>
        <v>-8.8463439167562902E-3</v>
      </c>
    </row>
    <row r="170" spans="2:7" x14ac:dyDescent="0.3">
      <c r="B170" s="102">
        <v>45964.645833333336</v>
      </c>
      <c r="C170" s="108">
        <v>3724.5</v>
      </c>
      <c r="D170" s="261">
        <f t="shared" si="5"/>
        <v>-5.9252141884858197E-3</v>
      </c>
      <c r="E170" s="261">
        <v>1.5953196347031989E-2</v>
      </c>
      <c r="F170">
        <v>168</v>
      </c>
      <c r="G170" s="259">
        <f ca="1">_xlfn.NORM.INV(RAND(),'VAR Historical Approach'!K$4,'VAR Historical Approach'!K$5)</f>
        <v>-9.4857000767503193E-3</v>
      </c>
    </row>
    <row r="171" spans="2:7" x14ac:dyDescent="0.3">
      <c r="B171" s="102">
        <v>45961.645833333336</v>
      </c>
      <c r="C171" s="108">
        <v>3746.7</v>
      </c>
      <c r="D171" s="261">
        <f t="shared" si="5"/>
        <v>-1.0664675927160264E-3</v>
      </c>
      <c r="E171" s="261">
        <v>1.5922912557527941E-2</v>
      </c>
      <c r="F171">
        <v>169</v>
      </c>
      <c r="G171" s="259">
        <f ca="1">_xlfn.NORM.INV(RAND(),'VAR Historical Approach'!K$4,'VAR Historical Approach'!K$5)</f>
        <v>-1.7650490409623042E-2</v>
      </c>
    </row>
    <row r="172" spans="2:7" x14ac:dyDescent="0.3">
      <c r="B172" s="102">
        <v>45960.645833333336</v>
      </c>
      <c r="C172" s="108">
        <v>3750.7</v>
      </c>
      <c r="D172" s="261">
        <f t="shared" si="5"/>
        <v>6.4029026492000006E-4</v>
      </c>
      <c r="E172" s="261">
        <v>1.5921595598349443E-2</v>
      </c>
      <c r="F172">
        <v>170</v>
      </c>
      <c r="G172" s="259">
        <f ca="1">_xlfn.NORM.INV(RAND(),'VAR Historical Approach'!K$4,'VAR Historical Approach'!K$5)</f>
        <v>-9.5681110149784046E-3</v>
      </c>
    </row>
    <row r="173" spans="2:7" x14ac:dyDescent="0.3">
      <c r="B173" s="102">
        <v>45959.645833333336</v>
      </c>
      <c r="C173" s="108">
        <v>3748.3</v>
      </c>
      <c r="D173" s="261">
        <f t="shared" si="5"/>
        <v>8.4207694377186389E-3</v>
      </c>
      <c r="E173" s="261">
        <v>1.5904920038451495E-2</v>
      </c>
      <c r="F173">
        <v>171</v>
      </c>
      <c r="G173" s="259">
        <f ca="1">_xlfn.NORM.INV(RAND(),'VAR Historical Approach'!K$4,'VAR Historical Approach'!K$5)</f>
        <v>4.9825774224902279E-3</v>
      </c>
    </row>
    <row r="174" spans="2:7" x14ac:dyDescent="0.3">
      <c r="B174" s="102">
        <v>45958.645833333336</v>
      </c>
      <c r="C174" s="108">
        <v>3717</v>
      </c>
      <c r="D174" s="261">
        <f t="shared" si="5"/>
        <v>-6.096582704957533E-3</v>
      </c>
      <c r="E174" s="261">
        <v>1.5748532185930222E-2</v>
      </c>
      <c r="F174">
        <v>172</v>
      </c>
      <c r="G174" s="259">
        <f ca="1">_xlfn.NORM.INV(RAND(),'VAR Historical Approach'!K$4,'VAR Historical Approach'!K$5)</f>
        <v>7.4641157945851072E-3</v>
      </c>
    </row>
    <row r="175" spans="2:7" x14ac:dyDescent="0.3">
      <c r="B175" s="102">
        <v>45957.645833333336</v>
      </c>
      <c r="C175" s="108">
        <v>3739.8</v>
      </c>
      <c r="D175" s="261">
        <f t="shared" si="5"/>
        <v>6.7027376241621823E-3</v>
      </c>
      <c r="E175" s="261">
        <v>1.5742188116779531E-2</v>
      </c>
      <c r="F175">
        <v>173</v>
      </c>
      <c r="G175" s="259">
        <f ca="1">_xlfn.NORM.INV(RAND(),'VAR Historical Approach'!K$4,'VAR Historical Approach'!K$5)</f>
        <v>1.4461205551475467E-2</v>
      </c>
    </row>
    <row r="176" spans="2:7" x14ac:dyDescent="0.3">
      <c r="B176" s="102">
        <v>45954.645833333336</v>
      </c>
      <c r="C176" s="108">
        <v>3714.9</v>
      </c>
      <c r="D176" s="261">
        <f t="shared" si="5"/>
        <v>-1.5216181109667866E-2</v>
      </c>
      <c r="E176" s="261">
        <v>1.5741640164468773E-2</v>
      </c>
      <c r="F176">
        <v>174</v>
      </c>
      <c r="G176" s="259">
        <f ca="1">_xlfn.NORM.INV(RAND(),'VAR Historical Approach'!K$4,'VAR Historical Approach'!K$5)</f>
        <v>1.6141428113859928E-2</v>
      </c>
    </row>
    <row r="177" spans="2:7" x14ac:dyDescent="0.3">
      <c r="B177" s="102">
        <v>45953.645833333336</v>
      </c>
      <c r="C177" s="108">
        <v>3772.3</v>
      </c>
      <c r="D177" s="261">
        <f t="shared" si="5"/>
        <v>1.1611692142665643E-2</v>
      </c>
      <c r="E177" s="261">
        <v>1.5687617052983577E-2</v>
      </c>
      <c r="F177">
        <v>175</v>
      </c>
      <c r="G177" s="259">
        <f ca="1">_xlfn.NORM.INV(RAND(),'VAR Historical Approach'!K$4,'VAR Historical Approach'!K$5)</f>
        <v>3.2719932150144224E-3</v>
      </c>
    </row>
    <row r="178" spans="2:7" x14ac:dyDescent="0.3">
      <c r="B178" s="102">
        <v>45951.645833333336</v>
      </c>
      <c r="C178" s="108">
        <v>3729</v>
      </c>
      <c r="D178" s="261">
        <f t="shared" si="5"/>
        <v>-2.1941560526596965E-3</v>
      </c>
      <c r="E178" s="261">
        <v>1.542675313167124E-2</v>
      </c>
      <c r="F178">
        <v>176</v>
      </c>
      <c r="G178" s="259">
        <f ca="1">_xlfn.NORM.INV(RAND(),'VAR Historical Approach'!K$4,'VAR Historical Approach'!K$5)</f>
        <v>-6.0209921590043758E-3</v>
      </c>
    </row>
    <row r="179" spans="2:7" x14ac:dyDescent="0.3">
      <c r="B179" s="102">
        <v>45950.645833333336</v>
      </c>
      <c r="C179" s="108">
        <v>3737.2</v>
      </c>
      <c r="D179" s="261">
        <f t="shared" si="5"/>
        <v>1.6980515946445965E-2</v>
      </c>
      <c r="E179" s="261">
        <v>1.5069232723577177E-2</v>
      </c>
      <c r="F179">
        <v>177</v>
      </c>
      <c r="G179" s="259">
        <f ca="1">_xlfn.NORM.INV(RAND(),'VAR Historical Approach'!K$4,'VAR Historical Approach'!K$5)</f>
        <v>-4.3438072166703992E-2</v>
      </c>
    </row>
    <row r="180" spans="2:7" x14ac:dyDescent="0.3">
      <c r="B180" s="102">
        <v>45947.645833333336</v>
      </c>
      <c r="C180" s="108">
        <v>3674.8</v>
      </c>
      <c r="D180" s="261">
        <f t="shared" si="5"/>
        <v>9.4772408867401028E-3</v>
      </c>
      <c r="E180" s="261">
        <v>1.5016738402678144E-2</v>
      </c>
      <c r="F180">
        <v>178</v>
      </c>
      <c r="G180" s="259">
        <f ca="1">_xlfn.NORM.INV(RAND(),'VAR Historical Approach'!K$4,'VAR Historical Approach'!K$5)</f>
        <v>1.2317174266422107E-2</v>
      </c>
    </row>
    <row r="181" spans="2:7" x14ac:dyDescent="0.3">
      <c r="B181" s="102">
        <v>45946.645833333336</v>
      </c>
      <c r="C181" s="108">
        <v>3640.3</v>
      </c>
      <c r="D181" s="261">
        <f t="shared" si="5"/>
        <v>2.5725556494787315E-2</v>
      </c>
      <c r="E181" s="261">
        <v>1.4984474261459107E-2</v>
      </c>
      <c r="F181">
        <v>179</v>
      </c>
      <c r="G181" s="259">
        <f ca="1">_xlfn.NORM.INV(RAND(),'VAR Historical Approach'!K$4,'VAR Historical Approach'!K$5)</f>
        <v>2.1364481785902813E-2</v>
      </c>
    </row>
    <row r="182" spans="2:7" x14ac:dyDescent="0.3">
      <c r="B182" s="102">
        <v>45945.645833333336</v>
      </c>
      <c r="C182" s="108">
        <v>3549</v>
      </c>
      <c r="D182" s="261">
        <f t="shared" si="5"/>
        <v>3.2792446429580789E-3</v>
      </c>
      <c r="E182" s="261">
        <v>1.4924772169057916E-2</v>
      </c>
      <c r="F182">
        <v>180</v>
      </c>
      <c r="G182" s="259">
        <f ca="1">_xlfn.NORM.INV(RAND(),'VAR Historical Approach'!K$4,'VAR Historical Approach'!K$5)</f>
        <v>2.1249325662680115E-2</v>
      </c>
    </row>
    <row r="183" spans="2:7" x14ac:dyDescent="0.3">
      <c r="B183" s="102">
        <v>45944.645833333336</v>
      </c>
      <c r="C183" s="108">
        <v>3537.4</v>
      </c>
      <c r="D183" s="261">
        <f t="shared" si="5"/>
        <v>1.0753905365633296E-3</v>
      </c>
      <c r="E183" s="261">
        <v>1.4685346186765128E-2</v>
      </c>
      <c r="F183">
        <v>181</v>
      </c>
      <c r="G183" s="259">
        <f ca="1">_xlfn.NORM.INV(RAND(),'VAR Historical Approach'!K$4,'VAR Historical Approach'!K$5)</f>
        <v>-1.1903162821763997E-2</v>
      </c>
    </row>
    <row r="184" spans="2:7" x14ac:dyDescent="0.3">
      <c r="B184" s="102">
        <v>45943.645833333336</v>
      </c>
      <c r="C184" s="108">
        <v>3533.6</v>
      </c>
      <c r="D184" s="261">
        <f t="shared" si="5"/>
        <v>4.8132733089833177E-4</v>
      </c>
      <c r="E184" s="261">
        <v>1.4678346210963523E-2</v>
      </c>
      <c r="F184">
        <v>182</v>
      </c>
      <c r="G184" s="259">
        <f ca="1">_xlfn.NORM.INV(RAND(),'VAR Historical Approach'!K$4,'VAR Historical Approach'!K$5)</f>
        <v>1.8007472458223296E-2</v>
      </c>
    </row>
    <row r="185" spans="2:7" x14ac:dyDescent="0.3">
      <c r="B185" s="102">
        <v>45940.645833333336</v>
      </c>
      <c r="C185" s="108">
        <v>3531.9</v>
      </c>
      <c r="D185" s="261">
        <f t="shared" si="5"/>
        <v>-5.266715484706759E-3</v>
      </c>
      <c r="E185" s="261">
        <v>1.4642238892094766E-2</v>
      </c>
      <c r="F185">
        <v>183</v>
      </c>
      <c r="G185" s="259">
        <f ca="1">_xlfn.NORM.INV(RAND(),'VAR Historical Approach'!K$4,'VAR Historical Approach'!K$5)</f>
        <v>-1.6972003294852128E-3</v>
      </c>
    </row>
    <row r="186" spans="2:7" x14ac:dyDescent="0.3">
      <c r="B186" s="102">
        <v>45939.645833333336</v>
      </c>
      <c r="C186" s="108">
        <v>3550.6</v>
      </c>
      <c r="D186" s="261">
        <f t="shared" si="5"/>
        <v>-4.2068656046668164E-3</v>
      </c>
      <c r="E186" s="261">
        <v>1.4632724850654659E-2</v>
      </c>
      <c r="F186">
        <v>184</v>
      </c>
      <c r="G186" s="259">
        <f ca="1">_xlfn.NORM.INV(RAND(),'VAR Historical Approach'!K$4,'VAR Historical Approach'!K$5)</f>
        <v>-1.4756853255373154E-3</v>
      </c>
    </row>
    <row r="187" spans="2:7" x14ac:dyDescent="0.3">
      <c r="B187" s="102">
        <v>45938.645833333336</v>
      </c>
      <c r="C187" s="108">
        <v>3565.6</v>
      </c>
      <c r="D187" s="261">
        <f t="shared" si="5"/>
        <v>4.312211105260081E-2</v>
      </c>
      <c r="E187" s="261">
        <v>1.4541832669322683E-2</v>
      </c>
      <c r="F187">
        <v>185</v>
      </c>
      <c r="G187" s="259">
        <f ca="1">_xlfn.NORM.INV(RAND(),'VAR Historical Approach'!K$4,'VAR Historical Approach'!K$5)</f>
        <v>-7.1294028641420192E-3</v>
      </c>
    </row>
    <row r="188" spans="2:7" x14ac:dyDescent="0.3">
      <c r="B188" s="102">
        <v>45937.645833333336</v>
      </c>
      <c r="C188" s="108">
        <v>3418.2</v>
      </c>
      <c r="D188" s="261">
        <f t="shared" si="5"/>
        <v>-2.1019442984761701E-3</v>
      </c>
      <c r="E188" s="261">
        <v>1.4525456909305531E-2</v>
      </c>
      <c r="F188">
        <v>186</v>
      </c>
      <c r="G188" s="259">
        <f ca="1">_xlfn.NORM.INV(RAND(),'VAR Historical Approach'!K$4,'VAR Historical Approach'!K$5)</f>
        <v>5.9470401158888365E-3</v>
      </c>
    </row>
    <row r="189" spans="2:7" x14ac:dyDescent="0.3">
      <c r="B189" s="102">
        <v>45936.645833333336</v>
      </c>
      <c r="C189" s="108">
        <v>3425.4</v>
      </c>
      <c r="D189" s="261">
        <f t="shared" si="5"/>
        <v>-8.0792285639823044E-3</v>
      </c>
      <c r="E189" s="261">
        <v>1.4457345227955351E-2</v>
      </c>
      <c r="F189">
        <v>187</v>
      </c>
      <c r="G189" s="259">
        <f ca="1">_xlfn.NORM.INV(RAND(),'VAR Historical Approach'!K$4,'VAR Historical Approach'!K$5)</f>
        <v>-2.6157111573974687E-2</v>
      </c>
    </row>
    <row r="190" spans="2:7" x14ac:dyDescent="0.3">
      <c r="B190" s="102">
        <v>45933.645833333336</v>
      </c>
      <c r="C190" s="108">
        <v>3453.3</v>
      </c>
      <c r="D190" s="261">
        <f t="shared" si="5"/>
        <v>1.3203063110641669E-2</v>
      </c>
      <c r="E190" s="261">
        <v>1.4321899167362801E-2</v>
      </c>
      <c r="F190">
        <v>188</v>
      </c>
      <c r="G190" s="259">
        <f ca="1">_xlfn.NORM.INV(RAND(),'VAR Historical Approach'!K$4,'VAR Historical Approach'!K$5)</f>
        <v>1.1569772573502914E-2</v>
      </c>
    </row>
    <row r="191" spans="2:7" x14ac:dyDescent="0.3">
      <c r="B191" s="102">
        <v>45931.645833333336</v>
      </c>
      <c r="C191" s="108">
        <v>3408.3</v>
      </c>
      <c r="D191" s="261">
        <f t="shared" si="5"/>
        <v>1.2266112266112321E-2</v>
      </c>
      <c r="E191" s="261">
        <v>1.4299352482151867E-2</v>
      </c>
      <c r="F191">
        <v>189</v>
      </c>
      <c r="G191" s="259">
        <f ca="1">_xlfn.NORM.INV(RAND(),'VAR Historical Approach'!K$4,'VAR Historical Approach'!K$5)</f>
        <v>-1.6155143662512125E-2</v>
      </c>
    </row>
    <row r="192" spans="2:7" x14ac:dyDescent="0.3">
      <c r="B192" s="102">
        <v>45930.645833333336</v>
      </c>
      <c r="C192" s="108">
        <v>3367</v>
      </c>
      <c r="D192" s="261">
        <f t="shared" si="5"/>
        <v>-1.005527460896149E-2</v>
      </c>
      <c r="E192" s="261">
        <v>1.4282767866350323E-2</v>
      </c>
      <c r="F192">
        <v>190</v>
      </c>
      <c r="G192" s="259">
        <f ca="1">_xlfn.NORM.INV(RAND(),'VAR Historical Approach'!K$4,'VAR Historical Approach'!K$5)</f>
        <v>4.5673691949016607E-3</v>
      </c>
    </row>
    <row r="193" spans="2:7" x14ac:dyDescent="0.3">
      <c r="B193" s="102">
        <v>45929.645833333336</v>
      </c>
      <c r="C193" s="108">
        <v>3401.2</v>
      </c>
      <c r="D193" s="261">
        <f t="shared" si="5"/>
        <v>2.2210200462837625E-2</v>
      </c>
      <c r="E193" s="261">
        <v>1.4032420438436131E-2</v>
      </c>
      <c r="F193">
        <v>191</v>
      </c>
      <c r="G193" s="259">
        <f ca="1">_xlfn.NORM.INV(RAND(),'VAR Historical Approach'!K$4,'VAR Historical Approach'!K$5)</f>
        <v>1.801653962273125E-2</v>
      </c>
    </row>
    <row r="194" spans="2:7" x14ac:dyDescent="0.3">
      <c r="B194" s="102">
        <v>45926.645833333336</v>
      </c>
      <c r="C194" s="108">
        <v>3327.3</v>
      </c>
      <c r="D194" s="261">
        <f t="shared" si="5"/>
        <v>-1.5154654432440379E-2</v>
      </c>
      <c r="E194" s="261">
        <v>1.3916154081053804E-2</v>
      </c>
      <c r="F194">
        <v>192</v>
      </c>
      <c r="G194" s="259">
        <f ca="1">_xlfn.NORM.INV(RAND(),'VAR Historical Approach'!K$4,'VAR Historical Approach'!K$5)</f>
        <v>-7.5202267220499082E-3</v>
      </c>
    </row>
    <row r="195" spans="2:7" x14ac:dyDescent="0.3">
      <c r="B195" s="102">
        <v>45925.645833333336</v>
      </c>
      <c r="C195" s="108">
        <v>3378.5</v>
      </c>
      <c r="D195" s="261">
        <f t="shared" ref="D195:D258" si="6">(C195-C196)/C196</f>
        <v>-1.1643214463329778E-2</v>
      </c>
      <c r="E195" s="261">
        <v>1.3911878300622576E-2</v>
      </c>
      <c r="F195">
        <v>193</v>
      </c>
      <c r="G195" s="259">
        <f ca="1">_xlfn.NORM.INV(RAND(),'VAR Historical Approach'!K$4,'VAR Historical Approach'!K$5)</f>
        <v>9.1802324205378615E-3</v>
      </c>
    </row>
    <row r="196" spans="2:7" x14ac:dyDescent="0.3">
      <c r="B196" s="102">
        <v>45924.645833333336</v>
      </c>
      <c r="C196" s="108">
        <v>3418.3</v>
      </c>
      <c r="D196" s="261">
        <f t="shared" si="6"/>
        <v>-6.0769946499184806E-3</v>
      </c>
      <c r="E196" s="261">
        <v>1.3894617446896291E-2</v>
      </c>
      <c r="F196">
        <v>194</v>
      </c>
      <c r="G196" s="259">
        <f ca="1">_xlfn.NORM.INV(RAND(),'VAR Historical Approach'!K$4,'VAR Historical Approach'!K$5)</f>
        <v>-2.0295775234614628E-3</v>
      </c>
    </row>
    <row r="197" spans="2:7" x14ac:dyDescent="0.3">
      <c r="B197" s="102">
        <v>45923.645833333336</v>
      </c>
      <c r="C197" s="108">
        <v>3439.2</v>
      </c>
      <c r="D197" s="261">
        <f t="shared" si="6"/>
        <v>-5.2928416485900744E-3</v>
      </c>
      <c r="E197" s="261">
        <v>1.3831937059781437E-2</v>
      </c>
      <c r="F197">
        <v>195</v>
      </c>
      <c r="G197" s="259">
        <f ca="1">_xlfn.NORM.INV(RAND(),'VAR Historical Approach'!K$4,'VAR Historical Approach'!K$5)</f>
        <v>3.4954657850385161E-3</v>
      </c>
    </row>
    <row r="198" spans="2:7" x14ac:dyDescent="0.3">
      <c r="B198" s="102">
        <v>45922.645833333336</v>
      </c>
      <c r="C198" s="108">
        <v>3457.5</v>
      </c>
      <c r="D198" s="261">
        <f t="shared" si="6"/>
        <v>-2.7976465159205753E-3</v>
      </c>
      <c r="E198" s="261">
        <v>1.3807029928912586E-2</v>
      </c>
      <c r="F198">
        <v>196</v>
      </c>
      <c r="G198" s="259">
        <f ca="1">_xlfn.NORM.INV(RAND(),'VAR Historical Approach'!K$4,'VAR Historical Approach'!K$5)</f>
        <v>9.5905262612262492E-3</v>
      </c>
    </row>
    <row r="199" spans="2:7" x14ac:dyDescent="0.3">
      <c r="B199" s="102">
        <v>45919.645833333336</v>
      </c>
      <c r="C199" s="108">
        <v>3467.2</v>
      </c>
      <c r="D199" s="261">
        <f t="shared" si="6"/>
        <v>-1.2559450915615403E-2</v>
      </c>
      <c r="E199" s="261">
        <v>1.3736263736263736E-2</v>
      </c>
      <c r="F199">
        <v>197</v>
      </c>
      <c r="G199" s="259">
        <f ca="1">_xlfn.NORM.INV(RAND(),'VAR Historical Approach'!K$4,'VAR Historical Approach'!K$5)</f>
        <v>-4.1342466447490313E-3</v>
      </c>
    </row>
    <row r="200" spans="2:7" x14ac:dyDescent="0.3">
      <c r="B200" s="102">
        <v>45918.645833333336</v>
      </c>
      <c r="C200" s="108">
        <v>3511.3</v>
      </c>
      <c r="D200" s="261">
        <f t="shared" si="6"/>
        <v>-3.3210332103320518E-3</v>
      </c>
      <c r="E200" s="261">
        <v>1.3725831736631281E-2</v>
      </c>
      <c r="F200">
        <v>198</v>
      </c>
      <c r="G200" s="259">
        <f ca="1">_xlfn.NORM.INV(RAND(),'VAR Historical Approach'!K$4,'VAR Historical Approach'!K$5)</f>
        <v>6.6276815138754447E-3</v>
      </c>
    </row>
    <row r="201" spans="2:7" x14ac:dyDescent="0.3">
      <c r="B201" s="102">
        <v>45917.645833333336</v>
      </c>
      <c r="C201" s="108">
        <v>3523</v>
      </c>
      <c r="D201" s="261">
        <f t="shared" si="6"/>
        <v>-9.5029239766082386E-3</v>
      </c>
      <c r="E201" s="261">
        <v>1.371390344520021E-2</v>
      </c>
      <c r="F201">
        <v>199</v>
      </c>
      <c r="G201" s="259">
        <f ca="1">_xlfn.NORM.INV(RAND(),'VAR Historical Approach'!K$4,'VAR Historical Approach'!K$5)</f>
        <v>2.7552641678524567E-3</v>
      </c>
    </row>
    <row r="202" spans="2:7" x14ac:dyDescent="0.3">
      <c r="B202" s="102">
        <v>45916.645833333336</v>
      </c>
      <c r="C202" s="108">
        <v>3556.8</v>
      </c>
      <c r="D202" s="261">
        <f t="shared" si="6"/>
        <v>6.4231346028692663E-3</v>
      </c>
      <c r="E202" s="261">
        <v>1.3602612687555872E-2</v>
      </c>
      <c r="F202">
        <v>200</v>
      </c>
      <c r="G202" s="259">
        <f ca="1">_xlfn.NORM.INV(RAND(),'VAR Historical Approach'!K$4,'VAR Historical Approach'!K$5)</f>
        <v>-2.3067737459424323E-2</v>
      </c>
    </row>
    <row r="203" spans="2:7" x14ac:dyDescent="0.3">
      <c r="B203" s="102">
        <v>45915.645833333336</v>
      </c>
      <c r="C203" s="108">
        <v>3534.1</v>
      </c>
      <c r="D203" s="261">
        <f t="shared" si="6"/>
        <v>-1.0582603096391327E-2</v>
      </c>
      <c r="E203" s="261">
        <v>1.3509037569792621E-2</v>
      </c>
      <c r="F203">
        <v>201</v>
      </c>
      <c r="G203" s="259">
        <f ca="1">_xlfn.NORM.INV(RAND(),'VAR Historical Approach'!K$4,'VAR Historical Approach'!K$5)</f>
        <v>-1.4958250431512913E-2</v>
      </c>
    </row>
    <row r="204" spans="2:7" x14ac:dyDescent="0.3">
      <c r="B204" s="102">
        <v>45912.645833333336</v>
      </c>
      <c r="C204" s="108">
        <v>3571.9</v>
      </c>
      <c r="D204" s="261">
        <f t="shared" si="6"/>
        <v>-3.4317281401706735E-3</v>
      </c>
      <c r="E204" s="261">
        <v>1.350090078357314E-2</v>
      </c>
      <c r="F204">
        <v>202</v>
      </c>
      <c r="G204" s="259">
        <f ca="1">_xlfn.NORM.INV(RAND(),'VAR Historical Approach'!K$4,'VAR Historical Approach'!K$5)</f>
        <v>1.0317879780072087E-2</v>
      </c>
    </row>
    <row r="205" spans="2:7" x14ac:dyDescent="0.3">
      <c r="B205" s="102">
        <v>45911.645833333336</v>
      </c>
      <c r="C205" s="108">
        <v>3584.2</v>
      </c>
      <c r="D205" s="261">
        <f t="shared" si="6"/>
        <v>-1.0053582279180271E-2</v>
      </c>
      <c r="E205" s="261">
        <v>1.3485071709913079E-2</v>
      </c>
      <c r="F205">
        <v>203</v>
      </c>
      <c r="G205" s="259">
        <f ca="1">_xlfn.NORM.INV(RAND(),'VAR Historical Approach'!K$4,'VAR Historical Approach'!K$5)</f>
        <v>1.4655503544771655E-2</v>
      </c>
    </row>
    <row r="206" spans="2:7" x14ac:dyDescent="0.3">
      <c r="B206" s="102">
        <v>45910.645833333336</v>
      </c>
      <c r="C206" s="108">
        <v>3620.6</v>
      </c>
      <c r="D206" s="261">
        <f t="shared" si="6"/>
        <v>-2.6170077959284869E-3</v>
      </c>
      <c r="E206" s="261">
        <v>1.3445789023346779E-2</v>
      </c>
      <c r="F206">
        <v>204</v>
      </c>
      <c r="G206" s="259">
        <f ca="1">_xlfn.NORM.INV(RAND(),'VAR Historical Approach'!K$4,'VAR Historical Approach'!K$5)</f>
        <v>7.6298329115568244E-3</v>
      </c>
    </row>
    <row r="207" spans="2:7" x14ac:dyDescent="0.3">
      <c r="B207" s="102">
        <v>45909.645833333336</v>
      </c>
      <c r="C207" s="108">
        <v>3630.1</v>
      </c>
      <c r="D207" s="261">
        <f t="shared" si="6"/>
        <v>-7.6271186440678212E-3</v>
      </c>
      <c r="E207" s="261">
        <v>1.3385686239514546E-2</v>
      </c>
      <c r="F207">
        <v>205</v>
      </c>
      <c r="G207" s="259">
        <f ca="1">_xlfn.NORM.INV(RAND(),'VAR Historical Approach'!K$4,'VAR Historical Approach'!K$5)</f>
        <v>-6.179166761190057E-3</v>
      </c>
    </row>
    <row r="208" spans="2:7" x14ac:dyDescent="0.3">
      <c r="B208" s="102">
        <v>45908.645833333336</v>
      </c>
      <c r="C208" s="108">
        <v>3658</v>
      </c>
      <c r="D208" s="261">
        <f t="shared" si="6"/>
        <v>-1.9916514337162527E-3</v>
      </c>
      <c r="E208" s="261">
        <v>1.3379649391365865E-2</v>
      </c>
      <c r="F208">
        <v>206</v>
      </c>
      <c r="G208" s="259">
        <f ca="1">_xlfn.NORM.INV(RAND(),'VAR Historical Approach'!K$4,'VAR Historical Approach'!K$5)</f>
        <v>-1.1163987176650118E-2</v>
      </c>
    </row>
    <row r="209" spans="2:7" x14ac:dyDescent="0.3">
      <c r="B209" s="102">
        <v>45905.645833333336</v>
      </c>
      <c r="C209" s="108">
        <v>3665.3</v>
      </c>
      <c r="D209" s="261">
        <f t="shared" si="6"/>
        <v>-6.9897862425834381E-3</v>
      </c>
      <c r="E209" s="261">
        <v>1.3378402419498277E-2</v>
      </c>
      <c r="F209">
        <v>207</v>
      </c>
      <c r="G209" s="259">
        <f ca="1">_xlfn.NORM.INV(RAND(),'VAR Historical Approach'!K$4,'VAR Historical Approach'!K$5)</f>
        <v>-6.8123758472323865E-3</v>
      </c>
    </row>
    <row r="210" spans="2:7" x14ac:dyDescent="0.3">
      <c r="B210" s="102">
        <v>45904.645833333336</v>
      </c>
      <c r="C210" s="108">
        <v>3691.1</v>
      </c>
      <c r="D210" s="261">
        <f t="shared" si="6"/>
        <v>1.3547932585487456E-4</v>
      </c>
      <c r="E210" s="261">
        <v>1.3352056359481971E-2</v>
      </c>
      <c r="F210">
        <v>208</v>
      </c>
      <c r="G210" s="259">
        <f ca="1">_xlfn.NORM.INV(RAND(),'VAR Historical Approach'!K$4,'VAR Historical Approach'!K$5)</f>
        <v>2.1772443871490917E-2</v>
      </c>
    </row>
    <row r="211" spans="2:7" x14ac:dyDescent="0.3">
      <c r="B211" s="102">
        <v>45903.645833333336</v>
      </c>
      <c r="C211" s="108">
        <v>3690.6</v>
      </c>
      <c r="D211" s="261">
        <f t="shared" si="6"/>
        <v>1.9333812075346627E-2</v>
      </c>
      <c r="E211" s="261">
        <v>1.3340395246449643E-2</v>
      </c>
      <c r="F211">
        <v>209</v>
      </c>
      <c r="G211" s="259">
        <f ca="1">_xlfn.NORM.INV(RAND(),'VAR Historical Approach'!K$4,'VAR Historical Approach'!K$5)</f>
        <v>7.3695263069179897E-3</v>
      </c>
    </row>
    <row r="212" spans="2:7" x14ac:dyDescent="0.3">
      <c r="B212" s="102">
        <v>45902.645833333336</v>
      </c>
      <c r="C212" s="108">
        <v>3620.6</v>
      </c>
      <c r="D212" s="261">
        <f t="shared" si="6"/>
        <v>5.5269993920300674E-4</v>
      </c>
      <c r="E212" s="261">
        <v>1.3293246533817025E-2</v>
      </c>
      <c r="F212">
        <v>210</v>
      </c>
      <c r="G212" s="259">
        <f ca="1">_xlfn.NORM.INV(RAND(),'VAR Historical Approach'!K$4,'VAR Historical Approach'!K$5)</f>
        <v>2.3400207273525254E-2</v>
      </c>
    </row>
    <row r="213" spans="2:7" x14ac:dyDescent="0.3">
      <c r="B213" s="102">
        <v>45901.645833333336</v>
      </c>
      <c r="C213" s="108">
        <v>3618.6</v>
      </c>
      <c r="D213" s="261">
        <f t="shared" si="6"/>
        <v>-2.8108465608466357E-3</v>
      </c>
      <c r="E213" s="261">
        <v>1.324122049510643E-2</v>
      </c>
      <c r="F213">
        <v>211</v>
      </c>
      <c r="G213" s="259">
        <f ca="1">_xlfn.NORM.INV(RAND(),'VAR Historical Approach'!K$4,'VAR Historical Approach'!K$5)</f>
        <v>-5.0658727839135425E-3</v>
      </c>
    </row>
    <row r="214" spans="2:7" x14ac:dyDescent="0.3">
      <c r="B214" s="102">
        <v>45898.645833333336</v>
      </c>
      <c r="C214" s="108">
        <v>3628.8</v>
      </c>
      <c r="D214" s="261">
        <f t="shared" si="6"/>
        <v>-2.4466008741786394E-3</v>
      </c>
      <c r="E214" s="261">
        <v>1.3226256983240198E-2</v>
      </c>
      <c r="F214">
        <v>212</v>
      </c>
      <c r="G214" s="259">
        <f ca="1">_xlfn.NORM.INV(RAND(),'VAR Historical Approach'!K$4,'VAR Historical Approach'!K$5)</f>
        <v>-1.4594827114715954E-3</v>
      </c>
    </row>
    <row r="215" spans="2:7" x14ac:dyDescent="0.3">
      <c r="B215" s="102">
        <v>45897.645833333336</v>
      </c>
      <c r="C215" s="108">
        <v>3637.7</v>
      </c>
      <c r="D215" s="261">
        <f t="shared" si="6"/>
        <v>1.2159154145798502E-2</v>
      </c>
      <c r="E215" s="261">
        <v>1.3226184496902554E-2</v>
      </c>
      <c r="F215">
        <v>213</v>
      </c>
      <c r="G215" s="259">
        <f ca="1">_xlfn.NORM.INV(RAND(),'VAR Historical Approach'!K$4,'VAR Historical Approach'!K$5)</f>
        <v>8.9659320217119025E-3</v>
      </c>
    </row>
    <row r="216" spans="2:7" x14ac:dyDescent="0.3">
      <c r="B216" s="102">
        <v>45895.645833333336</v>
      </c>
      <c r="C216" s="108">
        <v>3594</v>
      </c>
      <c r="D216" s="261">
        <f t="shared" si="6"/>
        <v>-1.5719997809059562E-2</v>
      </c>
      <c r="E216" s="261">
        <v>1.3203063110641669E-2</v>
      </c>
      <c r="F216">
        <v>214</v>
      </c>
      <c r="G216" s="259">
        <f ca="1">_xlfn.NORM.INV(RAND(),'VAR Historical Approach'!K$4,'VAR Historical Approach'!K$5)</f>
        <v>2.0533462392718853E-2</v>
      </c>
    </row>
    <row r="217" spans="2:7" x14ac:dyDescent="0.3">
      <c r="B217" s="102">
        <v>45894.645833333336</v>
      </c>
      <c r="C217" s="108">
        <v>3651.4</v>
      </c>
      <c r="D217" s="261">
        <f t="shared" si="6"/>
        <v>8.3954708644021232E-3</v>
      </c>
      <c r="E217" s="261">
        <v>1.3186859263297039E-2</v>
      </c>
      <c r="F217">
        <v>215</v>
      </c>
      <c r="G217" s="259">
        <f ca="1">_xlfn.NORM.INV(RAND(),'VAR Historical Approach'!K$4,'VAR Historical Approach'!K$5)</f>
        <v>-1.1074365123680794E-2</v>
      </c>
    </row>
    <row r="218" spans="2:7" x14ac:dyDescent="0.3">
      <c r="B218" s="102">
        <v>45891.645833333336</v>
      </c>
      <c r="C218" s="108">
        <v>3621</v>
      </c>
      <c r="D218" s="261">
        <f t="shared" si="6"/>
        <v>1.2996709343803938E-3</v>
      </c>
      <c r="E218" s="261">
        <v>1.3173805129510626E-2</v>
      </c>
      <c r="F218">
        <v>216</v>
      </c>
      <c r="G218" s="259">
        <f ca="1">_xlfn.NORM.INV(RAND(),'VAR Historical Approach'!K$4,'VAR Historical Approach'!K$5)</f>
        <v>-1.8442944206339806E-2</v>
      </c>
    </row>
    <row r="219" spans="2:7" x14ac:dyDescent="0.3">
      <c r="B219" s="102">
        <v>45890.645833333336</v>
      </c>
      <c r="C219" s="108">
        <v>3616.3</v>
      </c>
      <c r="D219" s="261">
        <f t="shared" si="6"/>
        <v>5.9248956884562394E-3</v>
      </c>
      <c r="E219" s="261">
        <v>1.3110120665289745E-2</v>
      </c>
      <c r="F219">
        <v>217</v>
      </c>
      <c r="G219" s="259">
        <f ca="1">_xlfn.NORM.INV(RAND(),'VAR Historical Approach'!K$4,'VAR Historical Approach'!K$5)</f>
        <v>2.7972920939635264E-2</v>
      </c>
    </row>
    <row r="220" spans="2:7" x14ac:dyDescent="0.3">
      <c r="B220" s="102">
        <v>45889.645833333336</v>
      </c>
      <c r="C220" s="108">
        <v>3595</v>
      </c>
      <c r="D220" s="261">
        <f t="shared" si="6"/>
        <v>7.5390263725792694E-3</v>
      </c>
      <c r="E220" s="261">
        <v>1.3084047791206142E-2</v>
      </c>
      <c r="F220">
        <v>218</v>
      </c>
      <c r="G220" s="259">
        <f ca="1">_xlfn.NORM.INV(RAND(),'VAR Historical Approach'!K$4,'VAR Historical Approach'!K$5)</f>
        <v>-2.2277574108531126E-2</v>
      </c>
    </row>
    <row r="221" spans="2:7" x14ac:dyDescent="0.3">
      <c r="B221" s="102">
        <v>45888.645833333336</v>
      </c>
      <c r="C221" s="108">
        <v>3568.1</v>
      </c>
      <c r="D221" s="261">
        <f t="shared" si="6"/>
        <v>3.7414200517609224E-3</v>
      </c>
      <c r="E221" s="261">
        <v>1.3041623499299129E-2</v>
      </c>
      <c r="F221">
        <v>219</v>
      </c>
      <c r="G221" s="259">
        <f ca="1">_xlfn.NORM.INV(RAND(),'VAR Historical Approach'!K$4,'VAR Historical Approach'!K$5)</f>
        <v>2.1602703624583965E-2</v>
      </c>
    </row>
    <row r="222" spans="2:7" x14ac:dyDescent="0.3">
      <c r="B222" s="102">
        <v>45887.645833333336</v>
      </c>
      <c r="C222" s="108">
        <v>3554.8</v>
      </c>
      <c r="D222" s="261">
        <f t="shared" si="6"/>
        <v>1.8742477216713502E-2</v>
      </c>
      <c r="E222" s="261">
        <v>1.303932453716853E-2</v>
      </c>
      <c r="F222">
        <v>220</v>
      </c>
      <c r="G222" s="259">
        <f ca="1">_xlfn.NORM.INV(RAND(),'VAR Historical Approach'!K$4,'VAR Historical Approach'!K$5)</f>
        <v>-2.9301581917948676E-2</v>
      </c>
    </row>
    <row r="223" spans="2:7" x14ac:dyDescent="0.3">
      <c r="B223" s="102">
        <v>45883.645833333336</v>
      </c>
      <c r="C223" s="108">
        <v>3489.4</v>
      </c>
      <c r="D223" s="261">
        <f t="shared" si="6"/>
        <v>6.5189800392292342E-3</v>
      </c>
      <c r="E223" s="261">
        <v>1.3028076236203414E-2</v>
      </c>
      <c r="F223">
        <v>221</v>
      </c>
      <c r="G223" s="259">
        <f ca="1">_xlfn.NORM.INV(RAND(),'VAR Historical Approach'!K$4,'VAR Historical Approach'!K$5)</f>
        <v>-4.7222303780705237E-3</v>
      </c>
    </row>
    <row r="224" spans="2:7" x14ac:dyDescent="0.3">
      <c r="B224" s="102">
        <v>45882.645833333336</v>
      </c>
      <c r="C224" s="108">
        <v>3466.8</v>
      </c>
      <c r="D224" s="261">
        <f t="shared" si="6"/>
        <v>-5.7359183205231154E-3</v>
      </c>
      <c r="E224" s="261">
        <v>1.2977389321679685E-2</v>
      </c>
      <c r="F224">
        <v>222</v>
      </c>
      <c r="G224" s="259">
        <f ca="1">_xlfn.NORM.INV(RAND(),'VAR Historical Approach'!K$4,'VAR Historical Approach'!K$5)</f>
        <v>-3.149611775087497E-2</v>
      </c>
    </row>
    <row r="225" spans="2:7" x14ac:dyDescent="0.3">
      <c r="B225" s="102">
        <v>45881.645833333336</v>
      </c>
      <c r="C225" s="108">
        <v>3486.8</v>
      </c>
      <c r="D225" s="261">
        <f t="shared" si="6"/>
        <v>5.449984140257819E-3</v>
      </c>
      <c r="E225" s="261">
        <v>1.2927977303501162E-2</v>
      </c>
      <c r="F225">
        <v>223</v>
      </c>
      <c r="G225" s="259">
        <f ca="1">_xlfn.NORM.INV(RAND(),'VAR Historical Approach'!K$4,'VAR Historical Approach'!K$5)</f>
        <v>-5.2427814836368558E-4</v>
      </c>
    </row>
    <row r="226" spans="2:7" x14ac:dyDescent="0.3">
      <c r="B226" s="102">
        <v>45880.645833333336</v>
      </c>
      <c r="C226" s="108">
        <v>3467.9</v>
      </c>
      <c r="D226" s="261">
        <f t="shared" si="6"/>
        <v>2.2253048956708496E-3</v>
      </c>
      <c r="E226" s="261">
        <v>1.2901097692829364E-2</v>
      </c>
      <c r="F226">
        <v>224</v>
      </c>
      <c r="G226" s="259">
        <f ca="1">_xlfn.NORM.INV(RAND(),'VAR Historical Approach'!K$4,'VAR Historical Approach'!K$5)</f>
        <v>2.3828315873495085E-2</v>
      </c>
    </row>
    <row r="227" spans="2:7" x14ac:dyDescent="0.3">
      <c r="B227" s="102">
        <v>45877.645833333336</v>
      </c>
      <c r="C227" s="108">
        <v>3460.2</v>
      </c>
      <c r="D227" s="261">
        <f t="shared" si="6"/>
        <v>1.3028076236203414E-2</v>
      </c>
      <c r="E227" s="261">
        <v>1.2875157999941128E-2</v>
      </c>
      <c r="F227">
        <v>225</v>
      </c>
      <c r="G227" s="259">
        <f ca="1">_xlfn.NORM.INV(RAND(),'VAR Historical Approach'!K$4,'VAR Historical Approach'!K$5)</f>
        <v>-1.6726814692123889E-2</v>
      </c>
    </row>
    <row r="228" spans="2:7" x14ac:dyDescent="0.3">
      <c r="B228" s="102">
        <v>45876.645833333336</v>
      </c>
      <c r="C228" s="108">
        <v>3415.7</v>
      </c>
      <c r="D228" s="261">
        <f t="shared" si="6"/>
        <v>-5.8518886970769816E-4</v>
      </c>
      <c r="E228" s="261">
        <v>1.2862616310892229E-2</v>
      </c>
      <c r="F228">
        <v>226</v>
      </c>
      <c r="G228" s="259">
        <f ca="1">_xlfn.NORM.INV(RAND(),'VAR Historical Approach'!K$4,'VAR Historical Approach'!K$5)</f>
        <v>9.8846186519042523E-3</v>
      </c>
    </row>
    <row r="229" spans="2:7" x14ac:dyDescent="0.3">
      <c r="B229" s="102">
        <v>45875.645833333336</v>
      </c>
      <c r="C229" s="108">
        <v>3417.7</v>
      </c>
      <c r="D229" s="261">
        <f t="shared" si="6"/>
        <v>-1.4627581768182084E-4</v>
      </c>
      <c r="E229" s="261">
        <v>1.2821275583055661E-2</v>
      </c>
      <c r="F229">
        <v>227</v>
      </c>
      <c r="G229" s="259">
        <f ca="1">_xlfn.NORM.INV(RAND(),'VAR Historical Approach'!K$4,'VAR Historical Approach'!K$5)</f>
        <v>-8.2867046442912564E-3</v>
      </c>
    </row>
    <row r="230" spans="2:7" x14ac:dyDescent="0.3">
      <c r="B230" s="102">
        <v>45874.645833333336</v>
      </c>
      <c r="C230" s="108">
        <v>3418.2</v>
      </c>
      <c r="D230" s="261">
        <f t="shared" si="6"/>
        <v>1.8442928224532858E-2</v>
      </c>
      <c r="E230" s="261">
        <v>1.2793007548668979E-2</v>
      </c>
      <c r="F230">
        <v>228</v>
      </c>
      <c r="G230" s="259">
        <f ca="1">_xlfn.NORM.INV(RAND(),'VAR Historical Approach'!K$4,'VAR Historical Approach'!K$5)</f>
        <v>-1.3847876024742269E-3</v>
      </c>
    </row>
    <row r="231" spans="2:7" x14ac:dyDescent="0.3">
      <c r="B231" s="102">
        <v>45873.645833333336</v>
      </c>
      <c r="C231" s="108">
        <v>3356.3</v>
      </c>
      <c r="D231" s="261">
        <f t="shared" si="6"/>
        <v>1.2153196622436725E-2</v>
      </c>
      <c r="E231" s="261">
        <v>1.2765461363592169E-2</v>
      </c>
      <c r="F231">
        <v>229</v>
      </c>
      <c r="G231" s="259">
        <f ca="1">_xlfn.NORM.INV(RAND(),'VAR Historical Approach'!K$4,'VAR Historical Approach'!K$5)</f>
        <v>-1.0260930981732246E-2</v>
      </c>
    </row>
    <row r="232" spans="2:7" x14ac:dyDescent="0.3">
      <c r="B232" s="102">
        <v>45870.645833333336</v>
      </c>
      <c r="C232" s="108">
        <v>3316</v>
      </c>
      <c r="D232" s="261">
        <f t="shared" si="6"/>
        <v>-9.3508200639321783E-3</v>
      </c>
      <c r="E232" s="261">
        <v>1.2736224084153903E-2</v>
      </c>
      <c r="F232">
        <v>230</v>
      </c>
      <c r="G232" s="259">
        <f ca="1">_xlfn.NORM.INV(RAND(),'VAR Historical Approach'!K$4,'VAR Historical Approach'!K$5)</f>
        <v>-1.1455279835805892E-2</v>
      </c>
    </row>
    <row r="233" spans="2:7" x14ac:dyDescent="0.3">
      <c r="B233" s="102">
        <v>45869.645833333336</v>
      </c>
      <c r="C233" s="108">
        <v>3347.3</v>
      </c>
      <c r="D233" s="261">
        <f t="shared" si="6"/>
        <v>-8.6480082926106375E-3</v>
      </c>
      <c r="E233" s="261">
        <v>1.2723240340842769E-2</v>
      </c>
      <c r="F233">
        <v>231</v>
      </c>
      <c r="G233" s="259">
        <f ca="1">_xlfn.NORM.INV(RAND(),'VAR Historical Approach'!K$4,'VAR Historical Approach'!K$5)</f>
        <v>3.8761088114068979E-3</v>
      </c>
    </row>
    <row r="234" spans="2:7" x14ac:dyDescent="0.3">
      <c r="B234" s="102">
        <v>45868.645833333336</v>
      </c>
      <c r="C234" s="108">
        <v>3376.5</v>
      </c>
      <c r="D234" s="261">
        <f t="shared" si="6"/>
        <v>-7.9900568181812798E-4</v>
      </c>
      <c r="E234" s="261">
        <v>1.2722605742710039E-2</v>
      </c>
      <c r="F234">
        <v>232</v>
      </c>
      <c r="G234" s="259">
        <f ca="1">_xlfn.NORM.INV(RAND(),'VAR Historical Approach'!K$4,'VAR Historical Approach'!K$5)</f>
        <v>-1.1020106892673609E-2</v>
      </c>
    </row>
    <row r="235" spans="2:7" x14ac:dyDescent="0.3">
      <c r="B235" s="102">
        <v>45867.645833333336</v>
      </c>
      <c r="C235" s="108">
        <v>3379.2</v>
      </c>
      <c r="D235" s="261">
        <f t="shared" si="6"/>
        <v>-4.0671971706455002E-3</v>
      </c>
      <c r="E235" s="261">
        <v>1.2629479864842511E-2</v>
      </c>
      <c r="F235">
        <v>233</v>
      </c>
      <c r="G235" s="259">
        <f ca="1">_xlfn.NORM.INV(RAND(),'VAR Historical Approach'!K$4,'VAR Historical Approach'!K$5)</f>
        <v>2.2709202032742152E-3</v>
      </c>
    </row>
    <row r="236" spans="2:7" x14ac:dyDescent="0.3">
      <c r="B236" s="102">
        <v>45866.645833333336</v>
      </c>
      <c r="C236" s="108">
        <v>3393</v>
      </c>
      <c r="D236" s="261">
        <f t="shared" si="6"/>
        <v>-2.0157098301952229E-2</v>
      </c>
      <c r="E236" s="261">
        <v>1.2590235724793775E-2</v>
      </c>
      <c r="F236">
        <v>234</v>
      </c>
      <c r="G236" s="259">
        <f ca="1">_xlfn.NORM.INV(RAND(),'VAR Historical Approach'!K$4,'VAR Historical Approach'!K$5)</f>
        <v>-9.9416801862595612E-3</v>
      </c>
    </row>
    <row r="237" spans="2:7" x14ac:dyDescent="0.3">
      <c r="B237" s="102">
        <v>45863.645833333336</v>
      </c>
      <c r="C237" s="108">
        <v>3462.8</v>
      </c>
      <c r="D237" s="261">
        <f t="shared" si="6"/>
        <v>-6.1990586614624928E-3</v>
      </c>
      <c r="E237" s="261">
        <v>1.2581236460589952E-2</v>
      </c>
      <c r="F237">
        <v>235</v>
      </c>
      <c r="G237" s="259">
        <f ca="1">_xlfn.NORM.INV(RAND(),'VAR Historical Approach'!K$4,'VAR Historical Approach'!K$5)</f>
        <v>9.12368194535749E-3</v>
      </c>
    </row>
    <row r="238" spans="2:7" x14ac:dyDescent="0.3">
      <c r="B238" s="102">
        <v>45862.645833333336</v>
      </c>
      <c r="C238" s="108">
        <v>3484.4</v>
      </c>
      <c r="D238" s="261">
        <f t="shared" si="6"/>
        <v>3.7448867891916805E-3</v>
      </c>
      <c r="E238" s="261">
        <v>1.2545406883121746E-2</v>
      </c>
      <c r="F238">
        <v>236</v>
      </c>
      <c r="G238" s="259">
        <f ca="1">_xlfn.NORM.INV(RAND(),'VAR Historical Approach'!K$4,'VAR Historical Approach'!K$5)</f>
        <v>3.7294815762239802E-3</v>
      </c>
    </row>
    <row r="239" spans="2:7" x14ac:dyDescent="0.3">
      <c r="B239" s="102">
        <v>45861.645833333336</v>
      </c>
      <c r="C239" s="108">
        <v>3471.4</v>
      </c>
      <c r="D239" s="261">
        <f t="shared" si="6"/>
        <v>-2.8798525515493607E-4</v>
      </c>
      <c r="E239" s="261">
        <v>1.2543014196547056E-2</v>
      </c>
      <c r="F239">
        <v>237</v>
      </c>
      <c r="G239" s="259">
        <f ca="1">_xlfn.NORM.INV(RAND(),'VAR Historical Approach'!K$4,'VAR Historical Approach'!K$5)</f>
        <v>-1.3251575775229117E-2</v>
      </c>
    </row>
    <row r="240" spans="2:7" x14ac:dyDescent="0.3">
      <c r="B240" s="102">
        <v>45860.645833333336</v>
      </c>
      <c r="C240" s="108">
        <v>3472.4</v>
      </c>
      <c r="D240" s="261">
        <f t="shared" si="6"/>
        <v>1.1476842411884675E-2</v>
      </c>
      <c r="E240" s="261">
        <v>1.2521493761297976E-2</v>
      </c>
      <c r="F240">
        <v>238</v>
      </c>
      <c r="G240" s="259">
        <f ca="1">_xlfn.NORM.INV(RAND(),'VAR Historical Approach'!K$4,'VAR Historical Approach'!K$5)</f>
        <v>-8.2189196618687212E-3</v>
      </c>
    </row>
    <row r="241" spans="2:7" x14ac:dyDescent="0.3">
      <c r="B241" s="102">
        <v>45859.645833333336</v>
      </c>
      <c r="C241" s="108">
        <v>3433</v>
      </c>
      <c r="D241" s="261">
        <f t="shared" si="6"/>
        <v>8.8453965735108015E-3</v>
      </c>
      <c r="E241" s="261">
        <v>1.2481548302443884E-2</v>
      </c>
      <c r="F241">
        <v>239</v>
      </c>
      <c r="G241" s="259">
        <f ca="1">_xlfn.NORM.INV(RAND(),'VAR Historical Approach'!K$4,'VAR Historical Approach'!K$5)</f>
        <v>6.871517100175006E-3</v>
      </c>
    </row>
    <row r="242" spans="2:7" x14ac:dyDescent="0.3">
      <c r="B242" s="102">
        <v>45856.645833333336</v>
      </c>
      <c r="C242" s="108">
        <v>3402.9</v>
      </c>
      <c r="D242" s="261">
        <f t="shared" si="6"/>
        <v>-8.8544548976203907E-3</v>
      </c>
      <c r="E242" s="261">
        <v>1.2366944068124566E-2</v>
      </c>
      <c r="F242">
        <v>240</v>
      </c>
      <c r="G242" s="259">
        <f ca="1">_xlfn.NORM.INV(RAND(),'VAR Historical Approach'!K$4,'VAR Historical Approach'!K$5)</f>
        <v>9.1075093440724057E-3</v>
      </c>
    </row>
    <row r="243" spans="2:7" x14ac:dyDescent="0.3">
      <c r="B243" s="102">
        <v>45855.645833333336</v>
      </c>
      <c r="C243" s="108">
        <v>3433.3</v>
      </c>
      <c r="D243" s="261">
        <f t="shared" si="6"/>
        <v>4.6820589354168492E-3</v>
      </c>
      <c r="E243" s="261">
        <v>1.2358162004269183E-2</v>
      </c>
      <c r="F243">
        <v>241</v>
      </c>
      <c r="G243" s="259">
        <f ca="1">_xlfn.NORM.INV(RAND(),'VAR Historical Approach'!K$4,'VAR Historical Approach'!K$5)</f>
        <v>1.4270622464400027E-2</v>
      </c>
    </row>
    <row r="244" spans="2:7" x14ac:dyDescent="0.3">
      <c r="B244" s="102">
        <v>45854.645833333336</v>
      </c>
      <c r="C244" s="108">
        <v>3417.3</v>
      </c>
      <c r="D244" s="261">
        <f t="shared" si="6"/>
        <v>6.7349926793563162E-4</v>
      </c>
      <c r="E244" s="261">
        <v>1.2335951542609374E-2</v>
      </c>
      <c r="F244">
        <v>242</v>
      </c>
      <c r="G244" s="259">
        <f ca="1">_xlfn.NORM.INV(RAND(),'VAR Historical Approach'!K$4,'VAR Historical Approach'!K$5)</f>
        <v>-4.5155137620671703E-3</v>
      </c>
    </row>
    <row r="245" spans="2:7" x14ac:dyDescent="0.3">
      <c r="B245" s="102">
        <v>45853.645833333336</v>
      </c>
      <c r="C245" s="108">
        <v>3415</v>
      </c>
      <c r="D245" s="261">
        <f t="shared" si="6"/>
        <v>3.0252298293535944E-3</v>
      </c>
      <c r="E245" s="261">
        <v>1.2272690206311632E-2</v>
      </c>
      <c r="F245">
        <v>243</v>
      </c>
      <c r="G245" s="259">
        <f ca="1">_xlfn.NORM.INV(RAND(),'VAR Historical Approach'!K$4,'VAR Historical Approach'!K$5)</f>
        <v>-1.8596901838088348E-2</v>
      </c>
    </row>
    <row r="246" spans="2:7" x14ac:dyDescent="0.3">
      <c r="B246" s="102">
        <v>45852.645833333336</v>
      </c>
      <c r="C246" s="108">
        <v>3404.7</v>
      </c>
      <c r="D246" s="261">
        <f t="shared" si="6"/>
        <v>1.2821275583055661E-2</v>
      </c>
      <c r="E246" s="261">
        <v>1.2266112266112321E-2</v>
      </c>
      <c r="F246">
        <v>244</v>
      </c>
      <c r="G246" s="259">
        <f ca="1">_xlfn.NORM.INV(RAND(),'VAR Historical Approach'!K$4,'VAR Historical Approach'!K$5)</f>
        <v>2.5403398413064052E-2</v>
      </c>
    </row>
    <row r="247" spans="2:7" x14ac:dyDescent="0.3">
      <c r="B247" s="102">
        <v>45849.645833333336</v>
      </c>
      <c r="C247" s="108">
        <v>3361.6</v>
      </c>
      <c r="D247" s="261">
        <f t="shared" si="6"/>
        <v>-1.7018539095853637E-2</v>
      </c>
      <c r="E247" s="261">
        <v>1.2210196267599263E-2</v>
      </c>
      <c r="F247">
        <v>245</v>
      </c>
      <c r="G247" s="259">
        <f ca="1">_xlfn.NORM.INV(RAND(),'VAR Historical Approach'!K$4,'VAR Historical Approach'!K$5)</f>
        <v>-1.1115264545124503E-2</v>
      </c>
    </row>
    <row r="248" spans="2:7" x14ac:dyDescent="0.3">
      <c r="B248" s="102">
        <v>45848.645833333336</v>
      </c>
      <c r="C248" s="108">
        <v>3419.8</v>
      </c>
      <c r="D248" s="261">
        <f t="shared" si="6"/>
        <v>-3.5838116604993233E-3</v>
      </c>
      <c r="E248" s="261">
        <v>1.2206721623335448E-2</v>
      </c>
      <c r="F248">
        <v>246</v>
      </c>
      <c r="G248" s="259">
        <f ca="1">_xlfn.NORM.INV(RAND(),'VAR Historical Approach'!K$4,'VAR Historical Approach'!K$5)</f>
        <v>-1.661571228741399E-2</v>
      </c>
    </row>
    <row r="249" spans="2:7" x14ac:dyDescent="0.3">
      <c r="B249" s="102">
        <v>45847.645833333336</v>
      </c>
      <c r="C249" s="108">
        <v>3432.1</v>
      </c>
      <c r="D249" s="261">
        <f t="shared" si="6"/>
        <v>-2.6734083050010964E-3</v>
      </c>
      <c r="E249" s="261">
        <v>1.2167300380228169E-2</v>
      </c>
      <c r="F249">
        <v>247</v>
      </c>
      <c r="G249" s="259">
        <f ca="1">_xlfn.NORM.INV(RAND(),'VAR Historical Approach'!K$4,'VAR Historical Approach'!K$5)</f>
        <v>1.0711414159614923E-2</v>
      </c>
    </row>
    <row r="250" spans="2:7" x14ac:dyDescent="0.3">
      <c r="B250" s="102">
        <v>45846.645833333336</v>
      </c>
      <c r="C250" s="108">
        <v>3441.3</v>
      </c>
      <c r="D250" s="261">
        <f t="shared" si="6"/>
        <v>-6.1318567414964061E-2</v>
      </c>
      <c r="E250" s="261">
        <v>1.2159154145798502E-2</v>
      </c>
      <c r="F250">
        <v>248</v>
      </c>
      <c r="G250" s="259">
        <f ca="1">_xlfn.NORM.INV(RAND(),'VAR Historical Approach'!K$4,'VAR Historical Approach'!K$5)</f>
        <v>1.2433066706143633E-2</v>
      </c>
    </row>
    <row r="251" spans="2:7" x14ac:dyDescent="0.3">
      <c r="B251" s="102">
        <v>45845.645833333336</v>
      </c>
      <c r="C251" s="108">
        <v>3666.1</v>
      </c>
      <c r="D251" s="261">
        <f t="shared" si="6"/>
        <v>-5.64159592069223E-3</v>
      </c>
      <c r="E251" s="261">
        <v>1.2153196622436725E-2</v>
      </c>
      <c r="F251">
        <v>249</v>
      </c>
      <c r="G251" s="259">
        <f ca="1">_xlfn.NORM.INV(RAND(),'VAR Historical Approach'!K$4,'VAR Historical Approach'!K$5)</f>
        <v>-7.3074855337966821E-3</v>
      </c>
    </row>
    <row r="252" spans="2:7" x14ac:dyDescent="0.3">
      <c r="B252" s="102">
        <v>45842.645833333336</v>
      </c>
      <c r="C252" s="108">
        <v>3686.9</v>
      </c>
      <c r="D252" s="261">
        <f t="shared" si="6"/>
        <v>2.2290483051078569E-3</v>
      </c>
      <c r="E252" s="261">
        <v>1.2136106433653425E-2</v>
      </c>
      <c r="F252">
        <v>250</v>
      </c>
      <c r="G252" s="259">
        <f ca="1">_xlfn.NORM.INV(RAND(),'VAR Historical Approach'!K$4,'VAR Historical Approach'!K$5)</f>
        <v>1.9491462162947535E-2</v>
      </c>
    </row>
    <row r="253" spans="2:7" x14ac:dyDescent="0.3">
      <c r="B253" s="102">
        <v>45841.645833333336</v>
      </c>
      <c r="C253" s="108">
        <v>3678.7</v>
      </c>
      <c r="D253" s="261">
        <f t="shared" si="6"/>
        <v>-7.9018338727077087E-3</v>
      </c>
      <c r="E253" s="261">
        <v>1.2126629422718754E-2</v>
      </c>
      <c r="F253">
        <v>251</v>
      </c>
      <c r="G253" s="259">
        <f ca="1">_xlfn.NORM.INV(RAND(),'VAR Historical Approach'!K$4,'VAR Historical Approach'!K$5)</f>
        <v>2.9640939646998652E-3</v>
      </c>
    </row>
    <row r="254" spans="2:7" x14ac:dyDescent="0.3">
      <c r="B254" s="102">
        <v>45840.645833333336</v>
      </c>
      <c r="C254" s="108">
        <v>3708</v>
      </c>
      <c r="D254" s="261">
        <f t="shared" si="6"/>
        <v>2.0267531414673691E-3</v>
      </c>
      <c r="E254" s="261">
        <v>1.2104043265516324E-2</v>
      </c>
      <c r="F254">
        <v>252</v>
      </c>
      <c r="G254" s="259">
        <f ca="1">_xlfn.NORM.INV(RAND(),'VAR Historical Approach'!K$4,'VAR Historical Approach'!K$5)</f>
        <v>2.2234541545934999E-2</v>
      </c>
    </row>
    <row r="255" spans="2:7" x14ac:dyDescent="0.3">
      <c r="B255" s="102">
        <v>45839.645833333336</v>
      </c>
      <c r="C255" s="108">
        <v>3700.5</v>
      </c>
      <c r="D255" s="261">
        <f t="shared" si="6"/>
        <v>2.7911766299930038E-3</v>
      </c>
      <c r="E255" s="261">
        <v>1.2057104815444895E-2</v>
      </c>
      <c r="F255">
        <v>253</v>
      </c>
      <c r="G255" s="259">
        <f ca="1">_xlfn.NORM.INV(RAND(),'VAR Historical Approach'!K$4,'VAR Historical Approach'!K$5)</f>
        <v>8.5202499859297395E-3</v>
      </c>
    </row>
    <row r="256" spans="2:7" x14ac:dyDescent="0.3">
      <c r="B256" s="102">
        <v>45838.645833333336</v>
      </c>
      <c r="C256" s="108">
        <v>3690.2</v>
      </c>
      <c r="D256" s="261">
        <f t="shared" si="6"/>
        <v>6.5462877093448264E-3</v>
      </c>
      <c r="E256" s="261">
        <v>1.2042251693441669E-2</v>
      </c>
      <c r="F256">
        <v>254</v>
      </c>
      <c r="G256" s="259">
        <f ca="1">_xlfn.NORM.INV(RAND(),'VAR Historical Approach'!K$4,'VAR Historical Approach'!K$5)</f>
        <v>-6.4248776411233834E-3</v>
      </c>
    </row>
    <row r="257" spans="2:7" x14ac:dyDescent="0.3">
      <c r="B257" s="102">
        <v>45835.645833333336</v>
      </c>
      <c r="C257" s="108">
        <v>3666.2</v>
      </c>
      <c r="D257" s="261">
        <f t="shared" si="6"/>
        <v>-7.7137521314315106E-3</v>
      </c>
      <c r="E257" s="261">
        <v>1.2002545994604888E-2</v>
      </c>
      <c r="F257">
        <v>255</v>
      </c>
      <c r="G257" s="259">
        <f ca="1">_xlfn.NORM.INV(RAND(),'VAR Historical Approach'!K$4,'VAR Historical Approach'!K$5)</f>
        <v>7.9793677786550929E-3</v>
      </c>
    </row>
    <row r="258" spans="2:7" x14ac:dyDescent="0.3">
      <c r="B258" s="102">
        <v>45834.645833333336</v>
      </c>
      <c r="C258" s="108">
        <v>3694.7</v>
      </c>
      <c r="D258" s="261">
        <f t="shared" si="6"/>
        <v>1.1636821641750179E-2</v>
      </c>
      <c r="E258" s="261">
        <v>1.197486686765659E-2</v>
      </c>
      <c r="F258">
        <v>256</v>
      </c>
      <c r="G258" s="259">
        <f ca="1">_xlfn.NORM.INV(RAND(),'VAR Historical Approach'!K$4,'VAR Historical Approach'!K$5)</f>
        <v>3.5528832435488551E-2</v>
      </c>
    </row>
    <row r="259" spans="2:7" x14ac:dyDescent="0.3">
      <c r="B259" s="102">
        <v>45833.645833333336</v>
      </c>
      <c r="C259" s="108">
        <v>3652.2</v>
      </c>
      <c r="D259" s="261">
        <f t="shared" ref="D259:D322" si="7">(C259-C260)/C260</f>
        <v>3.5791264889393028E-2</v>
      </c>
      <c r="E259" s="261">
        <v>1.1963927196129385E-2</v>
      </c>
      <c r="F259">
        <v>257</v>
      </c>
      <c r="G259" s="259">
        <f ca="1">_xlfn.NORM.INV(RAND(),'VAR Historical Approach'!K$4,'VAR Historical Approach'!K$5)</f>
        <v>1.2310885078333967E-2</v>
      </c>
    </row>
    <row r="260" spans="2:7" x14ac:dyDescent="0.3">
      <c r="B260" s="102">
        <v>45832.645833333336</v>
      </c>
      <c r="C260" s="108">
        <v>3526</v>
      </c>
      <c r="D260" s="261">
        <f t="shared" si="7"/>
        <v>5.7905696437231318E-3</v>
      </c>
      <c r="E260" s="261">
        <v>1.1901449812977217E-2</v>
      </c>
      <c r="F260">
        <v>258</v>
      </c>
      <c r="G260" s="259">
        <f ca="1">_xlfn.NORM.INV(RAND(),'VAR Historical Approach'!K$4,'VAR Historical Approach'!K$5)</f>
        <v>8.8860857920710062E-3</v>
      </c>
    </row>
    <row r="261" spans="2:7" x14ac:dyDescent="0.3">
      <c r="B261" s="102">
        <v>45831.645833333336</v>
      </c>
      <c r="C261" s="108">
        <v>3505.7</v>
      </c>
      <c r="D261" s="261">
        <f t="shared" si="7"/>
        <v>-3.7794828076158516E-3</v>
      </c>
      <c r="E261" s="261">
        <v>1.1884751059447604E-2</v>
      </c>
      <c r="F261">
        <v>259</v>
      </c>
      <c r="G261" s="259">
        <f ca="1">_xlfn.NORM.INV(RAND(),'VAR Historical Approach'!K$4,'VAR Historical Approach'!K$5)</f>
        <v>-5.4282602230553527E-3</v>
      </c>
    </row>
    <row r="262" spans="2:7" x14ac:dyDescent="0.3">
      <c r="B262" s="102">
        <v>45828.645833333336</v>
      </c>
      <c r="C262" s="108">
        <v>3519</v>
      </c>
      <c r="D262" s="261">
        <f t="shared" si="7"/>
        <v>3.8797284190106433E-3</v>
      </c>
      <c r="E262" s="261">
        <v>1.1869610277870262E-2</v>
      </c>
      <c r="F262">
        <v>260</v>
      </c>
      <c r="G262" s="259">
        <f ca="1">_xlfn.NORM.INV(RAND(),'VAR Historical Approach'!K$4,'VAR Historical Approach'!K$5)</f>
        <v>1.114142345770266E-2</v>
      </c>
    </row>
    <row r="263" spans="2:7" x14ac:dyDescent="0.3">
      <c r="B263" s="102">
        <v>45827.645833333336</v>
      </c>
      <c r="C263" s="108">
        <v>3505.4</v>
      </c>
      <c r="D263" s="261">
        <f t="shared" si="7"/>
        <v>1.0842609147009605E-2</v>
      </c>
      <c r="E263" s="261">
        <v>1.1861360718870378E-2</v>
      </c>
      <c r="F263">
        <v>261</v>
      </c>
      <c r="G263" s="259">
        <f ca="1">_xlfn.NORM.INV(RAND(),'VAR Historical Approach'!K$4,'VAR Historical Approach'!K$5)</f>
        <v>2.1710266788159249E-2</v>
      </c>
    </row>
    <row r="264" spans="2:7" x14ac:dyDescent="0.3">
      <c r="B264" s="102">
        <v>45826.645833333336</v>
      </c>
      <c r="C264" s="108">
        <v>3467.8</v>
      </c>
      <c r="D264" s="261">
        <f t="shared" si="7"/>
        <v>1.8234136888158194E-2</v>
      </c>
      <c r="E264" s="261">
        <v>1.1805150158915511E-2</v>
      </c>
      <c r="F264">
        <v>262</v>
      </c>
      <c r="G264" s="259">
        <f ca="1">_xlfn.NORM.INV(RAND(),'VAR Historical Approach'!K$4,'VAR Historical Approach'!K$5)</f>
        <v>-5.4033237351897136E-3</v>
      </c>
    </row>
    <row r="265" spans="2:7" x14ac:dyDescent="0.3">
      <c r="B265" s="102">
        <v>45825.645833333336</v>
      </c>
      <c r="C265" s="108">
        <v>3405.7</v>
      </c>
      <c r="D265" s="261">
        <f t="shared" si="7"/>
        <v>-9.4238096623135131E-3</v>
      </c>
      <c r="E265" s="261">
        <v>1.1636821641750179E-2</v>
      </c>
      <c r="F265">
        <v>263</v>
      </c>
      <c r="G265" s="259">
        <f ca="1">_xlfn.NORM.INV(RAND(),'VAR Historical Approach'!K$4,'VAR Historical Approach'!K$5)</f>
        <v>-1.1256770792920187E-2</v>
      </c>
    </row>
    <row r="266" spans="2:7" x14ac:dyDescent="0.3">
      <c r="B266" s="102">
        <v>45824.645833333336</v>
      </c>
      <c r="C266" s="108">
        <v>3438.1</v>
      </c>
      <c r="D266" s="261">
        <f t="shared" si="7"/>
        <v>4.7342119874922758E-3</v>
      </c>
      <c r="E266" s="261">
        <v>1.1629642697208589E-2</v>
      </c>
      <c r="F266">
        <v>264</v>
      </c>
      <c r="G266" s="259">
        <f ca="1">_xlfn.NORM.INV(RAND(),'VAR Historical Approach'!K$4,'VAR Historical Approach'!K$5)</f>
        <v>9.1776393727895892E-4</v>
      </c>
    </row>
    <row r="267" spans="2:7" x14ac:dyDescent="0.3">
      <c r="B267" s="102">
        <v>45821.645833333336</v>
      </c>
      <c r="C267" s="108">
        <v>3421.9</v>
      </c>
      <c r="D267" s="261">
        <f t="shared" si="7"/>
        <v>-8.9205549280272616E-3</v>
      </c>
      <c r="E267" s="261">
        <v>1.1611692142665643E-2</v>
      </c>
      <c r="F267">
        <v>265</v>
      </c>
      <c r="G267" s="259">
        <f ca="1">_xlfn.NORM.INV(RAND(),'VAR Historical Approach'!K$4,'VAR Historical Approach'!K$5)</f>
        <v>-1.1674694202032485E-3</v>
      </c>
    </row>
    <row r="268" spans="2:7" x14ac:dyDescent="0.3">
      <c r="B268" s="102">
        <v>45820.645833333336</v>
      </c>
      <c r="C268" s="108">
        <v>3452.7</v>
      </c>
      <c r="D268" s="261">
        <f t="shared" si="7"/>
        <v>-2.5101648972215975E-2</v>
      </c>
      <c r="E268" s="261">
        <v>1.1563397090604105E-2</v>
      </c>
      <c r="F268">
        <v>266</v>
      </c>
      <c r="G268" s="259">
        <f ca="1">_xlfn.NORM.INV(RAND(),'VAR Historical Approach'!K$4,'VAR Historical Approach'!K$5)</f>
        <v>-9.0286140380314622E-4</v>
      </c>
    </row>
    <row r="269" spans="2:7" x14ac:dyDescent="0.3">
      <c r="B269" s="102">
        <v>45819.645833333336</v>
      </c>
      <c r="C269" s="108">
        <v>3541.6</v>
      </c>
      <c r="D269" s="261">
        <f t="shared" si="7"/>
        <v>4.9372907326485707E-3</v>
      </c>
      <c r="E269" s="261">
        <v>1.1532639773191416E-2</v>
      </c>
      <c r="F269">
        <v>267</v>
      </c>
      <c r="G269" s="259">
        <f ca="1">_xlfn.NORM.INV(RAND(),'VAR Historical Approach'!K$4,'VAR Historical Approach'!K$5)</f>
        <v>-1.8386352804056382E-2</v>
      </c>
    </row>
    <row r="270" spans="2:7" x14ac:dyDescent="0.3">
      <c r="B270" s="102">
        <v>45818.645833333336</v>
      </c>
      <c r="C270" s="108">
        <v>3524.2</v>
      </c>
      <c r="D270" s="261">
        <f t="shared" si="7"/>
        <v>-2.744842808228946E-3</v>
      </c>
      <c r="E270" s="261">
        <v>1.1476842411884675E-2</v>
      </c>
      <c r="F270">
        <v>268</v>
      </c>
      <c r="G270" s="259">
        <f ca="1">_xlfn.NORM.INV(RAND(),'VAR Historical Approach'!K$4,'VAR Historical Approach'!K$5)</f>
        <v>2.7985049360116153E-3</v>
      </c>
    </row>
    <row r="271" spans="2:7" x14ac:dyDescent="0.3">
      <c r="B271" s="102">
        <v>45817.645833333336</v>
      </c>
      <c r="C271" s="108">
        <v>3533.9</v>
      </c>
      <c r="D271" s="261">
        <f t="shared" si="7"/>
        <v>-7.3035759431444702E-3</v>
      </c>
      <c r="E271" s="261">
        <v>1.1409093031581269E-2</v>
      </c>
      <c r="F271">
        <v>269</v>
      </c>
      <c r="G271" s="259">
        <f ca="1">_xlfn.NORM.INV(RAND(),'VAR Historical Approach'!K$4,'VAR Historical Approach'!K$5)</f>
        <v>5.5569991551301483E-3</v>
      </c>
    </row>
    <row r="272" spans="2:7" x14ac:dyDescent="0.3">
      <c r="B272" s="102">
        <v>45814.645833333336</v>
      </c>
      <c r="C272" s="108">
        <v>3559.9</v>
      </c>
      <c r="D272" s="261">
        <f t="shared" si="7"/>
        <v>1.5953196347031989E-2</v>
      </c>
      <c r="E272" s="261">
        <v>1.1380841399724348E-2</v>
      </c>
      <c r="F272">
        <v>270</v>
      </c>
      <c r="G272" s="259">
        <f ca="1">_xlfn.NORM.INV(RAND(),'VAR Historical Approach'!K$4,'VAR Historical Approach'!K$5)</f>
        <v>1.3929707676975239E-3</v>
      </c>
    </row>
    <row r="273" spans="2:7" x14ac:dyDescent="0.3">
      <c r="B273" s="102">
        <v>45813.645833333336</v>
      </c>
      <c r="C273" s="108">
        <v>3504</v>
      </c>
      <c r="D273" s="261">
        <f t="shared" si="7"/>
        <v>1.2000685753471108E-3</v>
      </c>
      <c r="E273" s="261">
        <v>1.1278395488641828E-2</v>
      </c>
      <c r="F273">
        <v>271</v>
      </c>
      <c r="G273" s="259">
        <f ca="1">_xlfn.NORM.INV(RAND(),'VAR Historical Approach'!K$4,'VAR Historical Approach'!K$5)</f>
        <v>2.2197754750768156E-2</v>
      </c>
    </row>
    <row r="274" spans="2:7" x14ac:dyDescent="0.3">
      <c r="B274" s="102">
        <v>45812.645833333336</v>
      </c>
      <c r="C274" s="108">
        <v>3499.8</v>
      </c>
      <c r="D274" s="261">
        <f t="shared" si="7"/>
        <v>-5.6821410307403824E-3</v>
      </c>
      <c r="E274" s="261">
        <v>1.1201344161299356E-2</v>
      </c>
      <c r="F274">
        <v>272</v>
      </c>
      <c r="G274" s="259">
        <f ca="1">_xlfn.NORM.INV(RAND(),'VAR Historical Approach'!K$4,'VAR Historical Approach'!K$5)</f>
        <v>-2.0611179250547276E-3</v>
      </c>
    </row>
    <row r="275" spans="2:7" x14ac:dyDescent="0.3">
      <c r="B275" s="102">
        <v>45811.645833333336</v>
      </c>
      <c r="C275" s="108">
        <v>3519.8</v>
      </c>
      <c r="D275" s="261">
        <f t="shared" si="7"/>
        <v>-1.6167919444049974E-3</v>
      </c>
      <c r="E275" s="261">
        <v>1.1193727624694149E-2</v>
      </c>
      <c r="F275">
        <v>273</v>
      </c>
      <c r="G275" s="259">
        <f ca="1">_xlfn.NORM.INV(RAND(),'VAR Historical Approach'!K$4,'VAR Historical Approach'!K$5)</f>
        <v>1.2125134225114759E-2</v>
      </c>
    </row>
    <row r="276" spans="2:7" x14ac:dyDescent="0.3">
      <c r="B276" s="102">
        <v>45810.645833333336</v>
      </c>
      <c r="C276" s="108">
        <v>3525.5</v>
      </c>
      <c r="D276" s="261">
        <f t="shared" si="7"/>
        <v>-8.2981715893108293E-3</v>
      </c>
      <c r="E276" s="261">
        <v>1.1143123464113289E-2</v>
      </c>
      <c r="F276">
        <v>274</v>
      </c>
      <c r="G276" s="259">
        <f ca="1">_xlfn.NORM.INV(RAND(),'VAR Historical Approach'!K$4,'VAR Historical Approach'!K$5)</f>
        <v>3.3588839879314041E-2</v>
      </c>
    </row>
    <row r="277" spans="2:7" x14ac:dyDescent="0.3">
      <c r="B277" s="102">
        <v>45807.645833333336</v>
      </c>
      <c r="C277" s="108">
        <v>3555</v>
      </c>
      <c r="D277" s="261">
        <f t="shared" si="7"/>
        <v>-9.2801605216955609E-3</v>
      </c>
      <c r="E277" s="261">
        <v>1.1050297009156678E-2</v>
      </c>
      <c r="F277">
        <v>275</v>
      </c>
      <c r="G277" s="259">
        <f ca="1">_xlfn.NORM.INV(RAND(),'VAR Historical Approach'!K$4,'VAR Historical Approach'!K$5)</f>
        <v>5.7949171867269591E-4</v>
      </c>
    </row>
    <row r="278" spans="2:7" x14ac:dyDescent="0.3">
      <c r="B278" s="102">
        <v>45806.645833333336</v>
      </c>
      <c r="C278" s="108">
        <v>3588.3</v>
      </c>
      <c r="D278" s="261">
        <f t="shared" si="7"/>
        <v>3.8045150642012937E-3</v>
      </c>
      <c r="E278" s="261">
        <v>1.1045705199769981E-2</v>
      </c>
      <c r="F278">
        <v>276</v>
      </c>
      <c r="G278" s="259">
        <f ca="1">_xlfn.NORM.INV(RAND(),'VAR Historical Approach'!K$4,'VAR Historical Approach'!K$5)</f>
        <v>6.7105278360754814E-3</v>
      </c>
    </row>
    <row r="279" spans="2:7" x14ac:dyDescent="0.3">
      <c r="B279" s="102">
        <v>45805.645833333336</v>
      </c>
      <c r="C279" s="108">
        <v>3574.7</v>
      </c>
      <c r="D279" s="261">
        <f t="shared" si="7"/>
        <v>-4.0953919875188812E-3</v>
      </c>
      <c r="E279" s="261">
        <v>1.0929116068907037E-2</v>
      </c>
      <c r="F279">
        <v>277</v>
      </c>
      <c r="G279" s="259">
        <f ca="1">_xlfn.NORM.INV(RAND(),'VAR Historical Approach'!K$4,'VAR Historical Approach'!K$5)</f>
        <v>1.2895610018183831E-2</v>
      </c>
    </row>
    <row r="280" spans="2:7" x14ac:dyDescent="0.3">
      <c r="B280" s="102">
        <v>45804.645833333336</v>
      </c>
      <c r="C280" s="108">
        <v>3589.4</v>
      </c>
      <c r="D280" s="261">
        <f t="shared" si="7"/>
        <v>-5.7889926044927265E-3</v>
      </c>
      <c r="E280" s="261">
        <v>1.0925370682219476E-2</v>
      </c>
      <c r="F280">
        <v>278</v>
      </c>
      <c r="G280" s="259">
        <f ca="1">_xlfn.NORM.INV(RAND(),'VAR Historical Approach'!K$4,'VAR Historical Approach'!K$5)</f>
        <v>-3.4947785176380518E-3</v>
      </c>
    </row>
    <row r="281" spans="2:7" x14ac:dyDescent="0.3">
      <c r="B281" s="102">
        <v>45803.645833333336</v>
      </c>
      <c r="C281" s="108">
        <v>3610.3</v>
      </c>
      <c r="D281" s="261">
        <f t="shared" si="7"/>
        <v>8.5482023633266374E-3</v>
      </c>
      <c r="E281" s="261">
        <v>1.0878333781504388E-2</v>
      </c>
      <c r="F281">
        <v>279</v>
      </c>
      <c r="G281" s="259">
        <f ca="1">_xlfn.NORM.INV(RAND(),'VAR Historical Approach'!K$4,'VAR Historical Approach'!K$5)</f>
        <v>-4.885762652089373E-3</v>
      </c>
    </row>
    <row r="282" spans="2:7" x14ac:dyDescent="0.3">
      <c r="B282" s="102">
        <v>45800.645833333336</v>
      </c>
      <c r="C282" s="108">
        <v>3579.7</v>
      </c>
      <c r="D282" s="261">
        <f t="shared" si="7"/>
        <v>1.0929116068907037E-2</v>
      </c>
      <c r="E282" s="261">
        <v>1.0874264241295692E-2</v>
      </c>
      <c r="F282">
        <v>280</v>
      </c>
      <c r="G282" s="259">
        <f ca="1">_xlfn.NORM.INV(RAND(),'VAR Historical Approach'!K$4,'VAR Historical Approach'!K$5)</f>
        <v>-2.7539895781892717E-3</v>
      </c>
    </row>
    <row r="283" spans="2:7" x14ac:dyDescent="0.3">
      <c r="B283" s="102">
        <v>45799.645833333336</v>
      </c>
      <c r="C283" s="108">
        <v>3541</v>
      </c>
      <c r="D283" s="261">
        <f t="shared" si="7"/>
        <v>-1.1031978773914259E-2</v>
      </c>
      <c r="E283" s="261">
        <v>1.085454904282613E-2</v>
      </c>
      <c r="F283">
        <v>281</v>
      </c>
      <c r="G283" s="259">
        <f ca="1">_xlfn.NORM.INV(RAND(),'VAR Historical Approach'!K$4,'VAR Historical Approach'!K$5)</f>
        <v>-1.4245229796634598E-5</v>
      </c>
    </row>
    <row r="284" spans="2:7" x14ac:dyDescent="0.3">
      <c r="B284" s="102">
        <v>45798.645833333336</v>
      </c>
      <c r="C284" s="108">
        <v>3580.5</v>
      </c>
      <c r="D284" s="261">
        <f t="shared" si="7"/>
        <v>-2.7928280176481331E-5</v>
      </c>
      <c r="E284" s="261">
        <v>1.0846966132297447E-2</v>
      </c>
      <c r="F284">
        <v>282</v>
      </c>
      <c r="G284" s="259">
        <f ca="1">_xlfn.NORM.INV(RAND(),'VAR Historical Approach'!K$4,'VAR Historical Approach'!K$5)</f>
        <v>3.5297299908088761E-2</v>
      </c>
    </row>
    <row r="285" spans="2:7" x14ac:dyDescent="0.3">
      <c r="B285" s="102">
        <v>45797.645833333336</v>
      </c>
      <c r="C285" s="108">
        <v>3580.6</v>
      </c>
      <c r="D285" s="261">
        <f t="shared" si="7"/>
        <v>-1.0255134477706805E-2</v>
      </c>
      <c r="E285" s="261">
        <v>1.0842609147009605E-2</v>
      </c>
      <c r="F285">
        <v>283</v>
      </c>
      <c r="G285" s="259">
        <f ca="1">_xlfn.NORM.INV(RAND(),'VAR Historical Approach'!K$4,'VAR Historical Approach'!K$5)</f>
        <v>-1.2372610176046963E-2</v>
      </c>
    </row>
    <row r="286" spans="2:7" x14ac:dyDescent="0.3">
      <c r="B286" s="102">
        <v>45796.645833333336</v>
      </c>
      <c r="C286" s="108">
        <v>3617.7</v>
      </c>
      <c r="D286" s="261">
        <f t="shared" si="7"/>
        <v>-4.4032253625780884E-3</v>
      </c>
      <c r="E286" s="261">
        <v>1.0841240965632394E-2</v>
      </c>
      <c r="F286">
        <v>284</v>
      </c>
      <c r="G286" s="259">
        <f ca="1">_xlfn.NORM.INV(RAND(),'VAR Historical Approach'!K$4,'VAR Historical Approach'!K$5)</f>
        <v>-1.042319227026677E-2</v>
      </c>
    </row>
    <row r="287" spans="2:7" x14ac:dyDescent="0.3">
      <c r="B287" s="102">
        <v>45793.645833333336</v>
      </c>
      <c r="C287" s="108">
        <v>3633.7</v>
      </c>
      <c r="D287" s="261">
        <f t="shared" si="7"/>
        <v>-8.5239771227462705E-4</v>
      </c>
      <c r="E287" s="261">
        <v>1.0833986445991425E-2</v>
      </c>
      <c r="F287">
        <v>285</v>
      </c>
      <c r="G287" s="259">
        <f ca="1">_xlfn.NORM.INV(RAND(),'VAR Historical Approach'!K$4,'VAR Historical Approach'!K$5)</f>
        <v>-8.6197284626194012E-3</v>
      </c>
    </row>
    <row r="288" spans="2:7" x14ac:dyDescent="0.3">
      <c r="B288" s="102">
        <v>45792.645833333336</v>
      </c>
      <c r="C288" s="108">
        <v>3636.8</v>
      </c>
      <c r="D288" s="261">
        <f t="shared" si="7"/>
        <v>1.371390344520021E-2</v>
      </c>
      <c r="E288" s="261">
        <v>1.0765652038240127E-2</v>
      </c>
      <c r="F288">
        <v>286</v>
      </c>
      <c r="G288" s="259">
        <f ca="1">_xlfn.NORM.INV(RAND(),'VAR Historical Approach'!K$4,'VAR Historical Approach'!K$5)</f>
        <v>-1.0665426649513657E-2</v>
      </c>
    </row>
    <row r="289" spans="2:7" x14ac:dyDescent="0.3">
      <c r="B289" s="102">
        <v>45791.645833333336</v>
      </c>
      <c r="C289" s="108">
        <v>3587.6</v>
      </c>
      <c r="D289" s="261">
        <f t="shared" si="7"/>
        <v>6.8477772788504976E-3</v>
      </c>
      <c r="E289" s="261">
        <v>1.0677991809494863E-2</v>
      </c>
      <c r="F289">
        <v>287</v>
      </c>
      <c r="G289" s="259">
        <f ca="1">_xlfn.NORM.INV(RAND(),'VAR Historical Approach'!K$4,'VAR Historical Approach'!K$5)</f>
        <v>-2.5230785654052915E-2</v>
      </c>
    </row>
    <row r="290" spans="2:7" x14ac:dyDescent="0.3">
      <c r="B290" s="102">
        <v>45790.645833333336</v>
      </c>
      <c r="C290" s="108">
        <v>3563.2</v>
      </c>
      <c r="D290" s="261">
        <f t="shared" si="7"/>
        <v>8.4201072160242261E-5</v>
      </c>
      <c r="E290" s="261">
        <v>1.0656934306569343E-2</v>
      </c>
      <c r="F290">
        <v>288</v>
      </c>
      <c r="G290" s="259">
        <f ca="1">_xlfn.NORM.INV(RAND(),'VAR Historical Approach'!K$4,'VAR Historical Approach'!K$5)</f>
        <v>1.4948026932676774E-2</v>
      </c>
    </row>
    <row r="291" spans="2:7" x14ac:dyDescent="0.3">
      <c r="B291" s="102">
        <v>45789.645833333336</v>
      </c>
      <c r="C291" s="108">
        <v>3562.9</v>
      </c>
      <c r="D291" s="261">
        <f t="shared" si="7"/>
        <v>1.4984474261459107E-2</v>
      </c>
      <c r="E291" s="261">
        <v>1.0625227520931885E-2</v>
      </c>
      <c r="F291">
        <v>289</v>
      </c>
      <c r="G291" s="259">
        <f ca="1">_xlfn.NORM.INV(RAND(),'VAR Historical Approach'!K$4,'VAR Historical Approach'!K$5)</f>
        <v>2.5611093141582768E-2</v>
      </c>
    </row>
    <row r="292" spans="2:7" x14ac:dyDescent="0.3">
      <c r="B292" s="102">
        <v>45786.645833333336</v>
      </c>
      <c r="C292" s="108">
        <v>3510.3</v>
      </c>
      <c r="D292" s="261">
        <f t="shared" si="7"/>
        <v>4.1848455168729405E-2</v>
      </c>
      <c r="E292" s="261">
        <v>1.059156579461139E-2</v>
      </c>
      <c r="F292">
        <v>290</v>
      </c>
      <c r="G292" s="259">
        <f ca="1">_xlfn.NORM.INV(RAND(),'VAR Historical Approach'!K$4,'VAR Historical Approach'!K$5)</f>
        <v>1.0388305800602815E-2</v>
      </c>
    </row>
    <row r="293" spans="2:7" x14ac:dyDescent="0.3">
      <c r="B293" s="102">
        <v>45785.645833333336</v>
      </c>
      <c r="C293" s="108">
        <v>3369.3</v>
      </c>
      <c r="D293" s="261">
        <f t="shared" si="7"/>
        <v>9.1047949923627816E-3</v>
      </c>
      <c r="E293" s="261">
        <v>1.0582531924956789E-2</v>
      </c>
      <c r="F293">
        <v>291</v>
      </c>
      <c r="G293" s="259">
        <f ca="1">_xlfn.NORM.INV(RAND(),'VAR Historical Approach'!K$4,'VAR Historical Approach'!K$5)</f>
        <v>1.5196872226491236E-2</v>
      </c>
    </row>
    <row r="294" spans="2:7" x14ac:dyDescent="0.3">
      <c r="B294" s="102">
        <v>45784.645833333336</v>
      </c>
      <c r="C294" s="108">
        <v>3338.9</v>
      </c>
      <c r="D294" s="261">
        <f t="shared" si="7"/>
        <v>1.2002545994604888E-2</v>
      </c>
      <c r="E294" s="261">
        <v>1.050177479994119E-2</v>
      </c>
      <c r="F294">
        <v>292</v>
      </c>
      <c r="G294" s="259">
        <f ca="1">_xlfn.NORM.INV(RAND(),'VAR Historical Approach'!K$4,'VAR Historical Approach'!K$5)</f>
        <v>4.7457956327631454E-3</v>
      </c>
    </row>
    <row r="295" spans="2:7" x14ac:dyDescent="0.3">
      <c r="B295" s="102">
        <v>45783.645833333336</v>
      </c>
      <c r="C295" s="108">
        <v>3299.3</v>
      </c>
      <c r="D295" s="261">
        <f t="shared" si="7"/>
        <v>-6.7734360888674809E-3</v>
      </c>
      <c r="E295" s="261">
        <v>1.0454655968879052E-2</v>
      </c>
      <c r="F295">
        <v>293</v>
      </c>
      <c r="G295" s="259">
        <f ca="1">_xlfn.NORM.INV(RAND(),'VAR Historical Approach'!K$4,'VAR Historical Approach'!K$5)</f>
        <v>-1.0331547468839812E-2</v>
      </c>
    </row>
    <row r="296" spans="2:7" x14ac:dyDescent="0.3">
      <c r="B296" s="102">
        <v>45782.645833333336</v>
      </c>
      <c r="C296" s="108">
        <v>3321.8</v>
      </c>
      <c r="D296" s="261">
        <f t="shared" si="7"/>
        <v>-5.7467824004788443E-3</v>
      </c>
      <c r="E296" s="261">
        <v>1.0428788168922828E-2</v>
      </c>
      <c r="F296">
        <v>294</v>
      </c>
      <c r="G296" s="259">
        <f ca="1">_xlfn.NORM.INV(RAND(),'VAR Historical Approach'!K$4,'VAR Historical Approach'!K$5)</f>
        <v>-2.273747700701554E-2</v>
      </c>
    </row>
    <row r="297" spans="2:7" x14ac:dyDescent="0.3">
      <c r="B297" s="102">
        <v>45779.645833333336</v>
      </c>
      <c r="C297" s="108">
        <v>3341</v>
      </c>
      <c r="D297" s="261">
        <f t="shared" si="7"/>
        <v>-1.1450720478148895E-2</v>
      </c>
      <c r="E297" s="261">
        <v>1.0318897089541897E-2</v>
      </c>
      <c r="F297">
        <v>295</v>
      </c>
      <c r="G297" s="259">
        <f ca="1">_xlfn.NORM.INV(RAND(),'VAR Historical Approach'!K$4,'VAR Historical Approach'!K$5)</f>
        <v>-1.4292540319412593E-2</v>
      </c>
    </row>
    <row r="298" spans="2:7" x14ac:dyDescent="0.3">
      <c r="B298" s="102">
        <v>45777.645833333336</v>
      </c>
      <c r="C298" s="108">
        <v>3379.7</v>
      </c>
      <c r="D298" s="261">
        <f t="shared" si="7"/>
        <v>3.2557864204105517E-4</v>
      </c>
      <c r="E298" s="261">
        <v>1.0305098489711796E-2</v>
      </c>
      <c r="F298">
        <v>296</v>
      </c>
      <c r="G298" s="259">
        <f ca="1">_xlfn.NORM.INV(RAND(),'VAR Historical Approach'!K$4,'VAR Historical Approach'!K$5)</f>
        <v>3.2835780745398952E-3</v>
      </c>
    </row>
    <row r="299" spans="2:7" x14ac:dyDescent="0.3">
      <c r="B299" s="102">
        <v>45776.645833333336</v>
      </c>
      <c r="C299" s="108">
        <v>3378.6</v>
      </c>
      <c r="D299" s="261">
        <f t="shared" si="7"/>
        <v>2.8197441453207089E-3</v>
      </c>
      <c r="E299" s="261">
        <v>1.0289355478951242E-2</v>
      </c>
      <c r="F299">
        <v>297</v>
      </c>
      <c r="G299" s="259">
        <f ca="1">_xlfn.NORM.INV(RAND(),'VAR Historical Approach'!K$4,'VAR Historical Approach'!K$5)</f>
        <v>3.4326883181517956E-2</v>
      </c>
    </row>
    <row r="300" spans="2:7" x14ac:dyDescent="0.3">
      <c r="B300" s="102">
        <v>45775.645833333336</v>
      </c>
      <c r="C300" s="108">
        <v>3369.1</v>
      </c>
      <c r="D300" s="261">
        <f t="shared" si="7"/>
        <v>1.1589207179365539E-3</v>
      </c>
      <c r="E300" s="261">
        <v>1.0288896919708261E-2</v>
      </c>
      <c r="F300">
        <v>298</v>
      </c>
      <c r="G300" s="259">
        <f ca="1">_xlfn.NORM.INV(RAND(),'VAR Historical Approach'!K$4,'VAR Historical Approach'!K$5)</f>
        <v>4.0475569948331971E-4</v>
      </c>
    </row>
    <row r="301" spans="2:7" x14ac:dyDescent="0.3">
      <c r="B301" s="102">
        <v>45772.645833333336</v>
      </c>
      <c r="C301" s="108">
        <v>3365.2</v>
      </c>
      <c r="D301" s="261">
        <f t="shared" si="7"/>
        <v>-5.1439720924732722E-3</v>
      </c>
      <c r="E301" s="261">
        <v>1.0209901893680092E-2</v>
      </c>
      <c r="F301">
        <v>299</v>
      </c>
      <c r="G301" s="259">
        <f ca="1">_xlfn.NORM.INV(RAND(),'VAR Historical Approach'!K$4,'VAR Historical Approach'!K$5)</f>
        <v>1.7510759142735428E-2</v>
      </c>
    </row>
    <row r="302" spans="2:7" x14ac:dyDescent="0.3">
      <c r="B302" s="102">
        <v>45771.645833333336</v>
      </c>
      <c r="C302" s="108">
        <v>3382.6</v>
      </c>
      <c r="D302" s="261">
        <f t="shared" si="7"/>
        <v>7.5358174723735519E-3</v>
      </c>
      <c r="E302" s="261">
        <v>1.0179749271380959E-2</v>
      </c>
      <c r="F302">
        <v>300</v>
      </c>
      <c r="G302" s="259">
        <f ca="1">_xlfn.NORM.INV(RAND(),'VAR Historical Approach'!K$4,'VAR Historical Approach'!K$5)</f>
        <v>2.5993423547834932E-2</v>
      </c>
    </row>
    <row r="303" spans="2:7" x14ac:dyDescent="0.3">
      <c r="B303" s="102">
        <v>45770.645833333336</v>
      </c>
      <c r="C303" s="108">
        <v>3357.3</v>
      </c>
      <c r="D303" s="261">
        <f t="shared" si="7"/>
        <v>5.962725474920624E-3</v>
      </c>
      <c r="E303" s="261">
        <v>1.0151085930122709E-2</v>
      </c>
      <c r="F303">
        <v>301</v>
      </c>
      <c r="G303" s="259">
        <f ca="1">_xlfn.NORM.INV(RAND(),'VAR Historical Approach'!K$4,'VAR Historical Approach'!K$5)</f>
        <v>1.5199358903478443E-2</v>
      </c>
    </row>
    <row r="304" spans="2:7" x14ac:dyDescent="0.3">
      <c r="B304" s="102">
        <v>45769.645833333336</v>
      </c>
      <c r="C304" s="108">
        <v>3337.4</v>
      </c>
      <c r="D304" s="261">
        <f t="shared" si="7"/>
        <v>3.8967656844824257E-4</v>
      </c>
      <c r="E304" s="261">
        <v>1.012006861063461E-2</v>
      </c>
      <c r="F304">
        <v>302</v>
      </c>
      <c r="G304" s="259">
        <f ca="1">_xlfn.NORM.INV(RAND(),'VAR Historical Approach'!K$4,'VAR Historical Approach'!K$5)</f>
        <v>2.8825881159490769E-2</v>
      </c>
    </row>
    <row r="305" spans="2:7" x14ac:dyDescent="0.3">
      <c r="B305" s="102">
        <v>45768.645833333336</v>
      </c>
      <c r="C305" s="108">
        <v>3336.1</v>
      </c>
      <c r="D305" s="261">
        <f t="shared" si="7"/>
        <v>2.5845229151014002E-3</v>
      </c>
      <c r="E305" s="261">
        <v>1.0119565039116927E-2</v>
      </c>
      <c r="F305">
        <v>303</v>
      </c>
      <c r="G305" s="259">
        <f ca="1">_xlfn.NORM.INV(RAND(),'VAR Historical Approach'!K$4,'VAR Historical Approach'!K$5)</f>
        <v>-1.1725947614805733E-2</v>
      </c>
    </row>
    <row r="306" spans="2:7" x14ac:dyDescent="0.3">
      <c r="B306" s="102">
        <v>45764.645833333336</v>
      </c>
      <c r="C306" s="108">
        <v>3327.5</v>
      </c>
      <c r="D306" s="261">
        <f t="shared" si="7"/>
        <v>1.6931022890498484E-2</v>
      </c>
      <c r="E306" s="261">
        <v>1.0078543129213873E-2</v>
      </c>
      <c r="F306">
        <v>304</v>
      </c>
      <c r="G306" s="259">
        <f ca="1">_xlfn.NORM.INV(RAND(),'VAR Historical Approach'!K$4,'VAR Historical Approach'!K$5)</f>
        <v>-7.1582354350118249E-3</v>
      </c>
    </row>
    <row r="307" spans="2:7" x14ac:dyDescent="0.3">
      <c r="B307" s="102">
        <v>45763.645833333336</v>
      </c>
      <c r="C307" s="108">
        <v>3272.1</v>
      </c>
      <c r="D307" s="261">
        <f t="shared" si="7"/>
        <v>-3.9714058776812544E-4</v>
      </c>
      <c r="E307" s="261">
        <v>9.9988473951129024E-3</v>
      </c>
      <c r="F307">
        <v>305</v>
      </c>
      <c r="G307" s="259">
        <f ca="1">_xlfn.NORM.INV(RAND(),'VAR Historical Approach'!K$4,'VAR Historical Approach'!K$5)</f>
        <v>-7.2306906884115382E-4</v>
      </c>
    </row>
    <row r="308" spans="2:7" x14ac:dyDescent="0.3">
      <c r="B308" s="102">
        <v>45762.645833333336</v>
      </c>
      <c r="C308" s="108">
        <v>3273.4</v>
      </c>
      <c r="D308" s="261">
        <f t="shared" si="7"/>
        <v>1.1901449812977217E-2</v>
      </c>
      <c r="E308" s="261">
        <v>9.8798915149168175E-3</v>
      </c>
      <c r="F308">
        <v>306</v>
      </c>
      <c r="G308" s="259">
        <f ca="1">_xlfn.NORM.INV(RAND(),'VAR Historical Approach'!K$4,'VAR Historical Approach'!K$5)</f>
        <v>1.7151017973928103E-3</v>
      </c>
    </row>
    <row r="309" spans="2:7" x14ac:dyDescent="0.3">
      <c r="B309" s="102">
        <v>45758.645833333336</v>
      </c>
      <c r="C309" s="108">
        <v>3234.9</v>
      </c>
      <c r="D309" s="261">
        <f t="shared" si="7"/>
        <v>1.9138982089693304E-2</v>
      </c>
      <c r="E309" s="261">
        <v>9.8609975470155646E-3</v>
      </c>
      <c r="F309">
        <v>307</v>
      </c>
      <c r="G309" s="259">
        <f ca="1">_xlfn.NORM.INV(RAND(),'VAR Historical Approach'!K$4,'VAR Historical Approach'!K$5)</f>
        <v>-4.3547432154048438E-2</v>
      </c>
    </row>
    <row r="310" spans="2:7" x14ac:dyDescent="0.3">
      <c r="B310" s="102">
        <v>45756.645833333336</v>
      </c>
      <c r="C310" s="108">
        <v>3174.15</v>
      </c>
      <c r="D310" s="261">
        <f t="shared" si="7"/>
        <v>1.6606347884572239E-2</v>
      </c>
      <c r="E310" s="261">
        <v>9.8496808291577385E-3</v>
      </c>
      <c r="F310">
        <v>308</v>
      </c>
      <c r="G310" s="259">
        <f ca="1">_xlfn.NORM.INV(RAND(),'VAR Historical Approach'!K$4,'VAR Historical Approach'!K$5)</f>
        <v>-3.0237632668240012E-2</v>
      </c>
    </row>
    <row r="311" spans="2:7" x14ac:dyDescent="0.3">
      <c r="B311" s="102">
        <v>45755.645833333336</v>
      </c>
      <c r="C311" s="108">
        <v>3122.3</v>
      </c>
      <c r="D311" s="261">
        <f t="shared" si="7"/>
        <v>3.3121567070346226E-2</v>
      </c>
      <c r="E311" s="261">
        <v>9.797141539880129E-3</v>
      </c>
      <c r="F311">
        <v>309</v>
      </c>
      <c r="G311" s="259">
        <f ca="1">_xlfn.NORM.INV(RAND(),'VAR Historical Approach'!K$4,'VAR Historical Approach'!K$5)</f>
        <v>1.4069541634340259E-2</v>
      </c>
    </row>
    <row r="312" spans="2:7" x14ac:dyDescent="0.3">
      <c r="B312" s="102">
        <v>45754.645833333336</v>
      </c>
      <c r="C312" s="108">
        <v>3022.2</v>
      </c>
      <c r="D312" s="261">
        <f t="shared" si="7"/>
        <v>-1.7554125219426567E-2</v>
      </c>
      <c r="E312" s="261">
        <v>9.6526978803065464E-3</v>
      </c>
      <c r="F312">
        <v>310</v>
      </c>
      <c r="G312" s="259">
        <f ca="1">_xlfn.NORM.INV(RAND(),'VAR Historical Approach'!K$4,'VAR Historical Approach'!K$5)</f>
        <v>-1.7569806328046545E-2</v>
      </c>
    </row>
    <row r="313" spans="2:7" x14ac:dyDescent="0.3">
      <c r="B313" s="102">
        <v>45751.645833333336</v>
      </c>
      <c r="C313" s="108">
        <v>3076.2</v>
      </c>
      <c r="D313" s="261">
        <f t="shared" si="7"/>
        <v>-1.641860242042505E-2</v>
      </c>
      <c r="E313" s="261">
        <v>9.6033193354636247E-3</v>
      </c>
      <c r="F313">
        <v>311</v>
      </c>
      <c r="G313" s="259">
        <f ca="1">_xlfn.NORM.INV(RAND(),'VAR Historical Approach'!K$4,'VAR Historical Approach'!K$5)</f>
        <v>9.8545131939946698E-3</v>
      </c>
    </row>
    <row r="314" spans="2:7" x14ac:dyDescent="0.3">
      <c r="B314" s="102">
        <v>45750.645833333336</v>
      </c>
      <c r="C314" s="108">
        <v>3127.55</v>
      </c>
      <c r="D314" s="261">
        <f t="shared" si="7"/>
        <v>9.3917926705289305E-3</v>
      </c>
      <c r="E314" s="261">
        <v>9.569256542376392E-3</v>
      </c>
      <c r="F314">
        <v>312</v>
      </c>
      <c r="G314" s="259">
        <f ca="1">_xlfn.NORM.INV(RAND(),'VAR Historical Approach'!K$4,'VAR Historical Approach'!K$5)</f>
        <v>1.9078036559652161E-2</v>
      </c>
    </row>
    <row r="315" spans="2:7" x14ac:dyDescent="0.3">
      <c r="B315" s="102">
        <v>45749.645833333336</v>
      </c>
      <c r="C315" s="108">
        <v>3098.45</v>
      </c>
      <c r="D315" s="261">
        <f t="shared" si="7"/>
        <v>3.7329048025577932E-2</v>
      </c>
      <c r="E315" s="261">
        <v>9.5566276131403075E-3</v>
      </c>
      <c r="F315">
        <v>313</v>
      </c>
      <c r="G315" s="259">
        <f ca="1">_xlfn.NORM.INV(RAND(),'VAR Historical Approach'!K$4,'VAR Historical Approach'!K$5)</f>
        <v>-1.166023344586699E-3</v>
      </c>
    </row>
    <row r="316" spans="2:7" x14ac:dyDescent="0.3">
      <c r="B316" s="102">
        <v>45748.645833333336</v>
      </c>
      <c r="C316" s="108">
        <v>2986.95</v>
      </c>
      <c r="D316" s="261">
        <f t="shared" si="7"/>
        <v>-2.4940016648440463E-2</v>
      </c>
      <c r="E316" s="261">
        <v>9.5445868557403873E-3</v>
      </c>
      <c r="F316">
        <v>314</v>
      </c>
      <c r="G316" s="259">
        <f ca="1">_xlfn.NORM.INV(RAND(),'VAR Historical Approach'!K$4,'VAR Historical Approach'!K$5)</f>
        <v>-1.3219243655029416E-2</v>
      </c>
    </row>
    <row r="317" spans="2:7" x14ac:dyDescent="0.3">
      <c r="B317" s="102">
        <v>45744.645833333336</v>
      </c>
      <c r="C317" s="108">
        <v>3063.35</v>
      </c>
      <c r="D317" s="261">
        <f t="shared" si="7"/>
        <v>-7.8700629928910928E-3</v>
      </c>
      <c r="E317" s="261">
        <v>9.5116645412946718E-3</v>
      </c>
      <c r="F317">
        <v>315</v>
      </c>
      <c r="G317" s="259">
        <f ca="1">_xlfn.NORM.INV(RAND(),'VAR Historical Approach'!K$4,'VAR Historical Approach'!K$5)</f>
        <v>1.9108382133266821E-2</v>
      </c>
    </row>
    <row r="318" spans="2:7" x14ac:dyDescent="0.3">
      <c r="B318" s="102">
        <v>45743.645833333336</v>
      </c>
      <c r="C318" s="108">
        <v>3087.65</v>
      </c>
      <c r="D318" s="261">
        <f t="shared" si="7"/>
        <v>9.8609975470155646E-3</v>
      </c>
      <c r="E318" s="261">
        <v>9.4772408867401028E-3</v>
      </c>
      <c r="F318">
        <v>316</v>
      </c>
      <c r="G318" s="259">
        <f ca="1">_xlfn.NORM.INV(RAND(),'VAR Historical Approach'!K$4,'VAR Historical Approach'!K$5)</f>
        <v>-6.0804698235937087E-3</v>
      </c>
    </row>
    <row r="319" spans="2:7" x14ac:dyDescent="0.3">
      <c r="B319" s="102">
        <v>45742.645833333336</v>
      </c>
      <c r="C319" s="108">
        <v>3057.5</v>
      </c>
      <c r="D319" s="261">
        <f t="shared" si="7"/>
        <v>1.2443920489898098E-3</v>
      </c>
      <c r="E319" s="261">
        <v>9.4581889111855898E-3</v>
      </c>
      <c r="F319">
        <v>317</v>
      </c>
      <c r="G319" s="259">
        <f ca="1">_xlfn.NORM.INV(RAND(),'VAR Historical Approach'!K$4,'VAR Historical Approach'!K$5)</f>
        <v>2.0581415228073164E-3</v>
      </c>
    </row>
    <row r="320" spans="2:7" x14ac:dyDescent="0.3">
      <c r="B320" s="102">
        <v>45741.645833333336</v>
      </c>
      <c r="C320" s="108">
        <v>3053.7</v>
      </c>
      <c r="D320" s="261">
        <f t="shared" si="7"/>
        <v>-8.2491637166704854E-3</v>
      </c>
      <c r="E320" s="261">
        <v>9.3917926705289305E-3</v>
      </c>
      <c r="F320">
        <v>318</v>
      </c>
      <c r="G320" s="259">
        <f ca="1">_xlfn.NORM.INV(RAND(),'VAR Historical Approach'!K$4,'VAR Historical Approach'!K$5)</f>
        <v>-1.8913877132377604E-2</v>
      </c>
    </row>
    <row r="321" spans="2:7" x14ac:dyDescent="0.3">
      <c r="B321" s="102">
        <v>45740.645833333336</v>
      </c>
      <c r="C321" s="108">
        <v>3079.1</v>
      </c>
      <c r="D321" s="261">
        <f t="shared" si="7"/>
        <v>-2.6433110949505144E-2</v>
      </c>
      <c r="E321" s="261">
        <v>9.3703384667101642E-3</v>
      </c>
      <c r="F321">
        <v>319</v>
      </c>
      <c r="G321" s="259">
        <f ca="1">_xlfn.NORM.INV(RAND(),'VAR Historical Approach'!K$4,'VAR Historical Approach'!K$5)</f>
        <v>1.6173496359440626E-2</v>
      </c>
    </row>
    <row r="322" spans="2:7" x14ac:dyDescent="0.3">
      <c r="B322" s="102">
        <v>45737.645833333336</v>
      </c>
      <c r="C322" s="108">
        <v>3162.7</v>
      </c>
      <c r="D322" s="261">
        <f t="shared" si="7"/>
        <v>-9.5205286398797693E-3</v>
      </c>
      <c r="E322" s="261">
        <v>9.3657231258100666E-3</v>
      </c>
      <c r="F322">
        <v>320</v>
      </c>
      <c r="G322" s="259">
        <f ca="1">_xlfn.NORM.INV(RAND(),'VAR Historical Approach'!K$4,'VAR Historical Approach'!K$5)</f>
        <v>5.4584931714043213E-3</v>
      </c>
    </row>
    <row r="323" spans="2:7" x14ac:dyDescent="0.3">
      <c r="B323" s="102">
        <v>45736.645833333336</v>
      </c>
      <c r="C323" s="108">
        <v>3193.1</v>
      </c>
      <c r="D323" s="261">
        <f t="shared" ref="D323:D386" si="8">(C323-C324)/C324</f>
        <v>3.7967688456912431E-2</v>
      </c>
      <c r="E323" s="261">
        <v>9.2631140716070894E-3</v>
      </c>
      <c r="F323">
        <v>321</v>
      </c>
      <c r="G323" s="259">
        <f ca="1">_xlfn.NORM.INV(RAND(),'VAR Historical Approach'!K$4,'VAR Historical Approach'!K$5)</f>
        <v>-2.649528096829281E-2</v>
      </c>
    </row>
    <row r="324" spans="2:7" x14ac:dyDescent="0.3">
      <c r="B324" s="102">
        <v>45735.645833333336</v>
      </c>
      <c r="C324" s="108">
        <v>3076.3</v>
      </c>
      <c r="D324" s="261">
        <f t="shared" si="8"/>
        <v>-1.7522795859427058E-3</v>
      </c>
      <c r="E324" s="261">
        <v>9.2387987457121755E-3</v>
      </c>
      <c r="F324">
        <v>322</v>
      </c>
      <c r="G324" s="259">
        <f ca="1">_xlfn.NORM.INV(RAND(),'VAR Historical Approach'!K$4,'VAR Historical Approach'!K$5)</f>
        <v>1.6681295294226507E-2</v>
      </c>
    </row>
    <row r="325" spans="2:7" x14ac:dyDescent="0.3">
      <c r="B325" s="102">
        <v>45734.645833333336</v>
      </c>
      <c r="C325" s="108">
        <v>3081.7</v>
      </c>
      <c r="D325" s="261">
        <f t="shared" si="8"/>
        <v>2.1326660811639322E-2</v>
      </c>
      <c r="E325" s="261">
        <v>9.2074929942987833E-3</v>
      </c>
      <c r="F325">
        <v>323</v>
      </c>
      <c r="G325" s="259">
        <f ca="1">_xlfn.NORM.INV(RAND(),'VAR Historical Approach'!K$4,'VAR Historical Approach'!K$5)</f>
        <v>2.0694258293498899E-2</v>
      </c>
    </row>
    <row r="326" spans="2:7" x14ac:dyDescent="0.3">
      <c r="B326" s="102">
        <v>45733.645833333336</v>
      </c>
      <c r="C326" s="108">
        <v>3017.35</v>
      </c>
      <c r="D326" s="261">
        <f t="shared" si="8"/>
        <v>2.3919073800308349E-3</v>
      </c>
      <c r="E326" s="261">
        <v>9.207240948813887E-3</v>
      </c>
      <c r="F326">
        <v>324</v>
      </c>
      <c r="G326" s="259">
        <f ca="1">_xlfn.NORM.INV(RAND(),'VAR Historical Approach'!K$4,'VAR Historical Approach'!K$5)</f>
        <v>4.1120399428467543E-3</v>
      </c>
    </row>
    <row r="327" spans="2:7" x14ac:dyDescent="0.3">
      <c r="B327" s="102">
        <v>45729.645833333336</v>
      </c>
      <c r="C327" s="108">
        <v>3010.15</v>
      </c>
      <c r="D327" s="261">
        <f t="shared" si="8"/>
        <v>-2.9149207505920031E-3</v>
      </c>
      <c r="E327" s="261">
        <v>9.1967092502173772E-3</v>
      </c>
      <c r="F327">
        <v>325</v>
      </c>
      <c r="G327" s="259">
        <f ca="1">_xlfn.NORM.INV(RAND(),'VAR Historical Approach'!K$4,'VAR Historical Approach'!K$5)</f>
        <v>-1.1532937497665549E-2</v>
      </c>
    </row>
    <row r="328" spans="2:7" x14ac:dyDescent="0.3">
      <c r="B328" s="102">
        <v>45728.645833333336</v>
      </c>
      <c r="C328" s="108">
        <v>3018.95</v>
      </c>
      <c r="D328" s="261">
        <f t="shared" si="8"/>
        <v>-9.0106355042017701E-3</v>
      </c>
      <c r="E328" s="261">
        <v>9.1726355795935938E-3</v>
      </c>
      <c r="F328">
        <v>326</v>
      </c>
      <c r="G328" s="259">
        <f ca="1">_xlfn.NORM.INV(RAND(),'VAR Historical Approach'!K$4,'VAR Historical Approach'!K$5)</f>
        <v>6.3527773867785549E-4</v>
      </c>
    </row>
    <row r="329" spans="2:7" x14ac:dyDescent="0.3">
      <c r="B329" s="102">
        <v>45727.645833333336</v>
      </c>
      <c r="C329" s="108">
        <v>3046.4</v>
      </c>
      <c r="D329" s="261">
        <f t="shared" si="8"/>
        <v>6.4754856614245761E-3</v>
      </c>
      <c r="E329" s="261">
        <v>9.1298005212346912E-3</v>
      </c>
      <c r="F329">
        <v>327</v>
      </c>
      <c r="G329" s="259">
        <f ca="1">_xlfn.NORM.INV(RAND(),'VAR Historical Approach'!K$4,'VAR Historical Approach'!K$5)</f>
        <v>2.3088732680765296E-3</v>
      </c>
    </row>
    <row r="330" spans="2:7" x14ac:dyDescent="0.3">
      <c r="B330" s="102">
        <v>45726.645833333336</v>
      </c>
      <c r="C330" s="108">
        <v>3026.8</v>
      </c>
      <c r="D330" s="261">
        <f t="shared" si="8"/>
        <v>-1.7065289752707463E-2</v>
      </c>
      <c r="E330" s="261">
        <v>9.1047949923627816E-3</v>
      </c>
      <c r="F330">
        <v>328</v>
      </c>
      <c r="G330" s="259">
        <f ca="1">_xlfn.NORM.INV(RAND(),'VAR Historical Approach'!K$4,'VAR Historical Approach'!K$5)</f>
        <v>1.3235964212279048E-2</v>
      </c>
    </row>
    <row r="331" spans="2:7" x14ac:dyDescent="0.3">
      <c r="B331" s="102">
        <v>45723.645833333336</v>
      </c>
      <c r="C331" s="108">
        <v>3079.35</v>
      </c>
      <c r="D331" s="261">
        <f t="shared" si="8"/>
        <v>-1.337669411425459E-2</v>
      </c>
      <c r="E331" s="261">
        <v>9.0991377256919199E-3</v>
      </c>
      <c r="F331">
        <v>329</v>
      </c>
      <c r="G331" s="259">
        <f ca="1">_xlfn.NORM.INV(RAND(),'VAR Historical Approach'!K$4,'VAR Historical Approach'!K$5)</f>
        <v>1.3769687294054627E-2</v>
      </c>
    </row>
    <row r="332" spans="2:7" x14ac:dyDescent="0.3">
      <c r="B332" s="102">
        <v>45722.645833333336</v>
      </c>
      <c r="C332" s="108">
        <v>3121.1</v>
      </c>
      <c r="D332" s="261">
        <f t="shared" si="8"/>
        <v>1.1193727624694149E-2</v>
      </c>
      <c r="E332" s="261">
        <v>9.0510864204694595E-3</v>
      </c>
      <c r="F332">
        <v>330</v>
      </c>
      <c r="G332" s="259">
        <f ca="1">_xlfn.NORM.INV(RAND(),'VAR Historical Approach'!K$4,'VAR Historical Approach'!K$5)</f>
        <v>2.2296984798073345E-3</v>
      </c>
    </row>
    <row r="333" spans="2:7" x14ac:dyDescent="0.3">
      <c r="B333" s="102">
        <v>45721.645833333336</v>
      </c>
      <c r="C333" s="108">
        <v>3086.55</v>
      </c>
      <c r="D333" s="261">
        <f t="shared" si="8"/>
        <v>1.2481548302443884E-2</v>
      </c>
      <c r="E333" s="261">
        <v>9.0484059489743564E-3</v>
      </c>
      <c r="F333">
        <v>331</v>
      </c>
      <c r="G333" s="259">
        <f ca="1">_xlfn.NORM.INV(RAND(),'VAR Historical Approach'!K$4,'VAR Historical Approach'!K$5)</f>
        <v>-2.3158532914843998E-2</v>
      </c>
    </row>
    <row r="334" spans="2:7" x14ac:dyDescent="0.3">
      <c r="B334" s="102">
        <v>45720.645833333336</v>
      </c>
      <c r="C334" s="108">
        <v>3048.5</v>
      </c>
      <c r="D334" s="261">
        <f t="shared" si="8"/>
        <v>-1.0869565217391304E-2</v>
      </c>
      <c r="E334" s="261">
        <v>9.0427940677007459E-3</v>
      </c>
      <c r="F334">
        <v>332</v>
      </c>
      <c r="G334" s="259">
        <f ca="1">_xlfn.NORM.INV(RAND(),'VAR Historical Approach'!K$4,'VAR Historical Approach'!K$5)</f>
        <v>-2.0021620868755619E-3</v>
      </c>
    </row>
    <row r="335" spans="2:7" x14ac:dyDescent="0.3">
      <c r="B335" s="102">
        <v>45719.645833333336</v>
      </c>
      <c r="C335" s="108">
        <v>3082</v>
      </c>
      <c r="D335" s="261">
        <f t="shared" si="8"/>
        <v>1.5435859939881389E-3</v>
      </c>
      <c r="E335" s="261">
        <v>9.0170536120740986E-3</v>
      </c>
      <c r="F335">
        <v>333</v>
      </c>
      <c r="G335" s="259">
        <f ca="1">_xlfn.NORM.INV(RAND(),'VAR Historical Approach'!K$4,'VAR Historical Approach'!K$5)</f>
        <v>1.2073398119884912E-3</v>
      </c>
    </row>
    <row r="336" spans="2:7" x14ac:dyDescent="0.3">
      <c r="B336" s="102">
        <v>45716.645833333336</v>
      </c>
      <c r="C336" s="108">
        <v>3077.25</v>
      </c>
      <c r="D336" s="261">
        <f t="shared" si="8"/>
        <v>-4.5251465979957155E-2</v>
      </c>
      <c r="E336" s="261">
        <v>8.9770793014200111E-3</v>
      </c>
      <c r="F336">
        <v>334</v>
      </c>
      <c r="G336" s="259">
        <f ca="1">_xlfn.NORM.INV(RAND(),'VAR Historical Approach'!K$4,'VAR Historical Approach'!K$5)</f>
        <v>-1.223325804840606E-3</v>
      </c>
    </row>
    <row r="337" spans="2:7" x14ac:dyDescent="0.3">
      <c r="B337" s="102">
        <v>45715.645833333336</v>
      </c>
      <c r="C337" s="108">
        <v>3223.1</v>
      </c>
      <c r="D337" s="261">
        <f t="shared" si="8"/>
        <v>7.5965987245216098E-3</v>
      </c>
      <c r="E337" s="261">
        <v>8.9466778003101516E-3</v>
      </c>
      <c r="F337">
        <v>335</v>
      </c>
      <c r="G337" s="259">
        <f ca="1">_xlfn.NORM.INV(RAND(),'VAR Historical Approach'!K$4,'VAR Historical Approach'!K$5)</f>
        <v>3.4843081208145853E-2</v>
      </c>
    </row>
    <row r="338" spans="2:7" x14ac:dyDescent="0.3">
      <c r="B338" s="102">
        <v>45713.645833333336</v>
      </c>
      <c r="C338" s="108">
        <v>3198.8</v>
      </c>
      <c r="D338" s="261">
        <f t="shared" si="8"/>
        <v>8.1311062086354188E-3</v>
      </c>
      <c r="E338" s="261">
        <v>8.940652110471391E-3</v>
      </c>
      <c r="F338">
        <v>336</v>
      </c>
      <c r="G338" s="259">
        <f ca="1">_xlfn.NORM.INV(RAND(),'VAR Historical Approach'!K$4,'VAR Historical Approach'!K$5)</f>
        <v>-1.6895304455544168E-2</v>
      </c>
    </row>
    <row r="339" spans="2:7" x14ac:dyDescent="0.3">
      <c r="B339" s="102">
        <v>45712.645833333336</v>
      </c>
      <c r="C339" s="108">
        <v>3173</v>
      </c>
      <c r="D339" s="261">
        <f t="shared" si="8"/>
        <v>-2.1698795559609079E-3</v>
      </c>
      <c r="E339" s="261">
        <v>8.901468537205727E-3</v>
      </c>
      <c r="F339">
        <v>337</v>
      </c>
      <c r="G339" s="259">
        <f ca="1">_xlfn.NORM.INV(RAND(),'VAR Historical Approach'!K$4,'VAR Historical Approach'!K$5)</f>
        <v>-1.2686967727356105E-2</v>
      </c>
    </row>
    <row r="340" spans="2:7" x14ac:dyDescent="0.3">
      <c r="B340" s="102">
        <v>45709.645833333336</v>
      </c>
      <c r="C340" s="108">
        <v>3179.9</v>
      </c>
      <c r="D340" s="261">
        <f t="shared" si="8"/>
        <v>-3.619044634883745E-3</v>
      </c>
      <c r="E340" s="261">
        <v>8.8691796008869856E-3</v>
      </c>
      <c r="F340">
        <v>338</v>
      </c>
      <c r="G340" s="259">
        <f ca="1">_xlfn.NORM.INV(RAND(),'VAR Historical Approach'!K$4,'VAR Historical Approach'!K$5)</f>
        <v>-8.9330776520933752E-3</v>
      </c>
    </row>
    <row r="341" spans="2:7" x14ac:dyDescent="0.3">
      <c r="B341" s="102">
        <v>45708.645833333336</v>
      </c>
      <c r="C341" s="108">
        <v>3191.45</v>
      </c>
      <c r="D341" s="261">
        <f t="shared" si="8"/>
        <v>-5.8717253839206188E-3</v>
      </c>
      <c r="E341" s="261">
        <v>8.8594024960052149E-3</v>
      </c>
      <c r="F341">
        <v>339</v>
      </c>
      <c r="G341" s="259">
        <f ca="1">_xlfn.NORM.INV(RAND(),'VAR Historical Approach'!K$4,'VAR Historical Approach'!K$5)</f>
        <v>1.7589479556912292E-2</v>
      </c>
    </row>
    <row r="342" spans="2:7" x14ac:dyDescent="0.3">
      <c r="B342" s="102">
        <v>45707.645833333336</v>
      </c>
      <c r="C342" s="108">
        <v>3210.3</v>
      </c>
      <c r="D342" s="261">
        <f t="shared" si="8"/>
        <v>-3.5848968760183522E-3</v>
      </c>
      <c r="E342" s="261">
        <v>8.8548559904203412E-3</v>
      </c>
      <c r="F342">
        <v>340</v>
      </c>
      <c r="G342" s="259">
        <f ca="1">_xlfn.NORM.INV(RAND(),'VAR Historical Approach'!K$4,'VAR Historical Approach'!K$5)</f>
        <v>-1.9199211012923895E-2</v>
      </c>
    </row>
    <row r="343" spans="2:7" x14ac:dyDescent="0.3">
      <c r="B343" s="102">
        <v>45706.645833333336</v>
      </c>
      <c r="C343" s="108">
        <v>3221.85</v>
      </c>
      <c r="D343" s="261">
        <f t="shared" si="8"/>
        <v>-3.5104540393418007E-3</v>
      </c>
      <c r="E343" s="261">
        <v>8.8497110829617032E-3</v>
      </c>
      <c r="F343">
        <v>341</v>
      </c>
      <c r="G343" s="259">
        <f ca="1">_xlfn.NORM.INV(RAND(),'VAR Historical Approach'!K$4,'VAR Historical Approach'!K$5)</f>
        <v>-3.5303660261790093E-4</v>
      </c>
    </row>
    <row r="344" spans="2:7" x14ac:dyDescent="0.3">
      <c r="B344" s="102">
        <v>45705.645833333336</v>
      </c>
      <c r="C344" s="108">
        <v>3233.2</v>
      </c>
      <c r="D344" s="261">
        <f t="shared" si="8"/>
        <v>6.2086672372208256E-3</v>
      </c>
      <c r="E344" s="261">
        <v>8.8453965735108015E-3</v>
      </c>
      <c r="F344">
        <v>342</v>
      </c>
      <c r="G344" s="259">
        <f ca="1">_xlfn.NORM.INV(RAND(),'VAR Historical Approach'!K$4,'VAR Historical Approach'!K$5)</f>
        <v>8.0445660220398677E-3</v>
      </c>
    </row>
    <row r="345" spans="2:7" x14ac:dyDescent="0.3">
      <c r="B345" s="102">
        <v>45702.645833333336</v>
      </c>
      <c r="C345" s="108">
        <v>3213.25</v>
      </c>
      <c r="D345" s="261">
        <f t="shared" si="8"/>
        <v>-5.6475321058332044E-3</v>
      </c>
      <c r="E345" s="261">
        <v>8.8164251207729222E-3</v>
      </c>
      <c r="F345">
        <v>343</v>
      </c>
      <c r="G345" s="259">
        <f ca="1">_xlfn.NORM.INV(RAND(),'VAR Historical Approach'!K$4,'VAR Historical Approach'!K$5)</f>
        <v>1.8909610749443039E-2</v>
      </c>
    </row>
    <row r="346" spans="2:7" x14ac:dyDescent="0.3">
      <c r="B346" s="102">
        <v>45701.645833333336</v>
      </c>
      <c r="C346" s="108">
        <v>3231.5</v>
      </c>
      <c r="D346" s="261">
        <f t="shared" si="8"/>
        <v>-7.3568938242024361E-3</v>
      </c>
      <c r="E346" s="261">
        <v>8.7945703087658634E-3</v>
      </c>
      <c r="F346">
        <v>344</v>
      </c>
      <c r="G346" s="259">
        <f ca="1">_xlfn.NORM.INV(RAND(),'VAR Historical Approach'!K$4,'VAR Historical Approach'!K$5)</f>
        <v>1.3413969811710523E-2</v>
      </c>
    </row>
    <row r="347" spans="2:7" x14ac:dyDescent="0.3">
      <c r="B347" s="102">
        <v>45700.645833333336</v>
      </c>
      <c r="C347" s="108">
        <v>3255.45</v>
      </c>
      <c r="D347" s="261">
        <f t="shared" si="8"/>
        <v>-8.0291303552929381E-3</v>
      </c>
      <c r="E347" s="261">
        <v>8.7293171898502296E-3</v>
      </c>
      <c r="F347">
        <v>345</v>
      </c>
      <c r="G347" s="259">
        <f ca="1">_xlfn.NORM.INV(RAND(),'VAR Historical Approach'!K$4,'VAR Historical Approach'!K$5)</f>
        <v>-1.2868495342546025E-2</v>
      </c>
    </row>
    <row r="348" spans="2:7" x14ac:dyDescent="0.3">
      <c r="B348" s="102">
        <v>45699.645833333336</v>
      </c>
      <c r="C348" s="108">
        <v>3281.8</v>
      </c>
      <c r="D348" s="261">
        <f t="shared" si="8"/>
        <v>-1.3719214413439613E-2</v>
      </c>
      <c r="E348" s="261">
        <v>8.673335291662072E-3</v>
      </c>
      <c r="F348">
        <v>346</v>
      </c>
      <c r="G348" s="259">
        <f ca="1">_xlfn.NORM.INV(RAND(),'VAR Historical Approach'!K$4,'VAR Historical Approach'!K$5)</f>
        <v>1.029451070865053E-2</v>
      </c>
    </row>
    <row r="349" spans="2:7" x14ac:dyDescent="0.3">
      <c r="B349" s="102">
        <v>45698.645833333336</v>
      </c>
      <c r="C349" s="108">
        <v>3327.45</v>
      </c>
      <c r="D349" s="261">
        <f t="shared" si="8"/>
        <v>-2.8425017519271303E-2</v>
      </c>
      <c r="E349" s="261">
        <v>8.6660693285545778E-3</v>
      </c>
      <c r="F349">
        <v>347</v>
      </c>
      <c r="G349" s="259">
        <f ca="1">_xlfn.NORM.INV(RAND(),'VAR Historical Approach'!K$4,'VAR Historical Approach'!K$5)</f>
        <v>1.1307498970664783E-3</v>
      </c>
    </row>
    <row r="350" spans="2:7" x14ac:dyDescent="0.3">
      <c r="B350" s="102">
        <v>45695.645833333336</v>
      </c>
      <c r="C350" s="108">
        <v>3424.8</v>
      </c>
      <c r="D350" s="261">
        <f t="shared" si="8"/>
        <v>4.1193285934179235E-3</v>
      </c>
      <c r="E350" s="261">
        <v>8.6564202916275725E-3</v>
      </c>
      <c r="F350">
        <v>348</v>
      </c>
      <c r="G350" s="259">
        <f ca="1">_xlfn.NORM.INV(RAND(),'VAR Historical Approach'!K$4,'VAR Historical Approach'!K$5)</f>
        <v>1.1833829851880334E-2</v>
      </c>
    </row>
    <row r="351" spans="2:7" x14ac:dyDescent="0.3">
      <c r="B351" s="102">
        <v>45694.645833333336</v>
      </c>
      <c r="C351" s="108">
        <v>3410.75</v>
      </c>
      <c r="D351" s="261">
        <f t="shared" si="8"/>
        <v>-2.295969520753963E-2</v>
      </c>
      <c r="E351" s="261">
        <v>8.6542443064181948E-3</v>
      </c>
      <c r="F351">
        <v>349</v>
      </c>
      <c r="G351" s="259">
        <f ca="1">_xlfn.NORM.INV(RAND(),'VAR Historical Approach'!K$4,'VAR Historical Approach'!K$5)</f>
        <v>-2.6997407664406232E-3</v>
      </c>
    </row>
    <row r="352" spans="2:7" x14ac:dyDescent="0.3">
      <c r="B352" s="102">
        <v>45693.645833333336</v>
      </c>
      <c r="C352" s="108">
        <v>3490.9</v>
      </c>
      <c r="D352" s="261">
        <f t="shared" si="8"/>
        <v>-2.9685632487422446E-2</v>
      </c>
      <c r="E352" s="261">
        <v>8.5685959777169734E-3</v>
      </c>
      <c r="F352">
        <v>350</v>
      </c>
      <c r="G352" s="259">
        <f ca="1">_xlfn.NORM.INV(RAND(),'VAR Historical Approach'!K$4,'VAR Historical Approach'!K$5)</f>
        <v>-2.3267937304269955E-2</v>
      </c>
    </row>
    <row r="353" spans="2:7" x14ac:dyDescent="0.3">
      <c r="B353" s="102">
        <v>45692.645833333336</v>
      </c>
      <c r="C353" s="108">
        <v>3597.7</v>
      </c>
      <c r="D353" s="261">
        <f t="shared" si="8"/>
        <v>4.8599279389994234E-3</v>
      </c>
      <c r="E353" s="261">
        <v>8.5576325476885273E-3</v>
      </c>
      <c r="F353">
        <v>351</v>
      </c>
      <c r="G353" s="259">
        <f ca="1">_xlfn.NORM.INV(RAND(),'VAR Historical Approach'!K$4,'VAR Historical Approach'!K$5)</f>
        <v>3.5315939352769379E-3</v>
      </c>
    </row>
    <row r="354" spans="2:7" x14ac:dyDescent="0.3">
      <c r="B354" s="102">
        <v>45691.645833333336</v>
      </c>
      <c r="C354" s="108">
        <v>3580.3</v>
      </c>
      <c r="D354" s="261">
        <f t="shared" si="8"/>
        <v>2.5800444094262642E-2</v>
      </c>
      <c r="E354" s="261">
        <v>8.5517051894082804E-3</v>
      </c>
      <c r="F354">
        <v>352</v>
      </c>
      <c r="G354" s="259">
        <f ca="1">_xlfn.NORM.INV(RAND(),'VAR Historical Approach'!K$4,'VAR Historical Approach'!K$5)</f>
        <v>-1.7522770561633233E-2</v>
      </c>
    </row>
    <row r="355" spans="2:7" x14ac:dyDescent="0.3">
      <c r="B355" s="102">
        <v>45688.645833333336</v>
      </c>
      <c r="C355" s="108">
        <v>3490.25</v>
      </c>
      <c r="D355" s="261">
        <f t="shared" si="8"/>
        <v>3.617444484028022E-2</v>
      </c>
      <c r="E355" s="261">
        <v>8.5482023633266374E-3</v>
      </c>
      <c r="F355">
        <v>353</v>
      </c>
      <c r="G355" s="259">
        <f ca="1">_xlfn.NORM.INV(RAND(),'VAR Historical Approach'!K$4,'VAR Historical Approach'!K$5)</f>
        <v>1.2333691542172943E-2</v>
      </c>
    </row>
    <row r="356" spans="2:7" x14ac:dyDescent="0.3">
      <c r="B356" s="102">
        <v>45687.645833333336</v>
      </c>
      <c r="C356" s="108">
        <v>3368.4</v>
      </c>
      <c r="D356" s="261">
        <f t="shared" si="8"/>
        <v>-6.9717421938734971E-4</v>
      </c>
      <c r="E356" s="261">
        <v>8.5474099469308295E-3</v>
      </c>
      <c r="F356">
        <v>354</v>
      </c>
      <c r="G356" s="259">
        <f ca="1">_xlfn.NORM.INV(RAND(),'VAR Historical Approach'!K$4,'VAR Historical Approach'!K$5)</f>
        <v>-2.0100301502160016E-2</v>
      </c>
    </row>
    <row r="357" spans="2:7" x14ac:dyDescent="0.3">
      <c r="B357" s="102">
        <v>45686.645833333336</v>
      </c>
      <c r="C357" s="108">
        <v>3370.75</v>
      </c>
      <c r="D357" s="261">
        <f t="shared" si="8"/>
        <v>1.3485071709913079E-2</v>
      </c>
      <c r="E357" s="261">
        <v>8.5005679666792199E-3</v>
      </c>
      <c r="F357">
        <v>355</v>
      </c>
      <c r="G357" s="259">
        <f ca="1">_xlfn.NORM.INV(RAND(),'VAR Historical Approach'!K$4,'VAR Historical Approach'!K$5)</f>
        <v>2.273384685196345E-2</v>
      </c>
    </row>
    <row r="358" spans="2:7" x14ac:dyDescent="0.3">
      <c r="B358" s="102">
        <v>45685.645833333336</v>
      </c>
      <c r="C358" s="108">
        <v>3325.9</v>
      </c>
      <c r="D358" s="261">
        <f t="shared" si="8"/>
        <v>1.9732779007938851E-3</v>
      </c>
      <c r="E358" s="261">
        <v>8.4421906104240642E-3</v>
      </c>
      <c r="F358">
        <v>356</v>
      </c>
      <c r="G358" s="259">
        <f ca="1">_xlfn.NORM.INV(RAND(),'VAR Historical Approach'!K$4,'VAR Historical Approach'!K$5)</f>
        <v>2.6276429126713602E-2</v>
      </c>
    </row>
    <row r="359" spans="2:7" x14ac:dyDescent="0.3">
      <c r="B359" s="102">
        <v>45684.645833333336</v>
      </c>
      <c r="C359" s="108">
        <v>3319.35</v>
      </c>
      <c r="D359" s="261">
        <f t="shared" si="8"/>
        <v>-2.4337551254353919E-2</v>
      </c>
      <c r="E359" s="261">
        <v>8.4207694377186389E-3</v>
      </c>
      <c r="F359">
        <v>357</v>
      </c>
      <c r="G359" s="259">
        <f ca="1">_xlfn.NORM.INV(RAND(),'VAR Historical Approach'!K$4,'VAR Historical Approach'!K$5)</f>
        <v>-9.2597374215134011E-3</v>
      </c>
    </row>
    <row r="360" spans="2:7" x14ac:dyDescent="0.3">
      <c r="B360" s="102">
        <v>45681.645833333336</v>
      </c>
      <c r="C360" s="108">
        <v>3402.15</v>
      </c>
      <c r="D360" s="261">
        <f t="shared" si="8"/>
        <v>1.0592752791631457E-3</v>
      </c>
      <c r="E360" s="261">
        <v>8.3954708644021232E-3</v>
      </c>
      <c r="F360">
        <v>358</v>
      </c>
      <c r="G360" s="259">
        <f ca="1">_xlfn.NORM.INV(RAND(),'VAR Historical Approach'!K$4,'VAR Historical Approach'!K$5)</f>
        <v>5.7516354146639912E-3</v>
      </c>
    </row>
    <row r="361" spans="2:7" x14ac:dyDescent="0.3">
      <c r="B361" s="102">
        <v>45680.645833333336</v>
      </c>
      <c r="C361" s="108">
        <v>3398.55</v>
      </c>
      <c r="D361" s="261">
        <f t="shared" si="8"/>
        <v>1.2543014196547056E-2</v>
      </c>
      <c r="E361" s="261">
        <v>8.3752954475387695E-3</v>
      </c>
      <c r="F361">
        <v>359</v>
      </c>
      <c r="G361" s="259">
        <f ca="1">_xlfn.NORM.INV(RAND(),'VAR Historical Approach'!K$4,'VAR Historical Approach'!K$5)</f>
        <v>-1.7482666549899422E-2</v>
      </c>
    </row>
    <row r="362" spans="2:7" x14ac:dyDescent="0.3">
      <c r="B362" s="102">
        <v>45679.645833333336</v>
      </c>
      <c r="C362" s="108">
        <v>3356.45</v>
      </c>
      <c r="D362" s="261">
        <f t="shared" si="8"/>
        <v>9.2444868564268837E-4</v>
      </c>
      <c r="E362" s="261">
        <v>8.3655987321202517E-3</v>
      </c>
      <c r="F362">
        <v>360</v>
      </c>
      <c r="G362" s="259">
        <f ca="1">_xlfn.NORM.INV(RAND(),'VAR Historical Approach'!K$4,'VAR Historical Approach'!K$5)</f>
        <v>9.639460419005496E-3</v>
      </c>
    </row>
    <row r="363" spans="2:7" x14ac:dyDescent="0.3">
      <c r="B363" s="102">
        <v>45678.645833333336</v>
      </c>
      <c r="C363" s="108">
        <v>3353.35</v>
      </c>
      <c r="D363" s="261">
        <f t="shared" si="8"/>
        <v>-8.5446078793702685E-3</v>
      </c>
      <c r="E363" s="261">
        <v>8.3274977761795717E-3</v>
      </c>
      <c r="F363">
        <v>361</v>
      </c>
      <c r="G363" s="259">
        <f ca="1">_xlfn.NORM.INV(RAND(),'VAR Historical Approach'!K$4,'VAR Historical Approach'!K$5)</f>
        <v>2.5123412875357597E-2</v>
      </c>
    </row>
    <row r="364" spans="2:7" x14ac:dyDescent="0.3">
      <c r="B364" s="102">
        <v>45677.645833333336</v>
      </c>
      <c r="C364" s="108">
        <v>3382.25</v>
      </c>
      <c r="D364" s="261">
        <f t="shared" si="8"/>
        <v>7.4015607315184098E-3</v>
      </c>
      <c r="E364" s="261">
        <v>8.3031661207837986E-3</v>
      </c>
      <c r="F364">
        <v>362</v>
      </c>
      <c r="G364" s="259">
        <f ca="1">_xlfn.NORM.INV(RAND(),'VAR Historical Approach'!K$4,'VAR Historical Approach'!K$5)</f>
        <v>-5.863206426070992E-3</v>
      </c>
    </row>
    <row r="365" spans="2:7" x14ac:dyDescent="0.3">
      <c r="B365" s="102">
        <v>45674.645833333336</v>
      </c>
      <c r="C365" s="108">
        <v>3357.4</v>
      </c>
      <c r="D365" s="261">
        <f t="shared" si="8"/>
        <v>1.2210196267599263E-2</v>
      </c>
      <c r="E365" s="261">
        <v>8.2939531295206873E-3</v>
      </c>
      <c r="F365">
        <v>363</v>
      </c>
      <c r="G365" s="259">
        <f ca="1">_xlfn.NORM.INV(RAND(),'VAR Historical Approach'!K$4,'VAR Historical Approach'!K$5)</f>
        <v>7.8603059825641097E-3</v>
      </c>
    </row>
    <row r="366" spans="2:7" x14ac:dyDescent="0.3">
      <c r="B366" s="102">
        <v>45673.645833333336</v>
      </c>
      <c r="C366" s="108">
        <v>3316.9</v>
      </c>
      <c r="D366" s="261">
        <f t="shared" si="8"/>
        <v>-1.9858582819316712E-3</v>
      </c>
      <c r="E366" s="261">
        <v>8.2892082702974417E-3</v>
      </c>
      <c r="F366">
        <v>364</v>
      </c>
      <c r="G366" s="259">
        <f ca="1">_xlfn.NORM.INV(RAND(),'VAR Historical Approach'!K$4,'VAR Historical Approach'!K$5)</f>
        <v>1.8993370005831411E-2</v>
      </c>
    </row>
    <row r="367" spans="2:7" x14ac:dyDescent="0.3">
      <c r="B367" s="102">
        <v>45672.645833333336</v>
      </c>
      <c r="C367" s="108">
        <v>3323.5</v>
      </c>
      <c r="D367" s="261">
        <f t="shared" si="8"/>
        <v>3.0097817908201655E-4</v>
      </c>
      <c r="E367" s="261">
        <v>8.2621637410633091E-3</v>
      </c>
      <c r="F367">
        <v>365</v>
      </c>
      <c r="G367" s="259">
        <f ca="1">_xlfn.NORM.INV(RAND(),'VAR Historical Approach'!K$4,'VAR Historical Approach'!K$5)</f>
        <v>3.8224029527859714E-2</v>
      </c>
    </row>
    <row r="368" spans="2:7" x14ac:dyDescent="0.3">
      <c r="B368" s="102">
        <v>45671.645833333336</v>
      </c>
      <c r="C368" s="108">
        <v>3322.5</v>
      </c>
      <c r="D368" s="261">
        <f t="shared" si="8"/>
        <v>-1.7810952627300272E-2</v>
      </c>
      <c r="E368" s="261">
        <v>8.1979106210099996E-3</v>
      </c>
      <c r="F368">
        <v>366</v>
      </c>
      <c r="G368" s="259">
        <f ca="1">_xlfn.NORM.INV(RAND(),'VAR Historical Approach'!K$4,'VAR Historical Approach'!K$5)</f>
        <v>-1.5736406670440156E-2</v>
      </c>
    </row>
    <row r="369" spans="2:7" x14ac:dyDescent="0.3">
      <c r="B369" s="102">
        <v>45670.645833333336</v>
      </c>
      <c r="C369" s="108">
        <v>3382.75</v>
      </c>
      <c r="D369" s="261">
        <f t="shared" si="8"/>
        <v>-1.6713901605987937E-2</v>
      </c>
      <c r="E369" s="261">
        <v>8.1960548355096731E-3</v>
      </c>
      <c r="F369">
        <v>367</v>
      </c>
      <c r="G369" s="259">
        <f ca="1">_xlfn.NORM.INV(RAND(),'VAR Historical Approach'!K$4,'VAR Historical Approach'!K$5)</f>
        <v>-1.0821356526069775E-2</v>
      </c>
    </row>
    <row r="370" spans="2:7" x14ac:dyDescent="0.3">
      <c r="B370" s="102">
        <v>45667.645833333336</v>
      </c>
      <c r="C370" s="108">
        <v>3440.25</v>
      </c>
      <c r="D370" s="261">
        <f t="shared" si="8"/>
        <v>-1.342108659181835E-2</v>
      </c>
      <c r="E370" s="261">
        <v>8.173610486217342E-3</v>
      </c>
      <c r="F370">
        <v>368</v>
      </c>
      <c r="G370" s="259">
        <f ca="1">_xlfn.NORM.INV(RAND(),'VAR Historical Approach'!K$4,'VAR Historical Approach'!K$5)</f>
        <v>2.2273686060245705E-2</v>
      </c>
    </row>
    <row r="371" spans="2:7" x14ac:dyDescent="0.3">
      <c r="B371" s="102">
        <v>45666.645833333336</v>
      </c>
      <c r="C371" s="108">
        <v>3487.05</v>
      </c>
      <c r="D371" s="261">
        <f t="shared" si="8"/>
        <v>8.6106686184182193E-4</v>
      </c>
      <c r="E371" s="261">
        <v>8.1311062086354188E-3</v>
      </c>
      <c r="F371">
        <v>369</v>
      </c>
      <c r="G371" s="259">
        <f ca="1">_xlfn.NORM.INV(RAND(),'VAR Historical Approach'!K$4,'VAR Historical Approach'!K$5)</f>
        <v>1.8592090165550162E-2</v>
      </c>
    </row>
    <row r="372" spans="2:7" x14ac:dyDescent="0.3">
      <c r="B372" s="102">
        <v>45665.645833333336</v>
      </c>
      <c r="C372" s="108">
        <v>3484.05</v>
      </c>
      <c r="D372" s="261">
        <f t="shared" si="8"/>
        <v>-6.0055347921599174E-3</v>
      </c>
      <c r="E372" s="261">
        <v>8.1188857331383028E-3</v>
      </c>
      <c r="F372">
        <v>370</v>
      </c>
      <c r="G372" s="259">
        <f ca="1">_xlfn.NORM.INV(RAND(),'VAR Historical Approach'!K$4,'VAR Historical Approach'!K$5)</f>
        <v>-2.3641723520830501E-3</v>
      </c>
    </row>
    <row r="373" spans="2:7" x14ac:dyDescent="0.3">
      <c r="B373" s="102">
        <v>45664.645833333336</v>
      </c>
      <c r="C373" s="108">
        <v>3505.1</v>
      </c>
      <c r="D373" s="261">
        <f t="shared" si="8"/>
        <v>9.9988473951129024E-3</v>
      </c>
      <c r="E373" s="261">
        <v>8.1123053659732346E-3</v>
      </c>
      <c r="F373">
        <v>371</v>
      </c>
      <c r="G373" s="259">
        <f ca="1">_xlfn.NORM.INV(RAND(),'VAR Historical Approach'!K$4,'VAR Historical Approach'!K$5)</f>
        <v>1.3488055280892438E-4</v>
      </c>
    </row>
    <row r="374" spans="2:7" x14ac:dyDescent="0.3">
      <c r="B374" s="102">
        <v>45663.645833333336</v>
      </c>
      <c r="C374" s="108">
        <v>3470.4</v>
      </c>
      <c r="D374" s="261">
        <f t="shared" si="8"/>
        <v>5.4321846073616962E-3</v>
      </c>
      <c r="E374" s="261">
        <v>8.091306325554444E-3</v>
      </c>
      <c r="F374">
        <v>372</v>
      </c>
      <c r="G374" s="259">
        <f ca="1">_xlfn.NORM.INV(RAND(),'VAR Historical Approach'!K$4,'VAR Historical Approach'!K$5)</f>
        <v>7.4090077129265845E-3</v>
      </c>
    </row>
    <row r="375" spans="2:7" x14ac:dyDescent="0.3">
      <c r="B375" s="102">
        <v>45660.645833333336</v>
      </c>
      <c r="C375" s="108">
        <v>3451.65</v>
      </c>
      <c r="D375" s="261">
        <f t="shared" si="8"/>
        <v>1.8501305714159335E-2</v>
      </c>
      <c r="E375" s="261">
        <v>8.0048175782856477E-3</v>
      </c>
      <c r="F375">
        <v>373</v>
      </c>
      <c r="G375" s="259">
        <f ca="1">_xlfn.NORM.INV(RAND(),'VAR Historical Approach'!K$4,'VAR Historical Approach'!K$5)</f>
        <v>8.7282313323028514E-3</v>
      </c>
    </row>
    <row r="376" spans="2:7" x14ac:dyDescent="0.3">
      <c r="B376" s="102">
        <v>45659.645833333336</v>
      </c>
      <c r="C376" s="108">
        <v>3388.95</v>
      </c>
      <c r="D376" s="261">
        <f t="shared" si="8"/>
        <v>4.1520045484579778E-2</v>
      </c>
      <c r="E376" s="261">
        <v>7.920094007050486E-3</v>
      </c>
      <c r="F376">
        <v>374</v>
      </c>
      <c r="G376" s="259">
        <f ca="1">_xlfn.NORM.INV(RAND(),'VAR Historical Approach'!K$4,'VAR Historical Approach'!K$5)</f>
        <v>-2.5902894024002473E-2</v>
      </c>
    </row>
    <row r="377" spans="2:7" x14ac:dyDescent="0.3">
      <c r="B377" s="102">
        <v>45658.645833333336</v>
      </c>
      <c r="C377" s="108">
        <v>3253.85</v>
      </c>
      <c r="D377" s="261">
        <f t="shared" si="8"/>
        <v>2.1517606012628316E-4</v>
      </c>
      <c r="E377" s="261">
        <v>7.8758430633113618E-3</v>
      </c>
      <c r="F377">
        <v>375</v>
      </c>
      <c r="G377" s="259">
        <f ca="1">_xlfn.NORM.INV(RAND(),'VAR Historical Approach'!K$4,'VAR Historical Approach'!K$5)</f>
        <v>-1.1372953497928879E-2</v>
      </c>
    </row>
    <row r="378" spans="2:7" x14ac:dyDescent="0.3">
      <c r="B378" s="102">
        <v>45657.645833333336</v>
      </c>
      <c r="C378" s="108">
        <v>3253.15</v>
      </c>
      <c r="D378" s="261">
        <f t="shared" si="8"/>
        <v>-1.2893916834235861E-3</v>
      </c>
      <c r="E378" s="261">
        <v>7.8682256048239734E-3</v>
      </c>
      <c r="F378">
        <v>376</v>
      </c>
      <c r="G378" s="259">
        <f ca="1">_xlfn.NORM.INV(RAND(),'VAR Historical Approach'!K$4,'VAR Historical Approach'!K$5)</f>
        <v>-1.4250732786797475E-2</v>
      </c>
    </row>
    <row r="379" spans="2:7" x14ac:dyDescent="0.3">
      <c r="B379" s="102">
        <v>45656.645833333336</v>
      </c>
      <c r="C379" s="108">
        <v>3257.35</v>
      </c>
      <c r="D379" s="261">
        <f t="shared" si="8"/>
        <v>-1.5668439501994414E-2</v>
      </c>
      <c r="E379" s="261">
        <v>7.8416319368283527E-3</v>
      </c>
      <c r="F379">
        <v>377</v>
      </c>
      <c r="G379" s="259">
        <f ca="1">_xlfn.NORM.INV(RAND(),'VAR Historical Approach'!K$4,'VAR Historical Approach'!K$5)</f>
        <v>8.0504399625840033E-3</v>
      </c>
    </row>
    <row r="380" spans="2:7" x14ac:dyDescent="0.3">
      <c r="B380" s="102">
        <v>45653.645833333336</v>
      </c>
      <c r="C380" s="108">
        <v>3309.2</v>
      </c>
      <c r="D380" s="261">
        <f t="shared" si="8"/>
        <v>-4.1678578414409539E-3</v>
      </c>
      <c r="E380" s="261">
        <v>7.8322270438635228E-3</v>
      </c>
      <c r="F380">
        <v>378</v>
      </c>
      <c r="G380" s="259">
        <f ca="1">_xlfn.NORM.INV(RAND(),'VAR Historical Approach'!K$4,'VAR Historical Approach'!K$5)</f>
        <v>1.4981305622104887E-2</v>
      </c>
    </row>
    <row r="381" spans="2:7" x14ac:dyDescent="0.3">
      <c r="B381" s="102">
        <v>45652.645833333336</v>
      </c>
      <c r="C381" s="108">
        <v>3323.05</v>
      </c>
      <c r="D381" s="261">
        <f t="shared" si="8"/>
        <v>-9.0505158943161891E-3</v>
      </c>
      <c r="E381" s="261">
        <v>7.7973189029639199E-3</v>
      </c>
      <c r="F381">
        <v>379</v>
      </c>
      <c r="G381" s="259">
        <f ca="1">_xlfn.NORM.INV(RAND(),'VAR Historical Approach'!K$4,'VAR Historical Approach'!K$5)</f>
        <v>-6.1350308527818578E-3</v>
      </c>
    </row>
    <row r="382" spans="2:7" x14ac:dyDescent="0.3">
      <c r="B382" s="102">
        <v>45650.645833333336</v>
      </c>
      <c r="C382" s="108">
        <v>3353.4</v>
      </c>
      <c r="D382" s="261">
        <f t="shared" si="8"/>
        <v>-1.2820324114278907E-2</v>
      </c>
      <c r="E382" s="261">
        <v>7.793662777953677E-3</v>
      </c>
      <c r="F382">
        <v>380</v>
      </c>
      <c r="G382" s="259">
        <f ca="1">_xlfn.NORM.INV(RAND(),'VAR Historical Approach'!K$4,'VAR Historical Approach'!K$5)</f>
        <v>-2.4487508188167509E-3</v>
      </c>
    </row>
    <row r="383" spans="2:7" x14ac:dyDescent="0.3">
      <c r="B383" s="102">
        <v>45649.645833333336</v>
      </c>
      <c r="C383" s="108">
        <v>3396.95</v>
      </c>
      <c r="D383" s="261">
        <f t="shared" si="8"/>
        <v>1.2126629422718754E-2</v>
      </c>
      <c r="E383" s="261">
        <v>7.7156614390964818E-3</v>
      </c>
      <c r="F383">
        <v>381</v>
      </c>
      <c r="G383" s="259">
        <f ca="1">_xlfn.NORM.INV(RAND(),'VAR Historical Approach'!K$4,'VAR Historical Approach'!K$5)</f>
        <v>1.3718423052240872E-2</v>
      </c>
    </row>
    <row r="384" spans="2:7" x14ac:dyDescent="0.3">
      <c r="B384" s="102">
        <v>45646.645833333336</v>
      </c>
      <c r="C384" s="108">
        <v>3356.25</v>
      </c>
      <c r="D384" s="261">
        <f t="shared" si="8"/>
        <v>-1.7873899638050825E-4</v>
      </c>
      <c r="E384" s="261">
        <v>7.6664790481920696E-3</v>
      </c>
      <c r="F384">
        <v>382</v>
      </c>
      <c r="G384" s="259">
        <f ca="1">_xlfn.NORM.INV(RAND(),'VAR Historical Approach'!K$4,'VAR Historical Approach'!K$5)</f>
        <v>-6.6361398622084833E-4</v>
      </c>
    </row>
    <row r="385" spans="2:7" x14ac:dyDescent="0.3">
      <c r="B385" s="102">
        <v>45645.645833333336</v>
      </c>
      <c r="C385" s="108">
        <v>3356.85</v>
      </c>
      <c r="D385" s="261">
        <f t="shared" si="8"/>
        <v>-1.3242599723683877E-2</v>
      </c>
      <c r="E385" s="261">
        <v>7.6611482916520311E-3</v>
      </c>
      <c r="F385">
        <v>383</v>
      </c>
      <c r="G385" s="259">
        <f ca="1">_xlfn.NORM.INV(RAND(),'VAR Historical Approach'!K$4,'VAR Historical Approach'!K$5)</f>
        <v>3.2902840341687917E-2</v>
      </c>
    </row>
    <row r="386" spans="2:7" x14ac:dyDescent="0.3">
      <c r="B386" s="102">
        <v>45644.645833333336</v>
      </c>
      <c r="C386" s="108">
        <v>3401.9</v>
      </c>
      <c r="D386" s="261">
        <f t="shared" si="8"/>
        <v>-1.2330818237866821E-3</v>
      </c>
      <c r="E386" s="261">
        <v>7.6465590484282074E-3</v>
      </c>
      <c r="F386">
        <v>384</v>
      </c>
      <c r="G386" s="259">
        <f ca="1">_xlfn.NORM.INV(RAND(),'VAR Historical Approach'!K$4,'VAR Historical Approach'!K$5)</f>
        <v>2.5886408606194518E-2</v>
      </c>
    </row>
    <row r="387" spans="2:7" x14ac:dyDescent="0.3">
      <c r="B387" s="102">
        <v>45643.645833333336</v>
      </c>
      <c r="C387" s="108">
        <v>3406.1</v>
      </c>
      <c r="D387" s="261">
        <f t="shared" ref="D387:D450" si="9">(C387-C388)/C388</f>
        <v>-9.3362806119480866E-3</v>
      </c>
      <c r="E387" s="261">
        <v>7.6015913611820248E-3</v>
      </c>
      <c r="F387">
        <v>385</v>
      </c>
      <c r="G387" s="259">
        <f ca="1">_xlfn.NORM.INV(RAND(),'VAR Historical Approach'!K$4,'VAR Historical Approach'!K$5)</f>
        <v>1.3819876472316013E-2</v>
      </c>
    </row>
    <row r="388" spans="2:7" x14ac:dyDescent="0.3">
      <c r="B388" s="102">
        <v>45642.645833333336</v>
      </c>
      <c r="C388" s="108">
        <v>3438.2</v>
      </c>
      <c r="D388" s="261">
        <f t="shared" si="9"/>
        <v>-2.0134802000655511E-2</v>
      </c>
      <c r="E388" s="261">
        <v>7.5965987245216098E-3</v>
      </c>
      <c r="F388">
        <v>386</v>
      </c>
      <c r="G388" s="259">
        <f ca="1">_xlfn.NORM.INV(RAND(),'VAR Historical Approach'!K$4,'VAR Historical Approach'!K$5)</f>
        <v>2.7037232003641755E-2</v>
      </c>
    </row>
    <row r="389" spans="2:7" x14ac:dyDescent="0.3">
      <c r="B389" s="102">
        <v>45639.645833333336</v>
      </c>
      <c r="C389" s="108">
        <v>3508.85</v>
      </c>
      <c r="D389" s="261">
        <f t="shared" si="9"/>
        <v>1.8312413843140075E-2</v>
      </c>
      <c r="E389" s="261">
        <v>7.5408126428943394E-3</v>
      </c>
      <c r="F389">
        <v>387</v>
      </c>
      <c r="G389" s="259">
        <f ca="1">_xlfn.NORM.INV(RAND(),'VAR Historical Approach'!K$4,'VAR Historical Approach'!K$5)</f>
        <v>5.5989424264184327E-3</v>
      </c>
    </row>
    <row r="390" spans="2:7" x14ac:dyDescent="0.3">
      <c r="B390" s="102">
        <v>45638.645833333336</v>
      </c>
      <c r="C390" s="108">
        <v>3445.75</v>
      </c>
      <c r="D390" s="261">
        <f t="shared" si="9"/>
        <v>-7.8748092482220228E-3</v>
      </c>
      <c r="E390" s="261">
        <v>7.5390263725792694E-3</v>
      </c>
      <c r="F390">
        <v>388</v>
      </c>
      <c r="G390" s="259">
        <f ca="1">_xlfn.NORM.INV(RAND(),'VAR Historical Approach'!K$4,'VAR Historical Approach'!K$5)</f>
        <v>8.7338636780485328E-4</v>
      </c>
    </row>
    <row r="391" spans="2:7" x14ac:dyDescent="0.3">
      <c r="B391" s="102">
        <v>45637.645833333336</v>
      </c>
      <c r="C391" s="108">
        <v>3473.1</v>
      </c>
      <c r="D391" s="261">
        <f t="shared" si="9"/>
        <v>-7.6242537581819488E-4</v>
      </c>
      <c r="E391" s="261">
        <v>7.5358174723735519E-3</v>
      </c>
      <c r="F391">
        <v>389</v>
      </c>
      <c r="G391" s="259">
        <f ca="1">_xlfn.NORM.INV(RAND(),'VAR Historical Approach'!K$4,'VAR Historical Approach'!K$5)</f>
        <v>-9.1699356005867691E-4</v>
      </c>
    </row>
    <row r="392" spans="2:7" x14ac:dyDescent="0.3">
      <c r="B392" s="102">
        <v>45636.645833333336</v>
      </c>
      <c r="C392" s="108">
        <v>3475.75</v>
      </c>
      <c r="D392" s="261">
        <f t="shared" si="9"/>
        <v>2.1769217461507936E-3</v>
      </c>
      <c r="E392" s="261">
        <v>7.5004934535165884E-3</v>
      </c>
      <c r="F392">
        <v>390</v>
      </c>
      <c r="G392" s="259">
        <f ca="1">_xlfn.NORM.INV(RAND(),'VAR Historical Approach'!K$4,'VAR Historical Approach'!K$5)</f>
        <v>1.7672334702803574E-2</v>
      </c>
    </row>
    <row r="393" spans="2:7" x14ac:dyDescent="0.3">
      <c r="B393" s="102">
        <v>45635.645833333336</v>
      </c>
      <c r="C393" s="108">
        <v>3468.2</v>
      </c>
      <c r="D393" s="261">
        <f t="shared" si="9"/>
        <v>-5.4753465318004989E-4</v>
      </c>
      <c r="E393" s="261">
        <v>7.4529372711113397E-3</v>
      </c>
      <c r="F393">
        <v>391</v>
      </c>
      <c r="G393" s="259">
        <f ca="1">_xlfn.NORM.INV(RAND(),'VAR Historical Approach'!K$4,'VAR Historical Approach'!K$5)</f>
        <v>-9.7920879057003703E-4</v>
      </c>
    </row>
    <row r="394" spans="2:7" x14ac:dyDescent="0.3">
      <c r="B394" s="102">
        <v>45632.645833333336</v>
      </c>
      <c r="C394" s="108">
        <v>3470.1</v>
      </c>
      <c r="D394" s="261">
        <f t="shared" si="9"/>
        <v>8.4421906104240642E-3</v>
      </c>
      <c r="E394" s="261">
        <v>7.408208511328636E-3</v>
      </c>
      <c r="F394">
        <v>392</v>
      </c>
      <c r="G394" s="259">
        <f ca="1">_xlfn.NORM.INV(RAND(),'VAR Historical Approach'!K$4,'VAR Historical Approach'!K$5)</f>
        <v>5.8412839049063539E-3</v>
      </c>
    </row>
    <row r="395" spans="2:7" x14ac:dyDescent="0.3">
      <c r="B395" s="102">
        <v>45631.645833333336</v>
      </c>
      <c r="C395" s="108">
        <v>3441.05</v>
      </c>
      <c r="D395" s="261">
        <f t="shared" si="9"/>
        <v>2.2767465707619481E-2</v>
      </c>
      <c r="E395" s="261">
        <v>7.4041034790365747E-3</v>
      </c>
      <c r="F395">
        <v>393</v>
      </c>
      <c r="G395" s="259">
        <f ca="1">_xlfn.NORM.INV(RAND(),'VAR Historical Approach'!K$4,'VAR Historical Approach'!K$5)</f>
        <v>-6.6553510451096785E-3</v>
      </c>
    </row>
    <row r="396" spans="2:7" x14ac:dyDescent="0.3">
      <c r="B396" s="102">
        <v>45630.645833333336</v>
      </c>
      <c r="C396" s="108">
        <v>3364.45</v>
      </c>
      <c r="D396" s="261">
        <f t="shared" si="9"/>
        <v>9.5116645412946718E-3</v>
      </c>
      <c r="E396" s="261">
        <v>7.4015607315184098E-3</v>
      </c>
      <c r="F396">
        <v>394</v>
      </c>
      <c r="G396" s="259">
        <f ca="1">_xlfn.NORM.INV(RAND(),'VAR Historical Approach'!K$4,'VAR Historical Approach'!K$5)</f>
        <v>-8.463731498438213E-3</v>
      </c>
    </row>
    <row r="397" spans="2:7" x14ac:dyDescent="0.3">
      <c r="B397" s="102">
        <v>45629.645833333336</v>
      </c>
      <c r="C397" s="108">
        <v>3332.75</v>
      </c>
      <c r="D397" s="261">
        <f t="shared" si="9"/>
        <v>7.8322270438635228E-3</v>
      </c>
      <c r="E397" s="261">
        <v>7.371849819989635E-3</v>
      </c>
      <c r="F397">
        <v>395</v>
      </c>
      <c r="G397" s="259">
        <f ca="1">_xlfn.NORM.INV(RAND(),'VAR Historical Approach'!K$4,'VAR Historical Approach'!K$5)</f>
        <v>1.4218546963838851E-2</v>
      </c>
    </row>
    <row r="398" spans="2:7" x14ac:dyDescent="0.3">
      <c r="B398" s="102">
        <v>45628.645833333336</v>
      </c>
      <c r="C398" s="108">
        <v>3306.85</v>
      </c>
      <c r="D398" s="261">
        <f t="shared" si="9"/>
        <v>1.7805478608802681E-2</v>
      </c>
      <c r="E398" s="261">
        <v>7.3692109364478058E-3</v>
      </c>
      <c r="F398">
        <v>396</v>
      </c>
      <c r="G398" s="259">
        <f ca="1">_xlfn.NORM.INV(RAND(),'VAR Historical Approach'!K$4,'VAR Historical Approach'!K$5)</f>
        <v>1.0942399967214557E-2</v>
      </c>
    </row>
    <row r="399" spans="2:7" x14ac:dyDescent="0.3">
      <c r="B399" s="102">
        <v>45625.645833333336</v>
      </c>
      <c r="C399" s="108">
        <v>3249</v>
      </c>
      <c r="D399" s="261">
        <f t="shared" si="9"/>
        <v>1.1409093031581269E-2</v>
      </c>
      <c r="E399" s="261">
        <v>7.3178294573643127E-3</v>
      </c>
      <c r="F399">
        <v>397</v>
      </c>
      <c r="G399" s="259">
        <f ca="1">_xlfn.NORM.INV(RAND(),'VAR Historical Approach'!K$4,'VAR Historical Approach'!K$5)</f>
        <v>4.6915735250634919E-3</v>
      </c>
    </row>
    <row r="400" spans="2:7" x14ac:dyDescent="0.3">
      <c r="B400" s="102">
        <v>45624.645833333336</v>
      </c>
      <c r="C400" s="108">
        <v>3212.35</v>
      </c>
      <c r="D400" s="261">
        <f t="shared" si="9"/>
        <v>-2.4091261221575861E-2</v>
      </c>
      <c r="E400" s="261">
        <v>7.2927824243943576E-3</v>
      </c>
      <c r="F400">
        <v>398</v>
      </c>
      <c r="G400" s="259">
        <f ca="1">_xlfn.NORM.INV(RAND(),'VAR Historical Approach'!K$4,'VAR Historical Approach'!K$5)</f>
        <v>1.7869386181006536E-3</v>
      </c>
    </row>
    <row r="401" spans="2:7" x14ac:dyDescent="0.3">
      <c r="B401" s="102">
        <v>45623.645833333336</v>
      </c>
      <c r="C401" s="108">
        <v>3291.65</v>
      </c>
      <c r="D401" s="261">
        <f t="shared" si="9"/>
        <v>-1.0773854244928598E-2</v>
      </c>
      <c r="E401" s="261">
        <v>7.2873582622886499E-3</v>
      </c>
      <c r="F401">
        <v>399</v>
      </c>
      <c r="G401" s="259">
        <f ca="1">_xlfn.NORM.INV(RAND(),'VAR Historical Approach'!K$4,'VAR Historical Approach'!K$5)</f>
        <v>1.4177456201819883E-2</v>
      </c>
    </row>
    <row r="402" spans="2:7" x14ac:dyDescent="0.3">
      <c r="B402" s="102">
        <v>45622.645833333336</v>
      </c>
      <c r="C402" s="108">
        <v>3327.5</v>
      </c>
      <c r="D402" s="261">
        <f t="shared" si="9"/>
        <v>5.5604242845486967E-3</v>
      </c>
      <c r="E402" s="261">
        <v>7.2188696385698534E-3</v>
      </c>
      <c r="F402">
        <v>400</v>
      </c>
      <c r="G402" s="259">
        <f ca="1">_xlfn.NORM.INV(RAND(),'VAR Historical Approach'!K$4,'VAR Historical Approach'!K$5)</f>
        <v>2.9034890621646022E-4</v>
      </c>
    </row>
    <row r="403" spans="2:7" x14ac:dyDescent="0.3">
      <c r="B403" s="102">
        <v>45621.645833333336</v>
      </c>
      <c r="C403" s="108">
        <v>3309.1</v>
      </c>
      <c r="D403" s="261">
        <f t="shared" si="9"/>
        <v>1.208934022426001E-4</v>
      </c>
      <c r="E403" s="261">
        <v>7.2162575648852941E-3</v>
      </c>
      <c r="F403">
        <v>401</v>
      </c>
      <c r="G403" s="259">
        <f ca="1">_xlfn.NORM.INV(RAND(),'VAR Historical Approach'!K$4,'VAR Historical Approach'!K$5)</f>
        <v>1.7833357362652191E-2</v>
      </c>
    </row>
    <row r="404" spans="2:7" x14ac:dyDescent="0.3">
      <c r="B404" s="102">
        <v>45618.645833333336</v>
      </c>
      <c r="C404" s="108">
        <v>3308.7</v>
      </c>
      <c r="D404" s="261">
        <f t="shared" si="9"/>
        <v>4.0979093583350376E-2</v>
      </c>
      <c r="E404" s="261">
        <v>7.2108843537415377E-3</v>
      </c>
      <c r="F404">
        <v>402</v>
      </c>
      <c r="G404" s="259">
        <f ca="1">_xlfn.NORM.INV(RAND(),'VAR Historical Approach'!K$4,'VAR Historical Approach'!K$5)</f>
        <v>-8.70768663174319E-3</v>
      </c>
    </row>
    <row r="405" spans="2:7" x14ac:dyDescent="0.3">
      <c r="B405" s="102">
        <v>45617.645833333336</v>
      </c>
      <c r="C405" s="108">
        <v>3178.45</v>
      </c>
      <c r="D405" s="261">
        <f t="shared" si="9"/>
        <v>-1.4342419449871307E-2</v>
      </c>
      <c r="E405" s="261">
        <v>7.1911122347225005E-3</v>
      </c>
      <c r="F405">
        <v>403</v>
      </c>
      <c r="G405" s="259">
        <f ca="1">_xlfn.NORM.INV(RAND(),'VAR Historical Approach'!K$4,'VAR Historical Approach'!K$5)</f>
        <v>8.2577971687866746E-3</v>
      </c>
    </row>
    <row r="406" spans="2:7" x14ac:dyDescent="0.3">
      <c r="B406" s="102">
        <v>45615.645833333336</v>
      </c>
      <c r="C406" s="108">
        <v>3224.7</v>
      </c>
      <c r="D406" s="261">
        <f t="shared" si="9"/>
        <v>1.6517983797244784E-2</v>
      </c>
      <c r="E406" s="261">
        <v>7.1511635678291208E-3</v>
      </c>
      <c r="F406">
        <v>404</v>
      </c>
      <c r="G406" s="259">
        <f ca="1">_xlfn.NORM.INV(RAND(),'VAR Historical Approach'!K$4,'VAR Historical Approach'!K$5)</f>
        <v>-9.0234209154867288E-3</v>
      </c>
    </row>
    <row r="407" spans="2:7" x14ac:dyDescent="0.3">
      <c r="B407" s="102">
        <v>45614.645833333336</v>
      </c>
      <c r="C407" s="108">
        <v>3172.3</v>
      </c>
      <c r="D407" s="261">
        <f t="shared" si="9"/>
        <v>-3.5807393912741896E-3</v>
      </c>
      <c r="E407" s="261">
        <v>7.1385703907261471E-3</v>
      </c>
      <c r="F407">
        <v>405</v>
      </c>
      <c r="G407" s="259">
        <f ca="1">_xlfn.NORM.INV(RAND(),'VAR Historical Approach'!K$4,'VAR Historical Approach'!K$5)</f>
        <v>-1.8987947308949974E-3</v>
      </c>
    </row>
    <row r="408" spans="2:7" x14ac:dyDescent="0.3">
      <c r="B408" s="102">
        <v>45610.645833333336</v>
      </c>
      <c r="C408" s="108">
        <v>3183.7</v>
      </c>
      <c r="D408" s="261">
        <f t="shared" si="9"/>
        <v>-1.3018178396097969E-3</v>
      </c>
      <c r="E408" s="261">
        <v>7.1021073466061239E-3</v>
      </c>
      <c r="F408">
        <v>406</v>
      </c>
      <c r="G408" s="259">
        <f ca="1">_xlfn.NORM.INV(RAND(),'VAR Historical Approach'!K$4,'VAR Historical Approach'!K$5)</f>
        <v>2.677099954433957E-2</v>
      </c>
    </row>
    <row r="409" spans="2:7" x14ac:dyDescent="0.3">
      <c r="B409" s="102">
        <v>45609.645833333336</v>
      </c>
      <c r="C409" s="108">
        <v>3187.85</v>
      </c>
      <c r="D409" s="261">
        <f t="shared" si="9"/>
        <v>-3.314105269740002E-3</v>
      </c>
      <c r="E409" s="261">
        <v>7.0921985815603269E-3</v>
      </c>
      <c r="F409">
        <v>407</v>
      </c>
      <c r="G409" s="259">
        <f ca="1">_xlfn.NORM.INV(RAND(),'VAR Historical Approach'!K$4,'VAR Historical Approach'!K$5)</f>
        <v>1.1299036858852392E-2</v>
      </c>
    </row>
    <row r="410" spans="2:7" x14ac:dyDescent="0.3">
      <c r="B410" s="102">
        <v>45608.645833333336</v>
      </c>
      <c r="C410" s="108">
        <v>3198.45</v>
      </c>
      <c r="D410" s="261">
        <f t="shared" si="9"/>
        <v>-2.5416328821805311E-3</v>
      </c>
      <c r="E410" s="261">
        <v>7.0697124852303339E-3</v>
      </c>
      <c r="F410">
        <v>408</v>
      </c>
      <c r="G410" s="259">
        <f ca="1">_xlfn.NORM.INV(RAND(),'VAR Historical Approach'!K$4,'VAR Historical Approach'!K$5)</f>
        <v>-6.6072625103738344E-3</v>
      </c>
    </row>
    <row r="411" spans="2:7" x14ac:dyDescent="0.3">
      <c r="B411" s="102">
        <v>45607.645833333336</v>
      </c>
      <c r="C411" s="108">
        <v>3206.6</v>
      </c>
      <c r="D411" s="261">
        <f t="shared" si="9"/>
        <v>6.3868183601412032E-3</v>
      </c>
      <c r="E411" s="261">
        <v>7.0068442095276573E-3</v>
      </c>
      <c r="F411">
        <v>409</v>
      </c>
      <c r="G411" s="259">
        <f ca="1">_xlfn.NORM.INV(RAND(),'VAR Historical Approach'!K$4,'VAR Historical Approach'!K$5)</f>
        <v>-1.5570322009974083E-2</v>
      </c>
    </row>
    <row r="412" spans="2:7" x14ac:dyDescent="0.3">
      <c r="B412" s="102">
        <v>45604.645833333336</v>
      </c>
      <c r="C412" s="108">
        <v>3186.25</v>
      </c>
      <c r="D412" s="261">
        <f t="shared" si="9"/>
        <v>2.0955829341365362E-2</v>
      </c>
      <c r="E412" s="261">
        <v>6.9810092882919925E-3</v>
      </c>
      <c r="F412">
        <v>410</v>
      </c>
      <c r="G412" s="259">
        <f ca="1">_xlfn.NORM.INV(RAND(),'VAR Historical Approach'!K$4,'VAR Historical Approach'!K$5)</f>
        <v>1.9912876764926937E-2</v>
      </c>
    </row>
    <row r="413" spans="2:7" x14ac:dyDescent="0.3">
      <c r="B413" s="102">
        <v>45603.645833333336</v>
      </c>
      <c r="C413" s="108">
        <v>3120.85</v>
      </c>
      <c r="D413" s="261">
        <f t="shared" si="9"/>
        <v>-1.7689365921216307E-2</v>
      </c>
      <c r="E413" s="261">
        <v>6.9408432725677491E-3</v>
      </c>
      <c r="F413">
        <v>411</v>
      </c>
      <c r="G413" s="259">
        <f ca="1">_xlfn.NORM.INV(RAND(),'VAR Historical Approach'!K$4,'VAR Historical Approach'!K$5)</f>
        <v>-1.0750136617110545E-5</v>
      </c>
    </row>
    <row r="414" spans="2:7" x14ac:dyDescent="0.3">
      <c r="B414" s="102">
        <v>45602.645833333336</v>
      </c>
      <c r="C414" s="108">
        <v>3177.05</v>
      </c>
      <c r="D414" s="261">
        <f t="shared" si="9"/>
        <v>-1.6469313520625282E-2</v>
      </c>
      <c r="E414" s="261">
        <v>6.9106794678776813E-3</v>
      </c>
      <c r="F414">
        <v>412</v>
      </c>
      <c r="G414" s="259">
        <f ca="1">_xlfn.NORM.INV(RAND(),'VAR Historical Approach'!K$4,'VAR Historical Approach'!K$5)</f>
        <v>7.372110527811903E-3</v>
      </c>
    </row>
    <row r="415" spans="2:7" x14ac:dyDescent="0.3">
      <c r="B415" s="102">
        <v>45601.645833333336</v>
      </c>
      <c r="C415" s="108">
        <v>3230.25</v>
      </c>
      <c r="D415" s="261">
        <f t="shared" si="9"/>
        <v>2.5605214152700185E-3</v>
      </c>
      <c r="E415" s="261">
        <v>6.9014417395414362E-3</v>
      </c>
      <c r="F415">
        <v>413</v>
      </c>
      <c r="G415" s="259">
        <f ca="1">_xlfn.NORM.INV(RAND(),'VAR Historical Approach'!K$4,'VAR Historical Approach'!K$5)</f>
        <v>2.3194881702566039E-4</v>
      </c>
    </row>
    <row r="416" spans="2:7" x14ac:dyDescent="0.3">
      <c r="B416" s="102">
        <v>45600.645833333336</v>
      </c>
      <c r="C416" s="108">
        <v>3222</v>
      </c>
      <c r="D416" s="261">
        <f t="shared" si="9"/>
        <v>-1.3789198206332984E-2</v>
      </c>
      <c r="E416" s="261">
        <v>6.8477772788504976E-3</v>
      </c>
      <c r="F416">
        <v>414</v>
      </c>
      <c r="G416" s="259">
        <f ca="1">_xlfn.NORM.INV(RAND(),'VAR Historical Approach'!K$4,'VAR Historical Approach'!K$5)</f>
        <v>8.2798247253879492E-3</v>
      </c>
    </row>
    <row r="417" spans="2:7" x14ac:dyDescent="0.3">
      <c r="B417" s="102">
        <v>45596.645833333336</v>
      </c>
      <c r="C417" s="108">
        <v>3267.05</v>
      </c>
      <c r="D417" s="261">
        <f t="shared" si="9"/>
        <v>-1.2513412625247362E-2</v>
      </c>
      <c r="E417" s="261">
        <v>6.8246075850638592E-3</v>
      </c>
      <c r="F417">
        <v>415</v>
      </c>
      <c r="G417" s="259">
        <f ca="1">_xlfn.NORM.INV(RAND(),'VAR Historical Approach'!K$4,'VAR Historical Approach'!K$5)</f>
        <v>2.2196781907938234E-2</v>
      </c>
    </row>
    <row r="418" spans="2:7" x14ac:dyDescent="0.3">
      <c r="B418" s="102">
        <v>45595.645833333336</v>
      </c>
      <c r="C418" s="108">
        <v>3308.45</v>
      </c>
      <c r="D418" s="261">
        <f t="shared" si="9"/>
        <v>2.8037099903006793E-3</v>
      </c>
      <c r="E418" s="261">
        <v>6.8038569102976927E-3</v>
      </c>
      <c r="F418">
        <v>416</v>
      </c>
      <c r="G418" s="259">
        <f ca="1">_xlfn.NORM.INV(RAND(),'VAR Historical Approach'!K$4,'VAR Historical Approach'!K$5)</f>
        <v>-2.0990162329244601E-3</v>
      </c>
    </row>
    <row r="419" spans="2:7" x14ac:dyDescent="0.3">
      <c r="B419" s="102">
        <v>45594.645833333336</v>
      </c>
      <c r="C419" s="108">
        <v>3299.2</v>
      </c>
      <c r="D419" s="261">
        <f t="shared" si="9"/>
        <v>4.9192062259178614E-3</v>
      </c>
      <c r="E419" s="261">
        <v>6.7349758231637375E-3</v>
      </c>
      <c r="F419">
        <v>417</v>
      </c>
      <c r="G419" s="259">
        <f ca="1">_xlfn.NORM.INV(RAND(),'VAR Historical Approach'!K$4,'VAR Historical Approach'!K$5)</f>
        <v>-4.4674185693918537E-4</v>
      </c>
    </row>
    <row r="420" spans="2:7" x14ac:dyDescent="0.3">
      <c r="B420" s="102">
        <v>45593.645833333336</v>
      </c>
      <c r="C420" s="108">
        <v>3283.05</v>
      </c>
      <c r="D420" s="261">
        <f t="shared" si="9"/>
        <v>5.0512008081921292E-3</v>
      </c>
      <c r="E420" s="261">
        <v>6.7144791247392543E-3</v>
      </c>
      <c r="F420">
        <v>418</v>
      </c>
      <c r="G420" s="259">
        <f ca="1">_xlfn.NORM.INV(RAND(),'VAR Historical Approach'!K$4,'VAR Historical Approach'!K$5)</f>
        <v>2.2954926337742927E-3</v>
      </c>
    </row>
    <row r="421" spans="2:7" x14ac:dyDescent="0.3">
      <c r="B421" s="102">
        <v>45590.645833333336</v>
      </c>
      <c r="C421" s="108">
        <v>3266.55</v>
      </c>
      <c r="D421" s="261">
        <f t="shared" si="9"/>
        <v>-1.9319102945149932E-2</v>
      </c>
      <c r="E421" s="261">
        <v>6.7069498951390569E-3</v>
      </c>
      <c r="F421">
        <v>419</v>
      </c>
      <c r="G421" s="259">
        <f ca="1">_xlfn.NORM.INV(RAND(),'VAR Historical Approach'!K$4,'VAR Historical Approach'!K$5)</f>
        <v>-2.5500742652404661E-3</v>
      </c>
    </row>
    <row r="422" spans="2:7" x14ac:dyDescent="0.3">
      <c r="B422" s="102">
        <v>45589.645833333336</v>
      </c>
      <c r="C422" s="108">
        <v>3330.9</v>
      </c>
      <c r="D422" s="261">
        <f t="shared" si="9"/>
        <v>1.2862616310892229E-2</v>
      </c>
      <c r="E422" s="261">
        <v>6.7054531111329042E-3</v>
      </c>
      <c r="F422">
        <v>420</v>
      </c>
      <c r="G422" s="259">
        <f ca="1">_xlfn.NORM.INV(RAND(),'VAR Historical Approach'!K$4,'VAR Historical Approach'!K$5)</f>
        <v>1.0163524031577751E-2</v>
      </c>
    </row>
    <row r="423" spans="2:7" x14ac:dyDescent="0.3">
      <c r="B423" s="102">
        <v>45588.645833333336</v>
      </c>
      <c r="C423" s="108">
        <v>3288.6</v>
      </c>
      <c r="D423" s="261">
        <f t="shared" si="9"/>
        <v>-1.237311550243266E-2</v>
      </c>
      <c r="E423" s="261">
        <v>6.7027376241621823E-3</v>
      </c>
      <c r="F423">
        <v>421</v>
      </c>
      <c r="G423" s="259">
        <f ca="1">_xlfn.NORM.INV(RAND(),'VAR Historical Approach'!K$4,'VAR Historical Approach'!K$5)</f>
        <v>1.9937815436916227E-2</v>
      </c>
    </row>
    <row r="424" spans="2:7" x14ac:dyDescent="0.3">
      <c r="B424" s="102">
        <v>45587.645833333336</v>
      </c>
      <c r="C424" s="108">
        <v>3329.8</v>
      </c>
      <c r="D424" s="261">
        <f t="shared" si="9"/>
        <v>-9.9457370103322139E-3</v>
      </c>
      <c r="E424" s="261">
        <v>6.6821885913852892E-3</v>
      </c>
      <c r="F424">
        <v>422</v>
      </c>
      <c r="G424" s="259">
        <f ca="1">_xlfn.NORM.INV(RAND(),'VAR Historical Approach'!K$4,'VAR Historical Approach'!K$5)</f>
        <v>-1.1302011482293338E-2</v>
      </c>
    </row>
    <row r="425" spans="2:7" x14ac:dyDescent="0.3">
      <c r="B425" s="102">
        <v>45586.645833333336</v>
      </c>
      <c r="C425" s="108">
        <v>3363.25</v>
      </c>
      <c r="D425" s="261">
        <f t="shared" si="9"/>
        <v>-5.3823064070146883E-3</v>
      </c>
      <c r="E425" s="261">
        <v>6.6680704709763455E-3</v>
      </c>
      <c r="F425">
        <v>423</v>
      </c>
      <c r="G425" s="259">
        <f ca="1">_xlfn.NORM.INV(RAND(),'VAR Historical Approach'!K$4,'VAR Historical Approach'!K$5)</f>
        <v>1.1270700069173582E-2</v>
      </c>
    </row>
    <row r="426" spans="2:7" x14ac:dyDescent="0.3">
      <c r="B426" s="102">
        <v>45583.645833333336</v>
      </c>
      <c r="C426" s="108">
        <v>3381.45</v>
      </c>
      <c r="D426" s="261">
        <f t="shared" si="9"/>
        <v>-6.4348362642690556E-3</v>
      </c>
      <c r="E426" s="261">
        <v>6.6611636880194681E-3</v>
      </c>
      <c r="F426">
        <v>424</v>
      </c>
      <c r="G426" s="259">
        <f ca="1">_xlfn.NORM.INV(RAND(),'VAR Historical Approach'!K$4,'VAR Historical Approach'!K$5)</f>
        <v>-9.4455462716960276E-3</v>
      </c>
    </row>
    <row r="427" spans="2:7" x14ac:dyDescent="0.3">
      <c r="B427" s="102">
        <v>45582.645833333336</v>
      </c>
      <c r="C427" s="108">
        <v>3403.35</v>
      </c>
      <c r="D427" s="261">
        <f t="shared" si="9"/>
        <v>-1.9490060501296484E-2</v>
      </c>
      <c r="E427" s="261">
        <v>6.5572959196298214E-3</v>
      </c>
      <c r="F427">
        <v>425</v>
      </c>
      <c r="G427" s="259">
        <f ca="1">_xlfn.NORM.INV(RAND(),'VAR Historical Approach'!K$4,'VAR Historical Approach'!K$5)</f>
        <v>-1.0558265965185769E-2</v>
      </c>
    </row>
    <row r="428" spans="2:7" x14ac:dyDescent="0.3">
      <c r="B428" s="102">
        <v>45581.645833333336</v>
      </c>
      <c r="C428" s="108">
        <v>3471</v>
      </c>
      <c r="D428" s="261">
        <f t="shared" si="9"/>
        <v>-1.0688328345446772E-2</v>
      </c>
      <c r="E428" s="261">
        <v>6.5462877093448264E-3</v>
      </c>
      <c r="F428">
        <v>426</v>
      </c>
      <c r="G428" s="259">
        <f ca="1">_xlfn.NORM.INV(RAND(),'VAR Historical Approach'!K$4,'VAR Historical Approach'!K$5)</f>
        <v>-9.8413579923891815E-3</v>
      </c>
    </row>
    <row r="429" spans="2:7" x14ac:dyDescent="0.3">
      <c r="B429" s="102">
        <v>45580.645833333336</v>
      </c>
      <c r="C429" s="108">
        <v>3508.5</v>
      </c>
      <c r="D429" s="261">
        <f t="shared" si="9"/>
        <v>3.0590656984389665E-3</v>
      </c>
      <c r="E429" s="261">
        <v>6.5430016863406715E-3</v>
      </c>
      <c r="F429">
        <v>427</v>
      </c>
      <c r="G429" s="259">
        <f ca="1">_xlfn.NORM.INV(RAND(),'VAR Historical Approach'!K$4,'VAR Historical Approach'!K$5)</f>
        <v>-1.1621366452256723E-2</v>
      </c>
    </row>
    <row r="430" spans="2:7" x14ac:dyDescent="0.3">
      <c r="B430" s="102">
        <v>45579.645833333336</v>
      </c>
      <c r="C430" s="108">
        <v>3497.8</v>
      </c>
      <c r="D430" s="261">
        <f t="shared" si="9"/>
        <v>6.7349758231637375E-3</v>
      </c>
      <c r="E430" s="261">
        <v>6.5246060942596397E-3</v>
      </c>
      <c r="F430">
        <v>428</v>
      </c>
      <c r="G430" s="259">
        <f ca="1">_xlfn.NORM.INV(RAND(),'VAR Historical Approach'!K$4,'VAR Historical Approach'!K$5)</f>
        <v>-1.5841837266421933E-3</v>
      </c>
    </row>
    <row r="431" spans="2:7" x14ac:dyDescent="0.3">
      <c r="B431" s="102">
        <v>45576.645833333336</v>
      </c>
      <c r="C431" s="108">
        <v>3474.4</v>
      </c>
      <c r="D431" s="261">
        <f t="shared" si="9"/>
        <v>7.8758430633113618E-3</v>
      </c>
      <c r="E431" s="261">
        <v>6.5189800392292342E-3</v>
      </c>
      <c r="F431">
        <v>429</v>
      </c>
      <c r="G431" s="259">
        <f ca="1">_xlfn.NORM.INV(RAND(),'VAR Historical Approach'!K$4,'VAR Historical Approach'!K$5)</f>
        <v>-1.9272608670188998E-2</v>
      </c>
    </row>
    <row r="432" spans="2:7" x14ac:dyDescent="0.3">
      <c r="B432" s="102">
        <v>45575.645833333336</v>
      </c>
      <c r="C432" s="108">
        <v>3447.25</v>
      </c>
      <c r="D432" s="261">
        <f t="shared" si="9"/>
        <v>-1.3224749173453126E-2</v>
      </c>
      <c r="E432" s="261">
        <v>6.4754856614245761E-3</v>
      </c>
      <c r="F432">
        <v>430</v>
      </c>
      <c r="G432" s="259">
        <f ca="1">_xlfn.NORM.INV(RAND(),'VAR Historical Approach'!K$4,'VAR Historical Approach'!K$5)</f>
        <v>-1.3959461191917995E-2</v>
      </c>
    </row>
    <row r="433" spans="2:7" x14ac:dyDescent="0.3">
      <c r="B433" s="102">
        <v>45574.645833333336</v>
      </c>
      <c r="C433" s="108">
        <v>3493.45</v>
      </c>
      <c r="D433" s="261">
        <f t="shared" si="9"/>
        <v>2.8625817624889876E-5</v>
      </c>
      <c r="E433" s="261">
        <v>6.4561936527856353E-3</v>
      </c>
      <c r="F433">
        <v>431</v>
      </c>
      <c r="G433" s="259">
        <f ca="1">_xlfn.NORM.INV(RAND(),'VAR Historical Approach'!K$4,'VAR Historical Approach'!K$5)</f>
        <v>-3.380259002398478E-2</v>
      </c>
    </row>
    <row r="434" spans="2:7" x14ac:dyDescent="0.3">
      <c r="B434" s="102">
        <v>45573.645833333336</v>
      </c>
      <c r="C434" s="108">
        <v>3493.35</v>
      </c>
      <c r="D434" s="261">
        <f t="shared" si="9"/>
        <v>-2.6718673817649953E-2</v>
      </c>
      <c r="E434" s="261">
        <v>6.4231346028692663E-3</v>
      </c>
      <c r="F434">
        <v>432</v>
      </c>
      <c r="G434" s="259">
        <f ca="1">_xlfn.NORM.INV(RAND(),'VAR Historical Approach'!K$4,'VAR Historical Approach'!K$5)</f>
        <v>-1.4903970418340977E-2</v>
      </c>
    </row>
    <row r="435" spans="2:7" x14ac:dyDescent="0.3">
      <c r="B435" s="102">
        <v>45572.645833333336</v>
      </c>
      <c r="C435" s="108">
        <v>3589.25</v>
      </c>
      <c r="D435" s="261">
        <f t="shared" si="9"/>
        <v>-2.2029372496662192E-2</v>
      </c>
      <c r="E435" s="261">
        <v>6.4176986584106154E-3</v>
      </c>
      <c r="F435">
        <v>433</v>
      </c>
      <c r="G435" s="259">
        <f ca="1">_xlfn.NORM.INV(RAND(),'VAR Historical Approach'!K$4,'VAR Historical Approach'!K$5)</f>
        <v>1.8665796307474351E-3</v>
      </c>
    </row>
    <row r="436" spans="2:7" x14ac:dyDescent="0.3">
      <c r="B436" s="102">
        <v>45569.645833333336</v>
      </c>
      <c r="C436" s="108">
        <v>3670.1</v>
      </c>
      <c r="D436" s="261">
        <f t="shared" si="9"/>
        <v>-1.3197458468822457E-3</v>
      </c>
      <c r="E436" s="261">
        <v>6.3868183601412032E-3</v>
      </c>
      <c r="F436">
        <v>434</v>
      </c>
      <c r="G436" s="259">
        <f ca="1">_xlfn.NORM.INV(RAND(),'VAR Historical Approach'!K$4,'VAR Historical Approach'!K$5)</f>
        <v>6.9241672908457522E-3</v>
      </c>
    </row>
    <row r="437" spans="2:7" x14ac:dyDescent="0.3">
      <c r="B437" s="102">
        <v>45568.645833333336</v>
      </c>
      <c r="C437" s="108">
        <v>3674.95</v>
      </c>
      <c r="D437" s="261">
        <f t="shared" si="9"/>
        <v>-2.6748235543373192E-2</v>
      </c>
      <c r="E437" s="261">
        <v>6.3767305271990437E-3</v>
      </c>
      <c r="F437">
        <v>435</v>
      </c>
      <c r="G437" s="259">
        <f ca="1">_xlfn.NORM.INV(RAND(),'VAR Historical Approach'!K$4,'VAR Historical Approach'!K$5)</f>
        <v>-9.1021292818759415E-3</v>
      </c>
    </row>
    <row r="438" spans="2:7" x14ac:dyDescent="0.3">
      <c r="B438" s="102">
        <v>45566.645833333336</v>
      </c>
      <c r="C438" s="108">
        <v>3775.95</v>
      </c>
      <c r="D438" s="261">
        <f t="shared" si="9"/>
        <v>-1.2552465382654062E-2</v>
      </c>
      <c r="E438" s="261">
        <v>6.2836836035865982E-3</v>
      </c>
      <c r="F438">
        <v>436</v>
      </c>
      <c r="G438" s="259">
        <f ca="1">_xlfn.NORM.INV(RAND(),'VAR Historical Approach'!K$4,'VAR Historical Approach'!K$5)</f>
        <v>-1.3315949916450345E-2</v>
      </c>
    </row>
    <row r="439" spans="2:7" x14ac:dyDescent="0.3">
      <c r="B439" s="102">
        <v>45565.645833333336</v>
      </c>
      <c r="C439" s="108">
        <v>3823.95</v>
      </c>
      <c r="D439" s="261">
        <f t="shared" si="9"/>
        <v>1.8995467288495298E-3</v>
      </c>
      <c r="E439" s="261">
        <v>6.2830455941545486E-3</v>
      </c>
      <c r="F439">
        <v>437</v>
      </c>
      <c r="G439" s="259">
        <f ca="1">_xlfn.NORM.INV(RAND(),'VAR Historical Approach'!K$4,'VAR Historical Approach'!K$5)</f>
        <v>2.6216366869415083E-2</v>
      </c>
    </row>
    <row r="440" spans="2:7" x14ac:dyDescent="0.3">
      <c r="B440" s="102">
        <v>45562.645833333336</v>
      </c>
      <c r="C440" s="108">
        <v>3816.7</v>
      </c>
      <c r="D440" s="261">
        <f t="shared" si="9"/>
        <v>1.5741640164468773E-2</v>
      </c>
      <c r="E440" s="261">
        <v>6.2777119276525425E-3</v>
      </c>
      <c r="F440">
        <v>438</v>
      </c>
      <c r="G440" s="259">
        <f ca="1">_xlfn.NORM.INV(RAND(),'VAR Historical Approach'!K$4,'VAR Historical Approach'!K$5)</f>
        <v>2.8599384226400265E-2</v>
      </c>
    </row>
    <row r="441" spans="2:7" x14ac:dyDescent="0.3">
      <c r="B441" s="102">
        <v>45561.645833333336</v>
      </c>
      <c r="C441" s="108">
        <v>3757.55</v>
      </c>
      <c r="D441" s="261">
        <f t="shared" si="9"/>
        <v>5.4318014582915731E-3</v>
      </c>
      <c r="E441" s="261">
        <v>6.2086672372208256E-3</v>
      </c>
      <c r="F441">
        <v>439</v>
      </c>
      <c r="G441" s="259">
        <f ca="1">_xlfn.NORM.INV(RAND(),'VAR Historical Approach'!K$4,'VAR Historical Approach'!K$5)</f>
        <v>5.7522804316481827E-3</v>
      </c>
    </row>
    <row r="442" spans="2:7" x14ac:dyDescent="0.3">
      <c r="B442" s="102">
        <v>45560.645833333336</v>
      </c>
      <c r="C442" s="108">
        <v>3737.25</v>
      </c>
      <c r="D442" s="261">
        <f t="shared" si="9"/>
        <v>-1.2589500383101294E-2</v>
      </c>
      <c r="E442" s="261">
        <v>6.1603963753508444E-3</v>
      </c>
      <c r="F442">
        <v>440</v>
      </c>
      <c r="G442" s="259">
        <f ca="1">_xlfn.NORM.INV(RAND(),'VAR Historical Approach'!K$4,'VAR Historical Approach'!K$5)</f>
        <v>2.0659034950366601E-2</v>
      </c>
    </row>
    <row r="443" spans="2:7" x14ac:dyDescent="0.3">
      <c r="B443" s="102">
        <v>45559.645833333336</v>
      </c>
      <c r="C443" s="108">
        <v>3784.9</v>
      </c>
      <c r="D443" s="261">
        <f t="shared" si="9"/>
        <v>-9.2144184707206138E-3</v>
      </c>
      <c r="E443" s="261">
        <v>6.1333333333332988E-3</v>
      </c>
      <c r="F443">
        <v>441</v>
      </c>
      <c r="G443" s="259">
        <f ca="1">_xlfn.NORM.INV(RAND(),'VAR Historical Approach'!K$4,'VAR Historical Approach'!K$5)</f>
        <v>-9.6997711970906366E-3</v>
      </c>
    </row>
    <row r="444" spans="2:7" x14ac:dyDescent="0.3">
      <c r="B444" s="102">
        <v>45558.645833333336</v>
      </c>
      <c r="C444" s="108">
        <v>3820.1</v>
      </c>
      <c r="D444" s="261">
        <f t="shared" si="9"/>
        <v>6.0307595070051862E-3</v>
      </c>
      <c r="E444" s="261">
        <v>6.0307595070051862E-3</v>
      </c>
      <c r="F444">
        <v>442</v>
      </c>
      <c r="G444" s="259">
        <f ca="1">_xlfn.NORM.INV(RAND(),'VAR Historical Approach'!K$4,'VAR Historical Approach'!K$5)</f>
        <v>2.0887176105402007E-2</v>
      </c>
    </row>
    <row r="445" spans="2:7" x14ac:dyDescent="0.3">
      <c r="B445" s="102">
        <v>45555.645833333336</v>
      </c>
      <c r="C445" s="108">
        <v>3797.2</v>
      </c>
      <c r="D445" s="261">
        <f t="shared" si="9"/>
        <v>4.297861648527487E-3</v>
      </c>
      <c r="E445" s="261">
        <v>5.9799516073280956E-3</v>
      </c>
      <c r="F445">
        <v>443</v>
      </c>
      <c r="G445" s="259">
        <f ca="1">_xlfn.NORM.INV(RAND(),'VAR Historical Approach'!K$4,'VAR Historical Approach'!K$5)</f>
        <v>1.264499104141896E-2</v>
      </c>
    </row>
    <row r="446" spans="2:7" x14ac:dyDescent="0.3">
      <c r="B446" s="102">
        <v>45554.645833333336</v>
      </c>
      <c r="C446" s="108">
        <v>3780.95</v>
      </c>
      <c r="D446" s="261">
        <f t="shared" si="9"/>
        <v>1.4924772169057916E-2</v>
      </c>
      <c r="E446" s="261">
        <v>5.962725474920624E-3</v>
      </c>
      <c r="F446">
        <v>444</v>
      </c>
      <c r="G446" s="259">
        <f ca="1">_xlfn.NORM.INV(RAND(),'VAR Historical Approach'!K$4,'VAR Historical Approach'!K$5)</f>
        <v>1.0252141957775645E-2</v>
      </c>
    </row>
    <row r="447" spans="2:7" x14ac:dyDescent="0.3">
      <c r="B447" s="102">
        <v>45553.645833333336</v>
      </c>
      <c r="C447" s="108">
        <v>3725.35</v>
      </c>
      <c r="D447" s="261">
        <f t="shared" si="9"/>
        <v>-1.1161543770239471E-2</v>
      </c>
      <c r="E447" s="261">
        <v>5.9532989913321588E-3</v>
      </c>
      <c r="F447">
        <v>445</v>
      </c>
      <c r="G447" s="259">
        <f ca="1">_xlfn.NORM.INV(RAND(),'VAR Historical Approach'!K$4,'VAR Historical Approach'!K$5)</f>
        <v>1.7535568433237954E-2</v>
      </c>
    </row>
    <row r="448" spans="2:7" x14ac:dyDescent="0.3">
      <c r="B448" s="102">
        <v>45552.645833333336</v>
      </c>
      <c r="C448" s="108">
        <v>3767.4</v>
      </c>
      <c r="D448" s="261">
        <f t="shared" si="9"/>
        <v>7.1511635678291208E-3</v>
      </c>
      <c r="E448" s="261">
        <v>5.9248956884562394E-3</v>
      </c>
      <c r="F448">
        <v>446</v>
      </c>
      <c r="G448" s="259">
        <f ca="1">_xlfn.NORM.INV(RAND(),'VAR Historical Approach'!K$4,'VAR Historical Approach'!K$5)</f>
        <v>-5.9237745939831575E-3</v>
      </c>
    </row>
    <row r="449" spans="2:7" x14ac:dyDescent="0.3">
      <c r="B449" s="102">
        <v>45551.645833333336</v>
      </c>
      <c r="C449" s="108">
        <v>3740.65</v>
      </c>
      <c r="D449" s="261">
        <f t="shared" si="9"/>
        <v>-6.9949561985664741E-3</v>
      </c>
      <c r="E449" s="261">
        <v>5.9008501882836361E-3</v>
      </c>
      <c r="F449">
        <v>447</v>
      </c>
      <c r="G449" s="259">
        <f ca="1">_xlfn.NORM.INV(RAND(),'VAR Historical Approach'!K$4,'VAR Historical Approach'!K$5)</f>
        <v>1.4244575982412957E-2</v>
      </c>
    </row>
    <row r="450" spans="2:7" x14ac:dyDescent="0.3">
      <c r="B450" s="102">
        <v>45548.645833333336</v>
      </c>
      <c r="C450" s="108">
        <v>3767</v>
      </c>
      <c r="D450" s="261">
        <f t="shared" si="9"/>
        <v>7.3055721591286447E-4</v>
      </c>
      <c r="E450" s="261">
        <v>5.8992920849498054E-3</v>
      </c>
      <c r="F450">
        <v>448</v>
      </c>
      <c r="G450" s="259">
        <f ca="1">_xlfn.NORM.INV(RAND(),'VAR Historical Approach'!K$4,'VAR Historical Approach'!K$5)</f>
        <v>-2.7945207492337573E-2</v>
      </c>
    </row>
    <row r="451" spans="2:7" x14ac:dyDescent="0.3">
      <c r="B451" s="102">
        <v>45547.645833333336</v>
      </c>
      <c r="C451" s="108">
        <v>3764.25</v>
      </c>
      <c r="D451" s="261">
        <f t="shared" ref="D451:D514" si="10">(C451-C452)/C452</f>
        <v>1.4321899167362801E-2</v>
      </c>
      <c r="E451" s="261">
        <v>5.863825224500737E-3</v>
      </c>
      <c r="F451">
        <v>449</v>
      </c>
      <c r="G451" s="259">
        <f ca="1">_xlfn.NORM.INV(RAND(),'VAR Historical Approach'!K$4,'VAR Historical Approach'!K$5)</f>
        <v>-1.6247245872950478E-3</v>
      </c>
    </row>
    <row r="452" spans="2:7" x14ac:dyDescent="0.3">
      <c r="B452" s="102">
        <v>45546.645833333336</v>
      </c>
      <c r="C452" s="108">
        <v>3711.1</v>
      </c>
      <c r="D452" s="261">
        <f t="shared" si="10"/>
        <v>-4.3730214090251067E-3</v>
      </c>
      <c r="E452" s="261">
        <v>5.8349662529936595E-3</v>
      </c>
      <c r="F452">
        <v>450</v>
      </c>
      <c r="G452" s="259">
        <f ca="1">_xlfn.NORM.INV(RAND(),'VAR Historical Approach'!K$4,'VAR Historical Approach'!K$5)</f>
        <v>-1.3880059870282792E-2</v>
      </c>
    </row>
    <row r="453" spans="2:7" x14ac:dyDescent="0.3">
      <c r="B453" s="102">
        <v>45545.645833333336</v>
      </c>
      <c r="C453" s="108">
        <v>3727.4</v>
      </c>
      <c r="D453" s="261">
        <f t="shared" si="10"/>
        <v>1.1629642697208589E-2</v>
      </c>
      <c r="E453" s="261">
        <v>5.8163433081221778E-3</v>
      </c>
      <c r="F453">
        <v>451</v>
      </c>
      <c r="G453" s="259">
        <f ca="1">_xlfn.NORM.INV(RAND(),'VAR Historical Approach'!K$4,'VAR Historical Approach'!K$5)</f>
        <v>-1.4560460905813324E-2</v>
      </c>
    </row>
    <row r="454" spans="2:7" x14ac:dyDescent="0.3">
      <c r="B454" s="102">
        <v>45544.645833333336</v>
      </c>
      <c r="C454" s="108">
        <v>3684.55</v>
      </c>
      <c r="D454" s="261">
        <f t="shared" si="10"/>
        <v>-2.9630631849546256E-3</v>
      </c>
      <c r="E454" s="261">
        <v>5.800697424892612E-3</v>
      </c>
      <c r="F454">
        <v>452</v>
      </c>
      <c r="G454" s="259">
        <f ca="1">_xlfn.NORM.INV(RAND(),'VAR Historical Approach'!K$4,'VAR Historical Approach'!K$5)</f>
        <v>-3.6934223765878973E-2</v>
      </c>
    </row>
    <row r="455" spans="2:7" x14ac:dyDescent="0.3">
      <c r="B455" s="102">
        <v>45541.645833333336</v>
      </c>
      <c r="C455" s="108">
        <v>3695.5</v>
      </c>
      <c r="D455" s="261">
        <f t="shared" si="10"/>
        <v>-7.3465221537262872E-3</v>
      </c>
      <c r="E455" s="261">
        <v>5.7905696437231318E-3</v>
      </c>
      <c r="F455">
        <v>453</v>
      </c>
      <c r="G455" s="259">
        <f ca="1">_xlfn.NORM.INV(RAND(),'VAR Historical Approach'!K$4,'VAR Historical Approach'!K$5)</f>
        <v>1.0538313204036377E-2</v>
      </c>
    </row>
    <row r="456" spans="2:7" x14ac:dyDescent="0.3">
      <c r="B456" s="102">
        <v>45540.645833333336</v>
      </c>
      <c r="C456" s="108">
        <v>3722.85</v>
      </c>
      <c r="D456" s="261">
        <f t="shared" si="10"/>
        <v>3.191784239266017E-2</v>
      </c>
      <c r="E456" s="261">
        <v>5.7381395918034098E-3</v>
      </c>
      <c r="F456">
        <v>454</v>
      </c>
      <c r="G456" s="259">
        <f ca="1">_xlfn.NORM.INV(RAND(),'VAR Historical Approach'!K$4,'VAR Historical Approach'!K$5)</f>
        <v>2.4577726850527077E-2</v>
      </c>
    </row>
    <row r="457" spans="2:7" x14ac:dyDescent="0.3">
      <c r="B457" s="102">
        <v>45539.645833333336</v>
      </c>
      <c r="C457" s="108">
        <v>3607.7</v>
      </c>
      <c r="D457" s="261">
        <f t="shared" si="10"/>
        <v>-3.7142896593624327E-3</v>
      </c>
      <c r="E457" s="261">
        <v>5.7322867176203577E-3</v>
      </c>
      <c r="F457">
        <v>455</v>
      </c>
      <c r="G457" s="259">
        <f ca="1">_xlfn.NORM.INV(RAND(),'VAR Historical Approach'!K$4,'VAR Historical Approach'!K$5)</f>
        <v>2.563818733058199E-3</v>
      </c>
    </row>
    <row r="458" spans="2:7" x14ac:dyDescent="0.3">
      <c r="B458" s="102">
        <v>45538.645833333336</v>
      </c>
      <c r="C458" s="108">
        <v>3621.15</v>
      </c>
      <c r="D458" s="261">
        <f t="shared" si="10"/>
        <v>9.3657231258100666E-3</v>
      </c>
      <c r="E458" s="261">
        <v>5.7080682959491733E-3</v>
      </c>
      <c r="F458">
        <v>456</v>
      </c>
      <c r="G458" s="259">
        <f ca="1">_xlfn.NORM.INV(RAND(),'VAR Historical Approach'!K$4,'VAR Historical Approach'!K$5)</f>
        <v>-3.6466712610587889E-3</v>
      </c>
    </row>
    <row r="459" spans="2:7" x14ac:dyDescent="0.3">
      <c r="B459" s="102">
        <v>45537.645833333336</v>
      </c>
      <c r="C459" s="108">
        <v>3587.55</v>
      </c>
      <c r="D459" s="261">
        <f t="shared" si="10"/>
        <v>6.2830455941545486E-3</v>
      </c>
      <c r="E459" s="261">
        <v>5.7073140470233806E-3</v>
      </c>
      <c r="F459">
        <v>457</v>
      </c>
      <c r="G459" s="259">
        <f ca="1">_xlfn.NORM.INV(RAND(),'VAR Historical Approach'!K$4,'VAR Historical Approach'!K$5)</f>
        <v>-1.4676026380597257E-2</v>
      </c>
    </row>
    <row r="460" spans="2:7" x14ac:dyDescent="0.3">
      <c r="B460" s="102">
        <v>45534.645833333336</v>
      </c>
      <c r="C460" s="108">
        <v>3565.15</v>
      </c>
      <c r="D460" s="261">
        <f t="shared" si="10"/>
        <v>9.0427940677007459E-3</v>
      </c>
      <c r="E460" s="261">
        <v>5.6457169103574989E-3</v>
      </c>
      <c r="F460">
        <v>458</v>
      </c>
      <c r="G460" s="259">
        <f ca="1">_xlfn.NORM.INV(RAND(),'VAR Historical Approach'!K$4,'VAR Historical Approach'!K$5)</f>
        <v>5.6302929724612455E-3</v>
      </c>
    </row>
    <row r="461" spans="2:7" x14ac:dyDescent="0.3">
      <c r="B461" s="102">
        <v>45533.645833333336</v>
      </c>
      <c r="C461" s="108">
        <v>3533.2</v>
      </c>
      <c r="D461" s="261">
        <f t="shared" si="10"/>
        <v>1.6158752657689066E-3</v>
      </c>
      <c r="E461" s="261">
        <v>5.5930595849140053E-3</v>
      </c>
      <c r="F461">
        <v>459</v>
      </c>
      <c r="G461" s="259">
        <f ca="1">_xlfn.NORM.INV(RAND(),'VAR Historical Approach'!K$4,'VAR Historical Approach'!K$5)</f>
        <v>2.0981840951006187E-3</v>
      </c>
    </row>
    <row r="462" spans="2:7" x14ac:dyDescent="0.3">
      <c r="B462" s="102">
        <v>45532.645833333336</v>
      </c>
      <c r="C462" s="108">
        <v>3527.5</v>
      </c>
      <c r="D462" s="261">
        <f t="shared" si="10"/>
        <v>-6.6877859908482931E-3</v>
      </c>
      <c r="E462" s="261">
        <v>5.5659299816886018E-3</v>
      </c>
      <c r="F462">
        <v>460</v>
      </c>
      <c r="G462" s="259">
        <f ca="1">_xlfn.NORM.INV(RAND(),'VAR Historical Approach'!K$4,'VAR Historical Approach'!K$5)</f>
        <v>-2.2069847411854925E-2</v>
      </c>
    </row>
    <row r="463" spans="2:7" x14ac:dyDescent="0.3">
      <c r="B463" s="102">
        <v>45531.645833333336</v>
      </c>
      <c r="C463" s="108">
        <v>3551.25</v>
      </c>
      <c r="D463" s="261">
        <f t="shared" si="10"/>
        <v>-2.1748113051622452E-2</v>
      </c>
      <c r="E463" s="261">
        <v>5.5604242845486967E-3</v>
      </c>
      <c r="F463">
        <v>461</v>
      </c>
      <c r="G463" s="259">
        <f ca="1">_xlfn.NORM.INV(RAND(),'VAR Historical Approach'!K$4,'VAR Historical Approach'!K$5)</f>
        <v>1.9981934264164326E-2</v>
      </c>
    </row>
    <row r="464" spans="2:7" x14ac:dyDescent="0.3">
      <c r="B464" s="102">
        <v>45530.645833333336</v>
      </c>
      <c r="C464" s="108">
        <v>3630.2</v>
      </c>
      <c r="D464" s="261">
        <f t="shared" si="10"/>
        <v>1.6862745098039165E-2</v>
      </c>
      <c r="E464" s="261">
        <v>5.5360043313480833E-3</v>
      </c>
      <c r="F464">
        <v>462</v>
      </c>
      <c r="G464" s="259">
        <f ca="1">_xlfn.NORM.INV(RAND(),'VAR Historical Approach'!K$4,'VAR Historical Approach'!K$5)</f>
        <v>-4.094346305795464E-2</v>
      </c>
    </row>
    <row r="465" spans="2:7" x14ac:dyDescent="0.3">
      <c r="B465" s="102">
        <v>45527.645833333336</v>
      </c>
      <c r="C465" s="108">
        <v>3570</v>
      </c>
      <c r="D465" s="261">
        <f t="shared" si="10"/>
        <v>-9.5438908001331951E-3</v>
      </c>
      <c r="E465" s="261">
        <v>5.4971849093407542E-3</v>
      </c>
      <c r="F465">
        <v>463</v>
      </c>
      <c r="G465" s="259">
        <f ca="1">_xlfn.NORM.INV(RAND(),'VAR Historical Approach'!K$4,'VAR Historical Approach'!K$5)</f>
        <v>1.957644425416925E-2</v>
      </c>
    </row>
    <row r="466" spans="2:7" x14ac:dyDescent="0.3">
      <c r="B466" s="102">
        <v>45526.645833333336</v>
      </c>
      <c r="C466" s="108">
        <v>3604.4</v>
      </c>
      <c r="D466" s="261">
        <f t="shared" si="10"/>
        <v>1.2358162004269183E-2</v>
      </c>
      <c r="E466" s="261">
        <v>5.449984140257819E-3</v>
      </c>
      <c r="F466">
        <v>464</v>
      </c>
      <c r="G466" s="259">
        <f ca="1">_xlfn.NORM.INV(RAND(),'VAR Historical Approach'!K$4,'VAR Historical Approach'!K$5)</f>
        <v>-4.8881134964226958E-3</v>
      </c>
    </row>
    <row r="467" spans="2:7" x14ac:dyDescent="0.3">
      <c r="B467" s="102">
        <v>45525.645833333336</v>
      </c>
      <c r="C467" s="108">
        <v>3560.4</v>
      </c>
      <c r="D467" s="261">
        <f t="shared" si="10"/>
        <v>2.4605024605024603E-2</v>
      </c>
      <c r="E467" s="261">
        <v>5.4321846073616962E-3</v>
      </c>
      <c r="F467">
        <v>465</v>
      </c>
      <c r="G467" s="259">
        <f ca="1">_xlfn.NORM.INV(RAND(),'VAR Historical Approach'!K$4,'VAR Historical Approach'!K$5)</f>
        <v>1.6534479648459043E-3</v>
      </c>
    </row>
    <row r="468" spans="2:7" x14ac:dyDescent="0.3">
      <c r="B468" s="102">
        <v>45524.645833333336</v>
      </c>
      <c r="C468" s="108">
        <v>3474.9</v>
      </c>
      <c r="D468" s="261">
        <f t="shared" si="10"/>
        <v>2.9005584657345001E-3</v>
      </c>
      <c r="E468" s="261">
        <v>5.4318014582915731E-3</v>
      </c>
      <c r="F468">
        <v>466</v>
      </c>
      <c r="G468" s="259">
        <f ca="1">_xlfn.NORM.INV(RAND(),'VAR Historical Approach'!K$4,'VAR Historical Approach'!K$5)</f>
        <v>2.9326332982384049E-2</v>
      </c>
    </row>
    <row r="469" spans="2:7" x14ac:dyDescent="0.3">
      <c r="B469" s="102">
        <v>45523.645833333336</v>
      </c>
      <c r="C469" s="108">
        <v>3464.85</v>
      </c>
      <c r="D469" s="261">
        <f t="shared" si="10"/>
        <v>5.8349662529936595E-3</v>
      </c>
      <c r="E469" s="261">
        <v>5.3749524172059656E-3</v>
      </c>
      <c r="F469">
        <v>467</v>
      </c>
      <c r="G469" s="259">
        <f ca="1">_xlfn.NORM.INV(RAND(),'VAR Historical Approach'!K$4,'VAR Historical Approach'!K$5)</f>
        <v>-1.5348101302552214E-2</v>
      </c>
    </row>
    <row r="470" spans="2:7" x14ac:dyDescent="0.3">
      <c r="B470" s="102">
        <v>45520.645833333336</v>
      </c>
      <c r="C470" s="108">
        <v>3444.75</v>
      </c>
      <c r="D470" s="261">
        <f t="shared" si="10"/>
        <v>1.2521493761297976E-2</v>
      </c>
      <c r="E470" s="261">
        <v>5.2908583410867021E-3</v>
      </c>
      <c r="F470">
        <v>468</v>
      </c>
      <c r="G470" s="259">
        <f ca="1">_xlfn.NORM.INV(RAND(),'VAR Historical Approach'!K$4,'VAR Historical Approach'!K$5)</f>
        <v>7.5675886268987856E-3</v>
      </c>
    </row>
    <row r="471" spans="2:7" x14ac:dyDescent="0.3">
      <c r="B471" s="102">
        <v>45518.645833333336</v>
      </c>
      <c r="C471" s="108">
        <v>3402.15</v>
      </c>
      <c r="D471" s="261">
        <f t="shared" si="10"/>
        <v>5.4971849093407542E-3</v>
      </c>
      <c r="E471" s="261">
        <v>5.2892706489191567E-3</v>
      </c>
      <c r="F471">
        <v>469</v>
      </c>
      <c r="G471" s="259">
        <f ca="1">_xlfn.NORM.INV(RAND(),'VAR Historical Approach'!K$4,'VAR Historical Approach'!K$5)</f>
        <v>2.7127388020468698E-2</v>
      </c>
    </row>
    <row r="472" spans="2:7" x14ac:dyDescent="0.3">
      <c r="B472" s="102">
        <v>45517.645833333336</v>
      </c>
      <c r="C472" s="108">
        <v>3383.55</v>
      </c>
      <c r="D472" s="261">
        <f t="shared" si="10"/>
        <v>1.8880708252405339E-2</v>
      </c>
      <c r="E472" s="261">
        <v>5.2229270807646706E-3</v>
      </c>
      <c r="F472">
        <v>470</v>
      </c>
      <c r="G472" s="259">
        <f ca="1">_xlfn.NORM.INV(RAND(),'VAR Historical Approach'!K$4,'VAR Historical Approach'!K$5)</f>
        <v>3.1918525424937338E-2</v>
      </c>
    </row>
    <row r="473" spans="2:7" x14ac:dyDescent="0.3">
      <c r="B473" s="102">
        <v>45516.645833333336</v>
      </c>
      <c r="C473" s="108">
        <v>3320.85</v>
      </c>
      <c r="D473" s="261">
        <f t="shared" si="10"/>
        <v>-3.2565957319086081E-3</v>
      </c>
      <c r="E473" s="261">
        <v>5.1940415523324488E-3</v>
      </c>
      <c r="F473">
        <v>471</v>
      </c>
      <c r="G473" s="259">
        <f ca="1">_xlfn.NORM.INV(RAND(),'VAR Historical Approach'!K$4,'VAR Historical Approach'!K$5)</f>
        <v>-6.0950682297419775E-3</v>
      </c>
    </row>
    <row r="474" spans="2:7" x14ac:dyDescent="0.3">
      <c r="B474" s="102">
        <v>45513.645833333336</v>
      </c>
      <c r="C474" s="108">
        <v>3331.7</v>
      </c>
      <c r="D474" s="261">
        <f t="shared" si="10"/>
        <v>1.0677991809494863E-2</v>
      </c>
      <c r="E474" s="261">
        <v>5.1618745755037769E-3</v>
      </c>
      <c r="F474">
        <v>472</v>
      </c>
      <c r="G474" s="259">
        <f ca="1">_xlfn.NORM.INV(RAND(),'VAR Historical Approach'!K$4,'VAR Historical Approach'!K$5)</f>
        <v>-6.3403338370523442E-3</v>
      </c>
    </row>
    <row r="475" spans="2:7" x14ac:dyDescent="0.3">
      <c r="B475" s="102">
        <v>45512.645833333336</v>
      </c>
      <c r="C475" s="108">
        <v>3296.5</v>
      </c>
      <c r="D475" s="261">
        <f t="shared" si="10"/>
        <v>-8.9440060127771517E-3</v>
      </c>
      <c r="E475" s="261">
        <v>5.1522897964845528E-3</v>
      </c>
      <c r="F475">
        <v>473</v>
      </c>
      <c r="G475" s="259">
        <f ca="1">_xlfn.NORM.INV(RAND(),'VAR Historical Approach'!K$4,'VAR Historical Approach'!K$5)</f>
        <v>2.8821513406896092E-3</v>
      </c>
    </row>
    <row r="476" spans="2:7" x14ac:dyDescent="0.3">
      <c r="B476" s="102">
        <v>45511.645833333336</v>
      </c>
      <c r="C476" s="108">
        <v>3326.25</v>
      </c>
      <c r="D476" s="261">
        <f t="shared" si="10"/>
        <v>-2.6535935953944136E-3</v>
      </c>
      <c r="E476" s="261">
        <v>5.1089697988748904E-3</v>
      </c>
      <c r="F476">
        <v>474</v>
      </c>
      <c r="G476" s="259">
        <f ca="1">_xlfn.NORM.INV(RAND(),'VAR Historical Approach'!K$4,'VAR Historical Approach'!K$5)</f>
        <v>1.7088897957198881E-2</v>
      </c>
    </row>
    <row r="477" spans="2:7" x14ac:dyDescent="0.3">
      <c r="B477" s="102">
        <v>45510.645833333336</v>
      </c>
      <c r="C477" s="108">
        <v>3335.1</v>
      </c>
      <c r="D477" s="261">
        <f t="shared" si="10"/>
        <v>-1.2100297693982407E-2</v>
      </c>
      <c r="E477" s="261">
        <v>5.1021602265546801E-3</v>
      </c>
      <c r="F477">
        <v>475</v>
      </c>
      <c r="G477" s="259">
        <f ca="1">_xlfn.NORM.INV(RAND(),'VAR Historical Approach'!K$4,'VAR Historical Approach'!K$5)</f>
        <v>-2.6187645272467779E-3</v>
      </c>
    </row>
    <row r="478" spans="2:7" x14ac:dyDescent="0.3">
      <c r="B478" s="102">
        <v>45509.645833333336</v>
      </c>
      <c r="C478" s="108">
        <v>3375.95</v>
      </c>
      <c r="D478" s="261">
        <f t="shared" si="10"/>
        <v>-2.4954149638251502E-2</v>
      </c>
      <c r="E478" s="261">
        <v>5.0966484252060549E-3</v>
      </c>
      <c r="F478">
        <v>476</v>
      </c>
      <c r="G478" s="259">
        <f ca="1">_xlfn.NORM.INV(RAND(),'VAR Historical Approach'!K$4,'VAR Historical Approach'!K$5)</f>
        <v>-1.934524052263947E-2</v>
      </c>
    </row>
    <row r="479" spans="2:7" x14ac:dyDescent="0.3">
      <c r="B479" s="102">
        <v>45506.645833333336</v>
      </c>
      <c r="C479" s="108">
        <v>3462.35</v>
      </c>
      <c r="D479" s="261">
        <f t="shared" si="10"/>
        <v>-1.7299292170628686E-3</v>
      </c>
      <c r="E479" s="261">
        <v>5.0512008081921292E-3</v>
      </c>
      <c r="F479">
        <v>477</v>
      </c>
      <c r="G479" s="259">
        <f ca="1">_xlfn.NORM.INV(RAND(),'VAR Historical Approach'!K$4,'VAR Historical Approach'!K$5)</f>
        <v>-1.9740462166727736E-2</v>
      </c>
    </row>
    <row r="480" spans="2:7" x14ac:dyDescent="0.3">
      <c r="B480" s="102">
        <v>45505.645833333336</v>
      </c>
      <c r="C480" s="108">
        <v>3468.35</v>
      </c>
      <c r="D480" s="261">
        <f t="shared" si="10"/>
        <v>2.7175877072522273E-3</v>
      </c>
      <c r="E480" s="261">
        <v>5.0216620716817869E-3</v>
      </c>
      <c r="F480">
        <v>478</v>
      </c>
      <c r="G480" s="259">
        <f ca="1">_xlfn.NORM.INV(RAND(),'VAR Historical Approach'!K$4,'VAR Historical Approach'!K$5)</f>
        <v>2.3846369058828382E-2</v>
      </c>
    </row>
    <row r="481" spans="2:7" x14ac:dyDescent="0.3">
      <c r="B481" s="102">
        <v>45504.645833333336</v>
      </c>
      <c r="C481" s="108">
        <v>3458.95</v>
      </c>
      <c r="D481" s="261">
        <f t="shared" si="10"/>
        <v>-2.6814675989332319E-3</v>
      </c>
      <c r="E481" s="261">
        <v>4.9372907326485707E-3</v>
      </c>
      <c r="F481">
        <v>479</v>
      </c>
      <c r="G481" s="259">
        <f ca="1">_xlfn.NORM.INV(RAND(),'VAR Historical Approach'!K$4,'VAR Historical Approach'!K$5)</f>
        <v>1.9467140765281353E-2</v>
      </c>
    </row>
    <row r="482" spans="2:7" x14ac:dyDescent="0.3">
      <c r="B482" s="102">
        <v>45503.645833333336</v>
      </c>
      <c r="C482" s="108">
        <v>3468.25</v>
      </c>
      <c r="D482" s="261">
        <f t="shared" si="10"/>
        <v>1.6575314359410318E-2</v>
      </c>
      <c r="E482" s="261">
        <v>4.9192062259178614E-3</v>
      </c>
      <c r="F482">
        <v>480</v>
      </c>
      <c r="G482" s="259">
        <f ca="1">_xlfn.NORM.INV(RAND(),'VAR Historical Approach'!K$4,'VAR Historical Approach'!K$5)</f>
        <v>-2.3252939953750395E-2</v>
      </c>
    </row>
    <row r="483" spans="2:7" x14ac:dyDescent="0.3">
      <c r="B483" s="102">
        <v>45502.645833333336</v>
      </c>
      <c r="C483" s="108">
        <v>3411.7</v>
      </c>
      <c r="D483" s="261">
        <f t="shared" si="10"/>
        <v>-2.3596582859923092E-2</v>
      </c>
      <c r="E483" s="261">
        <v>4.9164076733468837E-3</v>
      </c>
      <c r="F483">
        <v>481</v>
      </c>
      <c r="G483" s="259">
        <f ca="1">_xlfn.NORM.INV(RAND(),'VAR Historical Approach'!K$4,'VAR Historical Approach'!K$5)</f>
        <v>-4.0965384345428985E-3</v>
      </c>
    </row>
    <row r="484" spans="2:7" x14ac:dyDescent="0.3">
      <c r="B484" s="102">
        <v>45499.645833333336</v>
      </c>
      <c r="C484" s="108">
        <v>3494.15</v>
      </c>
      <c r="D484" s="261">
        <f t="shared" si="10"/>
        <v>2.5941041752304862E-2</v>
      </c>
      <c r="E484" s="261">
        <v>4.8747594228958904E-3</v>
      </c>
      <c r="F484">
        <v>482</v>
      </c>
      <c r="G484" s="259">
        <f ca="1">_xlfn.NORM.INV(RAND(),'VAR Historical Approach'!K$4,'VAR Historical Approach'!K$5)</f>
        <v>1.1407884932756792E-2</v>
      </c>
    </row>
    <row r="485" spans="2:7" x14ac:dyDescent="0.3">
      <c r="B485" s="102">
        <v>45498.645833333336</v>
      </c>
      <c r="C485" s="108">
        <v>3405.8</v>
      </c>
      <c r="D485" s="261">
        <f t="shared" si="10"/>
        <v>-2.0871665133394637E-2</v>
      </c>
      <c r="E485" s="261">
        <v>4.8599279389994234E-3</v>
      </c>
      <c r="F485">
        <v>483</v>
      </c>
      <c r="G485" s="259">
        <f ca="1">_xlfn.NORM.INV(RAND(),'VAR Historical Approach'!K$4,'VAR Historical Approach'!K$5)</f>
        <v>-1.3283981829499277E-2</v>
      </c>
    </row>
    <row r="486" spans="2:7" x14ac:dyDescent="0.3">
      <c r="B486" s="102">
        <v>45497.645833333336</v>
      </c>
      <c r="C486" s="108">
        <v>3478.4</v>
      </c>
      <c r="D486" s="261">
        <f t="shared" si="10"/>
        <v>3.3315545812481594E-3</v>
      </c>
      <c r="E486" s="261">
        <v>4.8404021257149668E-3</v>
      </c>
      <c r="F486">
        <v>484</v>
      </c>
      <c r="G486" s="259">
        <f ca="1">_xlfn.NORM.INV(RAND(),'VAR Historical Approach'!K$4,'VAR Historical Approach'!K$5)</f>
        <v>4.0399739763925498E-3</v>
      </c>
    </row>
    <row r="487" spans="2:7" x14ac:dyDescent="0.3">
      <c r="B487" s="102">
        <v>45496.645833333336</v>
      </c>
      <c r="C487" s="108">
        <v>3466.85</v>
      </c>
      <c r="D487" s="261">
        <f t="shared" si="10"/>
        <v>6.5264484014195975E-2</v>
      </c>
      <c r="E487" s="261">
        <v>4.7662812319661839E-3</v>
      </c>
      <c r="F487">
        <v>485</v>
      </c>
      <c r="G487" s="259">
        <f ca="1">_xlfn.NORM.INV(RAND(),'VAR Historical Approach'!K$4,'VAR Historical Approach'!K$5)</f>
        <v>-1.3306368396281867E-2</v>
      </c>
    </row>
    <row r="488" spans="2:7" x14ac:dyDescent="0.3">
      <c r="B488" s="102">
        <v>45495.645833333336</v>
      </c>
      <c r="C488" s="108">
        <v>3254.45</v>
      </c>
      <c r="D488" s="261">
        <f t="shared" si="10"/>
        <v>-1.3961337833691874E-3</v>
      </c>
      <c r="E488" s="261">
        <v>4.7545465351242124E-3</v>
      </c>
      <c r="F488">
        <v>486</v>
      </c>
      <c r="G488" s="259">
        <f ca="1">_xlfn.NORM.INV(RAND(),'VAR Historical Approach'!K$4,'VAR Historical Approach'!K$5)</f>
        <v>1.3004220735682965E-2</v>
      </c>
    </row>
    <row r="489" spans="2:7" x14ac:dyDescent="0.3">
      <c r="B489" s="102">
        <v>45492.645833333336</v>
      </c>
      <c r="C489" s="108">
        <v>3259</v>
      </c>
      <c r="D489" s="261">
        <f t="shared" si="10"/>
        <v>-9.5030808374970386E-4</v>
      </c>
      <c r="E489" s="261">
        <v>4.7342119874922758E-3</v>
      </c>
      <c r="F489">
        <v>487</v>
      </c>
      <c r="G489" s="259">
        <f ca="1">_xlfn.NORM.INV(RAND(),'VAR Historical Approach'!K$4,'VAR Historical Approach'!K$5)</f>
        <v>2.1283707839500413E-3</v>
      </c>
    </row>
    <row r="490" spans="2:7" x14ac:dyDescent="0.3">
      <c r="B490" s="102">
        <v>45491.645833333336</v>
      </c>
      <c r="C490" s="108">
        <v>3262.1</v>
      </c>
      <c r="D490" s="261">
        <f t="shared" si="10"/>
        <v>8.673335291662072E-3</v>
      </c>
      <c r="E490" s="261">
        <v>4.7156479181232345E-3</v>
      </c>
      <c r="F490">
        <v>488</v>
      </c>
      <c r="G490" s="259">
        <f ca="1">_xlfn.NORM.INV(RAND(),'VAR Historical Approach'!K$4,'VAR Historical Approach'!K$5)</f>
        <v>-3.9962411175779325E-2</v>
      </c>
    </row>
    <row r="491" spans="2:7" x14ac:dyDescent="0.3">
      <c r="B491" s="102">
        <v>45489.645833333336</v>
      </c>
      <c r="C491" s="108">
        <v>3234.05</v>
      </c>
      <c r="D491" s="261">
        <f t="shared" si="10"/>
        <v>3.0550214006576405E-3</v>
      </c>
      <c r="E491" s="261">
        <v>4.6945217205220753E-3</v>
      </c>
      <c r="F491">
        <v>489</v>
      </c>
      <c r="G491" s="259">
        <f ca="1">_xlfn.NORM.INV(RAND(),'VAR Historical Approach'!K$4,'VAR Historical Approach'!K$5)</f>
        <v>-9.3241839690224194E-3</v>
      </c>
    </row>
    <row r="492" spans="2:7" x14ac:dyDescent="0.3">
      <c r="B492" s="102">
        <v>45488.645833333336</v>
      </c>
      <c r="C492" s="108">
        <v>3224.2</v>
      </c>
      <c r="D492" s="261">
        <f t="shared" si="10"/>
        <v>-1.7493072433704634E-3</v>
      </c>
      <c r="E492" s="261">
        <v>4.6820589354168492E-3</v>
      </c>
      <c r="F492">
        <v>490</v>
      </c>
      <c r="G492" s="259">
        <f ca="1">_xlfn.NORM.INV(RAND(),'VAR Historical Approach'!K$4,'VAR Historical Approach'!K$5)</f>
        <v>4.9435940546589154E-4</v>
      </c>
    </row>
    <row r="493" spans="2:7" x14ac:dyDescent="0.3">
      <c r="B493" s="102">
        <v>45485.645833333336</v>
      </c>
      <c r="C493" s="108">
        <v>3229.85</v>
      </c>
      <c r="D493" s="261">
        <f t="shared" si="10"/>
        <v>-5.7717170473434712E-3</v>
      </c>
      <c r="E493" s="261">
        <v>4.5711300486498841E-3</v>
      </c>
      <c r="F493">
        <v>491</v>
      </c>
      <c r="G493" s="259">
        <f ca="1">_xlfn.NORM.INV(RAND(),'VAR Historical Approach'!K$4,'VAR Historical Approach'!K$5)</f>
        <v>-2.8324111077749014E-3</v>
      </c>
    </row>
    <row r="494" spans="2:7" x14ac:dyDescent="0.3">
      <c r="B494" s="102">
        <v>45484.645833333336</v>
      </c>
      <c r="C494" s="108">
        <v>3248.6</v>
      </c>
      <c r="D494" s="261">
        <f t="shared" si="10"/>
        <v>7.3178294573643127E-3</v>
      </c>
      <c r="E494" s="261">
        <v>4.5644951610573975E-3</v>
      </c>
      <c r="F494">
        <v>492</v>
      </c>
      <c r="G494" s="259">
        <f ca="1">_xlfn.NORM.INV(RAND(),'VAR Historical Approach'!K$4,'VAR Historical Approach'!K$5)</f>
        <v>2.2114390508054128E-2</v>
      </c>
    </row>
    <row r="495" spans="2:7" x14ac:dyDescent="0.3">
      <c r="B495" s="102">
        <v>45483.645833333336</v>
      </c>
      <c r="C495" s="108">
        <v>3225</v>
      </c>
      <c r="D495" s="261">
        <f t="shared" si="10"/>
        <v>3.0636206708862445E-3</v>
      </c>
      <c r="E495" s="261">
        <v>4.5165637691453467E-3</v>
      </c>
      <c r="F495">
        <v>493</v>
      </c>
      <c r="G495" s="259">
        <f ca="1">_xlfn.NORM.INV(RAND(),'VAR Historical Approach'!K$4,'VAR Historical Approach'!K$5)</f>
        <v>3.927062772330671E-3</v>
      </c>
    </row>
    <row r="496" spans="2:7" x14ac:dyDescent="0.3">
      <c r="B496" s="102">
        <v>45482.645833333336</v>
      </c>
      <c r="C496" s="108">
        <v>3215.15</v>
      </c>
      <c r="D496" s="261">
        <f t="shared" si="10"/>
        <v>1.8677523604334414E-2</v>
      </c>
      <c r="E496" s="261">
        <v>4.5133437990582436E-3</v>
      </c>
      <c r="F496">
        <v>494</v>
      </c>
      <c r="G496" s="259">
        <f ca="1">_xlfn.NORM.INV(RAND(),'VAR Historical Approach'!K$4,'VAR Historical Approach'!K$5)</f>
        <v>1.9377568718659463E-2</v>
      </c>
    </row>
    <row r="497" spans="2:7" x14ac:dyDescent="0.3">
      <c r="B497" s="102">
        <v>45481.645833333336</v>
      </c>
      <c r="C497" s="108">
        <v>3156.2</v>
      </c>
      <c r="D497" s="261">
        <f t="shared" si="10"/>
        <v>-3.4609326012816029E-2</v>
      </c>
      <c r="E497" s="261">
        <v>4.5093152960721848E-3</v>
      </c>
      <c r="F497">
        <v>495</v>
      </c>
      <c r="G497" s="259">
        <f ca="1">_xlfn.NORM.INV(RAND(),'VAR Historical Approach'!K$4,'VAR Historical Approach'!K$5)</f>
        <v>2.0542537781779915E-2</v>
      </c>
    </row>
    <row r="498" spans="2:7" x14ac:dyDescent="0.3">
      <c r="B498" s="102">
        <v>45478.645833333336</v>
      </c>
      <c r="C498" s="108">
        <v>3269.35</v>
      </c>
      <c r="D498" s="261">
        <f t="shared" si="10"/>
        <v>-1.9979016786570769E-2</v>
      </c>
      <c r="E498" s="261">
        <v>4.5021645021644761E-3</v>
      </c>
      <c r="F498">
        <v>496</v>
      </c>
      <c r="G498" s="259">
        <f ca="1">_xlfn.NORM.INV(RAND(),'VAR Historical Approach'!K$4,'VAR Historical Approach'!K$5)</f>
        <v>3.3698876673666875E-2</v>
      </c>
    </row>
    <row r="499" spans="2:7" x14ac:dyDescent="0.3">
      <c r="B499" s="102">
        <v>45477.645833333336</v>
      </c>
      <c r="C499" s="108">
        <v>3336</v>
      </c>
      <c r="D499" s="261">
        <f t="shared" si="10"/>
        <v>-7.2167249460605614E-3</v>
      </c>
      <c r="E499" s="261">
        <v>4.4439935064934325E-3</v>
      </c>
      <c r="F499">
        <v>497</v>
      </c>
      <c r="G499" s="259">
        <f ca="1">_xlfn.NORM.INV(RAND(),'VAR Historical Approach'!K$4,'VAR Historical Approach'!K$5)</f>
        <v>-3.9652398110309314E-3</v>
      </c>
    </row>
    <row r="500" spans="2:7" x14ac:dyDescent="0.3">
      <c r="B500" s="102">
        <v>45476.645833333336</v>
      </c>
      <c r="C500" s="108">
        <v>3360.25</v>
      </c>
      <c r="D500" s="261">
        <f t="shared" si="10"/>
        <v>-1.1589428323503917E-2</v>
      </c>
      <c r="E500" s="261">
        <v>4.4387483979870194E-3</v>
      </c>
      <c r="F500">
        <v>498</v>
      </c>
      <c r="G500" s="259">
        <f ca="1">_xlfn.NORM.INV(RAND(),'VAR Historical Approach'!K$4,'VAR Historical Approach'!K$5)</f>
        <v>-5.1721398506207508E-4</v>
      </c>
    </row>
    <row r="501" spans="2:7" x14ac:dyDescent="0.3">
      <c r="B501" s="102">
        <v>45475.645833333336</v>
      </c>
      <c r="C501" s="108">
        <v>3399.65</v>
      </c>
      <c r="D501" s="261">
        <f t="shared" si="10"/>
        <v>-9.2672193970478167E-3</v>
      </c>
      <c r="E501" s="261">
        <v>4.3458325857704243E-3</v>
      </c>
      <c r="F501">
        <v>499</v>
      </c>
      <c r="G501" s="259">
        <f ca="1">_xlfn.NORM.INV(RAND(),'VAR Historical Approach'!K$4,'VAR Historical Approach'!K$5)</f>
        <v>-1.1297492116229128E-2</v>
      </c>
    </row>
    <row r="502" spans="2:7" x14ac:dyDescent="0.3">
      <c r="B502" s="102">
        <v>45474.645833333336</v>
      </c>
      <c r="C502" s="108">
        <v>3431.45</v>
      </c>
      <c r="D502" s="261">
        <f t="shared" si="10"/>
        <v>8.0048175782856477E-3</v>
      </c>
      <c r="E502" s="261">
        <v>4.3209270352549262E-3</v>
      </c>
      <c r="F502">
        <v>500</v>
      </c>
      <c r="G502" s="259">
        <f ca="1">_xlfn.NORM.INV(RAND(),'VAR Historical Approach'!K$4,'VAR Historical Approach'!K$5)</f>
        <v>6.839579698959054E-3</v>
      </c>
    </row>
    <row r="503" spans="2:7" x14ac:dyDescent="0.3">
      <c r="B503" s="102">
        <v>45471.645833333336</v>
      </c>
      <c r="C503" s="108">
        <v>3404.2</v>
      </c>
      <c r="D503" s="261">
        <f t="shared" si="10"/>
        <v>6.9810092882919925E-3</v>
      </c>
      <c r="E503" s="261">
        <v>4.297861648527487E-3</v>
      </c>
      <c r="F503">
        <v>501</v>
      </c>
      <c r="G503" s="259">
        <f ca="1">_xlfn.NORM.INV(RAND(),'VAR Historical Approach'!K$4,'VAR Historical Approach'!K$5)</f>
        <v>-2.1425339198850736E-2</v>
      </c>
    </row>
    <row r="504" spans="2:7" x14ac:dyDescent="0.3">
      <c r="B504" s="102">
        <v>45470.645833333336</v>
      </c>
      <c r="C504" s="108">
        <v>3380.6</v>
      </c>
      <c r="D504" s="261">
        <f t="shared" si="10"/>
        <v>2.3274775776443287E-3</v>
      </c>
      <c r="E504" s="261">
        <v>4.2970292430260376E-3</v>
      </c>
      <c r="F504">
        <v>502</v>
      </c>
      <c r="G504" s="259">
        <f ca="1">_xlfn.NORM.INV(RAND(),'VAR Historical Approach'!K$4,'VAR Historical Approach'!K$5)</f>
        <v>1.0410929761826473E-2</v>
      </c>
    </row>
    <row r="505" spans="2:7" x14ac:dyDescent="0.3">
      <c r="B505" s="102">
        <v>45469.645833333336</v>
      </c>
      <c r="C505" s="108">
        <v>3372.75</v>
      </c>
      <c r="D505" s="261">
        <f t="shared" si="10"/>
        <v>-8.7290040999867206E-3</v>
      </c>
      <c r="E505" s="261">
        <v>4.2343252272551051E-3</v>
      </c>
      <c r="F505">
        <v>503</v>
      </c>
      <c r="G505" s="259">
        <f ca="1">_xlfn.NORM.INV(RAND(),'VAR Historical Approach'!K$4,'VAR Historical Approach'!K$5)</f>
        <v>1.5946083223087309E-2</v>
      </c>
    </row>
    <row r="506" spans="2:7" x14ac:dyDescent="0.3">
      <c r="B506" s="102">
        <v>45468.645833333336</v>
      </c>
      <c r="C506" s="108">
        <v>3402.45</v>
      </c>
      <c r="D506" s="261">
        <f t="shared" si="10"/>
        <v>-2.901226427535303E-3</v>
      </c>
      <c r="E506" s="261">
        <v>4.1193285934179235E-3</v>
      </c>
      <c r="F506">
        <v>504</v>
      </c>
      <c r="G506" s="259">
        <f ca="1">_xlfn.NORM.INV(RAND(),'VAR Historical Approach'!K$4,'VAR Historical Approach'!K$5)</f>
        <v>1.292943533761491E-2</v>
      </c>
    </row>
    <row r="507" spans="2:7" x14ac:dyDescent="0.3">
      <c r="B507" s="102">
        <v>45467.645833333336</v>
      </c>
      <c r="C507" s="108">
        <v>3412.35</v>
      </c>
      <c r="D507" s="261">
        <f t="shared" si="10"/>
        <v>3.7061548643282328E-3</v>
      </c>
      <c r="E507" s="261">
        <v>4.0917515103376899E-3</v>
      </c>
      <c r="F507">
        <v>505</v>
      </c>
      <c r="G507" s="259">
        <f ca="1">_xlfn.NORM.INV(RAND(),'VAR Historical Approach'!K$4,'VAR Historical Approach'!K$5)</f>
        <v>-1.2492575796084929E-2</v>
      </c>
    </row>
    <row r="508" spans="2:7" x14ac:dyDescent="0.3">
      <c r="B508" s="102">
        <v>45464.645833333336</v>
      </c>
      <c r="C508" s="108">
        <v>3399.75</v>
      </c>
      <c r="D508" s="261">
        <f t="shared" si="10"/>
        <v>-1.0535659715653551E-2</v>
      </c>
      <c r="E508" s="261">
        <v>4.0893600908747376E-3</v>
      </c>
      <c r="F508">
        <v>506</v>
      </c>
      <c r="G508" s="259">
        <f ca="1">_xlfn.NORM.INV(RAND(),'VAR Historical Approach'!K$4,'VAR Historical Approach'!K$5)</f>
        <v>-1.1578016576570838E-2</v>
      </c>
    </row>
    <row r="509" spans="2:7" x14ac:dyDescent="0.3">
      <c r="B509" s="102">
        <v>45463.645833333336</v>
      </c>
      <c r="C509" s="108">
        <v>3435.95</v>
      </c>
      <c r="D509" s="261">
        <f t="shared" si="10"/>
        <v>-7.6248790561324218E-3</v>
      </c>
      <c r="E509" s="261">
        <v>4.0693641618497955E-3</v>
      </c>
      <c r="F509">
        <v>507</v>
      </c>
      <c r="G509" s="259">
        <f ca="1">_xlfn.NORM.INV(RAND(),'VAR Historical Approach'!K$4,'VAR Historical Approach'!K$5)</f>
        <v>-1.5969922012356492E-2</v>
      </c>
    </row>
    <row r="510" spans="2:7" x14ac:dyDescent="0.3">
      <c r="B510" s="102">
        <v>45462.645833333336</v>
      </c>
      <c r="C510" s="108">
        <v>3462.35</v>
      </c>
      <c r="D510" s="261">
        <f t="shared" si="10"/>
        <v>-3.5288381164669848E-2</v>
      </c>
      <c r="E510" s="261">
        <v>4.0522579181119719E-3</v>
      </c>
      <c r="F510">
        <v>508</v>
      </c>
      <c r="G510" s="259">
        <f ca="1">_xlfn.NORM.INV(RAND(),'VAR Historical Approach'!K$4,'VAR Historical Approach'!K$5)</f>
        <v>-8.5296732380141394E-3</v>
      </c>
    </row>
    <row r="511" spans="2:7" x14ac:dyDescent="0.3">
      <c r="B511" s="102">
        <v>45461.645833333336</v>
      </c>
      <c r="C511" s="108">
        <v>3589</v>
      </c>
      <c r="D511" s="261">
        <f t="shared" si="10"/>
        <v>1.6699480177334546E-2</v>
      </c>
      <c r="E511" s="261">
        <v>4.04585300067427E-3</v>
      </c>
      <c r="F511">
        <v>509</v>
      </c>
      <c r="G511" s="259">
        <f ca="1">_xlfn.NORM.INV(RAND(),'VAR Historical Approach'!K$4,'VAR Historical Approach'!K$5)</f>
        <v>-1.9224858486622413E-2</v>
      </c>
    </row>
    <row r="512" spans="2:7" x14ac:dyDescent="0.3">
      <c r="B512" s="102">
        <v>45457.645833333336</v>
      </c>
      <c r="C512" s="108">
        <v>3530.05</v>
      </c>
      <c r="D512" s="261">
        <f t="shared" si="10"/>
        <v>1.6660906629802536E-2</v>
      </c>
      <c r="E512" s="261">
        <v>4.0345714655858796E-3</v>
      </c>
      <c r="F512">
        <v>510</v>
      </c>
      <c r="G512" s="259">
        <f ca="1">_xlfn.NORM.INV(RAND(),'VAR Historical Approach'!K$4,'VAR Historical Approach'!K$5)</f>
        <v>1.6375554398914745E-3</v>
      </c>
    </row>
    <row r="513" spans="2:7" x14ac:dyDescent="0.3">
      <c r="B513" s="102">
        <v>45456.645833333336</v>
      </c>
      <c r="C513" s="108">
        <v>3472.2</v>
      </c>
      <c r="D513" s="261">
        <f t="shared" si="10"/>
        <v>2.6579546462466259E-2</v>
      </c>
      <c r="E513" s="261">
        <v>3.9854372948672735E-3</v>
      </c>
      <c r="F513">
        <v>511</v>
      </c>
      <c r="G513" s="259">
        <f ca="1">_xlfn.NORM.INV(RAND(),'VAR Historical Approach'!K$4,'VAR Historical Approach'!K$5)</f>
        <v>-5.1092827998977935E-3</v>
      </c>
    </row>
    <row r="514" spans="2:7" x14ac:dyDescent="0.3">
      <c r="B514" s="102">
        <v>45455.645833333336</v>
      </c>
      <c r="C514" s="108">
        <v>3382.3</v>
      </c>
      <c r="D514" s="261">
        <f t="shared" si="10"/>
        <v>-8.3267364470635472E-3</v>
      </c>
      <c r="E514" s="261">
        <v>3.9781603826765976E-3</v>
      </c>
      <c r="F514">
        <v>512</v>
      </c>
      <c r="G514" s="259">
        <f ca="1">_xlfn.NORM.INV(RAND(),'VAR Historical Approach'!K$4,'VAR Historical Approach'!K$5)</f>
        <v>-1.3421527300479611E-2</v>
      </c>
    </row>
    <row r="515" spans="2:7" x14ac:dyDescent="0.3">
      <c r="B515" s="102">
        <v>45454.645833333336</v>
      </c>
      <c r="C515" s="108">
        <v>3410.7</v>
      </c>
      <c r="D515" s="261">
        <f t="shared" ref="D515:D578" si="11">(C515-C516)/C516</f>
        <v>-3.3604114312430601E-3</v>
      </c>
      <c r="E515" s="261">
        <v>3.9661773211777593E-3</v>
      </c>
      <c r="F515">
        <v>513</v>
      </c>
      <c r="G515" s="259">
        <f ca="1">_xlfn.NORM.INV(RAND(),'VAR Historical Approach'!K$4,'VAR Historical Approach'!K$5)</f>
        <v>-4.356829912129088E-3</v>
      </c>
    </row>
    <row r="516" spans="2:7" x14ac:dyDescent="0.3">
      <c r="B516" s="102">
        <v>45453.645833333336</v>
      </c>
      <c r="C516" s="108">
        <v>3422.2</v>
      </c>
      <c r="D516" s="261">
        <f t="shared" si="11"/>
        <v>-6.3442749089009636E-3</v>
      </c>
      <c r="E516" s="261">
        <v>3.8797284190106433E-3</v>
      </c>
      <c r="F516">
        <v>514</v>
      </c>
      <c r="G516" s="259">
        <f ca="1">_xlfn.NORM.INV(RAND(),'VAR Historical Approach'!K$4,'VAR Historical Approach'!K$5)</f>
        <v>-7.2517097090298672E-3</v>
      </c>
    </row>
    <row r="517" spans="2:7" x14ac:dyDescent="0.3">
      <c r="B517" s="102">
        <v>45450.645833333336</v>
      </c>
      <c r="C517" s="108">
        <v>3444.05</v>
      </c>
      <c r="D517" s="261">
        <f t="shared" si="11"/>
        <v>3.6849156292806315E-2</v>
      </c>
      <c r="E517" s="261">
        <v>3.8726501381698584E-3</v>
      </c>
      <c r="F517">
        <v>515</v>
      </c>
      <c r="G517" s="259">
        <f ca="1">_xlfn.NORM.INV(RAND(),'VAR Historical Approach'!K$4,'VAR Historical Approach'!K$5)</f>
        <v>6.7558385676418061E-3</v>
      </c>
    </row>
    <row r="518" spans="2:7" x14ac:dyDescent="0.3">
      <c r="B518" s="102">
        <v>45449.645833333336</v>
      </c>
      <c r="C518" s="108">
        <v>3321.65</v>
      </c>
      <c r="D518" s="261">
        <f t="shared" si="11"/>
        <v>1.2056726900064804E-3</v>
      </c>
      <c r="E518" s="261">
        <v>3.8495439909337187E-3</v>
      </c>
      <c r="F518">
        <v>516</v>
      </c>
      <c r="G518" s="259">
        <f ca="1">_xlfn.NORM.INV(RAND(),'VAR Historical Approach'!K$4,'VAR Historical Approach'!K$5)</f>
        <v>-1.6193364458479406E-2</v>
      </c>
    </row>
    <row r="519" spans="2:7" x14ac:dyDescent="0.3">
      <c r="B519" s="102">
        <v>45448.645833333336</v>
      </c>
      <c r="C519" s="108">
        <v>3317.65</v>
      </c>
      <c r="D519" s="261">
        <f t="shared" si="11"/>
        <v>2.4297997807931668E-2</v>
      </c>
      <c r="E519" s="261">
        <v>3.8363529444709679E-3</v>
      </c>
      <c r="F519">
        <v>517</v>
      </c>
      <c r="G519" s="259">
        <f ca="1">_xlfn.NORM.INV(RAND(),'VAR Historical Approach'!K$4,'VAR Historical Approach'!K$5)</f>
        <v>1.8301415405646247E-2</v>
      </c>
    </row>
    <row r="520" spans="2:7" x14ac:dyDescent="0.3">
      <c r="B520" s="102">
        <v>45447.645833333336</v>
      </c>
      <c r="C520" s="108">
        <v>3238.95</v>
      </c>
      <c r="D520" s="261">
        <f t="shared" si="11"/>
        <v>-6.8226419722801426E-3</v>
      </c>
      <c r="E520" s="261">
        <v>3.8045150642012937E-3</v>
      </c>
      <c r="F520">
        <v>518</v>
      </c>
      <c r="G520" s="259">
        <f ca="1">_xlfn.NORM.INV(RAND(),'VAR Historical Approach'!K$4,'VAR Historical Approach'!K$5)</f>
        <v>1.3382067733530758E-2</v>
      </c>
    </row>
    <row r="521" spans="2:7" x14ac:dyDescent="0.3">
      <c r="B521" s="102">
        <v>45446.645833333336</v>
      </c>
      <c r="C521" s="108">
        <v>3261.2</v>
      </c>
      <c r="D521" s="261">
        <f t="shared" si="11"/>
        <v>5.9532989913321588E-3</v>
      </c>
      <c r="E521" s="261">
        <v>3.77529758834819E-3</v>
      </c>
      <c r="F521">
        <v>519</v>
      </c>
      <c r="G521" s="259">
        <f ca="1">_xlfn.NORM.INV(RAND(),'VAR Historical Approach'!K$4,'VAR Historical Approach'!K$5)</f>
        <v>-8.9801077911963387E-3</v>
      </c>
    </row>
    <row r="522" spans="2:7" x14ac:dyDescent="0.3">
      <c r="B522" s="102">
        <v>45443.645833333336</v>
      </c>
      <c r="C522" s="108">
        <v>3241.9</v>
      </c>
      <c r="D522" s="261">
        <f t="shared" si="11"/>
        <v>-9.1538426272597517E-3</v>
      </c>
      <c r="E522" s="261">
        <v>3.7745138262081797E-3</v>
      </c>
      <c r="F522">
        <v>520</v>
      </c>
      <c r="G522" s="259">
        <f ca="1">_xlfn.NORM.INV(RAND(),'VAR Historical Approach'!K$4,'VAR Historical Approach'!K$5)</f>
        <v>9.8957805976456949E-3</v>
      </c>
    </row>
    <row r="523" spans="2:7" x14ac:dyDescent="0.3">
      <c r="B523" s="102">
        <v>45442.645833333336</v>
      </c>
      <c r="C523" s="108">
        <v>3271.85</v>
      </c>
      <c r="D523" s="261">
        <f t="shared" si="11"/>
        <v>-3.2111584427878412E-2</v>
      </c>
      <c r="E523" s="261">
        <v>3.7688442211054689E-3</v>
      </c>
      <c r="F523">
        <v>521</v>
      </c>
      <c r="G523" s="259">
        <f ca="1">_xlfn.NORM.INV(RAND(),'VAR Historical Approach'!K$4,'VAR Historical Approach'!K$5)</f>
        <v>1.7997060652948534E-2</v>
      </c>
    </row>
    <row r="524" spans="2:7" x14ac:dyDescent="0.3">
      <c r="B524" s="102">
        <v>45441.645833333336</v>
      </c>
      <c r="C524" s="108">
        <v>3380.4</v>
      </c>
      <c r="D524" s="261">
        <f t="shared" si="11"/>
        <v>-8.5058954654777964E-3</v>
      </c>
      <c r="E524" s="261">
        <v>3.7448867891916805E-3</v>
      </c>
      <c r="F524">
        <v>522</v>
      </c>
      <c r="G524" s="259">
        <f ca="1">_xlfn.NORM.INV(RAND(),'VAR Historical Approach'!K$4,'VAR Historical Approach'!K$5)</f>
        <v>1.8227642245296377E-3</v>
      </c>
    </row>
    <row r="525" spans="2:7" x14ac:dyDescent="0.3">
      <c r="B525" s="102">
        <v>45440.645833333336</v>
      </c>
      <c r="C525" s="108">
        <v>3409.4</v>
      </c>
      <c r="D525" s="261">
        <f t="shared" si="11"/>
        <v>1.7629429394135276E-3</v>
      </c>
      <c r="E525" s="261">
        <v>3.7414200517609224E-3</v>
      </c>
      <c r="F525">
        <v>523</v>
      </c>
      <c r="G525" s="259">
        <f ca="1">_xlfn.NORM.INV(RAND(),'VAR Historical Approach'!K$4,'VAR Historical Approach'!K$5)</f>
        <v>-2.0667625601613403E-3</v>
      </c>
    </row>
    <row r="526" spans="2:7" x14ac:dyDescent="0.3">
      <c r="B526" s="102">
        <v>45439.645833333336</v>
      </c>
      <c r="C526" s="108">
        <v>3403.4</v>
      </c>
      <c r="D526" s="261">
        <f t="shared" si="11"/>
        <v>-2.6374399249794863E-3</v>
      </c>
      <c r="E526" s="261">
        <v>3.7061548643282328E-3</v>
      </c>
      <c r="F526">
        <v>524</v>
      </c>
      <c r="G526" s="259">
        <f ca="1">_xlfn.NORM.INV(RAND(),'VAR Historical Approach'!K$4,'VAR Historical Approach'!K$5)</f>
        <v>1.9881218341833196E-2</v>
      </c>
    </row>
    <row r="527" spans="2:7" x14ac:dyDescent="0.3">
      <c r="B527" s="102">
        <v>45436.645833333336</v>
      </c>
      <c r="C527" s="108">
        <v>3412.4</v>
      </c>
      <c r="D527" s="261">
        <f t="shared" si="11"/>
        <v>-1.1485928651091406E-2</v>
      </c>
      <c r="E527" s="261">
        <v>3.6738117966964093E-3</v>
      </c>
      <c r="F527">
        <v>525</v>
      </c>
      <c r="G527" s="259">
        <f ca="1">_xlfn.NORM.INV(RAND(),'VAR Historical Approach'!K$4,'VAR Historical Approach'!K$5)</f>
        <v>-2.9183891981976313E-2</v>
      </c>
    </row>
    <row r="528" spans="2:7" x14ac:dyDescent="0.3">
      <c r="B528" s="102">
        <v>45435.645833333336</v>
      </c>
      <c r="C528" s="108">
        <v>3452.05</v>
      </c>
      <c r="D528" s="261">
        <f t="shared" si="11"/>
        <v>2.0154557678384172E-2</v>
      </c>
      <c r="E528" s="261">
        <v>3.6612309310888242E-3</v>
      </c>
      <c r="F528">
        <v>526</v>
      </c>
      <c r="G528" s="259">
        <f ca="1">_xlfn.NORM.INV(RAND(),'VAR Historical Approach'!K$4,'VAR Historical Approach'!K$5)</f>
        <v>-1.0720296119366831E-2</v>
      </c>
    </row>
    <row r="529" spans="2:7" x14ac:dyDescent="0.3">
      <c r="B529" s="102">
        <v>45434.645833333336</v>
      </c>
      <c r="C529" s="108">
        <v>3383.85</v>
      </c>
      <c r="D529" s="261">
        <f t="shared" si="11"/>
        <v>2.0284275984601449E-3</v>
      </c>
      <c r="E529" s="261">
        <v>3.5986882201004414E-3</v>
      </c>
      <c r="F529">
        <v>527</v>
      </c>
      <c r="G529" s="259">
        <f ca="1">_xlfn.NORM.INV(RAND(),'VAR Historical Approach'!K$4,'VAR Historical Approach'!K$5)</f>
        <v>-1.312132542213206E-2</v>
      </c>
    </row>
    <row r="530" spans="2:7" x14ac:dyDescent="0.3">
      <c r="B530" s="102">
        <v>45433.645833333336</v>
      </c>
      <c r="C530" s="108">
        <v>3377</v>
      </c>
      <c r="D530" s="261">
        <f t="shared" si="11"/>
        <v>4.7156479181232345E-3</v>
      </c>
      <c r="E530" s="261">
        <v>3.5366187398690992E-3</v>
      </c>
      <c r="F530">
        <v>528</v>
      </c>
      <c r="G530" s="259">
        <f ca="1">_xlfn.NORM.INV(RAND(),'VAR Historical Approach'!K$4,'VAR Historical Approach'!K$5)</f>
        <v>-2.9546095621561186E-2</v>
      </c>
    </row>
    <row r="531" spans="2:7" x14ac:dyDescent="0.3">
      <c r="B531" s="102">
        <v>45429.645833333336</v>
      </c>
      <c r="C531" s="108">
        <v>3361.15</v>
      </c>
      <c r="D531" s="261">
        <f t="shared" si="11"/>
        <v>8.173610486217342E-3</v>
      </c>
      <c r="E531" s="261">
        <v>3.456503120029421E-3</v>
      </c>
      <c r="F531">
        <v>529</v>
      </c>
      <c r="G531" s="259">
        <f ca="1">_xlfn.NORM.INV(RAND(),'VAR Historical Approach'!K$4,'VAR Historical Approach'!K$5)</f>
        <v>2.485845405976776E-3</v>
      </c>
    </row>
    <row r="532" spans="2:7" x14ac:dyDescent="0.3">
      <c r="B532" s="102">
        <v>45428.645833333336</v>
      </c>
      <c r="C532" s="108">
        <v>3333.9</v>
      </c>
      <c r="D532" s="261">
        <f t="shared" si="11"/>
        <v>1.9993575132704076E-2</v>
      </c>
      <c r="E532" s="261">
        <v>3.394379538995919E-3</v>
      </c>
      <c r="F532">
        <v>530</v>
      </c>
      <c r="G532" s="259">
        <f ca="1">_xlfn.NORM.INV(RAND(),'VAR Historical Approach'!K$4,'VAR Historical Approach'!K$5)</f>
        <v>-4.7087551888610616E-3</v>
      </c>
    </row>
    <row r="533" spans="2:7" x14ac:dyDescent="0.3">
      <c r="B533" s="102">
        <v>45427.645833333336</v>
      </c>
      <c r="C533" s="108">
        <v>3268.55</v>
      </c>
      <c r="D533" s="261">
        <f t="shared" si="11"/>
        <v>-6.1874790963543768E-3</v>
      </c>
      <c r="E533" s="261">
        <v>3.384766217698826E-3</v>
      </c>
      <c r="F533">
        <v>531</v>
      </c>
      <c r="G533" s="259">
        <f ca="1">_xlfn.NORM.INV(RAND(),'VAR Historical Approach'!K$4,'VAR Historical Approach'!K$5)</f>
        <v>1.6117379050857524E-2</v>
      </c>
    </row>
    <row r="534" spans="2:7" x14ac:dyDescent="0.3">
      <c r="B534" s="102">
        <v>45426.645833333336</v>
      </c>
      <c r="C534" s="108">
        <v>3288.9</v>
      </c>
      <c r="D534" s="261">
        <f t="shared" si="11"/>
        <v>1.0833986445991425E-2</v>
      </c>
      <c r="E534" s="261">
        <v>3.3343256921702347E-3</v>
      </c>
      <c r="F534">
        <v>532</v>
      </c>
      <c r="G534" s="259">
        <f ca="1">_xlfn.NORM.INV(RAND(),'VAR Historical Approach'!K$4,'VAR Historical Approach'!K$5)</f>
        <v>-2.2192072646743031E-2</v>
      </c>
    </row>
    <row r="535" spans="2:7" x14ac:dyDescent="0.3">
      <c r="B535" s="102">
        <v>45425.645833333336</v>
      </c>
      <c r="C535" s="108">
        <v>3253.65</v>
      </c>
      <c r="D535" s="261">
        <f t="shared" si="11"/>
        <v>-1.1003541194887249E-2</v>
      </c>
      <c r="E535" s="261">
        <v>3.3315545812481594E-3</v>
      </c>
      <c r="F535">
        <v>533</v>
      </c>
      <c r="G535" s="259">
        <f ca="1">_xlfn.NORM.INV(RAND(),'VAR Historical Approach'!K$4,'VAR Historical Approach'!K$5)</f>
        <v>1.3068906565398523E-2</v>
      </c>
    </row>
    <row r="536" spans="2:7" x14ac:dyDescent="0.3">
      <c r="B536" s="102">
        <v>45422.645833333336</v>
      </c>
      <c r="C536" s="108">
        <v>3289.85</v>
      </c>
      <c r="D536" s="261">
        <f t="shared" si="11"/>
        <v>1.3602612687555872E-2</v>
      </c>
      <c r="E536" s="261">
        <v>3.2792446429580789E-3</v>
      </c>
      <c r="F536">
        <v>534</v>
      </c>
      <c r="G536" s="259">
        <f ca="1">_xlfn.NORM.INV(RAND(),'VAR Historical Approach'!K$4,'VAR Historical Approach'!K$5)</f>
        <v>4.1594469036033352E-3</v>
      </c>
    </row>
    <row r="537" spans="2:7" x14ac:dyDescent="0.3">
      <c r="B537" s="102">
        <v>45421.645833333336</v>
      </c>
      <c r="C537" s="108">
        <v>3245.7</v>
      </c>
      <c r="D537" s="261">
        <f t="shared" si="11"/>
        <v>-4.3406905225700848E-3</v>
      </c>
      <c r="E537" s="261">
        <v>3.2478139713653571E-3</v>
      </c>
      <c r="F537">
        <v>535</v>
      </c>
      <c r="G537" s="259">
        <f ca="1">_xlfn.NORM.INV(RAND(),'VAR Historical Approach'!K$4,'VAR Historical Approach'!K$5)</f>
        <v>3.2033374944454171E-2</v>
      </c>
    </row>
    <row r="538" spans="2:7" x14ac:dyDescent="0.3">
      <c r="B538" s="102">
        <v>45420.645833333336</v>
      </c>
      <c r="C538" s="108">
        <v>3259.85</v>
      </c>
      <c r="D538" s="261">
        <f t="shared" si="11"/>
        <v>-3.3782750924822471E-3</v>
      </c>
      <c r="E538" s="261">
        <v>3.1209154685373892E-3</v>
      </c>
      <c r="F538">
        <v>536</v>
      </c>
      <c r="G538" s="259">
        <f ca="1">_xlfn.NORM.INV(RAND(),'VAR Historical Approach'!K$4,'VAR Historical Approach'!K$5)</f>
        <v>1.6549689612427976E-2</v>
      </c>
    </row>
    <row r="539" spans="2:7" x14ac:dyDescent="0.3">
      <c r="B539" s="102">
        <v>45419.645833333336</v>
      </c>
      <c r="C539" s="108">
        <v>3270.9</v>
      </c>
      <c r="D539" s="261">
        <f t="shared" si="11"/>
        <v>-2.8199929881255431E-3</v>
      </c>
      <c r="E539" s="261">
        <v>3.0674846625766495E-3</v>
      </c>
      <c r="F539">
        <v>537</v>
      </c>
      <c r="G539" s="259">
        <f ca="1">_xlfn.NORM.INV(RAND(),'VAR Historical Approach'!K$4,'VAR Historical Approach'!K$5)</f>
        <v>1.9434753384414142E-2</v>
      </c>
    </row>
    <row r="540" spans="2:7" x14ac:dyDescent="0.3">
      <c r="B540" s="102">
        <v>45418.645833333336</v>
      </c>
      <c r="C540" s="108">
        <v>3280.15</v>
      </c>
      <c r="D540" s="261">
        <f t="shared" si="11"/>
        <v>-7.1804521916296438E-2</v>
      </c>
      <c r="E540" s="261">
        <v>3.0636206708862445E-3</v>
      </c>
      <c r="F540">
        <v>538</v>
      </c>
      <c r="G540" s="259">
        <f ca="1">_xlfn.NORM.INV(RAND(),'VAR Historical Approach'!K$4,'VAR Historical Approach'!K$5)</f>
        <v>-1.0447267824271895E-2</v>
      </c>
    </row>
    <row r="541" spans="2:7" x14ac:dyDescent="0.3">
      <c r="B541" s="102">
        <v>45415.645833333336</v>
      </c>
      <c r="C541" s="108">
        <v>3533.9</v>
      </c>
      <c r="D541" s="261">
        <f t="shared" si="11"/>
        <v>-9.6820748504251788E-3</v>
      </c>
      <c r="E541" s="261">
        <v>3.0630216708783212E-3</v>
      </c>
      <c r="F541">
        <v>539</v>
      </c>
      <c r="G541" s="259">
        <f ca="1">_xlfn.NORM.INV(RAND(),'VAR Historical Approach'!K$4,'VAR Historical Approach'!K$5)</f>
        <v>-4.9553560369863152E-3</v>
      </c>
    </row>
    <row r="542" spans="2:7" x14ac:dyDescent="0.3">
      <c r="B542" s="102">
        <v>45414.645833333336</v>
      </c>
      <c r="C542" s="108">
        <v>3568.45</v>
      </c>
      <c r="D542" s="261">
        <f t="shared" si="11"/>
        <v>-5.7950825381347581E-3</v>
      </c>
      <c r="E542" s="261">
        <v>3.0613322073260846E-3</v>
      </c>
      <c r="F542">
        <v>540</v>
      </c>
      <c r="G542" s="259">
        <f ca="1">_xlfn.NORM.INV(RAND(),'VAR Historical Approach'!K$4,'VAR Historical Approach'!K$5)</f>
        <v>1.1769846768848216E-2</v>
      </c>
    </row>
    <row r="543" spans="2:7" x14ac:dyDescent="0.3">
      <c r="B543" s="102">
        <v>45412.645833333336</v>
      </c>
      <c r="C543" s="108">
        <v>3589.25</v>
      </c>
      <c r="D543" s="261">
        <f t="shared" si="11"/>
        <v>-4.3275032248220897E-3</v>
      </c>
      <c r="E543" s="261">
        <v>3.0590656984389665E-3</v>
      </c>
      <c r="F543">
        <v>541</v>
      </c>
      <c r="G543" s="259">
        <f ca="1">_xlfn.NORM.INV(RAND(),'VAR Historical Approach'!K$4,'VAR Historical Approach'!K$5)</f>
        <v>-2.9832158271870704E-2</v>
      </c>
    </row>
    <row r="544" spans="2:7" x14ac:dyDescent="0.3">
      <c r="B544" s="102">
        <v>45411.645833333336</v>
      </c>
      <c r="C544" s="108">
        <v>3604.85</v>
      </c>
      <c r="D544" s="261">
        <f t="shared" si="11"/>
        <v>5.5930595849140053E-3</v>
      </c>
      <c r="E544" s="261">
        <v>3.0550214006576405E-3</v>
      </c>
      <c r="F544">
        <v>542</v>
      </c>
      <c r="G544" s="259">
        <f ca="1">_xlfn.NORM.INV(RAND(),'VAR Historical Approach'!K$4,'VAR Historical Approach'!K$5)</f>
        <v>-9.5603722986154077E-3</v>
      </c>
    </row>
    <row r="545" spans="2:7" x14ac:dyDescent="0.3">
      <c r="B545" s="102">
        <v>45408.645833333336</v>
      </c>
      <c r="C545" s="108">
        <v>3584.8</v>
      </c>
      <c r="D545" s="261">
        <f t="shared" si="11"/>
        <v>3.8363529444709679E-3</v>
      </c>
      <c r="E545" s="261">
        <v>3.0425766942500758E-3</v>
      </c>
      <c r="F545">
        <v>543</v>
      </c>
      <c r="G545" s="259">
        <f ca="1">_xlfn.NORM.INV(RAND(),'VAR Historical Approach'!K$4,'VAR Historical Approach'!K$5)</f>
        <v>2.3932483498231998E-2</v>
      </c>
    </row>
    <row r="546" spans="2:7" x14ac:dyDescent="0.3">
      <c r="B546" s="102">
        <v>45407.645833333336</v>
      </c>
      <c r="C546" s="108">
        <v>3571.1</v>
      </c>
      <c r="D546" s="261">
        <f t="shared" si="11"/>
        <v>-1.0707112680933608E-2</v>
      </c>
      <c r="E546" s="261">
        <v>3.0252298293535944E-3</v>
      </c>
      <c r="F546">
        <v>544</v>
      </c>
      <c r="G546" s="259">
        <f ca="1">_xlfn.NORM.INV(RAND(),'VAR Historical Approach'!K$4,'VAR Historical Approach'!K$5)</f>
        <v>1.3778946006180166E-2</v>
      </c>
    </row>
    <row r="547" spans="2:7" x14ac:dyDescent="0.3">
      <c r="B547" s="102">
        <v>45406.645833333336</v>
      </c>
      <c r="C547" s="108">
        <v>3609.75</v>
      </c>
      <c r="D547" s="261">
        <f t="shared" si="11"/>
        <v>-6.3996696944673822E-3</v>
      </c>
      <c r="E547" s="261">
        <v>3.0003310710147325E-3</v>
      </c>
      <c r="F547">
        <v>545</v>
      </c>
      <c r="G547" s="259">
        <f ca="1">_xlfn.NORM.INV(RAND(),'VAR Historical Approach'!K$4,'VAR Historical Approach'!K$5)</f>
        <v>9.3387310502611974E-3</v>
      </c>
    </row>
    <row r="548" spans="2:7" x14ac:dyDescent="0.3">
      <c r="B548" s="102">
        <v>45405.645833333336</v>
      </c>
      <c r="C548" s="108">
        <v>3633</v>
      </c>
      <c r="D548" s="261">
        <f t="shared" si="11"/>
        <v>1.0078543129213873E-2</v>
      </c>
      <c r="E548" s="261">
        <v>2.9979497891764345E-3</v>
      </c>
      <c r="F548">
        <v>546</v>
      </c>
      <c r="G548" s="259">
        <f ca="1">_xlfn.NORM.INV(RAND(),'VAR Historical Approach'!K$4,'VAR Historical Approach'!K$5)</f>
        <v>-3.9409846222064684E-3</v>
      </c>
    </row>
    <row r="549" spans="2:7" x14ac:dyDescent="0.3">
      <c r="B549" s="102">
        <v>45404.645833333336</v>
      </c>
      <c r="C549" s="108">
        <v>3596.75</v>
      </c>
      <c r="D549" s="261">
        <f t="shared" si="11"/>
        <v>9.4581889111855898E-3</v>
      </c>
      <c r="E549" s="261">
        <v>2.9621753000152601E-3</v>
      </c>
      <c r="F549">
        <v>547</v>
      </c>
      <c r="G549" s="259">
        <f ca="1">_xlfn.NORM.INV(RAND(),'VAR Historical Approach'!K$4,'VAR Historical Approach'!K$5)</f>
        <v>-8.7644238780151089E-3</v>
      </c>
    </row>
    <row r="550" spans="2:7" x14ac:dyDescent="0.3">
      <c r="B550" s="102">
        <v>45401.645833333336</v>
      </c>
      <c r="C550" s="108">
        <v>3563.05</v>
      </c>
      <c r="D550" s="261">
        <f t="shared" si="11"/>
        <v>1.0765652038240127E-2</v>
      </c>
      <c r="E550" s="261">
        <v>2.9425520305556654E-3</v>
      </c>
      <c r="F550">
        <v>548</v>
      </c>
      <c r="G550" s="259">
        <f ca="1">_xlfn.NORM.INV(RAND(),'VAR Historical Approach'!K$4,'VAR Historical Approach'!K$5)</f>
        <v>8.8566839902093283E-3</v>
      </c>
    </row>
    <row r="551" spans="2:7" x14ac:dyDescent="0.3">
      <c r="B551" s="102">
        <v>45400.645833333336</v>
      </c>
      <c r="C551" s="108">
        <v>3525.1</v>
      </c>
      <c r="D551" s="261">
        <f t="shared" si="11"/>
        <v>-3.3133108423160314E-2</v>
      </c>
      <c r="E551" s="261">
        <v>2.9171677883262342E-3</v>
      </c>
      <c r="F551">
        <v>549</v>
      </c>
      <c r="G551" s="259">
        <f ca="1">_xlfn.NORM.INV(RAND(),'VAR Historical Approach'!K$4,'VAR Historical Approach'!K$5)</f>
        <v>8.7487658521128548E-4</v>
      </c>
    </row>
    <row r="552" spans="2:7" x14ac:dyDescent="0.3">
      <c r="B552" s="102">
        <v>45398.645833333336</v>
      </c>
      <c r="C552" s="108">
        <v>3645.9</v>
      </c>
      <c r="D552" s="261">
        <f t="shared" si="11"/>
        <v>1.2581236460589952E-2</v>
      </c>
      <c r="E552" s="261">
        <v>2.9005584657345001E-3</v>
      </c>
      <c r="F552">
        <v>550</v>
      </c>
      <c r="G552" s="259">
        <f ca="1">_xlfn.NORM.INV(RAND(),'VAR Historical Approach'!K$4,'VAR Historical Approach'!K$5)</f>
        <v>-5.2148004275928686E-3</v>
      </c>
    </row>
    <row r="553" spans="2:7" x14ac:dyDescent="0.3">
      <c r="B553" s="102">
        <v>45397.645833333336</v>
      </c>
      <c r="C553" s="108">
        <v>3600.6</v>
      </c>
      <c r="D553" s="261">
        <f t="shared" si="11"/>
        <v>-5.1667449506811458E-3</v>
      </c>
      <c r="E553" s="261">
        <v>2.8859367842418134E-3</v>
      </c>
      <c r="F553">
        <v>551</v>
      </c>
      <c r="G553" s="259">
        <f ca="1">_xlfn.NORM.INV(RAND(),'VAR Historical Approach'!K$4,'VAR Historical Approach'!K$5)</f>
        <v>1.9568385432238108E-3</v>
      </c>
    </row>
    <row r="554" spans="2:7" x14ac:dyDescent="0.3">
      <c r="B554" s="102">
        <v>45394.645833333336</v>
      </c>
      <c r="C554" s="108">
        <v>3619.3</v>
      </c>
      <c r="D554" s="261">
        <f t="shared" si="11"/>
        <v>-2.476287993101952E-2</v>
      </c>
      <c r="E554" s="261">
        <v>2.8824977328669814E-3</v>
      </c>
      <c r="F554">
        <v>552</v>
      </c>
      <c r="G554" s="259">
        <f ca="1">_xlfn.NORM.INV(RAND(),'VAR Historical Approach'!K$4,'VAR Historical Approach'!K$5)</f>
        <v>2.9589019303976422E-2</v>
      </c>
    </row>
    <row r="555" spans="2:7" x14ac:dyDescent="0.3">
      <c r="B555" s="102">
        <v>45392.645833333336</v>
      </c>
      <c r="C555" s="108">
        <v>3711.2</v>
      </c>
      <c r="D555" s="261">
        <f t="shared" si="11"/>
        <v>8.6564202916275725E-3</v>
      </c>
      <c r="E555" s="261">
        <v>2.8798036068361649E-3</v>
      </c>
      <c r="F555">
        <v>553</v>
      </c>
      <c r="G555" s="259">
        <f ca="1">_xlfn.NORM.INV(RAND(),'VAR Historical Approach'!K$4,'VAR Historical Approach'!K$5)</f>
        <v>-1.7718223600073219E-2</v>
      </c>
    </row>
    <row r="556" spans="2:7" x14ac:dyDescent="0.3">
      <c r="B556" s="102">
        <v>45391.645833333336</v>
      </c>
      <c r="C556" s="108">
        <v>3679.35</v>
      </c>
      <c r="D556" s="261">
        <f t="shared" si="11"/>
        <v>-1.855210861852815E-2</v>
      </c>
      <c r="E556" s="261">
        <v>2.8372504829361424E-3</v>
      </c>
      <c r="F556">
        <v>554</v>
      </c>
      <c r="G556" s="259">
        <f ca="1">_xlfn.NORM.INV(RAND(),'VAR Historical Approach'!K$4,'VAR Historical Approach'!K$5)</f>
        <v>1.4222322436316864E-2</v>
      </c>
    </row>
    <row r="557" spans="2:7" x14ac:dyDescent="0.3">
      <c r="B557" s="102">
        <v>45390.645833333336</v>
      </c>
      <c r="C557" s="108">
        <v>3748.9</v>
      </c>
      <c r="D557" s="261">
        <f t="shared" si="11"/>
        <v>-1.4782458149661675E-3</v>
      </c>
      <c r="E557" s="261">
        <v>2.8197441453207089E-3</v>
      </c>
      <c r="F557">
        <v>555</v>
      </c>
      <c r="G557" s="259">
        <f ca="1">_xlfn.NORM.INV(RAND(),'VAR Historical Approach'!K$4,'VAR Historical Approach'!K$5)</f>
        <v>-2.5890823691339538E-2</v>
      </c>
    </row>
    <row r="558" spans="2:7" x14ac:dyDescent="0.3">
      <c r="B558" s="102">
        <v>45387.645833333336</v>
      </c>
      <c r="C558" s="108">
        <v>3754.45</v>
      </c>
      <c r="D558" s="261">
        <f t="shared" si="11"/>
        <v>-7.481329720441526E-3</v>
      </c>
      <c r="E558" s="261">
        <v>2.8037099903006793E-3</v>
      </c>
      <c r="F558">
        <v>556</v>
      </c>
      <c r="G558" s="259">
        <f ca="1">_xlfn.NORM.INV(RAND(),'VAR Historical Approach'!K$4,'VAR Historical Approach'!K$5)</f>
        <v>1.4269360302736627E-2</v>
      </c>
    </row>
    <row r="559" spans="2:7" x14ac:dyDescent="0.3">
      <c r="B559" s="102">
        <v>45386.645833333336</v>
      </c>
      <c r="C559" s="108">
        <v>3782.75</v>
      </c>
      <c r="D559" s="261">
        <f t="shared" si="11"/>
        <v>1.8922558922558924E-2</v>
      </c>
      <c r="E559" s="261">
        <v>2.7911766299930038E-3</v>
      </c>
      <c r="F559">
        <v>557</v>
      </c>
      <c r="G559" s="259">
        <f ca="1">_xlfn.NORM.INV(RAND(),'VAR Historical Approach'!K$4,'VAR Historical Approach'!K$5)</f>
        <v>4.8530580922316749E-3</v>
      </c>
    </row>
    <row r="560" spans="2:7" x14ac:dyDescent="0.3">
      <c r="B560" s="102">
        <v>45385.645833333336</v>
      </c>
      <c r="C560" s="108">
        <v>3712.5</v>
      </c>
      <c r="D560" s="261">
        <f t="shared" si="11"/>
        <v>-1.1568311612241861E-2</v>
      </c>
      <c r="E560" s="261">
        <v>2.7655231447949202E-3</v>
      </c>
      <c r="F560">
        <v>558</v>
      </c>
      <c r="G560" s="259">
        <f ca="1">_xlfn.NORM.INV(RAND(),'VAR Historical Approach'!K$4,'VAR Historical Approach'!K$5)</f>
        <v>9.4876246865694732E-3</v>
      </c>
    </row>
    <row r="561" spans="2:7" x14ac:dyDescent="0.3">
      <c r="B561" s="102">
        <v>45384.645833333336</v>
      </c>
      <c r="C561" s="108">
        <v>3755.95</v>
      </c>
      <c r="D561" s="261">
        <f t="shared" si="11"/>
        <v>4.6945217205220753E-3</v>
      </c>
      <c r="E561" s="261">
        <v>2.7555941111932557E-3</v>
      </c>
      <c r="F561">
        <v>559</v>
      </c>
      <c r="G561" s="259">
        <f ca="1">_xlfn.NORM.INV(RAND(),'VAR Historical Approach'!K$4,'VAR Historical Approach'!K$5)</f>
        <v>2.0085953112141609E-2</v>
      </c>
    </row>
    <row r="562" spans="2:7" x14ac:dyDescent="0.3">
      <c r="B562" s="102">
        <v>45383.645833333336</v>
      </c>
      <c r="C562" s="108">
        <v>3738.4</v>
      </c>
      <c r="D562" s="261">
        <f t="shared" si="11"/>
        <v>-1.6676311221000602E-2</v>
      </c>
      <c r="E562" s="261">
        <v>2.7504011001603704E-3</v>
      </c>
      <c r="F562">
        <v>560</v>
      </c>
      <c r="G562" s="259">
        <f ca="1">_xlfn.NORM.INV(RAND(),'VAR Historical Approach'!K$4,'VAR Historical Approach'!K$5)</f>
        <v>-5.7535961053247165E-3</v>
      </c>
    </row>
    <row r="563" spans="2:7" x14ac:dyDescent="0.3">
      <c r="B563" s="102">
        <v>45379.645833333336</v>
      </c>
      <c r="C563" s="108">
        <v>3801.8</v>
      </c>
      <c r="D563" s="261">
        <f t="shared" si="11"/>
        <v>1.1278395488641828E-2</v>
      </c>
      <c r="E563" s="261">
        <v>2.7400093056919581E-3</v>
      </c>
      <c r="F563">
        <v>561</v>
      </c>
      <c r="G563" s="259">
        <f ca="1">_xlfn.NORM.INV(RAND(),'VAR Historical Approach'!K$4,'VAR Historical Approach'!K$5)</f>
        <v>-9.7712613862980906E-3</v>
      </c>
    </row>
    <row r="564" spans="2:7" x14ac:dyDescent="0.3">
      <c r="B564" s="102">
        <v>45378.645833333336</v>
      </c>
      <c r="C564" s="108">
        <v>3759.4</v>
      </c>
      <c r="D564" s="261">
        <f t="shared" si="11"/>
        <v>1.6548591206532983E-2</v>
      </c>
      <c r="E564" s="261">
        <v>2.7175877072522273E-3</v>
      </c>
      <c r="F564">
        <v>562</v>
      </c>
      <c r="G564" s="259">
        <f ca="1">_xlfn.NORM.INV(RAND(),'VAR Historical Approach'!K$4,'VAR Historical Approach'!K$5)</f>
        <v>1.5730027407066242E-2</v>
      </c>
    </row>
    <row r="565" spans="2:7" x14ac:dyDescent="0.3">
      <c r="B565" s="102">
        <v>45377.645833333336</v>
      </c>
      <c r="C565" s="108">
        <v>3698.2</v>
      </c>
      <c r="D565" s="261">
        <f t="shared" si="11"/>
        <v>-2.293144845819732E-3</v>
      </c>
      <c r="E565" s="261">
        <v>2.6539527455493872E-3</v>
      </c>
      <c r="F565">
        <v>563</v>
      </c>
      <c r="G565" s="259">
        <f ca="1">_xlfn.NORM.INV(RAND(),'VAR Historical Approach'!K$4,'VAR Historical Approach'!K$5)</f>
        <v>-2.7772951337185242E-2</v>
      </c>
    </row>
    <row r="566" spans="2:7" x14ac:dyDescent="0.3">
      <c r="B566" s="102">
        <v>45373.645833333336</v>
      </c>
      <c r="C566" s="108">
        <v>3706.7</v>
      </c>
      <c r="D566" s="261">
        <f t="shared" si="11"/>
        <v>2.1819134126338614E-2</v>
      </c>
      <c r="E566" s="261">
        <v>2.6340934328434825E-3</v>
      </c>
      <c r="F566">
        <v>564</v>
      </c>
      <c r="G566" s="259">
        <f ca="1">_xlfn.NORM.INV(RAND(),'VAR Historical Approach'!K$4,'VAR Historical Approach'!K$5)</f>
        <v>-2.5928588424947201E-2</v>
      </c>
    </row>
    <row r="567" spans="2:7" x14ac:dyDescent="0.3">
      <c r="B567" s="102">
        <v>45372.645833333336</v>
      </c>
      <c r="C567" s="108">
        <v>3627.55</v>
      </c>
      <c r="D567" s="261">
        <f t="shared" si="11"/>
        <v>1.0318897089541897E-2</v>
      </c>
      <c r="E567" s="261">
        <v>2.6237708736912466E-3</v>
      </c>
      <c r="F567">
        <v>565</v>
      </c>
      <c r="G567" s="259">
        <f ca="1">_xlfn.NORM.INV(RAND(),'VAR Historical Approach'!K$4,'VAR Historical Approach'!K$5)</f>
        <v>3.025384868831053E-2</v>
      </c>
    </row>
    <row r="568" spans="2:7" x14ac:dyDescent="0.3">
      <c r="B568" s="102">
        <v>45371.645833333336</v>
      </c>
      <c r="C568" s="108">
        <v>3590.5</v>
      </c>
      <c r="D568" s="261">
        <f t="shared" si="11"/>
        <v>1.9813584863537168E-3</v>
      </c>
      <c r="E568" s="261">
        <v>2.5845229151014002E-3</v>
      </c>
      <c r="F568">
        <v>566</v>
      </c>
      <c r="G568" s="259">
        <f ca="1">_xlfn.NORM.INV(RAND(),'VAR Historical Approach'!K$4,'VAR Historical Approach'!K$5)</f>
        <v>-1.0071377061049379E-2</v>
      </c>
    </row>
    <row r="569" spans="2:7" x14ac:dyDescent="0.3">
      <c r="B569" s="102">
        <v>45370.645833333336</v>
      </c>
      <c r="C569" s="108">
        <v>3583.4</v>
      </c>
      <c r="D569" s="261">
        <f t="shared" si="11"/>
        <v>1.0336061681147227E-3</v>
      </c>
      <c r="E569" s="261">
        <v>2.5795752913538444E-3</v>
      </c>
      <c r="F569">
        <v>567</v>
      </c>
      <c r="G569" s="259">
        <f ca="1">_xlfn.NORM.INV(RAND(),'VAR Historical Approach'!K$4,'VAR Historical Approach'!K$5)</f>
        <v>1.82356462441692E-2</v>
      </c>
    </row>
    <row r="570" spans="2:7" x14ac:dyDescent="0.3">
      <c r="B570" s="102">
        <v>45369.645833333336</v>
      </c>
      <c r="C570" s="108">
        <v>3579.7</v>
      </c>
      <c r="D570" s="261">
        <f t="shared" si="11"/>
        <v>-1.4725311020587913E-2</v>
      </c>
      <c r="E570" s="261">
        <v>2.5605214152700185E-3</v>
      </c>
      <c r="F570">
        <v>568</v>
      </c>
      <c r="G570" s="259">
        <f ca="1">_xlfn.NORM.INV(RAND(),'VAR Historical Approach'!K$4,'VAR Historical Approach'!K$5)</f>
        <v>-9.3281263328824301E-4</v>
      </c>
    </row>
    <row r="571" spans="2:7" x14ac:dyDescent="0.3">
      <c r="B571" s="102">
        <v>45366.645833333336</v>
      </c>
      <c r="C571" s="108">
        <v>3633.2</v>
      </c>
      <c r="D571" s="261">
        <f t="shared" si="11"/>
        <v>-1.9092619809623979E-3</v>
      </c>
      <c r="E571" s="261">
        <v>2.5584640757813602E-3</v>
      </c>
      <c r="F571">
        <v>569</v>
      </c>
      <c r="G571" s="259">
        <f ca="1">_xlfn.NORM.INV(RAND(),'VAR Historical Approach'!K$4,'VAR Historical Approach'!K$5)</f>
        <v>-3.5739273815285997E-3</v>
      </c>
    </row>
    <row r="572" spans="2:7" x14ac:dyDescent="0.3">
      <c r="B572" s="102">
        <v>45365.645833333336</v>
      </c>
      <c r="C572" s="108">
        <v>3640.15</v>
      </c>
      <c r="D572" s="261">
        <f t="shared" si="11"/>
        <v>3.9854372948672735E-3</v>
      </c>
      <c r="E572" s="261">
        <v>2.5583626479053936E-3</v>
      </c>
      <c r="F572">
        <v>570</v>
      </c>
      <c r="G572" s="259">
        <f ca="1">_xlfn.NORM.INV(RAND(),'VAR Historical Approach'!K$4,'VAR Historical Approach'!K$5)</f>
        <v>-5.2881077600767075E-3</v>
      </c>
    </row>
    <row r="573" spans="2:7" x14ac:dyDescent="0.3">
      <c r="B573" s="102">
        <v>45364.645833333336</v>
      </c>
      <c r="C573" s="108">
        <v>3625.7</v>
      </c>
      <c r="D573" s="261">
        <f t="shared" si="11"/>
        <v>-3.2837174562526772E-2</v>
      </c>
      <c r="E573" s="261">
        <v>2.5521555898751404E-3</v>
      </c>
      <c r="F573">
        <v>571</v>
      </c>
      <c r="G573" s="259">
        <f ca="1">_xlfn.NORM.INV(RAND(),'VAR Historical Approach'!K$4,'VAR Historical Approach'!K$5)</f>
        <v>-2.4803021859308518E-2</v>
      </c>
    </row>
    <row r="574" spans="2:7" x14ac:dyDescent="0.3">
      <c r="B574" s="102">
        <v>45363.645833333336</v>
      </c>
      <c r="C574" s="108">
        <v>3748.8</v>
      </c>
      <c r="D574" s="261">
        <f t="shared" si="11"/>
        <v>-3.5998560057595269E-4</v>
      </c>
      <c r="E574" s="261">
        <v>2.5499034127495403E-3</v>
      </c>
      <c r="F574">
        <v>572</v>
      </c>
      <c r="G574" s="259">
        <f ca="1">_xlfn.NORM.INV(RAND(),'VAR Historical Approach'!K$4,'VAR Historical Approach'!K$5)</f>
        <v>2.725526803052445E-2</v>
      </c>
    </row>
    <row r="575" spans="2:7" x14ac:dyDescent="0.3">
      <c r="B575" s="102">
        <v>45362.645833333336</v>
      </c>
      <c r="C575" s="108">
        <v>3750.15</v>
      </c>
      <c r="D575" s="261">
        <f t="shared" si="11"/>
        <v>-9.7045076447754095E-3</v>
      </c>
      <c r="E575" s="261">
        <v>2.5477529654174113E-3</v>
      </c>
      <c r="F575">
        <v>573</v>
      </c>
      <c r="G575" s="259">
        <f ca="1">_xlfn.NORM.INV(RAND(),'VAR Historical Approach'!K$4,'VAR Historical Approach'!K$5)</f>
        <v>-1.3314341784342468E-2</v>
      </c>
    </row>
    <row r="576" spans="2:7" x14ac:dyDescent="0.3">
      <c r="B576" s="102">
        <v>45358.645833333336</v>
      </c>
      <c r="C576" s="108">
        <v>3786.9</v>
      </c>
      <c r="D576" s="261">
        <f t="shared" si="11"/>
        <v>-6.2586105097421525E-3</v>
      </c>
      <c r="E576" s="261">
        <v>2.5161509690581744E-3</v>
      </c>
      <c r="F576">
        <v>574</v>
      </c>
      <c r="G576" s="259">
        <f ca="1">_xlfn.NORM.INV(RAND(),'VAR Historical Approach'!K$4,'VAR Historical Approach'!K$5)</f>
        <v>-2.9846721710703888E-2</v>
      </c>
    </row>
    <row r="577" spans="2:7" x14ac:dyDescent="0.3">
      <c r="B577" s="102">
        <v>45357.645833333336</v>
      </c>
      <c r="C577" s="108">
        <v>3810.75</v>
      </c>
      <c r="D577" s="261">
        <f t="shared" si="11"/>
        <v>1.5996800639872025E-2</v>
      </c>
      <c r="E577" s="261">
        <v>2.4717328424927929E-3</v>
      </c>
      <c r="F577">
        <v>575</v>
      </c>
      <c r="G577" s="259">
        <f ca="1">_xlfn.NORM.INV(RAND(),'VAR Historical Approach'!K$4,'VAR Historical Approach'!K$5)</f>
        <v>-2.5461453304943205E-2</v>
      </c>
    </row>
    <row r="578" spans="2:7" x14ac:dyDescent="0.3">
      <c r="B578" s="102">
        <v>45356.645833333336</v>
      </c>
      <c r="C578" s="108">
        <v>3750.75</v>
      </c>
      <c r="D578" s="261">
        <f t="shared" si="11"/>
        <v>4.9164076733468837E-3</v>
      </c>
      <c r="E578" s="261">
        <v>2.4295209718084719E-3</v>
      </c>
      <c r="F578">
        <v>576</v>
      </c>
      <c r="G578" s="259">
        <f ca="1">_xlfn.NORM.INV(RAND(),'VAR Historical Approach'!K$4,'VAR Historical Approach'!K$5)</f>
        <v>1.6447121178661588E-2</v>
      </c>
    </row>
    <row r="579" spans="2:7" x14ac:dyDescent="0.3">
      <c r="B579" s="102">
        <v>45355.645833333336</v>
      </c>
      <c r="C579" s="108">
        <v>3732.4</v>
      </c>
      <c r="D579" s="261">
        <f t="shared" ref="D579:D642" si="12">(C579-C580)/C580</f>
        <v>-8.8956159218247961E-3</v>
      </c>
      <c r="E579" s="261">
        <v>2.4161945950335294E-3</v>
      </c>
      <c r="F579">
        <v>577</v>
      </c>
      <c r="G579" s="259">
        <f ca="1">_xlfn.NORM.INV(RAND(),'VAR Historical Approach'!K$4,'VAR Historical Approach'!K$5)</f>
        <v>-5.8504265505002232E-3</v>
      </c>
    </row>
    <row r="580" spans="2:7" x14ac:dyDescent="0.3">
      <c r="B580" s="102">
        <v>45352.645833333336</v>
      </c>
      <c r="C580" s="108">
        <v>3765.9</v>
      </c>
      <c r="D580" s="261">
        <f t="shared" si="12"/>
        <v>3.9040944708089616E-2</v>
      </c>
      <c r="E580" s="261">
        <v>2.4110679500182483E-3</v>
      </c>
      <c r="F580">
        <v>578</v>
      </c>
      <c r="G580" s="259">
        <f ca="1">_xlfn.NORM.INV(RAND(),'VAR Historical Approach'!K$4,'VAR Historical Approach'!K$5)</f>
        <v>-1.5938506486597982E-2</v>
      </c>
    </row>
    <row r="581" spans="2:7" x14ac:dyDescent="0.3">
      <c r="B581" s="102">
        <v>45351.645833333336</v>
      </c>
      <c r="C581" s="108">
        <v>3624.4</v>
      </c>
      <c r="D581" s="261">
        <f t="shared" si="12"/>
        <v>8.2621637410633091E-3</v>
      </c>
      <c r="E581" s="261">
        <v>2.40254539945011E-3</v>
      </c>
      <c r="F581">
        <v>579</v>
      </c>
      <c r="G581" s="259">
        <f ca="1">_xlfn.NORM.INV(RAND(),'VAR Historical Approach'!K$4,'VAR Historical Approach'!K$5)</f>
        <v>-1.1469699908809045E-2</v>
      </c>
    </row>
    <row r="582" spans="2:7" x14ac:dyDescent="0.3">
      <c r="B582" s="102">
        <v>45350.645833333336</v>
      </c>
      <c r="C582" s="108">
        <v>3594.7</v>
      </c>
      <c r="D582" s="261">
        <f t="shared" si="12"/>
        <v>-1.618840401220633E-2</v>
      </c>
      <c r="E582" s="261">
        <v>2.3919073800308349E-3</v>
      </c>
      <c r="F582">
        <v>580</v>
      </c>
      <c r="G582" s="259">
        <f ca="1">_xlfn.NORM.INV(RAND(),'VAR Historical Approach'!K$4,'VAR Historical Approach'!K$5)</f>
        <v>-7.2518922569244056E-3</v>
      </c>
    </row>
    <row r="583" spans="2:7" x14ac:dyDescent="0.3">
      <c r="B583" s="102">
        <v>45349.645833333336</v>
      </c>
      <c r="C583" s="108">
        <v>3653.85</v>
      </c>
      <c r="D583" s="261">
        <f t="shared" si="12"/>
        <v>8.6542443064181948E-3</v>
      </c>
      <c r="E583" s="261">
        <v>2.3652982681206264E-3</v>
      </c>
      <c r="F583">
        <v>581</v>
      </c>
      <c r="G583" s="259">
        <f ca="1">_xlfn.NORM.INV(RAND(),'VAR Historical Approach'!K$4,'VAR Historical Approach'!K$5)</f>
        <v>1.4903264223469803E-2</v>
      </c>
    </row>
    <row r="584" spans="2:7" x14ac:dyDescent="0.3">
      <c r="B584" s="102">
        <v>45348.645833333336</v>
      </c>
      <c r="C584" s="108">
        <v>3622.5</v>
      </c>
      <c r="D584" s="261">
        <f t="shared" si="12"/>
        <v>-1.8811197334741753E-2</v>
      </c>
      <c r="E584" s="261">
        <v>2.3451041702068571E-3</v>
      </c>
      <c r="F584">
        <v>582</v>
      </c>
      <c r="G584" s="259">
        <f ca="1">_xlfn.NORM.INV(RAND(),'VAR Historical Approach'!K$4,'VAR Historical Approach'!K$5)</f>
        <v>1.2883770414613375E-3</v>
      </c>
    </row>
    <row r="585" spans="2:7" x14ac:dyDescent="0.3">
      <c r="B585" s="102">
        <v>45345.645833333336</v>
      </c>
      <c r="C585" s="108">
        <v>3691.95</v>
      </c>
      <c r="D585" s="261">
        <f t="shared" si="12"/>
        <v>1.0925370682219476E-2</v>
      </c>
      <c r="E585" s="261">
        <v>2.3367334498313489E-3</v>
      </c>
      <c r="F585">
        <v>583</v>
      </c>
      <c r="G585" s="259">
        <f ca="1">_xlfn.NORM.INV(RAND(),'VAR Historical Approach'!K$4,'VAR Historical Approach'!K$5)</f>
        <v>4.8404672721330845E-3</v>
      </c>
    </row>
    <row r="586" spans="2:7" x14ac:dyDescent="0.3">
      <c r="B586" s="102">
        <v>45344.645833333336</v>
      </c>
      <c r="C586" s="108">
        <v>3652.05</v>
      </c>
      <c r="D586" s="261">
        <f t="shared" si="12"/>
        <v>-1.1760362109753517E-3</v>
      </c>
      <c r="E586" s="261">
        <v>2.3274775776443287E-3</v>
      </c>
      <c r="F586">
        <v>584</v>
      </c>
      <c r="G586" s="259">
        <f ca="1">_xlfn.NORM.INV(RAND(),'VAR Historical Approach'!K$4,'VAR Historical Approach'!K$5)</f>
        <v>-1.0643449326593125E-2</v>
      </c>
    </row>
    <row r="587" spans="2:7" x14ac:dyDescent="0.3">
      <c r="B587" s="102">
        <v>45343.645833333336</v>
      </c>
      <c r="C587" s="108">
        <v>3656.35</v>
      </c>
      <c r="D587" s="261">
        <f t="shared" si="12"/>
        <v>-8.2322944638836652E-3</v>
      </c>
      <c r="E587" s="261">
        <v>2.3179374156897417E-3</v>
      </c>
      <c r="F587">
        <v>585</v>
      </c>
      <c r="G587" s="259">
        <f ca="1">_xlfn.NORM.INV(RAND(),'VAR Historical Approach'!K$4,'VAR Historical Approach'!K$5)</f>
        <v>1.0016983515660431E-2</v>
      </c>
    </row>
    <row r="588" spans="2:7" x14ac:dyDescent="0.3">
      <c r="B588" s="102">
        <v>45342.645833333336</v>
      </c>
      <c r="C588" s="108">
        <v>3686.7</v>
      </c>
      <c r="D588" s="261">
        <f t="shared" si="12"/>
        <v>-2.2597799759138206E-3</v>
      </c>
      <c r="E588" s="261">
        <v>2.2897735468052662E-3</v>
      </c>
      <c r="F588">
        <v>586</v>
      </c>
      <c r="G588" s="259">
        <f ca="1">_xlfn.NORM.INV(RAND(),'VAR Historical Approach'!K$4,'VAR Historical Approach'!K$5)</f>
        <v>-1.084142586721455E-2</v>
      </c>
    </row>
    <row r="589" spans="2:7" x14ac:dyDescent="0.3">
      <c r="B589" s="102">
        <v>45341.645833333336</v>
      </c>
      <c r="C589" s="108">
        <v>3695.05</v>
      </c>
      <c r="D589" s="261">
        <f t="shared" si="12"/>
        <v>1.0846966132297447E-2</v>
      </c>
      <c r="E589" s="261">
        <v>2.2290483051078569E-3</v>
      </c>
      <c r="F589">
        <v>587</v>
      </c>
      <c r="G589" s="259">
        <f ca="1">_xlfn.NORM.INV(RAND(),'VAR Historical Approach'!K$4,'VAR Historical Approach'!K$5)</f>
        <v>8.954976450264723E-3</v>
      </c>
    </row>
    <row r="590" spans="2:7" x14ac:dyDescent="0.3">
      <c r="B590" s="102">
        <v>45338.645833333336</v>
      </c>
      <c r="C590" s="108">
        <v>3655.4</v>
      </c>
      <c r="D590" s="261">
        <f t="shared" si="12"/>
        <v>9.2074929942987833E-3</v>
      </c>
      <c r="E590" s="261">
        <v>2.2253048956708496E-3</v>
      </c>
      <c r="F590">
        <v>588</v>
      </c>
      <c r="G590" s="259">
        <f ca="1">_xlfn.NORM.INV(RAND(),'VAR Historical Approach'!K$4,'VAR Historical Approach'!K$5)</f>
        <v>-1.9794986571209292E-2</v>
      </c>
    </row>
    <row r="591" spans="2:7" x14ac:dyDescent="0.3">
      <c r="B591" s="102">
        <v>45337.645833333336</v>
      </c>
      <c r="C591" s="108">
        <v>3622.05</v>
      </c>
      <c r="D591" s="261">
        <f t="shared" si="12"/>
        <v>1.0179749271380959E-2</v>
      </c>
      <c r="E591" s="261">
        <v>2.1891339351942998E-3</v>
      </c>
      <c r="F591">
        <v>589</v>
      </c>
      <c r="G591" s="259">
        <f ca="1">_xlfn.NORM.INV(RAND(),'VAR Historical Approach'!K$4,'VAR Historical Approach'!K$5)</f>
        <v>2.7923011927933829E-3</v>
      </c>
    </row>
    <row r="592" spans="2:7" x14ac:dyDescent="0.3">
      <c r="B592" s="102">
        <v>45336.645833333336</v>
      </c>
      <c r="C592" s="108">
        <v>3585.55</v>
      </c>
      <c r="D592" s="261">
        <f t="shared" si="12"/>
        <v>7.1911122347225005E-3</v>
      </c>
      <c r="E592" s="261">
        <v>2.1794480089621792E-3</v>
      </c>
      <c r="F592">
        <v>590</v>
      </c>
      <c r="G592" s="259">
        <f ca="1">_xlfn.NORM.INV(RAND(),'VAR Historical Approach'!K$4,'VAR Historical Approach'!K$5)</f>
        <v>-2.0124794532701246E-2</v>
      </c>
    </row>
    <row r="593" spans="2:7" x14ac:dyDescent="0.3">
      <c r="B593" s="102">
        <v>45335.645833333336</v>
      </c>
      <c r="C593" s="108">
        <v>3559.95</v>
      </c>
      <c r="D593" s="261">
        <f t="shared" si="12"/>
        <v>-7.0566906073496081E-3</v>
      </c>
      <c r="E593" s="261">
        <v>2.1769217461507936E-3</v>
      </c>
      <c r="F593">
        <v>591</v>
      </c>
      <c r="G593" s="259">
        <f ca="1">_xlfn.NORM.INV(RAND(),'VAR Historical Approach'!K$4,'VAR Historical Approach'!K$5)</f>
        <v>8.4091515461751452E-3</v>
      </c>
    </row>
    <row r="594" spans="2:7" x14ac:dyDescent="0.3">
      <c r="B594" s="102">
        <v>45334.645833333336</v>
      </c>
      <c r="C594" s="108">
        <v>3585.25</v>
      </c>
      <c r="D594" s="261">
        <f t="shared" si="12"/>
        <v>-1.7680142554849954E-3</v>
      </c>
      <c r="E594" s="261">
        <v>2.1629563123636143E-3</v>
      </c>
      <c r="F594">
        <v>592</v>
      </c>
      <c r="G594" s="259">
        <f ca="1">_xlfn.NORM.INV(RAND(),'VAR Historical Approach'!K$4,'VAR Historical Approach'!K$5)</f>
        <v>-8.2794047376638751E-3</v>
      </c>
    </row>
    <row r="595" spans="2:7" x14ac:dyDescent="0.3">
      <c r="B595" s="102">
        <v>45331.645833333336</v>
      </c>
      <c r="C595" s="108">
        <v>3591.6</v>
      </c>
      <c r="D595" s="261">
        <f t="shared" si="12"/>
        <v>1.197486686765659E-2</v>
      </c>
      <c r="E595" s="261">
        <v>2.135457684618564E-3</v>
      </c>
      <c r="F595">
        <v>593</v>
      </c>
      <c r="G595" s="259">
        <f ca="1">_xlfn.NORM.INV(RAND(),'VAR Historical Approach'!K$4,'VAR Historical Approach'!K$5)</f>
        <v>-2.1306918579504987E-2</v>
      </c>
    </row>
    <row r="596" spans="2:7" x14ac:dyDescent="0.3">
      <c r="B596" s="102">
        <v>45330.645833333336</v>
      </c>
      <c r="C596" s="108">
        <v>3549.1</v>
      </c>
      <c r="D596" s="261">
        <f t="shared" si="12"/>
        <v>-7.661121207884829E-3</v>
      </c>
      <c r="E596" s="261">
        <v>2.1130054680065752E-3</v>
      </c>
      <c r="F596">
        <v>594</v>
      </c>
      <c r="G596" s="259">
        <f ca="1">_xlfn.NORM.INV(RAND(),'VAR Historical Approach'!K$4,'VAR Historical Approach'!K$5)</f>
        <v>-2.3110905528829864E-3</v>
      </c>
    </row>
    <row r="597" spans="2:7" x14ac:dyDescent="0.3">
      <c r="B597" s="102">
        <v>45329.645833333336</v>
      </c>
      <c r="C597" s="108">
        <v>3576.5</v>
      </c>
      <c r="D597" s="261">
        <f t="shared" si="12"/>
        <v>4.8747594228958904E-3</v>
      </c>
      <c r="E597" s="261">
        <v>2.0965302424487474E-3</v>
      </c>
      <c r="F597">
        <v>595</v>
      </c>
      <c r="G597" s="259">
        <f ca="1">_xlfn.NORM.INV(RAND(),'VAR Historical Approach'!K$4,'VAR Historical Approach'!K$5)</f>
        <v>-6.0766669720780158E-3</v>
      </c>
    </row>
    <row r="598" spans="2:7" x14ac:dyDescent="0.3">
      <c r="B598" s="102">
        <v>45328.645833333336</v>
      </c>
      <c r="C598" s="108">
        <v>3559.15</v>
      </c>
      <c r="D598" s="261">
        <f t="shared" si="12"/>
        <v>1.9988457369687668E-3</v>
      </c>
      <c r="E598" s="261">
        <v>2.0834668889031347E-3</v>
      </c>
      <c r="F598">
        <v>596</v>
      </c>
      <c r="G598" s="259">
        <f ca="1">_xlfn.NORM.INV(RAND(),'VAR Historical Approach'!K$4,'VAR Historical Approach'!K$5)</f>
        <v>6.6472907776109341E-3</v>
      </c>
    </row>
    <row r="599" spans="2:7" x14ac:dyDescent="0.3">
      <c r="B599" s="102">
        <v>45327.645833333336</v>
      </c>
      <c r="C599" s="108">
        <v>3552.05</v>
      </c>
      <c r="D599" s="261">
        <f t="shared" si="12"/>
        <v>-1.6706344812313118E-2</v>
      </c>
      <c r="E599" s="261">
        <v>2.0698940937680659E-3</v>
      </c>
      <c r="F599">
        <v>597</v>
      </c>
      <c r="G599" s="259">
        <f ca="1">_xlfn.NORM.INV(RAND(),'VAR Historical Approach'!K$4,'VAR Historical Approach'!K$5)</f>
        <v>1.1996369398442874E-2</v>
      </c>
    </row>
    <row r="600" spans="2:7" x14ac:dyDescent="0.3">
      <c r="B600" s="102">
        <v>45324.645833333336</v>
      </c>
      <c r="C600" s="108">
        <v>3612.4</v>
      </c>
      <c r="D600" s="261">
        <f t="shared" si="12"/>
        <v>-4.1489200402485844E-3</v>
      </c>
      <c r="E600" s="261">
        <v>2.0574115802879482E-3</v>
      </c>
      <c r="F600">
        <v>598</v>
      </c>
      <c r="G600" s="259">
        <f ca="1">_xlfn.NORM.INV(RAND(),'VAR Historical Approach'!K$4,'VAR Historical Approach'!K$5)</f>
        <v>-6.1695427310688323E-3</v>
      </c>
    </row>
    <row r="601" spans="2:7" x14ac:dyDescent="0.3">
      <c r="B601" s="102">
        <v>45323.645833333336</v>
      </c>
      <c r="C601" s="108">
        <v>3627.45</v>
      </c>
      <c r="D601" s="261">
        <f t="shared" si="12"/>
        <v>-1.8958499546997434E-2</v>
      </c>
      <c r="E601" s="261">
        <v>2.0543387054772458E-3</v>
      </c>
      <c r="F601">
        <v>599</v>
      </c>
      <c r="G601" s="259">
        <f ca="1">_xlfn.NORM.INV(RAND(),'VAR Historical Approach'!K$4,'VAR Historical Approach'!K$5)</f>
        <v>1.5221205316104482E-3</v>
      </c>
    </row>
    <row r="602" spans="2:7" x14ac:dyDescent="0.3">
      <c r="B602" s="102">
        <v>45322.645833333336</v>
      </c>
      <c r="C602" s="108">
        <v>3697.55</v>
      </c>
      <c r="D602" s="261">
        <f t="shared" si="12"/>
        <v>-1.0225523656561552E-2</v>
      </c>
      <c r="E602" s="261">
        <v>2.0315818635146367E-3</v>
      </c>
      <c r="F602">
        <v>600</v>
      </c>
      <c r="G602" s="259">
        <f ca="1">_xlfn.NORM.INV(RAND(),'VAR Historical Approach'!K$4,'VAR Historical Approach'!K$5)</f>
        <v>-8.7232885842525639E-3</v>
      </c>
    </row>
    <row r="603" spans="2:7" x14ac:dyDescent="0.3">
      <c r="B603" s="102">
        <v>45321.645833333336</v>
      </c>
      <c r="C603" s="108">
        <v>3735.75</v>
      </c>
      <c r="D603" s="261">
        <f t="shared" si="12"/>
        <v>-3.3853594196526733E-2</v>
      </c>
      <c r="E603" s="261">
        <v>2.0284275984601449E-3</v>
      </c>
      <c r="F603">
        <v>601</v>
      </c>
      <c r="G603" s="259">
        <f ca="1">_xlfn.NORM.INV(RAND(),'VAR Historical Approach'!K$4,'VAR Historical Approach'!K$5)</f>
        <v>-1.332158266209954E-4</v>
      </c>
    </row>
    <row r="604" spans="2:7" x14ac:dyDescent="0.3">
      <c r="B604" s="102">
        <v>45320.645833333336</v>
      </c>
      <c r="C604" s="108">
        <v>3866.65</v>
      </c>
      <c r="D604" s="261">
        <f t="shared" si="12"/>
        <v>2.5582197230916204E-2</v>
      </c>
      <c r="E604" s="261">
        <v>2.0267531414673691E-3</v>
      </c>
      <c r="F604">
        <v>602</v>
      </c>
      <c r="G604" s="259">
        <f ca="1">_xlfn.NORM.INV(RAND(),'VAR Historical Approach'!K$4,'VAR Historical Approach'!K$5)</f>
        <v>6.3403408671923031E-3</v>
      </c>
    </row>
    <row r="605" spans="2:7" x14ac:dyDescent="0.3">
      <c r="B605" s="102">
        <v>45316.645833333336</v>
      </c>
      <c r="C605" s="108">
        <v>3770.2</v>
      </c>
      <c r="D605" s="261">
        <f t="shared" si="12"/>
        <v>6.2369786483005142E-4</v>
      </c>
      <c r="E605" s="261">
        <v>1.9988457369687668E-3</v>
      </c>
      <c r="F605">
        <v>603</v>
      </c>
      <c r="G605" s="259">
        <f ca="1">_xlfn.NORM.INV(RAND(),'VAR Historical Approach'!K$4,'VAR Historical Approach'!K$5)</f>
        <v>-7.5824840567844255E-4</v>
      </c>
    </row>
    <row r="606" spans="2:7" x14ac:dyDescent="0.3">
      <c r="B606" s="102">
        <v>45315.645833333336</v>
      </c>
      <c r="C606" s="108">
        <v>3767.85</v>
      </c>
      <c r="D606" s="261">
        <f t="shared" si="12"/>
        <v>7.5408126428943394E-3</v>
      </c>
      <c r="E606" s="261">
        <v>1.9813584863537168E-3</v>
      </c>
      <c r="F606">
        <v>604</v>
      </c>
      <c r="G606" s="259">
        <f ca="1">_xlfn.NORM.INV(RAND(),'VAR Historical Approach'!K$4,'VAR Historical Approach'!K$5)</f>
        <v>1.4022407668411334E-2</v>
      </c>
    </row>
    <row r="607" spans="2:7" x14ac:dyDescent="0.3">
      <c r="B607" s="102">
        <v>45314.645833333336</v>
      </c>
      <c r="C607" s="108">
        <v>3739.65</v>
      </c>
      <c r="D607" s="261">
        <f t="shared" si="12"/>
        <v>-1.8619115099984207E-2</v>
      </c>
      <c r="E607" s="261">
        <v>1.9732779007938851E-3</v>
      </c>
      <c r="F607">
        <v>605</v>
      </c>
      <c r="G607" s="259">
        <f ca="1">_xlfn.NORM.INV(RAND(),'VAR Historical Approach'!K$4,'VAR Historical Approach'!K$5)</f>
        <v>1.0630885256856875E-3</v>
      </c>
    </row>
    <row r="608" spans="2:7" x14ac:dyDescent="0.3">
      <c r="B608" s="102">
        <v>45310.645833333336</v>
      </c>
      <c r="C608" s="108">
        <v>3810.6</v>
      </c>
      <c r="D608" s="261">
        <f t="shared" si="12"/>
        <v>2.0322917503413956E-2</v>
      </c>
      <c r="E608" s="261">
        <v>1.9600156801254411E-3</v>
      </c>
      <c r="F608">
        <v>606</v>
      </c>
      <c r="G608" s="259">
        <f ca="1">_xlfn.NORM.INV(RAND(),'VAR Historical Approach'!K$4,'VAR Historical Approach'!K$5)</f>
        <v>-3.0425505997298524E-3</v>
      </c>
    </row>
    <row r="609" spans="2:7" x14ac:dyDescent="0.3">
      <c r="B609" s="102">
        <v>45309.645833333336</v>
      </c>
      <c r="C609" s="108">
        <v>3734.7</v>
      </c>
      <c r="D609" s="261">
        <f t="shared" si="12"/>
        <v>-2.4895236354616875E-2</v>
      </c>
      <c r="E609" s="261">
        <v>1.9210691167257921E-3</v>
      </c>
      <c r="F609">
        <v>607</v>
      </c>
      <c r="G609" s="259">
        <f ca="1">_xlfn.NORM.INV(RAND(),'VAR Historical Approach'!K$4,'VAR Historical Approach'!K$5)</f>
        <v>-2.2206421768719356E-2</v>
      </c>
    </row>
    <row r="610" spans="2:7" x14ac:dyDescent="0.3">
      <c r="B610" s="102">
        <v>45308.645833333336</v>
      </c>
      <c r="C610" s="108">
        <v>3830.05</v>
      </c>
      <c r="D610" s="261">
        <f t="shared" si="12"/>
        <v>2.5521555898751404E-3</v>
      </c>
      <c r="E610" s="261">
        <v>1.8995467288495298E-3</v>
      </c>
      <c r="F610">
        <v>608</v>
      </c>
      <c r="G610" s="259">
        <f ca="1">_xlfn.NORM.INV(RAND(),'VAR Historical Approach'!K$4,'VAR Historical Approach'!K$5)</f>
        <v>-1.093540466756774E-2</v>
      </c>
    </row>
    <row r="611" spans="2:7" x14ac:dyDescent="0.3">
      <c r="B611" s="102">
        <v>45307.645833333336</v>
      </c>
      <c r="C611" s="108">
        <v>3820.3</v>
      </c>
      <c r="D611" s="261">
        <f t="shared" si="12"/>
        <v>1.6348085185628657E-2</v>
      </c>
      <c r="E611" s="261">
        <v>1.8513161700897433E-3</v>
      </c>
      <c r="F611">
        <v>609</v>
      </c>
      <c r="G611" s="259">
        <f ca="1">_xlfn.NORM.INV(RAND(),'VAR Historical Approach'!K$4,'VAR Historical Approach'!K$5)</f>
        <v>1.855225979552089E-2</v>
      </c>
    </row>
    <row r="612" spans="2:7" x14ac:dyDescent="0.3">
      <c r="B612" s="102">
        <v>45306.645833333336</v>
      </c>
      <c r="C612" s="108">
        <v>3758.85</v>
      </c>
      <c r="D612" s="261">
        <f t="shared" si="12"/>
        <v>8.8164251207729222E-3</v>
      </c>
      <c r="E612" s="261">
        <v>1.8506700701977916E-3</v>
      </c>
      <c r="F612">
        <v>610</v>
      </c>
      <c r="G612" s="259">
        <f ca="1">_xlfn.NORM.INV(RAND(),'VAR Historical Approach'!K$4,'VAR Historical Approach'!K$5)</f>
        <v>1.1825080096957078E-2</v>
      </c>
    </row>
    <row r="613" spans="2:7" x14ac:dyDescent="0.3">
      <c r="B613" s="102">
        <v>45303.645833333336</v>
      </c>
      <c r="C613" s="108">
        <v>3726</v>
      </c>
      <c r="D613" s="261">
        <f t="shared" si="12"/>
        <v>7.408208511328636E-3</v>
      </c>
      <c r="E613" s="261">
        <v>1.8445040214477991E-3</v>
      </c>
      <c r="F613">
        <v>611</v>
      </c>
      <c r="G613" s="259">
        <f ca="1">_xlfn.NORM.INV(RAND(),'VAR Historical Approach'!K$4,'VAR Historical Approach'!K$5)</f>
        <v>6.8602865214528663E-3</v>
      </c>
    </row>
    <row r="614" spans="2:7" x14ac:dyDescent="0.3">
      <c r="B614" s="102">
        <v>45302.645833333336</v>
      </c>
      <c r="C614" s="108">
        <v>3698.6</v>
      </c>
      <c r="D614" s="261">
        <f t="shared" si="12"/>
        <v>-4.2671189543539174E-3</v>
      </c>
      <c r="E614" s="261">
        <v>1.8190392777740656E-3</v>
      </c>
      <c r="F614">
        <v>612</v>
      </c>
      <c r="G614" s="259">
        <f ca="1">_xlfn.NORM.INV(RAND(),'VAR Historical Approach'!K$4,'VAR Historical Approach'!K$5)</f>
        <v>6.2465937132123719E-3</v>
      </c>
    </row>
    <row r="615" spans="2:7" x14ac:dyDescent="0.3">
      <c r="B615" s="102">
        <v>45301.645833333336</v>
      </c>
      <c r="C615" s="108">
        <v>3714.45</v>
      </c>
      <c r="D615" s="261">
        <f t="shared" si="12"/>
        <v>5.5360043313480833E-3</v>
      </c>
      <c r="E615" s="261">
        <v>1.7960109651194475E-3</v>
      </c>
      <c r="F615">
        <v>613</v>
      </c>
      <c r="G615" s="259">
        <f ca="1">_xlfn.NORM.INV(RAND(),'VAR Historical Approach'!K$4,'VAR Historical Approach'!K$5)</f>
        <v>1.7986126989754853E-2</v>
      </c>
    </row>
    <row r="616" spans="2:7" x14ac:dyDescent="0.3">
      <c r="B616" s="102">
        <v>45300.645833333336</v>
      </c>
      <c r="C616" s="108">
        <v>3694</v>
      </c>
      <c r="D616" s="261">
        <f t="shared" si="12"/>
        <v>-3.2514402126253509E-3</v>
      </c>
      <c r="E616" s="261">
        <v>1.7810194215928561E-3</v>
      </c>
      <c r="F616">
        <v>614</v>
      </c>
      <c r="G616" s="259">
        <f ca="1">_xlfn.NORM.INV(RAND(),'VAR Historical Approach'!K$4,'VAR Historical Approach'!K$5)</f>
        <v>5.1028171179388548E-3</v>
      </c>
    </row>
    <row r="617" spans="2:7" x14ac:dyDescent="0.3">
      <c r="B617" s="102">
        <v>45299.645833333336</v>
      </c>
      <c r="C617" s="108">
        <v>3706.05</v>
      </c>
      <c r="D617" s="261">
        <f t="shared" si="12"/>
        <v>-1.7508181707990465E-3</v>
      </c>
      <c r="E617" s="261">
        <v>1.7629429394135276E-3</v>
      </c>
      <c r="F617">
        <v>615</v>
      </c>
      <c r="G617" s="259">
        <f ca="1">_xlfn.NORM.INV(RAND(),'VAR Historical Approach'!K$4,'VAR Historical Approach'!K$5)</f>
        <v>2.1813809088197831E-2</v>
      </c>
    </row>
    <row r="618" spans="2:7" x14ac:dyDescent="0.3">
      <c r="B618" s="102">
        <v>45296.645833333336</v>
      </c>
      <c r="C618" s="108">
        <v>3712.55</v>
      </c>
      <c r="D618" s="261">
        <f t="shared" si="12"/>
        <v>-1.9221980267224875E-3</v>
      </c>
      <c r="E618" s="261">
        <v>1.7510638731088417E-3</v>
      </c>
      <c r="F618">
        <v>616</v>
      </c>
      <c r="G618" s="259">
        <f ca="1">_xlfn.NORM.INV(RAND(),'VAR Historical Approach'!K$4,'VAR Historical Approach'!K$5)</f>
        <v>1.5106846421711641E-2</v>
      </c>
    </row>
    <row r="619" spans="2:7" x14ac:dyDescent="0.3">
      <c r="B619" s="102">
        <v>45295.645833333336</v>
      </c>
      <c r="C619" s="108">
        <v>3719.7</v>
      </c>
      <c r="D619" s="261">
        <f t="shared" si="12"/>
        <v>7.2162575648852941E-3</v>
      </c>
      <c r="E619" s="261">
        <v>1.7444150582409884E-3</v>
      </c>
      <c r="F619">
        <v>617</v>
      </c>
      <c r="G619" s="259">
        <f ca="1">_xlfn.NORM.INV(RAND(),'VAR Historical Approach'!K$4,'VAR Historical Approach'!K$5)</f>
        <v>2.3765083624127065E-2</v>
      </c>
    </row>
    <row r="620" spans="2:7" x14ac:dyDescent="0.3">
      <c r="B620" s="102">
        <v>45294.645833333336</v>
      </c>
      <c r="C620" s="108">
        <v>3693.05</v>
      </c>
      <c r="D620" s="261">
        <f t="shared" si="12"/>
        <v>-1.4060704387209675E-3</v>
      </c>
      <c r="E620" s="261">
        <v>1.6893048738727625E-3</v>
      </c>
      <c r="F620">
        <v>618</v>
      </c>
      <c r="G620" s="259">
        <f ca="1">_xlfn.NORM.INV(RAND(),'VAR Historical Approach'!K$4,'VAR Historical Approach'!K$5)</f>
        <v>-1.8952533977242975E-3</v>
      </c>
    </row>
    <row r="621" spans="2:7" x14ac:dyDescent="0.3">
      <c r="B621" s="102">
        <v>45293.645833333336</v>
      </c>
      <c r="C621" s="108">
        <v>3698.25</v>
      </c>
      <c r="D621" s="261">
        <f t="shared" si="12"/>
        <v>5.7381395918034098E-3</v>
      </c>
      <c r="E621" s="261">
        <v>1.6760151064828266E-3</v>
      </c>
      <c r="F621">
        <v>619</v>
      </c>
      <c r="G621" s="259">
        <f ca="1">_xlfn.NORM.INV(RAND(),'VAR Historical Approach'!K$4,'VAR Historical Approach'!K$5)</f>
        <v>6.1520376063736257E-3</v>
      </c>
    </row>
    <row r="622" spans="2:7" x14ac:dyDescent="0.3">
      <c r="B622" s="102">
        <v>45292.645833333336</v>
      </c>
      <c r="C622" s="108">
        <v>3677.15</v>
      </c>
      <c r="D622" s="261">
        <f t="shared" si="12"/>
        <v>4.6252839788332663E-4</v>
      </c>
      <c r="E622" s="261">
        <v>1.6559139784945846E-3</v>
      </c>
      <c r="F622">
        <v>620</v>
      </c>
      <c r="G622" s="259">
        <f ca="1">_xlfn.NORM.INV(RAND(),'VAR Historical Approach'!K$4,'VAR Historical Approach'!K$5)</f>
        <v>-3.2402219972627301E-2</v>
      </c>
    </row>
    <row r="623" spans="2:7" x14ac:dyDescent="0.3">
      <c r="B623" s="102">
        <v>45289.645833333336</v>
      </c>
      <c r="C623" s="108">
        <v>3675.45</v>
      </c>
      <c r="D623" s="261">
        <f t="shared" si="12"/>
        <v>-1.0672660224489271E-2</v>
      </c>
      <c r="E623" s="261">
        <v>1.6366300645137427E-3</v>
      </c>
      <c r="F623">
        <v>621</v>
      </c>
      <c r="G623" s="259">
        <f ca="1">_xlfn.NORM.INV(RAND(),'VAR Historical Approach'!K$4,'VAR Historical Approach'!K$5)</f>
        <v>2.0985486897657807E-2</v>
      </c>
    </row>
    <row r="624" spans="2:7" x14ac:dyDescent="0.3">
      <c r="B624" s="102">
        <v>45288.645833333336</v>
      </c>
      <c r="C624" s="108">
        <v>3715.1</v>
      </c>
      <c r="D624" s="261">
        <f t="shared" si="12"/>
        <v>7.0068442095276573E-3</v>
      </c>
      <c r="E624" s="261">
        <v>1.6158752657689066E-3</v>
      </c>
      <c r="F624">
        <v>622</v>
      </c>
      <c r="G624" s="259">
        <f ca="1">_xlfn.NORM.INV(RAND(),'VAR Historical Approach'!K$4,'VAR Historical Approach'!K$5)</f>
        <v>-7.561246680228363E-3</v>
      </c>
    </row>
    <row r="625" spans="2:7" x14ac:dyDescent="0.3">
      <c r="B625" s="102">
        <v>45287.645833333336</v>
      </c>
      <c r="C625" s="108">
        <v>3689.25</v>
      </c>
      <c r="D625" s="261">
        <f t="shared" si="12"/>
        <v>8.901468537205727E-3</v>
      </c>
      <c r="E625" s="261">
        <v>1.5723270440251573E-3</v>
      </c>
      <c r="F625">
        <v>623</v>
      </c>
      <c r="G625" s="259">
        <f ca="1">_xlfn.NORM.INV(RAND(),'VAR Historical Approach'!K$4,'VAR Historical Approach'!K$5)</f>
        <v>1.3977952203886293E-2</v>
      </c>
    </row>
    <row r="626" spans="2:7" x14ac:dyDescent="0.3">
      <c r="B626" s="102">
        <v>45286.645833333336</v>
      </c>
      <c r="C626" s="108">
        <v>3656.7</v>
      </c>
      <c r="D626" s="261">
        <f t="shared" si="12"/>
        <v>8.091306325554444E-3</v>
      </c>
      <c r="E626" s="261">
        <v>1.5435859939881389E-3</v>
      </c>
      <c r="F626">
        <v>624</v>
      </c>
      <c r="G626" s="259">
        <f ca="1">_xlfn.NORM.INV(RAND(),'VAR Historical Approach'!K$4,'VAR Historical Approach'!K$5)</f>
        <v>2.4016759165646939E-2</v>
      </c>
    </row>
    <row r="627" spans="2:7" x14ac:dyDescent="0.3">
      <c r="B627" s="102">
        <v>45282.645833333336</v>
      </c>
      <c r="C627" s="108">
        <v>3627.35</v>
      </c>
      <c r="D627" s="261">
        <f t="shared" si="12"/>
        <v>1.3226256983240198E-2</v>
      </c>
      <c r="E627" s="261">
        <v>1.4538908889503662E-3</v>
      </c>
      <c r="F627">
        <v>625</v>
      </c>
      <c r="G627" s="259">
        <f ca="1">_xlfn.NORM.INV(RAND(),'VAR Historical Approach'!K$4,'VAR Historical Approach'!K$5)</f>
        <v>8.8255201988443437E-3</v>
      </c>
    </row>
    <row r="628" spans="2:7" x14ac:dyDescent="0.3">
      <c r="B628" s="102">
        <v>45281.645833333336</v>
      </c>
      <c r="C628" s="108">
        <v>3580</v>
      </c>
      <c r="D628" s="261">
        <f t="shared" si="12"/>
        <v>7.2873582622886499E-3</v>
      </c>
      <c r="E628" s="261">
        <v>1.4509990485253007E-3</v>
      </c>
      <c r="F628">
        <v>626</v>
      </c>
      <c r="G628" s="259">
        <f ca="1">_xlfn.NORM.INV(RAND(),'VAR Historical Approach'!K$4,'VAR Historical Approach'!K$5)</f>
        <v>1.7881882155945503E-3</v>
      </c>
    </row>
    <row r="629" spans="2:7" x14ac:dyDescent="0.3">
      <c r="B629" s="102">
        <v>45280.645833333336</v>
      </c>
      <c r="C629" s="108">
        <v>3554.1</v>
      </c>
      <c r="D629" s="261">
        <f t="shared" si="12"/>
        <v>-1.5607472752703933E-2</v>
      </c>
      <c r="E629" s="261">
        <v>1.4367447469021126E-3</v>
      </c>
      <c r="F629">
        <v>627</v>
      </c>
      <c r="G629" s="259">
        <f ca="1">_xlfn.NORM.INV(RAND(),'VAR Historical Approach'!K$4,'VAR Historical Approach'!K$5)</f>
        <v>1.3119195553214395E-2</v>
      </c>
    </row>
    <row r="630" spans="2:7" x14ac:dyDescent="0.3">
      <c r="B630" s="102">
        <v>45279.645833333336</v>
      </c>
      <c r="C630" s="108">
        <v>3610.45</v>
      </c>
      <c r="D630" s="261">
        <f t="shared" si="12"/>
        <v>-2.5279036357608829E-3</v>
      </c>
      <c r="E630" s="261">
        <v>1.4168068715133268E-3</v>
      </c>
      <c r="F630">
        <v>628</v>
      </c>
      <c r="G630" s="259">
        <f ca="1">_xlfn.NORM.INV(RAND(),'VAR Historical Approach'!K$4,'VAR Historical Approach'!K$5)</f>
        <v>1.630721244955808E-2</v>
      </c>
    </row>
    <row r="631" spans="2:7" x14ac:dyDescent="0.3">
      <c r="B631" s="102">
        <v>45278.645833333336</v>
      </c>
      <c r="C631" s="108">
        <v>3619.6</v>
      </c>
      <c r="D631" s="261">
        <f t="shared" si="12"/>
        <v>5.2908583410867021E-3</v>
      </c>
      <c r="E631" s="261">
        <v>1.3880702021257007E-3</v>
      </c>
      <c r="F631">
        <v>629</v>
      </c>
      <c r="G631" s="259">
        <f ca="1">_xlfn.NORM.INV(RAND(),'VAR Historical Approach'!K$4,'VAR Historical Approach'!K$5)</f>
        <v>2.1342761107239223E-2</v>
      </c>
    </row>
    <row r="632" spans="2:7" x14ac:dyDescent="0.3">
      <c r="B632" s="102">
        <v>45275.645833333336</v>
      </c>
      <c r="C632" s="108">
        <v>3600.55</v>
      </c>
      <c r="D632" s="261">
        <f t="shared" si="12"/>
        <v>2.5477529654174113E-3</v>
      </c>
      <c r="E632" s="261">
        <v>1.3717421124828531E-3</v>
      </c>
      <c r="F632">
        <v>630</v>
      </c>
      <c r="G632" s="259">
        <f ca="1">_xlfn.NORM.INV(RAND(),'VAR Historical Approach'!K$4,'VAR Historical Approach'!K$5)</f>
        <v>9.9253626717537204E-3</v>
      </c>
    </row>
    <row r="633" spans="2:7" x14ac:dyDescent="0.3">
      <c r="B633" s="102">
        <v>45274.645833333336</v>
      </c>
      <c r="C633" s="108">
        <v>3591.4</v>
      </c>
      <c r="D633" s="261">
        <f t="shared" si="12"/>
        <v>-3.0396824295251205E-3</v>
      </c>
      <c r="E633" s="261">
        <v>1.3062739010261909E-3</v>
      </c>
      <c r="F633">
        <v>631</v>
      </c>
      <c r="G633" s="259">
        <f ca="1">_xlfn.NORM.INV(RAND(),'VAR Historical Approach'!K$4,'VAR Historical Approach'!K$5)</f>
        <v>2.0891057930876502E-3</v>
      </c>
    </row>
    <row r="634" spans="2:7" x14ac:dyDescent="0.3">
      <c r="B634" s="102">
        <v>45273.645833333336</v>
      </c>
      <c r="C634" s="108">
        <v>3602.35</v>
      </c>
      <c r="D634" s="261">
        <f t="shared" si="12"/>
        <v>8.6660693285545778E-3</v>
      </c>
      <c r="E634" s="261">
        <v>1.2996709343803938E-3</v>
      </c>
      <c r="F634">
        <v>632</v>
      </c>
      <c r="G634" s="259">
        <f ca="1">_xlfn.NORM.INV(RAND(),'VAR Historical Approach'!K$4,'VAR Historical Approach'!K$5)</f>
        <v>-1.2358536779633921E-2</v>
      </c>
    </row>
    <row r="635" spans="2:7" x14ac:dyDescent="0.3">
      <c r="B635" s="102">
        <v>45272.645833333336</v>
      </c>
      <c r="C635" s="108">
        <v>3571.4</v>
      </c>
      <c r="D635" s="261">
        <f t="shared" si="12"/>
        <v>-1.6278749483542188E-2</v>
      </c>
      <c r="E635" s="261">
        <v>1.2443920489898098E-3</v>
      </c>
      <c r="F635">
        <v>633</v>
      </c>
      <c r="G635" s="259">
        <f ca="1">_xlfn.NORM.INV(RAND(),'VAR Historical Approach'!K$4,'VAR Historical Approach'!K$5)</f>
        <v>2.9935558602098783E-3</v>
      </c>
    </row>
    <row r="636" spans="2:7" x14ac:dyDescent="0.3">
      <c r="B636" s="102">
        <v>45271.645833333336</v>
      </c>
      <c r="C636" s="108">
        <v>3630.5</v>
      </c>
      <c r="D636" s="261">
        <f t="shared" si="12"/>
        <v>-1.1417880676268942E-3</v>
      </c>
      <c r="E636" s="261">
        <v>1.2056726900064804E-3</v>
      </c>
      <c r="F636">
        <v>634</v>
      </c>
      <c r="G636" s="259">
        <f ca="1">_xlfn.NORM.INV(RAND(),'VAR Historical Approach'!K$4,'VAR Historical Approach'!K$5)</f>
        <v>1.3070774554141625E-2</v>
      </c>
    </row>
    <row r="637" spans="2:7" x14ac:dyDescent="0.3">
      <c r="B637" s="102">
        <v>45268.645833333336</v>
      </c>
      <c r="C637" s="108">
        <v>3634.65</v>
      </c>
      <c r="D637" s="261">
        <f t="shared" si="12"/>
        <v>1.3736263736263736E-2</v>
      </c>
      <c r="E637" s="261">
        <v>1.2000685753471108E-3</v>
      </c>
      <c r="F637">
        <v>635</v>
      </c>
      <c r="G637" s="259">
        <f ca="1">_xlfn.NORM.INV(RAND(),'VAR Historical Approach'!K$4,'VAR Historical Approach'!K$5)</f>
        <v>2.447600920155589E-2</v>
      </c>
    </row>
    <row r="638" spans="2:7" x14ac:dyDescent="0.3">
      <c r="B638" s="102">
        <v>45267.645833333336</v>
      </c>
      <c r="C638" s="108">
        <v>3585.4</v>
      </c>
      <c r="D638" s="261">
        <f t="shared" si="12"/>
        <v>1.085454904282613E-2</v>
      </c>
      <c r="E638" s="261">
        <v>1.1917558536244249E-3</v>
      </c>
      <c r="F638">
        <v>636</v>
      </c>
      <c r="G638" s="259">
        <f ca="1">_xlfn.NORM.INV(RAND(),'VAR Historical Approach'!K$4,'VAR Historical Approach'!K$5)</f>
        <v>-7.5460829323769499E-3</v>
      </c>
    </row>
    <row r="639" spans="2:7" x14ac:dyDescent="0.3">
      <c r="B639" s="102">
        <v>45266.645833333336</v>
      </c>
      <c r="C639" s="108">
        <v>3546.9</v>
      </c>
      <c r="D639" s="261">
        <f t="shared" si="12"/>
        <v>4.5130172340843058E-4</v>
      </c>
      <c r="E639" s="261">
        <v>1.1741833650939259E-3</v>
      </c>
      <c r="F639">
        <v>637</v>
      </c>
      <c r="G639" s="259">
        <f ca="1">_xlfn.NORM.INV(RAND(),'VAR Historical Approach'!K$4,'VAR Historical Approach'!K$5)</f>
        <v>-2.711487310782057E-2</v>
      </c>
    </row>
    <row r="640" spans="2:7" x14ac:dyDescent="0.3">
      <c r="B640" s="102">
        <v>45265.645833333336</v>
      </c>
      <c r="C640" s="108">
        <v>3545.3</v>
      </c>
      <c r="D640" s="261">
        <f t="shared" si="12"/>
        <v>1.6311202843710609E-2</v>
      </c>
      <c r="E640" s="261">
        <v>1.1589207179365539E-3</v>
      </c>
      <c r="F640">
        <v>638</v>
      </c>
      <c r="G640" s="259">
        <f ca="1">_xlfn.NORM.INV(RAND(),'VAR Historical Approach'!K$4,'VAR Historical Approach'!K$5)</f>
        <v>-7.6595151699387293E-3</v>
      </c>
    </row>
    <row r="641" spans="2:7" x14ac:dyDescent="0.3">
      <c r="B641" s="102">
        <v>45264.645833333336</v>
      </c>
      <c r="C641" s="108">
        <v>3488.4</v>
      </c>
      <c r="D641" s="261">
        <f t="shared" si="12"/>
        <v>-3.1523140851122199E-4</v>
      </c>
      <c r="E641" s="261">
        <v>1.1435782168066923E-3</v>
      </c>
      <c r="F641">
        <v>639</v>
      </c>
      <c r="G641" s="259">
        <f ca="1">_xlfn.NORM.INV(RAND(),'VAR Historical Approach'!K$4,'VAR Historical Approach'!K$5)</f>
        <v>1.6152835102884969E-2</v>
      </c>
    </row>
    <row r="642" spans="2:7" x14ac:dyDescent="0.3">
      <c r="B642" s="102">
        <v>45261.645833333336</v>
      </c>
      <c r="C642" s="108">
        <v>3489.5</v>
      </c>
      <c r="D642" s="261">
        <f t="shared" si="12"/>
        <v>-3.151320689852487E-4</v>
      </c>
      <c r="E642" s="261">
        <v>1.127251300181804E-3</v>
      </c>
      <c r="F642">
        <v>640</v>
      </c>
      <c r="G642" s="259">
        <f ca="1">_xlfn.NORM.INV(RAND(),'VAR Historical Approach'!K$4,'VAR Historical Approach'!K$5)</f>
        <v>8.5942359319640393E-3</v>
      </c>
    </row>
    <row r="643" spans="2:7" x14ac:dyDescent="0.3">
      <c r="B643" s="102">
        <v>45260.645833333336</v>
      </c>
      <c r="C643" s="108">
        <v>3490.6</v>
      </c>
      <c r="D643" s="261">
        <f t="shared" ref="D643:D706" si="13">(C643-C644)/C644</f>
        <v>1.7875368150934514E-2</v>
      </c>
      <c r="E643" s="261">
        <v>1.0753905365633296E-3</v>
      </c>
      <c r="F643">
        <v>641</v>
      </c>
      <c r="G643" s="259">
        <f ca="1">_xlfn.NORM.INV(RAND(),'VAR Historical Approach'!K$4,'VAR Historical Approach'!K$5)</f>
        <v>1.6185119133547404E-2</v>
      </c>
    </row>
    <row r="644" spans="2:7" x14ac:dyDescent="0.3">
      <c r="B644" s="102">
        <v>45259.645833333336</v>
      </c>
      <c r="C644" s="108">
        <v>3429.3</v>
      </c>
      <c r="D644" s="261">
        <f t="shared" si="13"/>
        <v>-3.8054845456657882E-3</v>
      </c>
      <c r="E644" s="261">
        <v>1.0726474890296529E-3</v>
      </c>
      <c r="F644">
        <v>642</v>
      </c>
      <c r="G644" s="259">
        <f ca="1">_xlfn.NORM.INV(RAND(),'VAR Historical Approach'!K$4,'VAR Historical Approach'!K$5)</f>
        <v>1.5986261273200311E-2</v>
      </c>
    </row>
    <row r="645" spans="2:7" x14ac:dyDescent="0.3">
      <c r="B645" s="102">
        <v>45258.645833333336</v>
      </c>
      <c r="C645" s="108">
        <v>3442.4</v>
      </c>
      <c r="D645" s="261">
        <f t="shared" si="13"/>
        <v>1.3379649391365865E-2</v>
      </c>
      <c r="E645" s="261">
        <v>1.0592752791631457E-3</v>
      </c>
      <c r="F645">
        <v>643</v>
      </c>
      <c r="G645" s="259">
        <f ca="1">_xlfn.NORM.INV(RAND(),'VAR Historical Approach'!K$4,'VAR Historical Approach'!K$5)</f>
        <v>1.0600744617725581E-2</v>
      </c>
    </row>
    <row r="646" spans="2:7" x14ac:dyDescent="0.3">
      <c r="B646" s="102">
        <v>45254.645833333336</v>
      </c>
      <c r="C646" s="108">
        <v>3396.95</v>
      </c>
      <c r="D646" s="261">
        <f t="shared" si="13"/>
        <v>-3.3593474944256167E-3</v>
      </c>
      <c r="E646" s="261">
        <v>1.0503198701421836E-3</v>
      </c>
      <c r="F646">
        <v>644</v>
      </c>
      <c r="G646" s="259">
        <f ca="1">_xlfn.NORM.INV(RAND(),'VAR Historical Approach'!K$4,'VAR Historical Approach'!K$5)</f>
        <v>-1.146827654204181E-2</v>
      </c>
    </row>
    <row r="647" spans="2:7" x14ac:dyDescent="0.3">
      <c r="B647" s="102">
        <v>45253.645833333336</v>
      </c>
      <c r="C647" s="108">
        <v>3408.4</v>
      </c>
      <c r="D647" s="261">
        <f t="shared" si="13"/>
        <v>-6.2539178098167027E-3</v>
      </c>
      <c r="E647" s="261">
        <v>1.0428581040166551E-3</v>
      </c>
      <c r="F647">
        <v>645</v>
      </c>
      <c r="G647" s="259">
        <f ca="1">_xlfn.NORM.INV(RAND(),'VAR Historical Approach'!K$4,'VAR Historical Approach'!K$5)</f>
        <v>1.4824758951352889E-2</v>
      </c>
    </row>
    <row r="648" spans="2:7" x14ac:dyDescent="0.3">
      <c r="B648" s="102">
        <v>45252.645833333336</v>
      </c>
      <c r="C648" s="108">
        <v>3429.85</v>
      </c>
      <c r="D648" s="261">
        <f t="shared" si="13"/>
        <v>1.0428788168922828E-2</v>
      </c>
      <c r="E648" s="261">
        <v>1.0336061681147227E-3</v>
      </c>
      <c r="F648">
        <v>646</v>
      </c>
      <c r="G648" s="259">
        <f ca="1">_xlfn.NORM.INV(RAND(),'VAR Historical Approach'!K$4,'VAR Historical Approach'!K$5)</f>
        <v>-3.3844816111518513E-3</v>
      </c>
    </row>
    <row r="649" spans="2:7" x14ac:dyDescent="0.3">
      <c r="B649" s="102">
        <v>45251.645833333336</v>
      </c>
      <c r="C649" s="108">
        <v>3394.45</v>
      </c>
      <c r="D649" s="261">
        <f t="shared" si="13"/>
        <v>1.4525456909305531E-2</v>
      </c>
      <c r="E649" s="261">
        <v>9.7436414339940056E-4</v>
      </c>
      <c r="F649">
        <v>647</v>
      </c>
      <c r="G649" s="259">
        <f ca="1">_xlfn.NORM.INV(RAND(),'VAR Historical Approach'!K$4,'VAR Historical Approach'!K$5)</f>
        <v>1.6762200948298445E-3</v>
      </c>
    </row>
    <row r="650" spans="2:7" x14ac:dyDescent="0.3">
      <c r="B650" s="102">
        <v>45250.645833333336</v>
      </c>
      <c r="C650" s="108">
        <v>3345.85</v>
      </c>
      <c r="D650" s="261">
        <f t="shared" si="13"/>
        <v>2.0965302424487474E-3</v>
      </c>
      <c r="E650" s="261">
        <v>9.6417257158587597E-4</v>
      </c>
      <c r="F650">
        <v>648</v>
      </c>
      <c r="G650" s="259">
        <f ca="1">_xlfn.NORM.INV(RAND(),'VAR Historical Approach'!K$4,'VAR Historical Approach'!K$5)</f>
        <v>-5.7749825760467681E-3</v>
      </c>
    </row>
    <row r="651" spans="2:7" x14ac:dyDescent="0.3">
      <c r="B651" s="102">
        <v>45247.645833333336</v>
      </c>
      <c r="C651" s="108">
        <v>3338.85</v>
      </c>
      <c r="D651" s="261">
        <f t="shared" si="13"/>
        <v>8.693175856952566E-4</v>
      </c>
      <c r="E651" s="261">
        <v>9.4145187145372206E-4</v>
      </c>
      <c r="F651">
        <v>649</v>
      </c>
      <c r="G651" s="259">
        <f ca="1">_xlfn.NORM.INV(RAND(),'VAR Historical Approach'!K$4,'VAR Historical Approach'!K$5)</f>
        <v>3.4763664233182417E-2</v>
      </c>
    </row>
    <row r="652" spans="2:7" x14ac:dyDescent="0.3">
      <c r="B652" s="102">
        <v>45246.645833333336</v>
      </c>
      <c r="C652" s="108">
        <v>3335.95</v>
      </c>
      <c r="D652" s="261">
        <f t="shared" si="13"/>
        <v>1.2136106433653425E-2</v>
      </c>
      <c r="E652" s="261">
        <v>9.2444868564268837E-4</v>
      </c>
      <c r="F652">
        <v>650</v>
      </c>
      <c r="G652" s="259">
        <f ca="1">_xlfn.NORM.INV(RAND(),'VAR Historical Approach'!K$4,'VAR Historical Approach'!K$5)</f>
        <v>-5.2662771560516852E-3</v>
      </c>
    </row>
    <row r="653" spans="2:7" x14ac:dyDescent="0.3">
      <c r="B653" s="102">
        <v>45245.645833333336</v>
      </c>
      <c r="C653" s="108">
        <v>3295.95</v>
      </c>
      <c r="D653" s="261">
        <f t="shared" si="13"/>
        <v>9.5566276131403075E-3</v>
      </c>
      <c r="E653" s="261">
        <v>9.0926803922833247E-4</v>
      </c>
      <c r="F653">
        <v>651</v>
      </c>
      <c r="G653" s="259">
        <f ca="1">_xlfn.NORM.INV(RAND(),'VAR Historical Approach'!K$4,'VAR Historical Approach'!K$5)</f>
        <v>-1.9880253274962578E-2</v>
      </c>
    </row>
    <row r="654" spans="2:7" x14ac:dyDescent="0.3">
      <c r="B654" s="102">
        <v>45243.645833333336</v>
      </c>
      <c r="C654" s="108">
        <v>3264.75</v>
      </c>
      <c r="D654" s="261">
        <f t="shared" si="13"/>
        <v>2.5795752913538444E-3</v>
      </c>
      <c r="E654" s="261">
        <v>9.0786406575875801E-4</v>
      </c>
      <c r="F654">
        <v>652</v>
      </c>
      <c r="G654" s="259">
        <f ca="1">_xlfn.NORM.INV(RAND(),'VAR Historical Approach'!K$4,'VAR Historical Approach'!K$5)</f>
        <v>1.0666002042050713E-2</v>
      </c>
    </row>
    <row r="655" spans="2:7" x14ac:dyDescent="0.3">
      <c r="B655" s="102">
        <v>45240.645833333336</v>
      </c>
      <c r="C655" s="108">
        <v>3256.35</v>
      </c>
      <c r="D655" s="261">
        <f t="shared" si="13"/>
        <v>-8.3441187666540052E-3</v>
      </c>
      <c r="E655" s="261">
        <v>8.7887688785072556E-4</v>
      </c>
      <c r="F655">
        <v>653</v>
      </c>
      <c r="G655" s="259">
        <f ca="1">_xlfn.NORM.INV(RAND(),'VAR Historical Approach'!K$4,'VAR Historical Approach'!K$5)</f>
        <v>4.5936466721815594E-3</v>
      </c>
    </row>
    <row r="656" spans="2:7" x14ac:dyDescent="0.3">
      <c r="B656" s="102">
        <v>45239.645833333336</v>
      </c>
      <c r="C656" s="108">
        <v>3283.75</v>
      </c>
      <c r="D656" s="261">
        <f t="shared" si="13"/>
        <v>-8.4846837870072352E-3</v>
      </c>
      <c r="E656" s="261">
        <v>8.7287237358933808E-4</v>
      </c>
      <c r="F656">
        <v>654</v>
      </c>
      <c r="G656" s="259">
        <f ca="1">_xlfn.NORM.INV(RAND(),'VAR Historical Approach'!K$4,'VAR Historical Approach'!K$5)</f>
        <v>1.8244286568064854E-2</v>
      </c>
    </row>
    <row r="657" spans="2:7" x14ac:dyDescent="0.3">
      <c r="B657" s="102">
        <v>45238.645833333336</v>
      </c>
      <c r="C657" s="108">
        <v>3311.85</v>
      </c>
      <c r="D657" s="261">
        <f t="shared" si="13"/>
        <v>1.2736224084153903E-2</v>
      </c>
      <c r="E657" s="261">
        <v>8.693175856952566E-4</v>
      </c>
      <c r="F657">
        <v>655</v>
      </c>
      <c r="G657" s="259">
        <f ca="1">_xlfn.NORM.INV(RAND(),'VAR Historical Approach'!K$4,'VAR Historical Approach'!K$5)</f>
        <v>-1.680941062147057E-2</v>
      </c>
    </row>
    <row r="658" spans="2:7" x14ac:dyDescent="0.3">
      <c r="B658" s="102">
        <v>45237.645833333336</v>
      </c>
      <c r="C658" s="108">
        <v>3270.2</v>
      </c>
      <c r="D658" s="261">
        <f t="shared" si="13"/>
        <v>9.6417257158587597E-4</v>
      </c>
      <c r="E658" s="261">
        <v>8.6106686184182193E-4</v>
      </c>
      <c r="F658">
        <v>656</v>
      </c>
      <c r="G658" s="259">
        <f ca="1">_xlfn.NORM.INV(RAND(),'VAR Historical Approach'!K$4,'VAR Historical Approach'!K$5)</f>
        <v>3.8075535584728391E-2</v>
      </c>
    </row>
    <row r="659" spans="2:7" x14ac:dyDescent="0.3">
      <c r="B659" s="102">
        <v>45236.645833333336</v>
      </c>
      <c r="C659" s="108">
        <v>3267.05</v>
      </c>
      <c r="D659" s="261">
        <f t="shared" si="13"/>
        <v>-2.2751565124445924E-3</v>
      </c>
      <c r="E659" s="261">
        <v>8.3437630371294537E-4</v>
      </c>
      <c r="F659">
        <v>657</v>
      </c>
      <c r="G659" s="259">
        <f ca="1">_xlfn.NORM.INV(RAND(),'VAR Historical Approach'!K$4,'VAR Historical Approach'!K$5)</f>
        <v>3.9520046776648238E-3</v>
      </c>
    </row>
    <row r="660" spans="2:7" x14ac:dyDescent="0.3">
      <c r="B660" s="102">
        <v>45233.645833333336</v>
      </c>
      <c r="C660" s="108">
        <v>3274.5</v>
      </c>
      <c r="D660" s="261">
        <f t="shared" si="13"/>
        <v>2.2801811650788692E-2</v>
      </c>
      <c r="E660" s="261">
        <v>7.962972179366627E-4</v>
      </c>
      <c r="F660">
        <v>658</v>
      </c>
      <c r="G660" s="259">
        <f ca="1">_xlfn.NORM.INV(RAND(),'VAR Historical Approach'!K$4,'VAR Historical Approach'!K$5)</f>
        <v>1.3276268056301801E-3</v>
      </c>
    </row>
    <row r="661" spans="2:7" x14ac:dyDescent="0.3">
      <c r="B661" s="102">
        <v>45232.645833333336</v>
      </c>
      <c r="C661" s="108">
        <v>3201.5</v>
      </c>
      <c r="D661" s="261">
        <f t="shared" si="13"/>
        <v>8.8548559904203412E-3</v>
      </c>
      <c r="E661" s="261">
        <v>7.9252954756906446E-4</v>
      </c>
      <c r="F661">
        <v>659</v>
      </c>
      <c r="G661" s="259">
        <f ca="1">_xlfn.NORM.INV(RAND(),'VAR Historical Approach'!K$4,'VAR Historical Approach'!K$5)</f>
        <v>-9.1578429977905509E-3</v>
      </c>
    </row>
    <row r="662" spans="2:7" x14ac:dyDescent="0.3">
      <c r="B662" s="102">
        <v>45231.645833333336</v>
      </c>
      <c r="C662" s="108">
        <v>3173.4</v>
      </c>
      <c r="D662" s="261">
        <f t="shared" si="13"/>
        <v>-5.0946028561127399E-3</v>
      </c>
      <c r="E662" s="261">
        <v>7.9196365303659335E-4</v>
      </c>
      <c r="F662">
        <v>660</v>
      </c>
      <c r="G662" s="259">
        <f ca="1">_xlfn.NORM.INV(RAND(),'VAR Historical Approach'!K$4,'VAR Historical Approach'!K$5)</f>
        <v>-4.0895765129930145E-3</v>
      </c>
    </row>
    <row r="663" spans="2:7" x14ac:dyDescent="0.3">
      <c r="B663" s="102">
        <v>45230.645833333336</v>
      </c>
      <c r="C663" s="108">
        <v>3189.65</v>
      </c>
      <c r="D663" s="261">
        <f t="shared" si="13"/>
        <v>2.3488263890003136E-2</v>
      </c>
      <c r="E663" s="261">
        <v>7.3055721591286447E-4</v>
      </c>
      <c r="F663">
        <v>661</v>
      </c>
      <c r="G663" s="259">
        <f ca="1">_xlfn.NORM.INV(RAND(),'VAR Historical Approach'!K$4,'VAR Historical Approach'!K$5)</f>
        <v>-5.7008786165309282E-3</v>
      </c>
    </row>
    <row r="664" spans="2:7" x14ac:dyDescent="0.3">
      <c r="B664" s="102">
        <v>45229.645833333336</v>
      </c>
      <c r="C664" s="108">
        <v>3116.45</v>
      </c>
      <c r="D664" s="261">
        <f t="shared" si="13"/>
        <v>-1.3618739385394304E-3</v>
      </c>
      <c r="E664" s="261">
        <v>6.7349926793563162E-4</v>
      </c>
      <c r="F664">
        <v>662</v>
      </c>
      <c r="G664" s="259">
        <f ca="1">_xlfn.NORM.INV(RAND(),'VAR Historical Approach'!K$4,'VAR Historical Approach'!K$5)</f>
        <v>2.8595667911438024E-2</v>
      </c>
    </row>
    <row r="665" spans="2:7" x14ac:dyDescent="0.3">
      <c r="B665" s="102">
        <v>45226.645833333336</v>
      </c>
      <c r="C665" s="108">
        <v>3120.7</v>
      </c>
      <c r="D665" s="261">
        <f t="shared" si="13"/>
        <v>6.4176986584106154E-3</v>
      </c>
      <c r="E665" s="261">
        <v>6.6854850690840212E-4</v>
      </c>
      <c r="F665">
        <v>663</v>
      </c>
      <c r="G665" s="259">
        <f ca="1">_xlfn.NORM.INV(RAND(),'VAR Historical Approach'!K$4,'VAR Historical Approach'!K$5)</f>
        <v>-4.137720453705622E-4</v>
      </c>
    </row>
    <row r="666" spans="2:7" x14ac:dyDescent="0.3">
      <c r="B666" s="102">
        <v>45225.645833333336</v>
      </c>
      <c r="C666" s="108">
        <v>3100.8</v>
      </c>
      <c r="D666" s="261">
        <f t="shared" si="13"/>
        <v>-2.730680552723614E-2</v>
      </c>
      <c r="E666" s="261">
        <v>6.4029026492000006E-4</v>
      </c>
      <c r="F666">
        <v>664</v>
      </c>
      <c r="G666" s="259">
        <f ca="1">_xlfn.NORM.INV(RAND(),'VAR Historical Approach'!K$4,'VAR Historical Approach'!K$5)</f>
        <v>7.0276719719912202E-3</v>
      </c>
    </row>
    <row r="667" spans="2:7" x14ac:dyDescent="0.3">
      <c r="B667" s="102">
        <v>45224.645833333336</v>
      </c>
      <c r="C667" s="108">
        <v>3187.85</v>
      </c>
      <c r="D667" s="261">
        <f t="shared" si="13"/>
        <v>-9.9076015218573146E-3</v>
      </c>
      <c r="E667" s="261">
        <v>6.2369786483005142E-4</v>
      </c>
      <c r="F667">
        <v>665</v>
      </c>
      <c r="G667" s="259">
        <f ca="1">_xlfn.NORM.INV(RAND(),'VAR Historical Approach'!K$4,'VAR Historical Approach'!K$5)</f>
        <v>4.2280129763577088E-3</v>
      </c>
    </row>
    <row r="668" spans="2:7" x14ac:dyDescent="0.3">
      <c r="B668" s="102">
        <v>45222.645833333336</v>
      </c>
      <c r="C668" s="108">
        <v>3219.75</v>
      </c>
      <c r="D668" s="261">
        <f t="shared" si="13"/>
        <v>-1.4221419386442906E-2</v>
      </c>
      <c r="E668" s="261">
        <v>6.1857795800533591E-4</v>
      </c>
      <c r="F668">
        <v>666</v>
      </c>
      <c r="G668" s="259">
        <f ca="1">_xlfn.NORM.INV(RAND(),'VAR Historical Approach'!K$4,'VAR Historical Approach'!K$5)</f>
        <v>-3.1081515624099394E-2</v>
      </c>
    </row>
    <row r="669" spans="2:7" x14ac:dyDescent="0.3">
      <c r="B669" s="102">
        <v>45219.645833333336</v>
      </c>
      <c r="C669" s="108">
        <v>3266.2</v>
      </c>
      <c r="D669" s="261">
        <f t="shared" si="13"/>
        <v>-5.6170368227970325E-3</v>
      </c>
      <c r="E669" s="261">
        <v>5.9269503370944015E-4</v>
      </c>
      <c r="F669">
        <v>667</v>
      </c>
      <c r="G669" s="259">
        <f ca="1">_xlfn.NORM.INV(RAND(),'VAR Historical Approach'!K$4,'VAR Historical Approach'!K$5)</f>
        <v>-9.1469934765083128E-3</v>
      </c>
    </row>
    <row r="670" spans="2:7" x14ac:dyDescent="0.3">
      <c r="B670" s="102">
        <v>45218.645833333336</v>
      </c>
      <c r="C670" s="108">
        <v>3284.65</v>
      </c>
      <c r="D670" s="261">
        <f t="shared" si="13"/>
        <v>5.7878303251849542E-4</v>
      </c>
      <c r="E670" s="261">
        <v>5.7878303251849542E-4</v>
      </c>
      <c r="F670">
        <v>668</v>
      </c>
      <c r="G670" s="259">
        <f ca="1">_xlfn.NORM.INV(RAND(),'VAR Historical Approach'!K$4,'VAR Historical Approach'!K$5)</f>
        <v>-1.6381303433124474E-2</v>
      </c>
    </row>
    <row r="671" spans="2:7" x14ac:dyDescent="0.3">
      <c r="B671" s="102">
        <v>45217.645833333336</v>
      </c>
      <c r="C671" s="108">
        <v>3282.75</v>
      </c>
      <c r="D671" s="261">
        <f t="shared" si="13"/>
        <v>-7.7679880306487387E-3</v>
      </c>
      <c r="E671" s="261">
        <v>5.7484934982549084E-4</v>
      </c>
      <c r="F671">
        <v>669</v>
      </c>
      <c r="G671" s="259">
        <f ca="1">_xlfn.NORM.INV(RAND(),'VAR Historical Approach'!K$4,'VAR Historical Approach'!K$5)</f>
        <v>-5.0116650370884081E-3</v>
      </c>
    </row>
    <row r="672" spans="2:7" x14ac:dyDescent="0.3">
      <c r="B672" s="102">
        <v>45216.645833333336</v>
      </c>
      <c r="C672" s="108">
        <v>3308.45</v>
      </c>
      <c r="D672" s="261">
        <f t="shared" si="13"/>
        <v>2.135457684618564E-3</v>
      </c>
      <c r="E672" s="261">
        <v>5.5269993920300674E-4</v>
      </c>
      <c r="F672">
        <v>670</v>
      </c>
      <c r="G672" s="259">
        <f ca="1">_xlfn.NORM.INV(RAND(),'VAR Historical Approach'!K$4,'VAR Historical Approach'!K$5)</f>
        <v>-8.9115414241252265E-3</v>
      </c>
    </row>
    <row r="673" spans="2:7" x14ac:dyDescent="0.3">
      <c r="B673" s="102">
        <v>45215.645833333336</v>
      </c>
      <c r="C673" s="108">
        <v>3301.4</v>
      </c>
      <c r="D673" s="261">
        <f t="shared" si="13"/>
        <v>5.3749524172059656E-3</v>
      </c>
      <c r="E673" s="261">
        <v>5.2027543993873545E-4</v>
      </c>
      <c r="F673">
        <v>671</v>
      </c>
      <c r="G673" s="259">
        <f ca="1">_xlfn.NORM.INV(RAND(),'VAR Historical Approach'!K$4,'VAR Historical Approach'!K$5)</f>
        <v>4.791776865712508E-3</v>
      </c>
    </row>
    <row r="674" spans="2:7" x14ac:dyDescent="0.3">
      <c r="B674" s="102">
        <v>45212.645833333336</v>
      </c>
      <c r="C674" s="108">
        <v>3283.75</v>
      </c>
      <c r="D674" s="261">
        <f t="shared" si="13"/>
        <v>-3.8051750380517502E-4</v>
      </c>
      <c r="E674" s="261">
        <v>5.1975051975057225E-4</v>
      </c>
      <c r="F674">
        <v>672</v>
      </c>
      <c r="G674" s="259">
        <f ca="1">_xlfn.NORM.INV(RAND(),'VAR Historical Approach'!K$4,'VAR Historical Approach'!K$5)</f>
        <v>1.1594700679805862E-2</v>
      </c>
    </row>
    <row r="675" spans="2:7" x14ac:dyDescent="0.3">
      <c r="B675" s="102">
        <v>45211.645833333336</v>
      </c>
      <c r="C675" s="108">
        <v>3285</v>
      </c>
      <c r="D675" s="261">
        <f t="shared" si="13"/>
        <v>1.3717421124828531E-3</v>
      </c>
      <c r="E675" s="261">
        <v>5.1612409917225512E-4</v>
      </c>
      <c r="F675">
        <v>673</v>
      </c>
      <c r="G675" s="259">
        <f ca="1">_xlfn.NORM.INV(RAND(),'VAR Historical Approach'!K$4,'VAR Historical Approach'!K$5)</f>
        <v>2.3561953145478341E-2</v>
      </c>
    </row>
    <row r="676" spans="2:7" x14ac:dyDescent="0.3">
      <c r="B676" s="102">
        <v>45210.645833333336</v>
      </c>
      <c r="C676" s="108">
        <v>3280.5</v>
      </c>
      <c r="D676" s="261">
        <f t="shared" si="13"/>
        <v>3.456503120029421E-3</v>
      </c>
      <c r="E676" s="261">
        <v>4.8132733089833177E-4</v>
      </c>
      <c r="F676">
        <v>674</v>
      </c>
      <c r="G676" s="259">
        <f ca="1">_xlfn.NORM.INV(RAND(),'VAR Historical Approach'!K$4,'VAR Historical Approach'!K$5)</f>
        <v>9.9822173137780563E-4</v>
      </c>
    </row>
    <row r="677" spans="2:7" x14ac:dyDescent="0.3">
      <c r="B677" s="102">
        <v>45209.645833333336</v>
      </c>
      <c r="C677" s="108">
        <v>3269.2</v>
      </c>
      <c r="D677" s="261">
        <f t="shared" si="13"/>
        <v>5.2027543993873545E-4</v>
      </c>
      <c r="E677" s="261">
        <v>4.6252839788332663E-4</v>
      </c>
      <c r="F677">
        <v>675</v>
      </c>
      <c r="G677" s="259">
        <f ca="1">_xlfn.NORM.INV(RAND(),'VAR Historical Approach'!K$4,'VAR Historical Approach'!K$5)</f>
        <v>-2.0617855265026484E-2</v>
      </c>
    </row>
    <row r="678" spans="2:7" x14ac:dyDescent="0.3">
      <c r="B678" s="102">
        <v>45208.645833333336</v>
      </c>
      <c r="C678" s="108">
        <v>3267.5</v>
      </c>
      <c r="D678" s="261">
        <f t="shared" si="13"/>
        <v>-1.2765314600800664E-2</v>
      </c>
      <c r="E678" s="261">
        <v>4.6125461254605552E-4</v>
      </c>
      <c r="F678">
        <v>676</v>
      </c>
      <c r="G678" s="259">
        <f ca="1">_xlfn.NORM.INV(RAND(),'VAR Historical Approach'!K$4,'VAR Historical Approach'!K$5)</f>
        <v>6.1991230971292308E-3</v>
      </c>
    </row>
    <row r="679" spans="2:7" x14ac:dyDescent="0.3">
      <c r="B679" s="102">
        <v>45205.645833333336</v>
      </c>
      <c r="C679" s="108">
        <v>3309.75</v>
      </c>
      <c r="D679" s="261">
        <f t="shared" si="13"/>
        <v>2.8991139437276544E-2</v>
      </c>
      <c r="E679" s="261">
        <v>4.546324655437753E-4</v>
      </c>
      <c r="F679">
        <v>677</v>
      </c>
      <c r="G679" s="259">
        <f ca="1">_xlfn.NORM.INV(RAND(),'VAR Historical Approach'!K$4,'VAR Historical Approach'!K$5)</f>
        <v>-2.8944344510991007E-2</v>
      </c>
    </row>
    <row r="680" spans="2:7" x14ac:dyDescent="0.3">
      <c r="B680" s="102">
        <v>45204.645833333336</v>
      </c>
      <c r="C680" s="108">
        <v>3216.5</v>
      </c>
      <c r="D680" s="261">
        <f t="shared" si="13"/>
        <v>1.5742188116779531E-2</v>
      </c>
      <c r="E680" s="261">
        <v>4.5130172340843058E-4</v>
      </c>
      <c r="F680">
        <v>678</v>
      </c>
      <c r="G680" s="259">
        <f ca="1">_xlfn.NORM.INV(RAND(),'VAR Historical Approach'!K$4,'VAR Historical Approach'!K$5)</f>
        <v>2.3635587404315608E-2</v>
      </c>
    </row>
    <row r="681" spans="2:7" x14ac:dyDescent="0.3">
      <c r="B681" s="102">
        <v>45203.645833333336</v>
      </c>
      <c r="C681" s="108">
        <v>3166.65</v>
      </c>
      <c r="D681" s="261">
        <f t="shared" si="13"/>
        <v>-9.2608525615955912E-3</v>
      </c>
      <c r="E681" s="261">
        <v>4.2652538948494503E-4</v>
      </c>
      <c r="F681">
        <v>679</v>
      </c>
      <c r="G681" s="259">
        <f ca="1">_xlfn.NORM.INV(RAND(),'VAR Historical Approach'!K$4,'VAR Historical Approach'!K$5)</f>
        <v>-4.9847233304399809E-3</v>
      </c>
    </row>
    <row r="682" spans="2:7" x14ac:dyDescent="0.3">
      <c r="B682" s="102">
        <v>45202.645833333336</v>
      </c>
      <c r="C682" s="108">
        <v>3196.25</v>
      </c>
      <c r="D682" s="261">
        <f t="shared" si="13"/>
        <v>1.5069232723577177E-2</v>
      </c>
      <c r="E682" s="261">
        <v>4.2112017967801631E-4</v>
      </c>
      <c r="F682">
        <v>680</v>
      </c>
      <c r="G682" s="259">
        <f ca="1">_xlfn.NORM.INV(RAND(),'VAR Historical Approach'!K$4,'VAR Historical Approach'!K$5)</f>
        <v>-2.4382636629461545E-2</v>
      </c>
    </row>
    <row r="683" spans="2:7" x14ac:dyDescent="0.3">
      <c r="B683" s="102">
        <v>45198.645833333336</v>
      </c>
      <c r="C683" s="108">
        <v>3148.8</v>
      </c>
      <c r="D683" s="261">
        <f t="shared" si="13"/>
        <v>-2.6763797608677863E-3</v>
      </c>
      <c r="E683" s="261">
        <v>3.8967656844824257E-4</v>
      </c>
      <c r="F683">
        <v>681</v>
      </c>
      <c r="G683" s="259">
        <f ca="1">_xlfn.NORM.INV(RAND(),'VAR Historical Approach'!K$4,'VAR Historical Approach'!K$5)</f>
        <v>-7.1145276737390939E-3</v>
      </c>
    </row>
    <row r="684" spans="2:7" x14ac:dyDescent="0.3">
      <c r="B684" s="102">
        <v>45197.645833333336</v>
      </c>
      <c r="C684" s="108">
        <v>3157.25</v>
      </c>
      <c r="D684" s="261">
        <f t="shared" si="13"/>
        <v>-1.7825201039025736E-2</v>
      </c>
      <c r="E684" s="261">
        <v>3.2679176484746325E-4</v>
      </c>
      <c r="F684">
        <v>682</v>
      </c>
      <c r="G684" s="259">
        <f ca="1">_xlfn.NORM.INV(RAND(),'VAR Historical Approach'!K$4,'VAR Historical Approach'!K$5)</f>
        <v>6.4958296301392748E-3</v>
      </c>
    </row>
    <row r="685" spans="2:7" x14ac:dyDescent="0.3">
      <c r="B685" s="102">
        <v>45196.645833333336</v>
      </c>
      <c r="C685" s="108">
        <v>3214.55</v>
      </c>
      <c r="D685" s="261">
        <f t="shared" si="13"/>
        <v>-1.4727517930484806E-2</v>
      </c>
      <c r="E685" s="261">
        <v>3.2557864204105517E-4</v>
      </c>
      <c r="F685">
        <v>683</v>
      </c>
      <c r="G685" s="259">
        <f ca="1">_xlfn.NORM.INV(RAND(),'VAR Historical Approach'!K$4,'VAR Historical Approach'!K$5)</f>
        <v>1.4092658108182467E-2</v>
      </c>
    </row>
    <row r="686" spans="2:7" x14ac:dyDescent="0.3">
      <c r="B686" s="102">
        <v>45195.645833333336</v>
      </c>
      <c r="C686" s="108">
        <v>3262.6</v>
      </c>
      <c r="D686" s="261">
        <f t="shared" si="13"/>
        <v>-6.5013170115257269E-3</v>
      </c>
      <c r="E686" s="261">
        <v>3.0097817908201655E-4</v>
      </c>
      <c r="F686">
        <v>684</v>
      </c>
      <c r="G686" s="259">
        <f ca="1">_xlfn.NORM.INV(RAND(),'VAR Historical Approach'!K$4,'VAR Historical Approach'!K$5)</f>
        <v>-4.6444496049885542E-3</v>
      </c>
    </row>
    <row r="687" spans="2:7" x14ac:dyDescent="0.3">
      <c r="B687" s="102">
        <v>45194.645833333336</v>
      </c>
      <c r="C687" s="108">
        <v>3283.95</v>
      </c>
      <c r="D687" s="261">
        <f t="shared" si="13"/>
        <v>2.8859367842418134E-3</v>
      </c>
      <c r="E687" s="261">
        <v>2.5856496444725023E-4</v>
      </c>
      <c r="F687">
        <v>685</v>
      </c>
      <c r="G687" s="259">
        <f ca="1">_xlfn.NORM.INV(RAND(),'VAR Historical Approach'!K$4,'VAR Historical Approach'!K$5)</f>
        <v>-1.9809342314952374E-2</v>
      </c>
    </row>
    <row r="688" spans="2:7" x14ac:dyDescent="0.3">
      <c r="B688" s="102">
        <v>45191.645833333336</v>
      </c>
      <c r="C688" s="108">
        <v>3274.5</v>
      </c>
      <c r="D688" s="261">
        <f t="shared" si="13"/>
        <v>-9.0785292782569228E-3</v>
      </c>
      <c r="E688" s="261">
        <v>2.1517606012628316E-4</v>
      </c>
      <c r="F688">
        <v>686</v>
      </c>
      <c r="G688" s="259">
        <f ca="1">_xlfn.NORM.INV(RAND(),'VAR Historical Approach'!K$4,'VAR Historical Approach'!K$5)</f>
        <v>2.3320036275993928E-2</v>
      </c>
    </row>
    <row r="689" spans="2:7" x14ac:dyDescent="0.3">
      <c r="B689" s="102">
        <v>45190.645833333336</v>
      </c>
      <c r="C689" s="108">
        <v>3304.5</v>
      </c>
      <c r="D689" s="261">
        <f t="shared" si="13"/>
        <v>-6.5020489014564311E-4</v>
      </c>
      <c r="E689" s="261">
        <v>1.494693836878475E-4</v>
      </c>
      <c r="F689">
        <v>687</v>
      </c>
      <c r="G689" s="259">
        <f ca="1">_xlfn.NORM.INV(RAND(),'VAR Historical Approach'!K$4,'VAR Historical Approach'!K$5)</f>
        <v>-3.1467223876130136E-2</v>
      </c>
    </row>
    <row r="690" spans="2:7" x14ac:dyDescent="0.3">
      <c r="B690" s="102">
        <v>45189.645833333336</v>
      </c>
      <c r="C690" s="108">
        <v>3306.65</v>
      </c>
      <c r="D690" s="261">
        <f t="shared" si="13"/>
        <v>-9.8368019164545312E-3</v>
      </c>
      <c r="E690" s="261">
        <v>1.4391595308326839E-4</v>
      </c>
      <c r="F690">
        <v>688</v>
      </c>
      <c r="G690" s="259">
        <f ca="1">_xlfn.NORM.INV(RAND(),'VAR Historical Approach'!K$4,'VAR Historical Approach'!K$5)</f>
        <v>3.8258775583797248E-2</v>
      </c>
    </row>
    <row r="691" spans="2:7" x14ac:dyDescent="0.3">
      <c r="B691" s="102">
        <v>45187.645833333336</v>
      </c>
      <c r="C691" s="108">
        <v>3339.5</v>
      </c>
      <c r="D691" s="261">
        <f t="shared" si="13"/>
        <v>2.7981284245521175E-2</v>
      </c>
      <c r="E691" s="261">
        <v>1.3547932585487456E-4</v>
      </c>
      <c r="F691">
        <v>689</v>
      </c>
      <c r="G691" s="259">
        <f ca="1">_xlfn.NORM.INV(RAND(),'VAR Historical Approach'!K$4,'VAR Historical Approach'!K$5)</f>
        <v>4.7287030884461843E-3</v>
      </c>
    </row>
    <row r="692" spans="2:7" x14ac:dyDescent="0.3">
      <c r="B692" s="102">
        <v>45184.645833333336</v>
      </c>
      <c r="C692" s="108">
        <v>3248.6</v>
      </c>
      <c r="D692" s="261">
        <f t="shared" si="13"/>
        <v>-3.9094240115289678E-3</v>
      </c>
      <c r="E692" s="261">
        <v>1.208934022426001E-4</v>
      </c>
      <c r="F692">
        <v>690</v>
      </c>
      <c r="G692" s="259">
        <f ca="1">_xlfn.NORM.INV(RAND(),'VAR Historical Approach'!K$4,'VAR Historical Approach'!K$5)</f>
        <v>-1.564382025537871E-2</v>
      </c>
    </row>
    <row r="693" spans="2:7" x14ac:dyDescent="0.3">
      <c r="B693" s="102">
        <v>45183.645833333336</v>
      </c>
      <c r="C693" s="108">
        <v>3261.35</v>
      </c>
      <c r="D693" s="261">
        <f t="shared" si="13"/>
        <v>-5.6692816866876349E-4</v>
      </c>
      <c r="E693" s="261">
        <v>1.0296893770385512E-4</v>
      </c>
      <c r="F693">
        <v>691</v>
      </c>
      <c r="G693" s="259">
        <f ca="1">_xlfn.NORM.INV(RAND(),'VAR Historical Approach'!K$4,'VAR Historical Approach'!K$5)</f>
        <v>-4.9773107285390437E-3</v>
      </c>
    </row>
    <row r="694" spans="2:7" x14ac:dyDescent="0.3">
      <c r="B694" s="102">
        <v>45182.645833333336</v>
      </c>
      <c r="C694" s="108">
        <v>3263.2</v>
      </c>
      <c r="D694" s="261">
        <f t="shared" si="13"/>
        <v>2.4295310440077728E-2</v>
      </c>
      <c r="E694" s="261">
        <v>8.4201072160242261E-5</v>
      </c>
      <c r="F694">
        <v>692</v>
      </c>
      <c r="G694" s="259">
        <f ca="1">_xlfn.NORM.INV(RAND(),'VAR Historical Approach'!K$4,'VAR Historical Approach'!K$5)</f>
        <v>-6.7003993587932817E-3</v>
      </c>
    </row>
    <row r="695" spans="2:7" x14ac:dyDescent="0.3">
      <c r="B695" s="102">
        <v>45181.645833333336</v>
      </c>
      <c r="C695" s="108">
        <v>3185.8</v>
      </c>
      <c r="D695" s="261">
        <f t="shared" si="13"/>
        <v>-8.5581800641085486E-3</v>
      </c>
      <c r="E695" s="261">
        <v>6.8861038424396806E-5</v>
      </c>
      <c r="F695">
        <v>693</v>
      </c>
      <c r="G695" s="259">
        <f ca="1">_xlfn.NORM.INV(RAND(),'VAR Historical Approach'!K$4,'VAR Historical Approach'!K$5)</f>
        <v>-6.7608113503882976E-3</v>
      </c>
    </row>
    <row r="696" spans="2:7" x14ac:dyDescent="0.3">
      <c r="B696" s="102">
        <v>45180.645833333336</v>
      </c>
      <c r="C696" s="108">
        <v>3213.3</v>
      </c>
      <c r="D696" s="261">
        <f t="shared" si="13"/>
        <v>4.4387483979870194E-3</v>
      </c>
      <c r="E696" s="261">
        <v>2.8625817624889876E-5</v>
      </c>
      <c r="F696">
        <v>694</v>
      </c>
      <c r="G696" s="259">
        <f ca="1">_xlfn.NORM.INV(RAND(),'VAR Historical Approach'!K$4,'VAR Historical Approach'!K$5)</f>
        <v>1.1729204879689635E-2</v>
      </c>
    </row>
    <row r="697" spans="2:7" x14ac:dyDescent="0.3">
      <c r="B697" s="102">
        <v>45177.645833333336</v>
      </c>
      <c r="C697" s="108">
        <v>3199.1</v>
      </c>
      <c r="D697" s="261">
        <f t="shared" si="13"/>
        <v>8.2892082702974417E-3</v>
      </c>
      <c r="E697" s="261">
        <v>2.779090125890255E-5</v>
      </c>
      <c r="F697">
        <v>695</v>
      </c>
      <c r="G697" s="259">
        <f ca="1">_xlfn.NORM.INV(RAND(),'VAR Historical Approach'!K$4,'VAR Historical Approach'!K$5)</f>
        <v>-1.5691527306464319E-2</v>
      </c>
    </row>
    <row r="698" spans="2:7" x14ac:dyDescent="0.3">
      <c r="B698" s="102">
        <v>45176.645833333336</v>
      </c>
      <c r="C698" s="108">
        <v>3172.8</v>
      </c>
      <c r="D698" s="261">
        <f t="shared" si="13"/>
        <v>-1.0232836384817619E-3</v>
      </c>
      <c r="E698" s="261">
        <v>2.0136931131768787E-5</v>
      </c>
      <c r="F698">
        <v>696</v>
      </c>
      <c r="G698" s="259">
        <f ca="1">_xlfn.NORM.INV(RAND(),'VAR Historical Approach'!K$4,'VAR Historical Approach'!K$5)</f>
        <v>7.4638094447281363E-3</v>
      </c>
    </row>
    <row r="699" spans="2:7" x14ac:dyDescent="0.3">
      <c r="B699" s="102">
        <v>45175.645833333336</v>
      </c>
      <c r="C699" s="108">
        <v>3176.05</v>
      </c>
      <c r="D699" s="261">
        <f t="shared" si="13"/>
        <v>1.2722605742710039E-2</v>
      </c>
      <c r="E699" s="261">
        <v>-2.7928280176481331E-5</v>
      </c>
      <c r="F699">
        <v>697</v>
      </c>
      <c r="G699" s="259">
        <f ca="1">_xlfn.NORM.INV(RAND(),'VAR Historical Approach'!K$4,'VAR Historical Approach'!K$5)</f>
        <v>-1.8485776209987231E-2</v>
      </c>
    </row>
    <row r="700" spans="2:7" x14ac:dyDescent="0.3">
      <c r="B700" s="102">
        <v>45174.645833333336</v>
      </c>
      <c r="C700" s="108">
        <v>3136.15</v>
      </c>
      <c r="D700" s="261">
        <f t="shared" si="13"/>
        <v>1.1563397090604105E-2</v>
      </c>
      <c r="E700" s="261">
        <v>-3.9377830281515672E-5</v>
      </c>
      <c r="F700">
        <v>698</v>
      </c>
      <c r="G700" s="259">
        <f ca="1">_xlfn.NORM.INV(RAND(),'VAR Historical Approach'!K$4,'VAR Historical Approach'!K$5)</f>
        <v>1.5044203197458635E-2</v>
      </c>
    </row>
    <row r="701" spans="2:7" x14ac:dyDescent="0.3">
      <c r="B701" s="102">
        <v>45173.645833333336</v>
      </c>
      <c r="C701" s="108">
        <v>3100.3</v>
      </c>
      <c r="D701" s="261">
        <f t="shared" si="13"/>
        <v>-5.293891170431211E-3</v>
      </c>
      <c r="E701" s="261">
        <v>-5.8431693350553007E-5</v>
      </c>
      <c r="F701">
        <v>699</v>
      </c>
      <c r="G701" s="259">
        <f ca="1">_xlfn.NORM.INV(RAND(),'VAR Historical Approach'!K$4,'VAR Historical Approach'!K$5)</f>
        <v>1.0556664125380789E-2</v>
      </c>
    </row>
    <row r="702" spans="2:7" x14ac:dyDescent="0.3">
      <c r="B702" s="102">
        <v>45170.645833333336</v>
      </c>
      <c r="C702" s="108">
        <v>3116.8</v>
      </c>
      <c r="D702" s="261">
        <f t="shared" si="13"/>
        <v>3.9781603826765976E-3</v>
      </c>
      <c r="E702" s="261">
        <v>-5.9640961412334121E-5</v>
      </c>
      <c r="F702">
        <v>700</v>
      </c>
      <c r="G702" s="259">
        <f ca="1">_xlfn.NORM.INV(RAND(),'VAR Historical Approach'!K$4,'VAR Historical Approach'!K$5)</f>
        <v>-5.102449263281285E-3</v>
      </c>
    </row>
    <row r="703" spans="2:7" x14ac:dyDescent="0.3">
      <c r="B703" s="102">
        <v>45169.645833333336</v>
      </c>
      <c r="C703" s="108">
        <v>3104.45</v>
      </c>
      <c r="D703" s="261">
        <f t="shared" si="13"/>
        <v>7.2188696385698534E-3</v>
      </c>
      <c r="E703" s="261">
        <v>-7.3335288941082894E-5</v>
      </c>
      <c r="F703">
        <v>701</v>
      </c>
      <c r="G703" s="259">
        <f ca="1">_xlfn.NORM.INV(RAND(),'VAR Historical Approach'!K$4,'VAR Historical Approach'!K$5)</f>
        <v>3.2219443539002099E-3</v>
      </c>
    </row>
    <row r="704" spans="2:7" x14ac:dyDescent="0.3">
      <c r="B704" s="102">
        <v>45168.645833333336</v>
      </c>
      <c r="C704" s="108">
        <v>3082.2</v>
      </c>
      <c r="D704" s="261">
        <f t="shared" si="13"/>
        <v>9.0926803922833247E-4</v>
      </c>
      <c r="E704" s="261">
        <v>-1.4627581768182084E-4</v>
      </c>
      <c r="F704">
        <v>702</v>
      </c>
      <c r="G704" s="259">
        <f ca="1">_xlfn.NORM.INV(RAND(),'VAR Historical Approach'!K$4,'VAR Historical Approach'!K$5)</f>
        <v>1.2600498904373444E-3</v>
      </c>
    </row>
    <row r="705" spans="2:7" x14ac:dyDescent="0.3">
      <c r="B705" s="102">
        <v>45167.645833333336</v>
      </c>
      <c r="C705" s="108">
        <v>3079.4</v>
      </c>
      <c r="D705" s="261">
        <f t="shared" si="13"/>
        <v>1.0119565039116927E-2</v>
      </c>
      <c r="E705" s="261">
        <v>-1.6178939066074422E-4</v>
      </c>
      <c r="F705">
        <v>703</v>
      </c>
      <c r="G705" s="259">
        <f ca="1">_xlfn.NORM.INV(RAND(),'VAR Historical Approach'!K$4,'VAR Historical Approach'!K$5)</f>
        <v>2.5522491502223829E-4</v>
      </c>
    </row>
    <row r="706" spans="2:7" x14ac:dyDescent="0.3">
      <c r="B706" s="102">
        <v>45166.645833333336</v>
      </c>
      <c r="C706" s="108">
        <v>3048.55</v>
      </c>
      <c r="D706" s="261">
        <f t="shared" si="13"/>
        <v>-6.080464267083867E-3</v>
      </c>
      <c r="E706" s="261">
        <v>-1.6670371193596052E-4</v>
      </c>
      <c r="F706">
        <v>704</v>
      </c>
      <c r="G706" s="259">
        <f ca="1">_xlfn.NORM.INV(RAND(),'VAR Historical Approach'!K$4,'VAR Historical Approach'!K$5)</f>
        <v>-1.1426025450043474E-2</v>
      </c>
    </row>
    <row r="707" spans="2:7" x14ac:dyDescent="0.3">
      <c r="B707" s="102">
        <v>45163.645833333336</v>
      </c>
      <c r="C707" s="108">
        <v>3067.2</v>
      </c>
      <c r="D707" s="261">
        <f t="shared" ref="D707:D770" si="14">(C707-C708)/C708</f>
        <v>1.9600156801254411E-3</v>
      </c>
      <c r="E707" s="261">
        <v>-1.7873899638050825E-4</v>
      </c>
      <c r="F707">
        <v>705</v>
      </c>
      <c r="G707" s="259">
        <f ca="1">_xlfn.NORM.INV(RAND(),'VAR Historical Approach'!K$4,'VAR Historical Approach'!K$5)</f>
        <v>-9.6090457637122983E-3</v>
      </c>
    </row>
    <row r="708" spans="2:7" x14ac:dyDescent="0.3">
      <c r="B708" s="102">
        <v>45162.645833333336</v>
      </c>
      <c r="C708" s="108">
        <v>3061.2</v>
      </c>
      <c r="D708" s="261">
        <f t="shared" si="14"/>
        <v>-2.8664495114007109E-3</v>
      </c>
      <c r="E708" s="261">
        <v>-1.9025875190263077E-4</v>
      </c>
      <c r="F708">
        <v>706</v>
      </c>
      <c r="G708" s="259">
        <f ca="1">_xlfn.NORM.INV(RAND(),'VAR Historical Approach'!K$4,'VAR Historical Approach'!K$5)</f>
        <v>2.2607226250321959E-2</v>
      </c>
    </row>
    <row r="709" spans="2:7" x14ac:dyDescent="0.3">
      <c r="B709" s="102">
        <v>45161.645833333336</v>
      </c>
      <c r="C709" s="108">
        <v>3070</v>
      </c>
      <c r="D709" s="261">
        <f t="shared" si="14"/>
        <v>-1.8207829366627354E-3</v>
      </c>
      <c r="E709" s="261">
        <v>-2.3402761525850594E-4</v>
      </c>
      <c r="F709">
        <v>707</v>
      </c>
      <c r="G709" s="259">
        <f ca="1">_xlfn.NORM.INV(RAND(),'VAR Historical Approach'!K$4,'VAR Historical Approach'!K$5)</f>
        <v>1.7805146815586374E-2</v>
      </c>
    </row>
    <row r="710" spans="2:7" x14ac:dyDescent="0.3">
      <c r="B710" s="102">
        <v>45160.645833333336</v>
      </c>
      <c r="C710" s="108">
        <v>3075.6</v>
      </c>
      <c r="D710" s="261">
        <f t="shared" si="14"/>
        <v>-8.7710749439634625E-4</v>
      </c>
      <c r="E710" s="261">
        <v>-2.6068821689259646E-4</v>
      </c>
      <c r="F710">
        <v>708</v>
      </c>
      <c r="G710" s="259">
        <f ca="1">_xlfn.NORM.INV(RAND(),'VAR Historical Approach'!K$4,'VAR Historical Approach'!K$5)</f>
        <v>1.6016925668886406E-2</v>
      </c>
    </row>
    <row r="711" spans="2:7" x14ac:dyDescent="0.3">
      <c r="B711" s="102">
        <v>45159.645833333336</v>
      </c>
      <c r="C711" s="108">
        <v>3078.3</v>
      </c>
      <c r="D711" s="261">
        <f t="shared" si="14"/>
        <v>9.1298005212346912E-3</v>
      </c>
      <c r="E711" s="261">
        <v>-2.6698259607192752E-4</v>
      </c>
      <c r="F711">
        <v>709</v>
      </c>
      <c r="G711" s="259">
        <f ca="1">_xlfn.NORM.INV(RAND(),'VAR Historical Approach'!K$4,'VAR Historical Approach'!K$5)</f>
        <v>2.0974348700920345E-3</v>
      </c>
    </row>
    <row r="712" spans="2:7" x14ac:dyDescent="0.3">
      <c r="B712" s="102">
        <v>45156.645833333336</v>
      </c>
      <c r="C712" s="108">
        <v>3050.45</v>
      </c>
      <c r="D712" s="261">
        <f t="shared" si="14"/>
        <v>-6.9341580532270471E-3</v>
      </c>
      <c r="E712" s="261">
        <v>-2.8608932718518699E-4</v>
      </c>
      <c r="F712">
        <v>710</v>
      </c>
      <c r="G712" s="259">
        <f ca="1">_xlfn.NORM.INV(RAND(),'VAR Historical Approach'!K$4,'VAR Historical Approach'!K$5)</f>
        <v>-1.8165669182406918E-2</v>
      </c>
    </row>
    <row r="713" spans="2:7" x14ac:dyDescent="0.3">
      <c r="B713" s="102">
        <v>45155.645833333336</v>
      </c>
      <c r="C713" s="108">
        <v>3071.75</v>
      </c>
      <c r="D713" s="261">
        <f t="shared" si="14"/>
        <v>2.0142140745906843E-2</v>
      </c>
      <c r="E713" s="261">
        <v>-2.8798525515493607E-4</v>
      </c>
      <c r="F713">
        <v>711</v>
      </c>
      <c r="G713" s="259">
        <f ca="1">_xlfn.NORM.INV(RAND(),'VAR Historical Approach'!K$4,'VAR Historical Approach'!K$5)</f>
        <v>-6.7734397992155462E-3</v>
      </c>
    </row>
    <row r="714" spans="2:7" x14ac:dyDescent="0.3">
      <c r="B714" s="102">
        <v>45154.645833333336</v>
      </c>
      <c r="C714" s="108">
        <v>3011.1</v>
      </c>
      <c r="D714" s="261">
        <f t="shared" si="14"/>
        <v>1.494693836878475E-4</v>
      </c>
      <c r="E714" s="261">
        <v>-3.151320689852487E-4</v>
      </c>
      <c r="F714">
        <v>712</v>
      </c>
      <c r="G714" s="259">
        <f ca="1">_xlfn.NORM.INV(RAND(),'VAR Historical Approach'!K$4,'VAR Historical Approach'!K$5)</f>
        <v>-1.4168522928157077E-2</v>
      </c>
    </row>
    <row r="715" spans="2:7" x14ac:dyDescent="0.3">
      <c r="B715" s="102">
        <v>45152.645833333336</v>
      </c>
      <c r="C715" s="108">
        <v>3010.65</v>
      </c>
      <c r="D715" s="261">
        <f t="shared" si="14"/>
        <v>-2.1874223216504793E-3</v>
      </c>
      <c r="E715" s="261">
        <v>-3.1523140851122199E-4</v>
      </c>
      <c r="F715">
        <v>713</v>
      </c>
      <c r="G715" s="259">
        <f ca="1">_xlfn.NORM.INV(RAND(),'VAR Historical Approach'!K$4,'VAR Historical Approach'!K$5)</f>
        <v>1.1765905507025751E-2</v>
      </c>
    </row>
    <row r="716" spans="2:7" x14ac:dyDescent="0.3">
      <c r="B716" s="102">
        <v>45149.645833333336</v>
      </c>
      <c r="C716" s="108">
        <v>3017.25</v>
      </c>
      <c r="D716" s="261">
        <f t="shared" si="14"/>
        <v>9.6033193354636247E-3</v>
      </c>
      <c r="E716" s="261">
        <v>-3.5998560057595269E-4</v>
      </c>
      <c r="F716">
        <v>714</v>
      </c>
      <c r="G716" s="259">
        <f ca="1">_xlfn.NORM.INV(RAND(),'VAR Historical Approach'!K$4,'VAR Historical Approach'!K$5)</f>
        <v>-4.9486917446800796E-3</v>
      </c>
    </row>
    <row r="717" spans="2:7" x14ac:dyDescent="0.3">
      <c r="B717" s="102">
        <v>45148.645833333336</v>
      </c>
      <c r="C717" s="108">
        <v>2988.55</v>
      </c>
      <c r="D717" s="261">
        <f t="shared" si="14"/>
        <v>1.1045705199769981E-2</v>
      </c>
      <c r="E717" s="261">
        <v>-3.8051750380517502E-4</v>
      </c>
      <c r="F717">
        <v>715</v>
      </c>
      <c r="G717" s="259">
        <f ca="1">_xlfn.NORM.INV(RAND(),'VAR Historical Approach'!K$4,'VAR Historical Approach'!K$5)</f>
        <v>-4.857778479556496E-2</v>
      </c>
    </row>
    <row r="718" spans="2:7" x14ac:dyDescent="0.3">
      <c r="B718" s="102">
        <v>45147.645833333336</v>
      </c>
      <c r="C718" s="108">
        <v>2955.9</v>
      </c>
      <c r="D718" s="261">
        <f t="shared" si="14"/>
        <v>1.1861360718870378E-2</v>
      </c>
      <c r="E718" s="261">
        <v>-3.8086947059146059E-4</v>
      </c>
      <c r="F718">
        <v>716</v>
      </c>
      <c r="G718" s="259">
        <f ca="1">_xlfn.NORM.INV(RAND(),'VAR Historical Approach'!K$4,'VAR Historical Approach'!K$5)</f>
        <v>-7.5671248076111851E-3</v>
      </c>
    </row>
    <row r="719" spans="2:7" x14ac:dyDescent="0.3">
      <c r="B719" s="102">
        <v>45146.645833333336</v>
      </c>
      <c r="C719" s="108">
        <v>2921.25</v>
      </c>
      <c r="D719" s="261">
        <f t="shared" si="14"/>
        <v>5.7322867176203577E-3</v>
      </c>
      <c r="E719" s="261">
        <v>-3.9714058776812544E-4</v>
      </c>
      <c r="F719">
        <v>717</v>
      </c>
      <c r="G719" s="259">
        <f ca="1">_xlfn.NORM.INV(RAND(),'VAR Historical Approach'!K$4,'VAR Historical Approach'!K$5)</f>
        <v>1.4414120668742779E-2</v>
      </c>
    </row>
    <row r="720" spans="2:7" x14ac:dyDescent="0.3">
      <c r="B720" s="102">
        <v>45145.645833333336</v>
      </c>
      <c r="C720" s="108">
        <v>2904.6</v>
      </c>
      <c r="D720" s="261">
        <f t="shared" si="14"/>
        <v>6.8861038424396806E-5</v>
      </c>
      <c r="E720" s="261">
        <v>-4.0099446627636539E-4</v>
      </c>
      <c r="F720">
        <v>718</v>
      </c>
      <c r="G720" s="259">
        <f ca="1">_xlfn.NORM.INV(RAND(),'VAR Historical Approach'!K$4,'VAR Historical Approach'!K$5)</f>
        <v>-4.7872115893980126E-3</v>
      </c>
    </row>
    <row r="721" spans="2:7" x14ac:dyDescent="0.3">
      <c r="B721" s="102">
        <v>45142.645833333336</v>
      </c>
      <c r="C721" s="108">
        <v>2904.4</v>
      </c>
      <c r="D721" s="261">
        <f t="shared" si="14"/>
        <v>7.9252954756906446E-4</v>
      </c>
      <c r="E721" s="261">
        <v>-4.3589445542252704E-4</v>
      </c>
      <c r="F721">
        <v>719</v>
      </c>
      <c r="G721" s="259">
        <f ca="1">_xlfn.NORM.INV(RAND(),'VAR Historical Approach'!K$4,'VAR Historical Approach'!K$5)</f>
        <v>2.1704948312904537E-2</v>
      </c>
    </row>
    <row r="722" spans="2:7" x14ac:dyDescent="0.3">
      <c r="B722" s="102">
        <v>45141.645833333336</v>
      </c>
      <c r="C722" s="108">
        <v>2902.1</v>
      </c>
      <c r="D722" s="261">
        <f t="shared" si="14"/>
        <v>-2.5208672723913871E-2</v>
      </c>
      <c r="E722" s="261">
        <v>-4.7010430439251038E-4</v>
      </c>
      <c r="F722">
        <v>720</v>
      </c>
      <c r="G722" s="259">
        <f ca="1">_xlfn.NORM.INV(RAND(),'VAR Historical Approach'!K$4,'VAR Historical Approach'!K$5)</f>
        <v>-4.7672717890696551E-3</v>
      </c>
    </row>
    <row r="723" spans="2:7" x14ac:dyDescent="0.3">
      <c r="B723" s="102">
        <v>45140.645833333336</v>
      </c>
      <c r="C723" s="108">
        <v>2977.15</v>
      </c>
      <c r="D723" s="261">
        <f t="shared" si="14"/>
        <v>-8.2447783070721866E-3</v>
      </c>
      <c r="E723" s="261">
        <v>-4.7376524931907018E-4</v>
      </c>
      <c r="F723">
        <v>721</v>
      </c>
      <c r="G723" s="259">
        <f ca="1">_xlfn.NORM.INV(RAND(),'VAR Historical Approach'!K$4,'VAR Historical Approach'!K$5)</f>
        <v>6.2401316988701513E-3</v>
      </c>
    </row>
    <row r="724" spans="2:7" x14ac:dyDescent="0.3">
      <c r="B724" s="102">
        <v>45139.645833333336</v>
      </c>
      <c r="C724" s="108">
        <v>3001.9</v>
      </c>
      <c r="D724" s="261">
        <f t="shared" si="14"/>
        <v>-7.1570047103080539E-4</v>
      </c>
      <c r="E724" s="261">
        <v>-5.2105948762488983E-4</v>
      </c>
      <c r="F724">
        <v>722</v>
      </c>
      <c r="G724" s="259">
        <f ca="1">_xlfn.NORM.INV(RAND(),'VAR Historical Approach'!K$4,'VAR Historical Approach'!K$5)</f>
        <v>-4.9523554538653336E-3</v>
      </c>
    </row>
    <row r="725" spans="2:7" x14ac:dyDescent="0.3">
      <c r="B725" s="102">
        <v>45138.645833333336</v>
      </c>
      <c r="C725" s="108">
        <v>3004.05</v>
      </c>
      <c r="D725" s="261">
        <f t="shared" si="14"/>
        <v>5.7080682959491733E-3</v>
      </c>
      <c r="E725" s="261">
        <v>-5.4300876218679945E-4</v>
      </c>
      <c r="F725">
        <v>723</v>
      </c>
      <c r="G725" s="259">
        <f ca="1">_xlfn.NORM.INV(RAND(),'VAR Historical Approach'!K$4,'VAR Historical Approach'!K$5)</f>
        <v>1.5364293915498348E-2</v>
      </c>
    </row>
    <row r="726" spans="2:7" x14ac:dyDescent="0.3">
      <c r="B726" s="102">
        <v>45135.645833333336</v>
      </c>
      <c r="C726" s="108">
        <v>2987</v>
      </c>
      <c r="D726" s="261">
        <f t="shared" si="14"/>
        <v>-5.0298124646080775E-3</v>
      </c>
      <c r="E726" s="261">
        <v>-5.4753465318004989E-4</v>
      </c>
      <c r="F726">
        <v>724</v>
      </c>
      <c r="G726" s="259">
        <f ca="1">_xlfn.NORM.INV(RAND(),'VAR Historical Approach'!K$4,'VAR Historical Approach'!K$5)</f>
        <v>1.0150397920100239E-2</v>
      </c>
    </row>
    <row r="727" spans="2:7" x14ac:dyDescent="0.3">
      <c r="B727" s="102">
        <v>45134.645833333336</v>
      </c>
      <c r="C727" s="108">
        <v>3002.1</v>
      </c>
      <c r="D727" s="261">
        <f t="shared" si="14"/>
        <v>-2.0775508168929813E-3</v>
      </c>
      <c r="E727" s="261">
        <v>-5.6692816866876349E-4</v>
      </c>
      <c r="F727">
        <v>725</v>
      </c>
      <c r="G727" s="259">
        <f ca="1">_xlfn.NORM.INV(RAND(),'VAR Historical Approach'!K$4,'VAR Historical Approach'!K$5)</f>
        <v>1.4886396692203095E-2</v>
      </c>
    </row>
    <row r="728" spans="2:7" x14ac:dyDescent="0.3">
      <c r="B728" s="102">
        <v>45133.645833333336</v>
      </c>
      <c r="C728" s="108">
        <v>3008.35</v>
      </c>
      <c r="D728" s="261">
        <f t="shared" si="14"/>
        <v>-6.8174314955431132E-3</v>
      </c>
      <c r="E728" s="261">
        <v>-5.8518886970769816E-4</v>
      </c>
      <c r="F728">
        <v>726</v>
      </c>
      <c r="G728" s="259">
        <f ca="1">_xlfn.NORM.INV(RAND(),'VAR Historical Approach'!K$4,'VAR Historical Approach'!K$5)</f>
        <v>-2.0200466485322609E-2</v>
      </c>
    </row>
    <row r="729" spans="2:7" x14ac:dyDescent="0.3">
      <c r="B729" s="102">
        <v>45132.645833333336</v>
      </c>
      <c r="C729" s="108">
        <v>3029</v>
      </c>
      <c r="D729" s="261">
        <f t="shared" si="14"/>
        <v>1.6715896885069879E-2</v>
      </c>
      <c r="E729" s="261">
        <v>-6.5020489014564311E-4</v>
      </c>
      <c r="F729">
        <v>727</v>
      </c>
      <c r="G729" s="259">
        <f ca="1">_xlfn.NORM.INV(RAND(),'VAR Historical Approach'!K$4,'VAR Historical Approach'!K$5)</f>
        <v>7.8304676711983233E-3</v>
      </c>
    </row>
    <row r="730" spans="2:7" x14ac:dyDescent="0.3">
      <c r="B730" s="102">
        <v>45131.645833333336</v>
      </c>
      <c r="C730" s="108">
        <v>2979.2</v>
      </c>
      <c r="D730" s="261">
        <f t="shared" si="14"/>
        <v>9.7436414339940056E-4</v>
      </c>
      <c r="E730" s="261">
        <v>-6.6162760390564427E-4</v>
      </c>
      <c r="F730">
        <v>728</v>
      </c>
      <c r="G730" s="259">
        <f ca="1">_xlfn.NORM.INV(RAND(),'VAR Historical Approach'!K$4,'VAR Historical Approach'!K$5)</f>
        <v>-4.3851279271371396E-3</v>
      </c>
    </row>
    <row r="731" spans="2:7" x14ac:dyDescent="0.3">
      <c r="B731" s="102">
        <v>45128.645833333336</v>
      </c>
      <c r="C731" s="108">
        <v>2976.3</v>
      </c>
      <c r="D731" s="261">
        <f t="shared" si="14"/>
        <v>-4.348844211019302E-3</v>
      </c>
      <c r="E731" s="261">
        <v>-6.6269052352555013E-4</v>
      </c>
      <c r="F731">
        <v>729</v>
      </c>
      <c r="G731" s="259">
        <f ca="1">_xlfn.NORM.INV(RAND(),'VAR Historical Approach'!K$4,'VAR Historical Approach'!K$5)</f>
        <v>-3.4105337220556673E-3</v>
      </c>
    </row>
    <row r="732" spans="2:7" x14ac:dyDescent="0.3">
      <c r="B732" s="102">
        <v>45127.645833333336</v>
      </c>
      <c r="C732" s="108">
        <v>2989.3</v>
      </c>
      <c r="D732" s="261">
        <f t="shared" si="14"/>
        <v>-2.119740290087263E-3</v>
      </c>
      <c r="E732" s="261">
        <v>-6.9717421938734971E-4</v>
      </c>
      <c r="F732">
        <v>730</v>
      </c>
      <c r="G732" s="259">
        <f ca="1">_xlfn.NORM.INV(RAND(),'VAR Historical Approach'!K$4,'VAR Historical Approach'!K$5)</f>
        <v>2.0153652932601239E-3</v>
      </c>
    </row>
    <row r="733" spans="2:7" x14ac:dyDescent="0.3">
      <c r="B733" s="102">
        <v>45126.645833333336</v>
      </c>
      <c r="C733" s="108">
        <v>2995.65</v>
      </c>
      <c r="D733" s="261">
        <f t="shared" si="14"/>
        <v>-2.6698259607192752E-4</v>
      </c>
      <c r="E733" s="261">
        <v>-7.1570047103080539E-4</v>
      </c>
      <c r="F733">
        <v>731</v>
      </c>
      <c r="G733" s="259">
        <f ca="1">_xlfn.NORM.INV(RAND(),'VAR Historical Approach'!K$4,'VAR Historical Approach'!K$5)</f>
        <v>5.1824563279770819E-5</v>
      </c>
    </row>
    <row r="734" spans="2:7" x14ac:dyDescent="0.3">
      <c r="B734" s="102">
        <v>45125.645833333336</v>
      </c>
      <c r="C734" s="108">
        <v>2996.45</v>
      </c>
      <c r="D734" s="261">
        <f t="shared" si="14"/>
        <v>-1.2197333069607214E-2</v>
      </c>
      <c r="E734" s="261">
        <v>-7.5268391237178259E-4</v>
      </c>
      <c r="F734">
        <v>732</v>
      </c>
      <c r="G734" s="259">
        <f ca="1">_xlfn.NORM.INV(RAND(),'VAR Historical Approach'!K$4,'VAR Historical Approach'!K$5)</f>
        <v>1.1006404746248288E-3</v>
      </c>
    </row>
    <row r="735" spans="2:7" x14ac:dyDescent="0.3">
      <c r="B735" s="102">
        <v>45124.645833333336</v>
      </c>
      <c r="C735" s="108">
        <v>3033.45</v>
      </c>
      <c r="D735" s="261">
        <f t="shared" si="14"/>
        <v>-7.2327404231645248E-3</v>
      </c>
      <c r="E735" s="261">
        <v>-7.6242537581819488E-4</v>
      </c>
      <c r="F735">
        <v>733</v>
      </c>
      <c r="G735" s="259">
        <f ca="1">_xlfn.NORM.INV(RAND(),'VAR Historical Approach'!K$4,'VAR Historical Approach'!K$5)</f>
        <v>-7.0157234102077833E-3</v>
      </c>
    </row>
    <row r="736" spans="2:7" x14ac:dyDescent="0.3">
      <c r="B736" s="102">
        <v>45121.645833333336</v>
      </c>
      <c r="C736" s="108">
        <v>3055.55</v>
      </c>
      <c r="D736" s="261">
        <f t="shared" si="14"/>
        <v>-9.4659210632951837E-3</v>
      </c>
      <c r="E736" s="261">
        <v>-7.8532450011086071E-4</v>
      </c>
      <c r="F736">
        <v>734</v>
      </c>
      <c r="G736" s="259">
        <f ca="1">_xlfn.NORM.INV(RAND(),'VAR Historical Approach'!K$4,'VAR Historical Approach'!K$5)</f>
        <v>1.5040757540404393E-2</v>
      </c>
    </row>
    <row r="737" spans="2:7" x14ac:dyDescent="0.3">
      <c r="B737" s="102">
        <v>45120.645833333336</v>
      </c>
      <c r="C737" s="108">
        <v>3084.75</v>
      </c>
      <c r="D737" s="261">
        <f t="shared" si="14"/>
        <v>-3.7946068141450026E-3</v>
      </c>
      <c r="E737" s="261">
        <v>-7.9900568181812798E-4</v>
      </c>
      <c r="F737">
        <v>735</v>
      </c>
      <c r="G737" s="259">
        <f ca="1">_xlfn.NORM.INV(RAND(),'VAR Historical Approach'!K$4,'VAR Historical Approach'!K$5)</f>
        <v>3.0989625574529195E-2</v>
      </c>
    </row>
    <row r="738" spans="2:7" x14ac:dyDescent="0.3">
      <c r="B738" s="102">
        <v>45119.645833333336</v>
      </c>
      <c r="C738" s="108">
        <v>3096.5</v>
      </c>
      <c r="D738" s="261">
        <f t="shared" si="14"/>
        <v>2.8824977328669814E-3</v>
      </c>
      <c r="E738" s="261">
        <v>-8.0820944870312441E-4</v>
      </c>
      <c r="F738">
        <v>736</v>
      </c>
      <c r="G738" s="259">
        <f ca="1">_xlfn.NORM.INV(RAND(),'VAR Historical Approach'!K$4,'VAR Historical Approach'!K$5)</f>
        <v>-6.8065233811698163E-3</v>
      </c>
    </row>
    <row r="739" spans="2:7" x14ac:dyDescent="0.3">
      <c r="B739" s="102">
        <v>45118.645833333336</v>
      </c>
      <c r="C739" s="108">
        <v>3087.6</v>
      </c>
      <c r="D739" s="261">
        <f t="shared" si="14"/>
        <v>1.3807029928912586E-2</v>
      </c>
      <c r="E739" s="261">
        <v>-8.5239771227462705E-4</v>
      </c>
      <c r="F739">
        <v>737</v>
      </c>
      <c r="G739" s="259">
        <f ca="1">_xlfn.NORM.INV(RAND(),'VAR Historical Approach'!K$4,'VAR Historical Approach'!K$5)</f>
        <v>9.1618814617208111E-3</v>
      </c>
    </row>
    <row r="740" spans="2:7" x14ac:dyDescent="0.3">
      <c r="B740" s="102">
        <v>45117.645833333336</v>
      </c>
      <c r="C740" s="108">
        <v>3045.55</v>
      </c>
      <c r="D740" s="261">
        <f t="shared" si="14"/>
        <v>-3.1313613231552108E-2</v>
      </c>
      <c r="E740" s="261">
        <v>-8.5736554949342213E-4</v>
      </c>
      <c r="F740">
        <v>738</v>
      </c>
      <c r="G740" s="259">
        <f ca="1">_xlfn.NORM.INV(RAND(),'VAR Historical Approach'!K$4,'VAR Historical Approach'!K$5)</f>
        <v>-3.4187820947667808E-3</v>
      </c>
    </row>
    <row r="741" spans="2:7" x14ac:dyDescent="0.3">
      <c r="B741" s="102">
        <v>45114.645833333336</v>
      </c>
      <c r="C741" s="108">
        <v>3144</v>
      </c>
      <c r="D741" s="261">
        <f t="shared" si="14"/>
        <v>1.2104043265516324E-2</v>
      </c>
      <c r="E741" s="261">
        <v>-8.5946751212804152E-4</v>
      </c>
      <c r="F741">
        <v>739</v>
      </c>
      <c r="G741" s="259">
        <f ca="1">_xlfn.NORM.INV(RAND(),'VAR Historical Approach'!K$4,'VAR Historical Approach'!K$5)</f>
        <v>-1.0715668543784863E-3</v>
      </c>
    </row>
    <row r="742" spans="2:7" x14ac:dyDescent="0.3">
      <c r="B742" s="102">
        <v>45113.645833333336</v>
      </c>
      <c r="C742" s="108">
        <v>3106.4</v>
      </c>
      <c r="D742" s="261">
        <f t="shared" si="14"/>
        <v>2.1130054680065752E-3</v>
      </c>
      <c r="E742" s="261">
        <v>-8.6943081262799953E-4</v>
      </c>
      <c r="F742">
        <v>740</v>
      </c>
      <c r="G742" s="259">
        <f ca="1">_xlfn.NORM.INV(RAND(),'VAR Historical Approach'!K$4,'VAR Historical Approach'!K$5)</f>
        <v>-3.251703461485695E-3</v>
      </c>
    </row>
    <row r="743" spans="2:7" x14ac:dyDescent="0.3">
      <c r="B743" s="102">
        <v>45112.645833333336</v>
      </c>
      <c r="C743" s="108">
        <v>3099.85</v>
      </c>
      <c r="D743" s="261">
        <f t="shared" si="14"/>
        <v>8.1960548355096731E-3</v>
      </c>
      <c r="E743" s="261">
        <v>-8.7710749439634625E-4</v>
      </c>
      <c r="F743">
        <v>741</v>
      </c>
      <c r="G743" s="259">
        <f ca="1">_xlfn.NORM.INV(RAND(),'VAR Historical Approach'!K$4,'VAR Historical Approach'!K$5)</f>
        <v>-1.8526955903239148E-2</v>
      </c>
    </row>
    <row r="744" spans="2:7" x14ac:dyDescent="0.3">
      <c r="B744" s="102">
        <v>45111.645833333336</v>
      </c>
      <c r="C744" s="108">
        <v>3074.65</v>
      </c>
      <c r="D744" s="261">
        <f t="shared" si="14"/>
        <v>1.1963927196129385E-2</v>
      </c>
      <c r="E744" s="261">
        <v>-9.5030808374970386E-4</v>
      </c>
      <c r="F744">
        <v>742</v>
      </c>
      <c r="G744" s="259">
        <f ca="1">_xlfn.NORM.INV(RAND(),'VAR Historical Approach'!K$4,'VAR Historical Approach'!K$5)</f>
        <v>4.4072245297267663E-3</v>
      </c>
    </row>
    <row r="745" spans="2:7" x14ac:dyDescent="0.3">
      <c r="B745" s="102">
        <v>45110.645833333336</v>
      </c>
      <c r="C745" s="108">
        <v>3038.3</v>
      </c>
      <c r="D745" s="261">
        <f t="shared" si="14"/>
        <v>-3.067937591258809E-3</v>
      </c>
      <c r="E745" s="261">
        <v>-9.5368993857117366E-4</v>
      </c>
      <c r="F745">
        <v>743</v>
      </c>
      <c r="G745" s="259">
        <f ca="1">_xlfn.NORM.INV(RAND(),'VAR Historical Approach'!K$4,'VAR Historical Approach'!K$5)</f>
        <v>6.9583122294858257E-3</v>
      </c>
    </row>
    <row r="746" spans="2:7" x14ac:dyDescent="0.3">
      <c r="B746" s="102">
        <v>45107.645833333336</v>
      </c>
      <c r="C746" s="108">
        <v>3047.65</v>
      </c>
      <c r="D746" s="261">
        <f t="shared" si="14"/>
        <v>6.4561936527856353E-3</v>
      </c>
      <c r="E746" s="261">
        <v>-9.7511768661738096E-4</v>
      </c>
      <c r="F746">
        <v>744</v>
      </c>
      <c r="G746" s="259">
        <f ca="1">_xlfn.NORM.INV(RAND(),'VAR Historical Approach'!K$4,'VAR Historical Approach'!K$5)</f>
        <v>-3.0584367875610124E-3</v>
      </c>
    </row>
    <row r="747" spans="2:7" x14ac:dyDescent="0.3">
      <c r="B747" s="102">
        <v>45105.645833333336</v>
      </c>
      <c r="C747" s="108">
        <v>3028.1</v>
      </c>
      <c r="D747" s="261">
        <f t="shared" si="14"/>
        <v>1.760930201297177E-2</v>
      </c>
      <c r="E747" s="261">
        <v>-1.0232836384817619E-3</v>
      </c>
      <c r="F747">
        <v>745</v>
      </c>
      <c r="G747" s="259">
        <f ca="1">_xlfn.NORM.INV(RAND(),'VAR Historical Approach'!K$4,'VAR Historical Approach'!K$5)</f>
        <v>-2.2360096876621983E-2</v>
      </c>
    </row>
    <row r="748" spans="2:7" x14ac:dyDescent="0.3">
      <c r="B748" s="102">
        <v>45104.645833333336</v>
      </c>
      <c r="C748" s="108">
        <v>2975.7</v>
      </c>
      <c r="D748" s="261">
        <f t="shared" si="14"/>
        <v>1.0428581040166551E-3</v>
      </c>
      <c r="E748" s="261">
        <v>-1.0358927760108711E-3</v>
      </c>
      <c r="F748">
        <v>746</v>
      </c>
      <c r="G748" s="259">
        <f ca="1">_xlfn.NORM.INV(RAND(),'VAR Historical Approach'!K$4,'VAR Historical Approach'!K$5)</f>
        <v>-2.6506643204077E-3</v>
      </c>
    </row>
    <row r="749" spans="2:7" x14ac:dyDescent="0.3">
      <c r="B749" s="102">
        <v>45103.645833333336</v>
      </c>
      <c r="C749" s="108">
        <v>2972.6</v>
      </c>
      <c r="D749" s="261">
        <f t="shared" si="14"/>
        <v>1.1380841399724348E-2</v>
      </c>
      <c r="E749" s="261">
        <v>-1.0664675927160264E-3</v>
      </c>
      <c r="F749">
        <v>747</v>
      </c>
      <c r="G749" s="259">
        <f ca="1">_xlfn.NORM.INV(RAND(),'VAR Historical Approach'!K$4,'VAR Historical Approach'!K$5)</f>
        <v>-2.2999250416629795E-2</v>
      </c>
    </row>
    <row r="750" spans="2:7" x14ac:dyDescent="0.3">
      <c r="B750" s="102">
        <v>45100.645833333336</v>
      </c>
      <c r="C750" s="108">
        <v>2939.15</v>
      </c>
      <c r="D750" s="261">
        <f t="shared" si="14"/>
        <v>-1.0470499116235977E-2</v>
      </c>
      <c r="E750" s="261">
        <v>-1.0733517683016564E-3</v>
      </c>
      <c r="F750">
        <v>748</v>
      </c>
      <c r="G750" s="259">
        <f ca="1">_xlfn.NORM.INV(RAND(),'VAR Historical Approach'!K$4,'VAR Historical Approach'!K$5)</f>
        <v>-6.33633709273684E-3</v>
      </c>
    </row>
    <row r="751" spans="2:7" x14ac:dyDescent="0.3">
      <c r="B751" s="102">
        <v>45099.645833333336</v>
      </c>
      <c r="C751" s="108">
        <v>2970.25</v>
      </c>
      <c r="D751" s="261">
        <f t="shared" si="14"/>
        <v>-2.8608932718518699E-4</v>
      </c>
      <c r="E751" s="261">
        <v>-1.1417880676268942E-3</v>
      </c>
      <c r="F751">
        <v>749</v>
      </c>
      <c r="G751" s="259">
        <f ca="1">_xlfn.NORM.INV(RAND(),'VAR Historical Approach'!K$4,'VAR Historical Approach'!K$5)</f>
        <v>6.3342100900087104E-3</v>
      </c>
    </row>
    <row r="752" spans="2:7" x14ac:dyDescent="0.3">
      <c r="B752" s="102">
        <v>45098.645833333336</v>
      </c>
      <c r="C752" s="108">
        <v>2971.1</v>
      </c>
      <c r="D752" s="261">
        <f t="shared" si="14"/>
        <v>-9.7511768661738096E-4</v>
      </c>
      <c r="E752" s="261">
        <v>-1.1760362109753517E-3</v>
      </c>
      <c r="F752">
        <v>750</v>
      </c>
      <c r="G752" s="259">
        <f ca="1">_xlfn.NORM.INV(RAND(),'VAR Historical Approach'!K$4,'VAR Historical Approach'!K$5)</f>
        <v>1.6380286959020041E-2</v>
      </c>
    </row>
    <row r="753" spans="2:7" x14ac:dyDescent="0.3">
      <c r="B753" s="102">
        <v>45097.645833333336</v>
      </c>
      <c r="C753" s="108">
        <v>2974</v>
      </c>
      <c r="D753" s="261">
        <f t="shared" si="14"/>
        <v>1.8190392777740656E-3</v>
      </c>
      <c r="E753" s="261">
        <v>-1.2002286149743154E-3</v>
      </c>
      <c r="F753">
        <v>751</v>
      </c>
      <c r="G753" s="259">
        <f ca="1">_xlfn.NORM.INV(RAND(),'VAR Historical Approach'!K$4,'VAR Historical Approach'!K$5)</f>
        <v>-7.2105521312461015E-5</v>
      </c>
    </row>
    <row r="754" spans="2:7" x14ac:dyDescent="0.3">
      <c r="B754" s="102">
        <v>45096.645833333336</v>
      </c>
      <c r="C754" s="108">
        <v>2968.6</v>
      </c>
      <c r="D754" s="261">
        <f t="shared" si="14"/>
        <v>4.8404021257149668E-3</v>
      </c>
      <c r="E754" s="261">
        <v>-1.2136857517146069E-3</v>
      </c>
      <c r="F754">
        <v>752</v>
      </c>
      <c r="G754" s="259">
        <f ca="1">_xlfn.NORM.INV(RAND(),'VAR Historical Approach'!K$4,'VAR Historical Approach'!K$5)</f>
        <v>3.9704834984556807E-3</v>
      </c>
    </row>
    <row r="755" spans="2:7" x14ac:dyDescent="0.3">
      <c r="B755" s="102">
        <v>45093.645833333336</v>
      </c>
      <c r="C755" s="108">
        <v>2954.3</v>
      </c>
      <c r="D755" s="261">
        <f t="shared" si="14"/>
        <v>1.5921595598349443E-2</v>
      </c>
      <c r="E755" s="261">
        <v>-1.2261580381470565E-3</v>
      </c>
      <c r="F755">
        <v>753</v>
      </c>
      <c r="G755" s="259">
        <f ca="1">_xlfn.NORM.INV(RAND(),'VAR Historical Approach'!K$4,'VAR Historical Approach'!K$5)</f>
        <v>5.2995379711352989E-3</v>
      </c>
    </row>
    <row r="756" spans="2:7" x14ac:dyDescent="0.3">
      <c r="B756" s="102">
        <v>45092.645833333336</v>
      </c>
      <c r="C756" s="108">
        <v>2908</v>
      </c>
      <c r="D756" s="261">
        <f t="shared" si="14"/>
        <v>3.2679176484746325E-4</v>
      </c>
      <c r="E756" s="261">
        <v>-1.2330818237866821E-3</v>
      </c>
      <c r="F756">
        <v>754</v>
      </c>
      <c r="G756" s="259">
        <f ca="1">_xlfn.NORM.INV(RAND(),'VAR Historical Approach'!K$4,'VAR Historical Approach'!K$5)</f>
        <v>-1.9805905811206722E-2</v>
      </c>
    </row>
    <row r="757" spans="2:7" x14ac:dyDescent="0.3">
      <c r="B757" s="102">
        <v>45091.645833333336</v>
      </c>
      <c r="C757" s="108">
        <v>2907.05</v>
      </c>
      <c r="D757" s="261">
        <f t="shared" si="14"/>
        <v>-1.8712446351930707E-3</v>
      </c>
      <c r="E757" s="261">
        <v>-1.2661856753787045E-3</v>
      </c>
      <c r="F757">
        <v>755</v>
      </c>
      <c r="G757" s="259">
        <f ca="1">_xlfn.NORM.INV(RAND(),'VAR Historical Approach'!K$4,'VAR Historical Approach'!K$5)</f>
        <v>9.8345744193546018E-3</v>
      </c>
    </row>
    <row r="758" spans="2:7" x14ac:dyDescent="0.3">
      <c r="B758" s="102">
        <v>45090.645833333336</v>
      </c>
      <c r="C758" s="108">
        <v>2912.5</v>
      </c>
      <c r="D758" s="261">
        <f t="shared" si="14"/>
        <v>2.0998387436023308E-2</v>
      </c>
      <c r="E758" s="261">
        <v>-1.2893916834235861E-3</v>
      </c>
      <c r="F758">
        <v>756</v>
      </c>
      <c r="G758" s="259">
        <f ca="1">_xlfn.NORM.INV(RAND(),'VAR Historical Approach'!K$4,'VAR Historical Approach'!K$5)</f>
        <v>-3.9250092359025428E-2</v>
      </c>
    </row>
    <row r="759" spans="2:7" x14ac:dyDescent="0.3">
      <c r="B759" s="102">
        <v>45089.645833333336</v>
      </c>
      <c r="C759" s="108">
        <v>2852.6</v>
      </c>
      <c r="D759" s="261">
        <f t="shared" si="14"/>
        <v>-8.2225119513255427E-3</v>
      </c>
      <c r="E759" s="261">
        <v>-1.3018178396097969E-3</v>
      </c>
      <c r="F759">
        <v>757</v>
      </c>
      <c r="G759" s="259">
        <f ca="1">_xlfn.NORM.INV(RAND(),'VAR Historical Approach'!K$4,'VAR Historical Approach'!K$5)</f>
        <v>9.6894756394172313E-4</v>
      </c>
    </row>
    <row r="760" spans="2:7" x14ac:dyDescent="0.3">
      <c r="B760" s="102">
        <v>45086.645833333336</v>
      </c>
      <c r="C760" s="108">
        <v>2876.25</v>
      </c>
      <c r="D760" s="261">
        <f t="shared" si="14"/>
        <v>-2.6068821689259646E-4</v>
      </c>
      <c r="E760" s="261">
        <v>-1.3197458468822457E-3</v>
      </c>
      <c r="F760">
        <v>758</v>
      </c>
      <c r="G760" s="259">
        <f ca="1">_xlfn.NORM.INV(RAND(),'VAR Historical Approach'!K$4,'VAR Historical Approach'!K$5)</f>
        <v>1.9843756820161332E-2</v>
      </c>
    </row>
    <row r="761" spans="2:7" x14ac:dyDescent="0.3">
      <c r="B761" s="102">
        <v>45085.645833333336</v>
      </c>
      <c r="C761" s="108">
        <v>2877</v>
      </c>
      <c r="D761" s="261">
        <f t="shared" si="14"/>
        <v>-1.0302894786631975E-2</v>
      </c>
      <c r="E761" s="261">
        <v>-1.3512081390419429E-3</v>
      </c>
      <c r="F761">
        <v>759</v>
      </c>
      <c r="G761" s="259">
        <f ca="1">_xlfn.NORM.INV(RAND(),'VAR Historical Approach'!K$4,'VAR Historical Approach'!K$5)</f>
        <v>-2.6249726173696936E-2</v>
      </c>
    </row>
    <row r="762" spans="2:7" x14ac:dyDescent="0.3">
      <c r="B762" s="102">
        <v>45084.645833333336</v>
      </c>
      <c r="C762" s="108">
        <v>2906.95</v>
      </c>
      <c r="D762" s="261">
        <f t="shared" si="14"/>
        <v>8.8497110829617032E-3</v>
      </c>
      <c r="E762" s="261">
        <v>-1.3586506279616626E-3</v>
      </c>
      <c r="F762">
        <v>760</v>
      </c>
      <c r="G762" s="259">
        <f ca="1">_xlfn.NORM.INV(RAND(),'VAR Historical Approach'!K$4,'VAR Historical Approach'!K$5)</f>
        <v>-1.4608238334616871E-2</v>
      </c>
    </row>
    <row r="763" spans="2:7" x14ac:dyDescent="0.3">
      <c r="B763" s="102">
        <v>45083.645833333336</v>
      </c>
      <c r="C763" s="108">
        <v>2881.45</v>
      </c>
      <c r="D763" s="261">
        <f t="shared" si="14"/>
        <v>9.0170536120740986E-3</v>
      </c>
      <c r="E763" s="261">
        <v>-1.3618739385394304E-3</v>
      </c>
      <c r="F763">
        <v>761</v>
      </c>
      <c r="G763" s="259">
        <f ca="1">_xlfn.NORM.INV(RAND(),'VAR Historical Approach'!K$4,'VAR Historical Approach'!K$5)</f>
        <v>1.3340523305048578E-2</v>
      </c>
    </row>
    <row r="764" spans="2:7" x14ac:dyDescent="0.3">
      <c r="B764" s="102">
        <v>45082.645833333336</v>
      </c>
      <c r="C764" s="108">
        <v>2855.7</v>
      </c>
      <c r="D764" s="261">
        <f t="shared" si="14"/>
        <v>-2.0792200304021362E-3</v>
      </c>
      <c r="E764" s="261">
        <v>-1.3961337833691874E-3</v>
      </c>
      <c r="F764">
        <v>762</v>
      </c>
      <c r="G764" s="259">
        <f ca="1">_xlfn.NORM.INV(RAND(),'VAR Historical Approach'!K$4,'VAR Historical Approach'!K$5)</f>
        <v>1.1074798827389249E-2</v>
      </c>
    </row>
    <row r="765" spans="2:7" x14ac:dyDescent="0.3">
      <c r="B765" s="102">
        <v>45079.645833333336</v>
      </c>
      <c r="C765" s="108">
        <v>2861.65</v>
      </c>
      <c r="D765" s="261">
        <f t="shared" si="14"/>
        <v>1.2167300380228169E-2</v>
      </c>
      <c r="E765" s="261">
        <v>-1.4060704387209675E-3</v>
      </c>
      <c r="F765">
        <v>763</v>
      </c>
      <c r="G765" s="259">
        <f ca="1">_xlfn.NORM.INV(RAND(),'VAR Historical Approach'!K$4,'VAR Historical Approach'!K$5)</f>
        <v>4.7819770706908887E-3</v>
      </c>
    </row>
    <row r="766" spans="2:7" x14ac:dyDescent="0.3">
      <c r="B766" s="102">
        <v>45078.645833333336</v>
      </c>
      <c r="C766" s="108">
        <v>2827.25</v>
      </c>
      <c r="D766" s="261">
        <f t="shared" si="14"/>
        <v>1.4168068715133268E-3</v>
      </c>
      <c r="E766" s="261">
        <v>-1.4127027131631523E-3</v>
      </c>
      <c r="F766">
        <v>764</v>
      </c>
      <c r="G766" s="259">
        <f ca="1">_xlfn.NORM.INV(RAND(),'VAR Historical Approach'!K$4,'VAR Historical Approach'!K$5)</f>
        <v>-3.7689507484513166E-3</v>
      </c>
    </row>
    <row r="767" spans="2:7" x14ac:dyDescent="0.3">
      <c r="B767" s="102">
        <v>45077.645833333336</v>
      </c>
      <c r="C767" s="108">
        <v>2823.25</v>
      </c>
      <c r="D767" s="261">
        <f t="shared" si="14"/>
        <v>7.4041034790365747E-3</v>
      </c>
      <c r="E767" s="261">
        <v>-1.4782458149661675E-3</v>
      </c>
      <c r="F767">
        <v>765</v>
      </c>
      <c r="G767" s="259">
        <f ca="1">_xlfn.NORM.INV(RAND(),'VAR Historical Approach'!K$4,'VAR Historical Approach'!K$5)</f>
        <v>-2.643098121350354E-2</v>
      </c>
    </row>
    <row r="768" spans="2:7" x14ac:dyDescent="0.3">
      <c r="B768" s="102">
        <v>45076.645833333336</v>
      </c>
      <c r="C768" s="108">
        <v>2802.5</v>
      </c>
      <c r="D768" s="261">
        <f t="shared" si="14"/>
        <v>-3.4669748422081962E-3</v>
      </c>
      <c r="E768" s="261">
        <v>-1.5054572826497569E-3</v>
      </c>
      <c r="F768">
        <v>766</v>
      </c>
      <c r="G768" s="259">
        <f ca="1">_xlfn.NORM.INV(RAND(),'VAR Historical Approach'!K$4,'VAR Historical Approach'!K$5)</f>
        <v>-1.643265722625542E-2</v>
      </c>
    </row>
    <row r="769" spans="2:7" x14ac:dyDescent="0.3">
      <c r="B769" s="102">
        <v>45075.645833333336</v>
      </c>
      <c r="C769" s="108">
        <v>2812.25</v>
      </c>
      <c r="D769" s="261">
        <f t="shared" si="14"/>
        <v>2.5563882355086304E-2</v>
      </c>
      <c r="E769" s="261">
        <v>-1.5272626296685282E-3</v>
      </c>
      <c r="F769">
        <v>767</v>
      </c>
      <c r="G769" s="259">
        <f ca="1">_xlfn.NORM.INV(RAND(),'VAR Historical Approach'!K$4,'VAR Historical Approach'!K$5)</f>
        <v>-4.5937825685728358E-3</v>
      </c>
    </row>
    <row r="770" spans="2:7" x14ac:dyDescent="0.3">
      <c r="B770" s="102">
        <v>45072.645833333336</v>
      </c>
      <c r="C770" s="108">
        <v>2742.15</v>
      </c>
      <c r="D770" s="261">
        <f t="shared" si="14"/>
        <v>1.2629479864842511E-2</v>
      </c>
      <c r="E770" s="261">
        <v>-1.5353845532231874E-3</v>
      </c>
      <c r="F770">
        <v>768</v>
      </c>
      <c r="G770" s="259">
        <f ca="1">_xlfn.NORM.INV(RAND(),'VAR Historical Approach'!K$4,'VAR Historical Approach'!K$5)</f>
        <v>2.4873282071149454E-2</v>
      </c>
    </row>
    <row r="771" spans="2:7" x14ac:dyDescent="0.3">
      <c r="B771" s="102">
        <v>45071.645833333336</v>
      </c>
      <c r="C771" s="108">
        <v>2707.95</v>
      </c>
      <c r="D771" s="261">
        <f t="shared" ref="D771:D834" si="15">(C771-C772)/C772</f>
        <v>2.5856496444725023E-4</v>
      </c>
      <c r="E771" s="261">
        <v>-1.5616180620884631E-3</v>
      </c>
      <c r="F771">
        <v>769</v>
      </c>
      <c r="G771" s="259">
        <f ca="1">_xlfn.NORM.INV(RAND(),'VAR Historical Approach'!K$4,'VAR Historical Approach'!K$5)</f>
        <v>3.1225083172411283E-3</v>
      </c>
    </row>
    <row r="772" spans="2:7" x14ac:dyDescent="0.3">
      <c r="B772" s="102">
        <v>45070.645833333336</v>
      </c>
      <c r="C772" s="108">
        <v>2707.25</v>
      </c>
      <c r="D772" s="261">
        <f t="shared" si="15"/>
        <v>8.8691796008869856E-3</v>
      </c>
      <c r="E772" s="261">
        <v>-1.6167919444049974E-3</v>
      </c>
      <c r="F772">
        <v>770</v>
      </c>
      <c r="G772" s="259">
        <f ca="1">_xlfn.NORM.INV(RAND(),'VAR Historical Approach'!K$4,'VAR Historical Approach'!K$5)</f>
        <v>1.6835654812796365E-3</v>
      </c>
    </row>
    <row r="773" spans="2:7" x14ac:dyDescent="0.3">
      <c r="B773" s="102">
        <v>45069.645833333336</v>
      </c>
      <c r="C773" s="108">
        <v>2683.45</v>
      </c>
      <c r="D773" s="261">
        <f t="shared" si="15"/>
        <v>-1.0727912849532862E-2</v>
      </c>
      <c r="E773" s="261">
        <v>-1.7026451809059766E-3</v>
      </c>
      <c r="F773">
        <v>771</v>
      </c>
      <c r="G773" s="259">
        <f ca="1">_xlfn.NORM.INV(RAND(),'VAR Historical Approach'!K$4,'VAR Historical Approach'!K$5)</f>
        <v>6.3477050586355568E-3</v>
      </c>
    </row>
    <row r="774" spans="2:7" x14ac:dyDescent="0.3">
      <c r="B774" s="102">
        <v>45068.645833333336</v>
      </c>
      <c r="C774" s="108">
        <v>2712.55</v>
      </c>
      <c r="D774" s="261">
        <f t="shared" si="15"/>
        <v>4.0345714655858796E-3</v>
      </c>
      <c r="E774" s="261">
        <v>-1.7046366115835072E-3</v>
      </c>
      <c r="F774">
        <v>772</v>
      </c>
      <c r="G774" s="259">
        <f ca="1">_xlfn.NORM.INV(RAND(),'VAR Historical Approach'!K$4,'VAR Historical Approach'!K$5)</f>
        <v>-8.2099715966653698E-3</v>
      </c>
    </row>
    <row r="775" spans="2:7" x14ac:dyDescent="0.3">
      <c r="B775" s="102">
        <v>45065.645833333336</v>
      </c>
      <c r="C775" s="108">
        <v>2701.65</v>
      </c>
      <c r="D775" s="261">
        <f t="shared" si="15"/>
        <v>-7.4214229292576071E-3</v>
      </c>
      <c r="E775" s="261">
        <v>-1.7074668099147489E-3</v>
      </c>
      <c r="F775">
        <v>773</v>
      </c>
      <c r="G775" s="259">
        <f ca="1">_xlfn.NORM.INV(RAND(),'VAR Historical Approach'!K$4,'VAR Historical Approach'!K$5)</f>
        <v>-6.7460150973873631E-3</v>
      </c>
    </row>
    <row r="776" spans="2:7" x14ac:dyDescent="0.3">
      <c r="B776" s="102">
        <v>45064.645833333336</v>
      </c>
      <c r="C776" s="108">
        <v>2721.85</v>
      </c>
      <c r="D776" s="261">
        <f t="shared" si="15"/>
        <v>-1.4679264407761433E-2</v>
      </c>
      <c r="E776" s="261">
        <v>-1.7299292170628686E-3</v>
      </c>
      <c r="F776">
        <v>774</v>
      </c>
      <c r="G776" s="259">
        <f ca="1">_xlfn.NORM.INV(RAND(),'VAR Historical Approach'!K$4,'VAR Historical Approach'!K$5)</f>
        <v>2.7498146021252383E-3</v>
      </c>
    </row>
    <row r="777" spans="2:7" x14ac:dyDescent="0.3">
      <c r="B777" s="102">
        <v>45063.645833333336</v>
      </c>
      <c r="C777" s="108">
        <v>2762.4</v>
      </c>
      <c r="D777" s="261">
        <f t="shared" si="15"/>
        <v>-9.9811844816772369E-3</v>
      </c>
      <c r="E777" s="261">
        <v>-1.7316193696905494E-3</v>
      </c>
      <c r="F777">
        <v>775</v>
      </c>
      <c r="G777" s="259">
        <f ca="1">_xlfn.NORM.INV(RAND(),'VAR Historical Approach'!K$4,'VAR Historical Approach'!K$5)</f>
        <v>1.4579176412259491E-3</v>
      </c>
    </row>
    <row r="778" spans="2:7" x14ac:dyDescent="0.3">
      <c r="B778" s="102">
        <v>45062.645833333336</v>
      </c>
      <c r="C778" s="108">
        <v>2790.25</v>
      </c>
      <c r="D778" s="261">
        <f t="shared" si="15"/>
        <v>3.8495439909337187E-3</v>
      </c>
      <c r="E778" s="261">
        <v>-1.7493072433704634E-3</v>
      </c>
      <c r="F778">
        <v>776</v>
      </c>
      <c r="G778" s="259">
        <f ca="1">_xlfn.NORM.INV(RAND(),'VAR Historical Approach'!K$4,'VAR Historical Approach'!K$5)</f>
        <v>-2.1332020696727183E-2</v>
      </c>
    </row>
    <row r="779" spans="2:7" x14ac:dyDescent="0.3">
      <c r="B779" s="102">
        <v>45061.645833333336</v>
      </c>
      <c r="C779" s="108">
        <v>2779.55</v>
      </c>
      <c r="D779" s="261">
        <f t="shared" si="15"/>
        <v>2.2897735468052662E-3</v>
      </c>
      <c r="E779" s="261">
        <v>-1.7508181707990465E-3</v>
      </c>
      <c r="F779">
        <v>777</v>
      </c>
      <c r="G779" s="259">
        <f ca="1">_xlfn.NORM.INV(RAND(),'VAR Historical Approach'!K$4,'VAR Historical Approach'!K$5)</f>
        <v>1.6288835084569697E-2</v>
      </c>
    </row>
    <row r="780" spans="2:7" x14ac:dyDescent="0.3">
      <c r="B780" s="102">
        <v>45058.645833333336</v>
      </c>
      <c r="C780" s="108">
        <v>2773.2</v>
      </c>
      <c r="D780" s="261">
        <f t="shared" si="15"/>
        <v>5.5659299816886018E-3</v>
      </c>
      <c r="E780" s="261">
        <v>-1.7522795859427058E-3</v>
      </c>
      <c r="F780">
        <v>778</v>
      </c>
      <c r="G780" s="259">
        <f ca="1">_xlfn.NORM.INV(RAND(),'VAR Historical Approach'!K$4,'VAR Historical Approach'!K$5)</f>
        <v>-4.6721450179129506E-3</v>
      </c>
    </row>
    <row r="781" spans="2:7" x14ac:dyDescent="0.3">
      <c r="B781" s="102">
        <v>45057.645833333336</v>
      </c>
      <c r="C781" s="108">
        <v>2757.85</v>
      </c>
      <c r="D781" s="261">
        <f t="shared" si="15"/>
        <v>4.5165637691453467E-3</v>
      </c>
      <c r="E781" s="261">
        <v>-1.7680142554849954E-3</v>
      </c>
      <c r="F781">
        <v>779</v>
      </c>
      <c r="G781" s="259">
        <f ca="1">_xlfn.NORM.INV(RAND(),'VAR Historical Approach'!K$4,'VAR Historical Approach'!K$5)</f>
        <v>-1.2279896373129013E-3</v>
      </c>
    </row>
    <row r="782" spans="2:7" x14ac:dyDescent="0.3">
      <c r="B782" s="102">
        <v>45056.645833333336</v>
      </c>
      <c r="C782" s="108">
        <v>2745.45</v>
      </c>
      <c r="D782" s="261">
        <f t="shared" si="15"/>
        <v>-1.0733517683016564E-3</v>
      </c>
      <c r="E782" s="261">
        <v>-1.7942289731110769E-3</v>
      </c>
      <c r="F782">
        <v>780</v>
      </c>
      <c r="G782" s="259">
        <f ca="1">_xlfn.NORM.INV(RAND(),'VAR Historical Approach'!K$4,'VAR Historical Approach'!K$5)</f>
        <v>-1.4921058069748196E-2</v>
      </c>
    </row>
    <row r="783" spans="2:7" x14ac:dyDescent="0.3">
      <c r="B783" s="102">
        <v>45055.645833333336</v>
      </c>
      <c r="C783" s="108">
        <v>2748.4</v>
      </c>
      <c r="D783" s="261">
        <f t="shared" si="15"/>
        <v>-1.0358927760108711E-3</v>
      </c>
      <c r="E783" s="261">
        <v>-1.8207829366627354E-3</v>
      </c>
      <c r="F783">
        <v>781</v>
      </c>
      <c r="G783" s="259">
        <f ca="1">_xlfn.NORM.INV(RAND(),'VAR Historical Approach'!K$4,'VAR Historical Approach'!K$5)</f>
        <v>-1.8711171755306451E-2</v>
      </c>
    </row>
    <row r="784" spans="2:7" x14ac:dyDescent="0.3">
      <c r="B784" s="102">
        <v>45054.645833333336</v>
      </c>
      <c r="C784" s="108">
        <v>2751.25</v>
      </c>
      <c r="D784" s="261">
        <f t="shared" si="15"/>
        <v>6.7144791247392543E-3</v>
      </c>
      <c r="E784" s="261">
        <v>-1.8295725453236025E-3</v>
      </c>
      <c r="F784">
        <v>782</v>
      </c>
      <c r="G784" s="259">
        <f ca="1">_xlfn.NORM.INV(RAND(),'VAR Historical Approach'!K$4,'VAR Historical Approach'!K$5)</f>
        <v>6.0988591811208951E-4</v>
      </c>
    </row>
    <row r="785" spans="2:7" x14ac:dyDescent="0.3">
      <c r="B785" s="102">
        <v>45051.645833333336</v>
      </c>
      <c r="C785" s="108">
        <v>2732.9</v>
      </c>
      <c r="D785" s="261">
        <f t="shared" si="15"/>
        <v>2.3404733373277409E-2</v>
      </c>
      <c r="E785" s="261">
        <v>-1.86140509493166E-3</v>
      </c>
      <c r="F785">
        <v>783</v>
      </c>
      <c r="G785" s="259">
        <f ca="1">_xlfn.NORM.INV(RAND(),'VAR Historical Approach'!K$4,'VAR Historical Approach'!K$5)</f>
        <v>1.7623909350525432E-2</v>
      </c>
    </row>
    <row r="786" spans="2:7" x14ac:dyDescent="0.3">
      <c r="B786" s="102">
        <v>45050.645833333336</v>
      </c>
      <c r="C786" s="108">
        <v>2670.4</v>
      </c>
      <c r="D786" s="261">
        <f t="shared" si="15"/>
        <v>6.1603963753508444E-3</v>
      </c>
      <c r="E786" s="261">
        <v>-1.8712446351930707E-3</v>
      </c>
      <c r="F786">
        <v>784</v>
      </c>
      <c r="G786" s="259">
        <f ca="1">_xlfn.NORM.INV(RAND(),'VAR Historical Approach'!K$4,'VAR Historical Approach'!K$5)</f>
        <v>1.5532616130099887E-2</v>
      </c>
    </row>
    <row r="787" spans="2:7" x14ac:dyDescent="0.3">
      <c r="B787" s="102">
        <v>45049.645833333336</v>
      </c>
      <c r="C787" s="108">
        <v>2654.05</v>
      </c>
      <c r="D787" s="261">
        <f t="shared" si="15"/>
        <v>-3.6788858231506004E-3</v>
      </c>
      <c r="E787" s="261">
        <v>-1.8730418199155428E-3</v>
      </c>
      <c r="F787">
        <v>785</v>
      </c>
      <c r="G787" s="259">
        <f ca="1">_xlfn.NORM.INV(RAND(),'VAR Historical Approach'!K$4,'VAR Historical Approach'!K$5)</f>
        <v>-2.8034892322257716E-2</v>
      </c>
    </row>
    <row r="788" spans="2:7" x14ac:dyDescent="0.3">
      <c r="B788" s="102">
        <v>45048.645833333336</v>
      </c>
      <c r="C788" s="108">
        <v>2663.85</v>
      </c>
      <c r="D788" s="261">
        <f t="shared" si="15"/>
        <v>8.3274977761795717E-3</v>
      </c>
      <c r="E788" s="261">
        <v>-1.9092619809623979E-3</v>
      </c>
      <c r="F788">
        <v>786</v>
      </c>
      <c r="G788" s="259">
        <f ca="1">_xlfn.NORM.INV(RAND(),'VAR Historical Approach'!K$4,'VAR Historical Approach'!K$5)</f>
        <v>-2.8733727614797835E-2</v>
      </c>
    </row>
    <row r="789" spans="2:7" x14ac:dyDescent="0.3">
      <c r="B789" s="102">
        <v>45044.645833333336</v>
      </c>
      <c r="C789" s="108">
        <v>2641.85</v>
      </c>
      <c r="D789" s="261">
        <f t="shared" si="15"/>
        <v>-8.1097824250501837E-3</v>
      </c>
      <c r="E789" s="261">
        <v>-1.9221980267224875E-3</v>
      </c>
      <c r="F789">
        <v>787</v>
      </c>
      <c r="G789" s="259">
        <f ca="1">_xlfn.NORM.INV(RAND(),'VAR Historical Approach'!K$4,'VAR Historical Approach'!K$5)</f>
        <v>5.2550087299114354E-3</v>
      </c>
    </row>
    <row r="790" spans="2:7" x14ac:dyDescent="0.3">
      <c r="B790" s="102">
        <v>45043.645833333336</v>
      </c>
      <c r="C790" s="108">
        <v>2663.45</v>
      </c>
      <c r="D790" s="261">
        <f t="shared" si="15"/>
        <v>8.5005679666792199E-3</v>
      </c>
      <c r="E790" s="261">
        <v>-1.9858582819316712E-3</v>
      </c>
      <c r="F790">
        <v>788</v>
      </c>
      <c r="G790" s="259">
        <f ca="1">_xlfn.NORM.INV(RAND(),'VAR Historical Approach'!K$4,'VAR Historical Approach'!K$5)</f>
        <v>7.3977247995600359E-3</v>
      </c>
    </row>
    <row r="791" spans="2:7" x14ac:dyDescent="0.3">
      <c r="B791" s="102">
        <v>45042.645833333336</v>
      </c>
      <c r="C791" s="108">
        <v>2641</v>
      </c>
      <c r="D791" s="261">
        <f t="shared" si="15"/>
        <v>2.9621753000152601E-3</v>
      </c>
      <c r="E791" s="261">
        <v>-1.9916514337162527E-3</v>
      </c>
      <c r="F791">
        <v>789</v>
      </c>
      <c r="G791" s="259">
        <f ca="1">_xlfn.NORM.INV(RAND(),'VAR Historical Approach'!K$4,'VAR Historical Approach'!K$5)</f>
        <v>1.5059936404862488E-3</v>
      </c>
    </row>
    <row r="792" spans="2:7" x14ac:dyDescent="0.3">
      <c r="B792" s="102">
        <v>45041.645833333336</v>
      </c>
      <c r="C792" s="108">
        <v>2633.2</v>
      </c>
      <c r="D792" s="261">
        <f t="shared" si="15"/>
        <v>1.3880702021257007E-3</v>
      </c>
      <c r="E792" s="261">
        <v>-2.0336570237429455E-3</v>
      </c>
      <c r="F792">
        <v>790</v>
      </c>
      <c r="G792" s="259">
        <f ca="1">_xlfn.NORM.INV(RAND(),'VAR Historical Approach'!K$4,'VAR Historical Approach'!K$5)</f>
        <v>-2.3852732666208628E-2</v>
      </c>
    </row>
    <row r="793" spans="2:7" x14ac:dyDescent="0.3">
      <c r="B793" s="102">
        <v>45040.645833333336</v>
      </c>
      <c r="C793" s="108">
        <v>2629.55</v>
      </c>
      <c r="D793" s="261">
        <f t="shared" si="15"/>
        <v>2.3848460070863994E-2</v>
      </c>
      <c r="E793" s="261">
        <v>-2.0700311962447617E-3</v>
      </c>
      <c r="F793">
        <v>791</v>
      </c>
      <c r="G793" s="259">
        <f ca="1">_xlfn.NORM.INV(RAND(),'VAR Historical Approach'!K$4,'VAR Historical Approach'!K$5)</f>
        <v>7.4183117429711138E-3</v>
      </c>
    </row>
    <row r="794" spans="2:7" x14ac:dyDescent="0.3">
      <c r="B794" s="102">
        <v>45037.645833333336</v>
      </c>
      <c r="C794" s="108">
        <v>2568.3000000000002</v>
      </c>
      <c r="D794" s="261">
        <f t="shared" si="15"/>
        <v>-4.2454201802848961E-3</v>
      </c>
      <c r="E794" s="261">
        <v>-2.0705614875562947E-3</v>
      </c>
      <c r="F794">
        <v>792</v>
      </c>
      <c r="G794" s="259">
        <f ca="1">_xlfn.NORM.INV(RAND(),'VAR Historical Approach'!K$4,'VAR Historical Approach'!K$5)</f>
        <v>1.6320877169264697E-2</v>
      </c>
    </row>
    <row r="795" spans="2:7" x14ac:dyDescent="0.3">
      <c r="B795" s="102">
        <v>45036.645833333336</v>
      </c>
      <c r="C795" s="108">
        <v>2579.25</v>
      </c>
      <c r="D795" s="261">
        <f t="shared" si="15"/>
        <v>3.8726501381698584E-3</v>
      </c>
      <c r="E795" s="261">
        <v>-2.0775508168929813E-3</v>
      </c>
      <c r="F795">
        <v>793</v>
      </c>
      <c r="G795" s="259">
        <f ca="1">_xlfn.NORM.INV(RAND(),'VAR Historical Approach'!K$4,'VAR Historical Approach'!K$5)</f>
        <v>3.8287623692513935E-2</v>
      </c>
    </row>
    <row r="796" spans="2:7" x14ac:dyDescent="0.3">
      <c r="B796" s="102">
        <v>45035.645833333336</v>
      </c>
      <c r="C796" s="108">
        <v>2569.3000000000002</v>
      </c>
      <c r="D796" s="261">
        <f t="shared" si="15"/>
        <v>-3.2587190130735294E-3</v>
      </c>
      <c r="E796" s="261">
        <v>-2.0791583166333122E-3</v>
      </c>
      <c r="F796">
        <v>794</v>
      </c>
      <c r="G796" s="259">
        <f ca="1">_xlfn.NORM.INV(RAND(),'VAR Historical Approach'!K$4,'VAR Historical Approach'!K$5)</f>
        <v>-6.4407494426687133E-3</v>
      </c>
    </row>
    <row r="797" spans="2:7" x14ac:dyDescent="0.3">
      <c r="B797" s="102">
        <v>45034.645833333336</v>
      </c>
      <c r="C797" s="108">
        <v>2577.6999999999998</v>
      </c>
      <c r="D797" s="261">
        <f t="shared" si="15"/>
        <v>-1.0707706478354348E-2</v>
      </c>
      <c r="E797" s="261">
        <v>-2.0792200304021362E-3</v>
      </c>
      <c r="F797">
        <v>795</v>
      </c>
      <c r="G797" s="259">
        <f ca="1">_xlfn.NORM.INV(RAND(),'VAR Historical Approach'!K$4,'VAR Historical Approach'!K$5)</f>
        <v>1.4276872760760241E-2</v>
      </c>
    </row>
    <row r="798" spans="2:7" x14ac:dyDescent="0.3">
      <c r="B798" s="102">
        <v>45033.645833333336</v>
      </c>
      <c r="C798" s="108">
        <v>2605.6</v>
      </c>
      <c r="D798" s="261">
        <f t="shared" si="15"/>
        <v>7.7156614390964818E-3</v>
      </c>
      <c r="E798" s="261">
        <v>-2.1019442984761701E-3</v>
      </c>
      <c r="F798">
        <v>796</v>
      </c>
      <c r="G798" s="259">
        <f ca="1">_xlfn.NORM.INV(RAND(),'VAR Historical Approach'!K$4,'VAR Historical Approach'!K$5)</f>
        <v>1.665113382579082E-2</v>
      </c>
    </row>
    <row r="799" spans="2:7" x14ac:dyDescent="0.3">
      <c r="B799" s="102">
        <v>45029.645833333336</v>
      </c>
      <c r="C799" s="108">
        <v>2585.65</v>
      </c>
      <c r="D799" s="261">
        <f t="shared" si="15"/>
        <v>-8.6943081262799953E-4</v>
      </c>
      <c r="E799" s="261">
        <v>-2.119740290087263E-3</v>
      </c>
      <c r="F799">
        <v>797</v>
      </c>
      <c r="G799" s="259">
        <f ca="1">_xlfn.NORM.INV(RAND(),'VAR Historical Approach'!K$4,'VAR Historical Approach'!K$5)</f>
        <v>4.3569929527828052E-2</v>
      </c>
    </row>
    <row r="800" spans="2:7" x14ac:dyDescent="0.3">
      <c r="B800" s="102">
        <v>45028.645833333336</v>
      </c>
      <c r="C800" s="108">
        <v>2587.9</v>
      </c>
      <c r="D800" s="261">
        <f t="shared" si="15"/>
        <v>3.0425766942500758E-3</v>
      </c>
      <c r="E800" s="261">
        <v>-2.1698795559609079E-3</v>
      </c>
      <c r="F800">
        <v>798</v>
      </c>
      <c r="G800" s="259">
        <f ca="1">_xlfn.NORM.INV(RAND(),'VAR Historical Approach'!K$4,'VAR Historical Approach'!K$5)</f>
        <v>1.194676955371295E-2</v>
      </c>
    </row>
    <row r="801" spans="2:7" x14ac:dyDescent="0.3">
      <c r="B801" s="102">
        <v>45027.645833333336</v>
      </c>
      <c r="C801" s="108">
        <v>2580.0500000000002</v>
      </c>
      <c r="D801" s="261">
        <f t="shared" si="15"/>
        <v>-1.4127027131631523E-3</v>
      </c>
      <c r="E801" s="261">
        <v>-2.1874223216504793E-3</v>
      </c>
      <c r="F801">
        <v>799</v>
      </c>
      <c r="G801" s="259">
        <f ca="1">_xlfn.NORM.INV(RAND(),'VAR Historical Approach'!K$4,'VAR Historical Approach'!K$5)</f>
        <v>-1.6208446451257248E-2</v>
      </c>
    </row>
    <row r="802" spans="2:7" x14ac:dyDescent="0.3">
      <c r="B802" s="102">
        <v>45026.645833333336</v>
      </c>
      <c r="C802" s="108">
        <v>2583.6999999999998</v>
      </c>
      <c r="D802" s="261">
        <f t="shared" si="15"/>
        <v>1.3831937059781437E-2</v>
      </c>
      <c r="E802" s="261">
        <v>-2.1941560526596965E-3</v>
      </c>
      <c r="F802">
        <v>800</v>
      </c>
      <c r="G802" s="259">
        <f ca="1">_xlfn.NORM.INV(RAND(),'VAR Historical Approach'!K$4,'VAR Historical Approach'!K$5)</f>
        <v>1.5651106188814792E-2</v>
      </c>
    </row>
    <row r="803" spans="2:7" x14ac:dyDescent="0.3">
      <c r="B803" s="102">
        <v>45022.645833333336</v>
      </c>
      <c r="C803" s="108">
        <v>2548.4499999999998</v>
      </c>
      <c r="D803" s="261">
        <f t="shared" si="15"/>
        <v>-9.4258949741516697E-3</v>
      </c>
      <c r="E803" s="261">
        <v>-2.2597799759138206E-3</v>
      </c>
      <c r="F803">
        <v>801</v>
      </c>
      <c r="G803" s="259">
        <f ca="1">_xlfn.NORM.INV(RAND(),'VAR Historical Approach'!K$4,'VAR Historical Approach'!K$5)</f>
        <v>2.3188780965532715E-2</v>
      </c>
    </row>
    <row r="804" spans="2:7" x14ac:dyDescent="0.3">
      <c r="B804" s="102">
        <v>45021.645833333336</v>
      </c>
      <c r="C804" s="108">
        <v>2572.6999999999998</v>
      </c>
      <c r="D804" s="261">
        <f t="shared" si="15"/>
        <v>1.3911878300622576E-2</v>
      </c>
      <c r="E804" s="261">
        <v>-2.2751565124445924E-3</v>
      </c>
      <c r="F804">
        <v>802</v>
      </c>
      <c r="G804" s="259">
        <f ca="1">_xlfn.NORM.INV(RAND(),'VAR Historical Approach'!K$4,'VAR Historical Approach'!K$5)</f>
        <v>-3.3899843066224431E-3</v>
      </c>
    </row>
    <row r="805" spans="2:7" x14ac:dyDescent="0.3">
      <c r="B805" s="102">
        <v>45019.645833333336</v>
      </c>
      <c r="C805" s="108">
        <v>2537.4</v>
      </c>
      <c r="D805" s="261">
        <f t="shared" si="15"/>
        <v>8.9466778003101516E-3</v>
      </c>
      <c r="E805" s="261">
        <v>-2.293144845819732E-3</v>
      </c>
      <c r="F805">
        <v>803</v>
      </c>
      <c r="G805" s="259">
        <f ca="1">_xlfn.NORM.INV(RAND(),'VAR Historical Approach'!K$4,'VAR Historical Approach'!K$5)</f>
        <v>1.8247799367740979E-2</v>
      </c>
    </row>
    <row r="806" spans="2:7" x14ac:dyDescent="0.3">
      <c r="B806" s="102">
        <v>45016.645833333336</v>
      </c>
      <c r="C806" s="108">
        <v>2514.9</v>
      </c>
      <c r="D806" s="261">
        <f t="shared" si="15"/>
        <v>-5.9640961412334121E-5</v>
      </c>
      <c r="E806" s="261">
        <v>-2.3012201260875554E-3</v>
      </c>
      <c r="F806">
        <v>804</v>
      </c>
      <c r="G806" s="259">
        <f ca="1">_xlfn.NORM.INV(RAND(),'VAR Historical Approach'!K$4,'VAR Historical Approach'!K$5)</f>
        <v>-1.3302302074888587E-2</v>
      </c>
    </row>
    <row r="807" spans="2:7" x14ac:dyDescent="0.3">
      <c r="B807" s="102">
        <v>45014.645833333336</v>
      </c>
      <c r="C807" s="108">
        <v>2515.0500000000002</v>
      </c>
      <c r="D807" s="261">
        <f t="shared" si="15"/>
        <v>5.8992920849498054E-3</v>
      </c>
      <c r="E807" s="261">
        <v>-2.3363886107473641E-3</v>
      </c>
      <c r="F807">
        <v>805</v>
      </c>
      <c r="G807" s="259">
        <f ca="1">_xlfn.NORM.INV(RAND(),'VAR Historical Approach'!K$4,'VAR Historical Approach'!K$5)</f>
        <v>2.3275425002562369E-2</v>
      </c>
    </row>
    <row r="808" spans="2:7" x14ac:dyDescent="0.3">
      <c r="B808" s="102">
        <v>45013.645833333336</v>
      </c>
      <c r="C808" s="108">
        <v>2500.3000000000002</v>
      </c>
      <c r="D808" s="261">
        <f t="shared" si="15"/>
        <v>2.3652982681206264E-3</v>
      </c>
      <c r="E808" s="261">
        <v>-2.3468109226149401E-3</v>
      </c>
      <c r="F808">
        <v>806</v>
      </c>
      <c r="G808" s="259">
        <f ca="1">_xlfn.NORM.INV(RAND(),'VAR Historical Approach'!K$4,'VAR Historical Approach'!K$5)</f>
        <v>1.2130367440029263E-2</v>
      </c>
    </row>
    <row r="809" spans="2:7" x14ac:dyDescent="0.3">
      <c r="B809" s="102">
        <v>45012.645833333336</v>
      </c>
      <c r="C809" s="108">
        <v>2494.4</v>
      </c>
      <c r="D809" s="261">
        <f t="shared" si="15"/>
        <v>4.2112017967801631E-4</v>
      </c>
      <c r="E809" s="261">
        <v>-2.371899330074301E-3</v>
      </c>
      <c r="F809">
        <v>807</v>
      </c>
      <c r="G809" s="259">
        <f ca="1">_xlfn.NORM.INV(RAND(),'VAR Historical Approach'!K$4,'VAR Historical Approach'!K$5)</f>
        <v>-8.0519032004578977E-3</v>
      </c>
    </row>
    <row r="810" spans="2:7" x14ac:dyDescent="0.3">
      <c r="B810" s="102">
        <v>45009.645833333336</v>
      </c>
      <c r="C810" s="108">
        <v>2493.35</v>
      </c>
      <c r="D810" s="261">
        <f t="shared" si="15"/>
        <v>-1.020225878803528E-2</v>
      </c>
      <c r="E810" s="261">
        <v>-2.40982001656749E-3</v>
      </c>
      <c r="F810">
        <v>808</v>
      </c>
      <c r="G810" s="259">
        <f ca="1">_xlfn.NORM.INV(RAND(),'VAR Historical Approach'!K$4,'VAR Historical Approach'!K$5)</f>
        <v>1.0842480709085781E-2</v>
      </c>
    </row>
    <row r="811" spans="2:7" x14ac:dyDescent="0.3">
      <c r="B811" s="102">
        <v>45008.645833333336</v>
      </c>
      <c r="C811" s="108">
        <v>2519.0500000000002</v>
      </c>
      <c r="D811" s="261">
        <f t="shared" si="15"/>
        <v>4.3458325857704243E-3</v>
      </c>
      <c r="E811" s="261">
        <v>-2.4466008741786394E-3</v>
      </c>
      <c r="F811">
        <v>809</v>
      </c>
      <c r="G811" s="259">
        <f ca="1">_xlfn.NORM.INV(RAND(),'VAR Historical Approach'!K$4,'VAR Historical Approach'!K$5)</f>
        <v>-1.0787307899214067E-2</v>
      </c>
    </row>
    <row r="812" spans="2:7" x14ac:dyDescent="0.3">
      <c r="B812" s="102">
        <v>45007.645833333336</v>
      </c>
      <c r="C812" s="108">
        <v>2508.15</v>
      </c>
      <c r="D812" s="261">
        <f t="shared" si="15"/>
        <v>-2.3468109226149401E-3</v>
      </c>
      <c r="E812" s="261">
        <v>-2.5279036357608829E-3</v>
      </c>
      <c r="F812">
        <v>810</v>
      </c>
      <c r="G812" s="259">
        <f ca="1">_xlfn.NORM.INV(RAND(),'VAR Historical Approach'!K$4,'VAR Historical Approach'!K$5)</f>
        <v>1.6263356593795965E-3</v>
      </c>
    </row>
    <row r="813" spans="2:7" x14ac:dyDescent="0.3">
      <c r="B813" s="102">
        <v>45006.645833333336</v>
      </c>
      <c r="C813" s="108">
        <v>2514.0500000000002</v>
      </c>
      <c r="D813" s="261">
        <f t="shared" si="15"/>
        <v>2.1992316917010656E-2</v>
      </c>
      <c r="E813" s="261">
        <v>-2.5416328821805311E-3</v>
      </c>
      <c r="F813">
        <v>811</v>
      </c>
      <c r="G813" s="259">
        <f ca="1">_xlfn.NORM.INV(RAND(),'VAR Historical Approach'!K$4,'VAR Historical Approach'!K$5)</f>
        <v>-4.5654260734217028E-3</v>
      </c>
    </row>
    <row r="814" spans="2:7" x14ac:dyDescent="0.3">
      <c r="B814" s="102">
        <v>45005.645833333336</v>
      </c>
      <c r="C814" s="108">
        <v>2459.9499999999998</v>
      </c>
      <c r="D814" s="261">
        <f t="shared" si="15"/>
        <v>1.7510638731088417E-3</v>
      </c>
      <c r="E814" s="261">
        <v>-2.5843537907880632E-3</v>
      </c>
      <c r="F814">
        <v>812</v>
      </c>
      <c r="G814" s="259">
        <f ca="1">_xlfn.NORM.INV(RAND(),'VAR Historical Approach'!K$4,'VAR Historical Approach'!K$5)</f>
        <v>2.0105540268396858E-3</v>
      </c>
    </row>
    <row r="815" spans="2:7" x14ac:dyDescent="0.3">
      <c r="B815" s="102">
        <v>45002.645833333336</v>
      </c>
      <c r="C815" s="108">
        <v>2455.65</v>
      </c>
      <c r="D815" s="261">
        <f t="shared" si="15"/>
        <v>2.1629563123636143E-3</v>
      </c>
      <c r="E815" s="261">
        <v>-2.590926867422739E-3</v>
      </c>
      <c r="F815">
        <v>813</v>
      </c>
      <c r="G815" s="259">
        <f ca="1">_xlfn.NORM.INV(RAND(),'VAR Historical Approach'!K$4,'VAR Historical Approach'!K$5)</f>
        <v>-1.8656385296457183E-2</v>
      </c>
    </row>
    <row r="816" spans="2:7" x14ac:dyDescent="0.3">
      <c r="B816" s="102">
        <v>45001.645833333336</v>
      </c>
      <c r="C816" s="108">
        <v>2450.35</v>
      </c>
      <c r="D816" s="261">
        <f t="shared" si="15"/>
        <v>2.1362177483222874E-2</v>
      </c>
      <c r="E816" s="261">
        <v>-2.6047093144405085E-3</v>
      </c>
      <c r="F816">
        <v>814</v>
      </c>
      <c r="G816" s="259">
        <f ca="1">_xlfn.NORM.INV(RAND(),'VAR Historical Approach'!K$4,'VAR Historical Approach'!K$5)</f>
        <v>3.4061140866917791E-2</v>
      </c>
    </row>
    <row r="817" spans="2:7" x14ac:dyDescent="0.3">
      <c r="B817" s="102">
        <v>45000.645833333336</v>
      </c>
      <c r="C817" s="108">
        <v>2399.1</v>
      </c>
      <c r="D817" s="261">
        <f t="shared" si="15"/>
        <v>1.8466632705043302E-2</v>
      </c>
      <c r="E817" s="261">
        <v>-2.6170077959284869E-3</v>
      </c>
      <c r="F817">
        <v>815</v>
      </c>
      <c r="G817" s="259">
        <f ca="1">_xlfn.NORM.INV(RAND(),'VAR Historical Approach'!K$4,'VAR Historical Approach'!K$5)</f>
        <v>1.6414641057222565E-3</v>
      </c>
    </row>
    <row r="818" spans="2:7" x14ac:dyDescent="0.3">
      <c r="B818" s="102">
        <v>44999.645833333336</v>
      </c>
      <c r="C818" s="108">
        <v>2355.6</v>
      </c>
      <c r="D818" s="261">
        <f t="shared" si="15"/>
        <v>1.012006861063461E-2</v>
      </c>
      <c r="E818" s="261">
        <v>-2.6374399249794863E-3</v>
      </c>
      <c r="F818">
        <v>816</v>
      </c>
      <c r="G818" s="259">
        <f ca="1">_xlfn.NORM.INV(RAND(),'VAR Historical Approach'!K$4,'VAR Historical Approach'!K$5)</f>
        <v>-3.5988134432014861E-3</v>
      </c>
    </row>
    <row r="819" spans="2:7" x14ac:dyDescent="0.3">
      <c r="B819" s="102">
        <v>44998.645833333336</v>
      </c>
      <c r="C819" s="108">
        <v>2332</v>
      </c>
      <c r="D819" s="261">
        <f t="shared" si="15"/>
        <v>-1.8311934329614817E-2</v>
      </c>
      <c r="E819" s="261">
        <v>-2.6420354074351078E-3</v>
      </c>
      <c r="F819">
        <v>817</v>
      </c>
      <c r="G819" s="259">
        <f ca="1">_xlfn.NORM.INV(RAND(),'VAR Historical Approach'!K$4,'VAR Historical Approach'!K$5)</f>
        <v>-2.2006023013186139E-2</v>
      </c>
    </row>
    <row r="820" spans="2:7" x14ac:dyDescent="0.3">
      <c r="B820" s="102">
        <v>44995.645833333336</v>
      </c>
      <c r="C820" s="108">
        <v>2375.5</v>
      </c>
      <c r="D820" s="261">
        <f t="shared" si="15"/>
        <v>3.0613322073260846E-3</v>
      </c>
      <c r="E820" s="261">
        <v>-2.6510282776349252E-3</v>
      </c>
      <c r="F820">
        <v>818</v>
      </c>
      <c r="G820" s="259">
        <f ca="1">_xlfn.NORM.INV(RAND(),'VAR Historical Approach'!K$4,'VAR Historical Approach'!K$5)</f>
        <v>1.4492752350599943E-2</v>
      </c>
    </row>
    <row r="821" spans="2:7" x14ac:dyDescent="0.3">
      <c r="B821" s="102">
        <v>44994.645833333336</v>
      </c>
      <c r="C821" s="108">
        <v>2368.25</v>
      </c>
      <c r="D821" s="261">
        <f t="shared" si="15"/>
        <v>-1.2035376079429273E-2</v>
      </c>
      <c r="E821" s="261">
        <v>-2.6519550909794459E-3</v>
      </c>
      <c r="F821">
        <v>819</v>
      </c>
      <c r="G821" s="259">
        <f ca="1">_xlfn.NORM.INV(RAND(),'VAR Historical Approach'!K$4,'VAR Historical Approach'!K$5)</f>
        <v>1.4384141893058661E-2</v>
      </c>
    </row>
    <row r="822" spans="2:7" x14ac:dyDescent="0.3">
      <c r="B822" s="102">
        <v>44993.645833333336</v>
      </c>
      <c r="C822" s="108">
        <v>2397.1</v>
      </c>
      <c r="D822" s="261">
        <f t="shared" si="15"/>
        <v>-2.6420354074351078E-3</v>
      </c>
      <c r="E822" s="261">
        <v>-2.6535935953944136E-3</v>
      </c>
      <c r="F822">
        <v>820</v>
      </c>
      <c r="G822" s="259">
        <f ca="1">_xlfn.NORM.INV(RAND(),'VAR Historical Approach'!K$4,'VAR Historical Approach'!K$5)</f>
        <v>9.7508009957673718E-3</v>
      </c>
    </row>
    <row r="823" spans="2:7" x14ac:dyDescent="0.3">
      <c r="B823" s="102">
        <v>44991.645833333336</v>
      </c>
      <c r="C823" s="108">
        <v>2403.4499999999998</v>
      </c>
      <c r="D823" s="261">
        <f t="shared" si="15"/>
        <v>3.0674846625766495E-3</v>
      </c>
      <c r="E823" s="261">
        <v>-2.6537833424060556E-3</v>
      </c>
      <c r="F823">
        <v>821</v>
      </c>
      <c r="G823" s="259">
        <f ca="1">_xlfn.NORM.INV(RAND(),'VAR Historical Approach'!K$4,'VAR Historical Approach'!K$5)</f>
        <v>-9.3485419698869626E-3</v>
      </c>
    </row>
    <row r="824" spans="2:7" x14ac:dyDescent="0.3">
      <c r="B824" s="102">
        <v>44988.645833333336</v>
      </c>
      <c r="C824" s="108">
        <v>2396.1</v>
      </c>
      <c r="D824" s="261">
        <f t="shared" si="15"/>
        <v>1.5748532185930222E-2</v>
      </c>
      <c r="E824" s="261">
        <v>-2.6734083050010964E-3</v>
      </c>
      <c r="F824">
        <v>822</v>
      </c>
      <c r="G824" s="259">
        <f ca="1">_xlfn.NORM.INV(RAND(),'VAR Historical Approach'!K$4,'VAR Historical Approach'!K$5)</f>
        <v>1.3092426912233737E-2</v>
      </c>
    </row>
    <row r="825" spans="2:7" x14ac:dyDescent="0.3">
      <c r="B825" s="102">
        <v>44987.645833333336</v>
      </c>
      <c r="C825" s="108">
        <v>2358.9499999999998</v>
      </c>
      <c r="D825" s="261">
        <f t="shared" si="15"/>
        <v>-9.8430154466085766E-3</v>
      </c>
      <c r="E825" s="261">
        <v>-2.6763797608677863E-3</v>
      </c>
      <c r="F825">
        <v>823</v>
      </c>
      <c r="G825" s="259">
        <f ca="1">_xlfn.NORM.INV(RAND(),'VAR Historical Approach'!K$4,'VAR Historical Approach'!K$5)</f>
        <v>-1.9532818557797697E-2</v>
      </c>
    </row>
    <row r="826" spans="2:7" x14ac:dyDescent="0.3">
      <c r="B826" s="102">
        <v>44986.645833333336</v>
      </c>
      <c r="C826" s="108">
        <v>2382.4</v>
      </c>
      <c r="D826" s="261">
        <f t="shared" si="15"/>
        <v>4.04585300067427E-3</v>
      </c>
      <c r="E826" s="261">
        <v>-2.6814675989332319E-3</v>
      </c>
      <c r="F826">
        <v>824</v>
      </c>
      <c r="G826" s="259">
        <f ca="1">_xlfn.NORM.INV(RAND(),'VAR Historical Approach'!K$4,'VAR Historical Approach'!K$5)</f>
        <v>2.5931512558040833E-3</v>
      </c>
    </row>
    <row r="827" spans="2:7" x14ac:dyDescent="0.3">
      <c r="B827" s="102">
        <v>44985.645833333336</v>
      </c>
      <c r="C827" s="108">
        <v>2372.8000000000002</v>
      </c>
      <c r="D827" s="261">
        <f t="shared" si="15"/>
        <v>-1.174510620574753E-2</v>
      </c>
      <c r="E827" s="261">
        <v>-2.7418076109935676E-3</v>
      </c>
      <c r="F827">
        <v>825</v>
      </c>
      <c r="G827" s="259">
        <f ca="1">_xlfn.NORM.INV(RAND(),'VAR Historical Approach'!K$4,'VAR Historical Approach'!K$5)</f>
        <v>-1.184448684813675E-2</v>
      </c>
    </row>
    <row r="828" spans="2:7" x14ac:dyDescent="0.3">
      <c r="B828" s="102">
        <v>44984.645833333336</v>
      </c>
      <c r="C828" s="108">
        <v>2401</v>
      </c>
      <c r="D828" s="261">
        <f t="shared" si="15"/>
        <v>7.9196365303659335E-4</v>
      </c>
      <c r="E828" s="261">
        <v>-2.744842808228946E-3</v>
      </c>
      <c r="F828">
        <v>826</v>
      </c>
      <c r="G828" s="259">
        <f ca="1">_xlfn.NORM.INV(RAND(),'VAR Historical Approach'!K$4,'VAR Historical Approach'!K$5)</f>
        <v>9.3627264439039611E-4</v>
      </c>
    </row>
    <row r="829" spans="2:7" x14ac:dyDescent="0.3">
      <c r="B829" s="102">
        <v>44981.645833333336</v>
      </c>
      <c r="C829" s="108">
        <v>2399.1</v>
      </c>
      <c r="D829" s="261">
        <f t="shared" si="15"/>
        <v>1.9210691167257921E-3</v>
      </c>
      <c r="E829" s="261">
        <v>-2.7639264852542581E-3</v>
      </c>
      <c r="F829">
        <v>827</v>
      </c>
      <c r="G829" s="259">
        <f ca="1">_xlfn.NORM.INV(RAND(),'VAR Historical Approach'!K$4,'VAR Historical Approach'!K$5)</f>
        <v>-2.6659764548055541E-2</v>
      </c>
    </row>
    <row r="830" spans="2:7" x14ac:dyDescent="0.3">
      <c r="B830" s="102">
        <v>44980.645833333336</v>
      </c>
      <c r="C830" s="108">
        <v>2394.5</v>
      </c>
      <c r="D830" s="261">
        <f t="shared" si="15"/>
        <v>-1.5237194382184276E-2</v>
      </c>
      <c r="E830" s="261">
        <v>-2.7804150278040889E-3</v>
      </c>
      <c r="F830">
        <v>828</v>
      </c>
      <c r="G830" s="259">
        <f ca="1">_xlfn.NORM.INV(RAND(),'VAR Historical Approach'!K$4,'VAR Historical Approach'!K$5)</f>
        <v>-2.3475814463327898E-2</v>
      </c>
    </row>
    <row r="831" spans="2:7" x14ac:dyDescent="0.3">
      <c r="B831" s="102">
        <v>44979.645833333336</v>
      </c>
      <c r="C831" s="108">
        <v>2431.5500000000002</v>
      </c>
      <c r="D831" s="261">
        <f t="shared" si="15"/>
        <v>-1.3009417113167611E-2</v>
      </c>
      <c r="E831" s="261">
        <v>-2.7832834310295464E-3</v>
      </c>
      <c r="F831">
        <v>829</v>
      </c>
      <c r="G831" s="259">
        <f ca="1">_xlfn.NORM.INV(RAND(),'VAR Historical Approach'!K$4,'VAR Historical Approach'!K$5)</f>
        <v>-5.6559381628085749E-3</v>
      </c>
    </row>
    <row r="832" spans="2:7" x14ac:dyDescent="0.3">
      <c r="B832" s="102">
        <v>44978.645833333336</v>
      </c>
      <c r="C832" s="108">
        <v>2463.6</v>
      </c>
      <c r="D832" s="261">
        <f t="shared" si="15"/>
        <v>-4.264090697815485E-3</v>
      </c>
      <c r="E832" s="261">
        <v>-2.7976465159205753E-3</v>
      </c>
      <c r="F832">
        <v>830</v>
      </c>
      <c r="G832" s="259">
        <f ca="1">_xlfn.NORM.INV(RAND(),'VAR Historical Approach'!K$4,'VAR Historical Approach'!K$5)</f>
        <v>-1.600195561719955E-2</v>
      </c>
    </row>
    <row r="833" spans="2:7" x14ac:dyDescent="0.3">
      <c r="B833" s="102">
        <v>44977.645833333336</v>
      </c>
      <c r="C833" s="108">
        <v>2474.15</v>
      </c>
      <c r="D833" s="261">
        <f t="shared" si="15"/>
        <v>-1.0458744950605963E-2</v>
      </c>
      <c r="E833" s="261">
        <v>-2.8108465608466357E-3</v>
      </c>
      <c r="F833">
        <v>831</v>
      </c>
      <c r="G833" s="259">
        <f ca="1">_xlfn.NORM.INV(RAND(),'VAR Historical Approach'!K$4,'VAR Historical Approach'!K$5)</f>
        <v>1.1323438216274587E-2</v>
      </c>
    </row>
    <row r="834" spans="2:7" x14ac:dyDescent="0.3">
      <c r="B834" s="102">
        <v>44974.645833333336</v>
      </c>
      <c r="C834" s="108">
        <v>2500.3000000000002</v>
      </c>
      <c r="D834" s="261">
        <f t="shared" si="15"/>
        <v>-8.7614969869964747E-3</v>
      </c>
      <c r="E834" s="261">
        <v>-2.8199929881255431E-3</v>
      </c>
      <c r="F834">
        <v>832</v>
      </c>
      <c r="G834" s="259">
        <f ca="1">_xlfn.NORM.INV(RAND(),'VAR Historical Approach'!K$4,'VAR Historical Approach'!K$5)</f>
        <v>3.4451278171060841E-2</v>
      </c>
    </row>
    <row r="835" spans="2:7" x14ac:dyDescent="0.3">
      <c r="B835" s="102">
        <v>44973.645833333336</v>
      </c>
      <c r="C835" s="108">
        <v>2522.4</v>
      </c>
      <c r="D835" s="261">
        <f t="shared" ref="D835:D898" si="16">(C835-C836)/C836</f>
        <v>-7.5268391237178259E-4</v>
      </c>
      <c r="E835" s="261">
        <v>-2.8502618263769939E-3</v>
      </c>
      <c r="F835">
        <v>833</v>
      </c>
      <c r="G835" s="259">
        <f ca="1">_xlfn.NORM.INV(RAND(),'VAR Historical Approach'!K$4,'VAR Historical Approach'!K$5)</f>
        <v>-1.1407342016445382E-2</v>
      </c>
    </row>
    <row r="836" spans="2:7" x14ac:dyDescent="0.3">
      <c r="B836" s="102">
        <v>44972.645833333336</v>
      </c>
      <c r="C836" s="108">
        <v>2524.3000000000002</v>
      </c>
      <c r="D836" s="261">
        <f t="shared" si="16"/>
        <v>6.9408432725677491E-3</v>
      </c>
      <c r="E836" s="261">
        <v>-2.8664495114007109E-3</v>
      </c>
      <c r="F836">
        <v>834</v>
      </c>
      <c r="G836" s="259">
        <f ca="1">_xlfn.NORM.INV(RAND(),'VAR Historical Approach'!K$4,'VAR Historical Approach'!K$5)</f>
        <v>-1.6443843916259374E-2</v>
      </c>
    </row>
    <row r="837" spans="2:7" x14ac:dyDescent="0.3">
      <c r="B837" s="102">
        <v>44971.645833333336</v>
      </c>
      <c r="C837" s="108">
        <v>2506.9</v>
      </c>
      <c r="D837" s="261">
        <f t="shared" si="16"/>
        <v>-4.8232468589349516E-3</v>
      </c>
      <c r="E837" s="261">
        <v>-2.901226427535303E-3</v>
      </c>
      <c r="F837">
        <v>835</v>
      </c>
      <c r="G837" s="259">
        <f ca="1">_xlfn.NORM.INV(RAND(),'VAR Historical Approach'!K$4,'VAR Historical Approach'!K$5)</f>
        <v>-9.6628252337699755E-3</v>
      </c>
    </row>
    <row r="838" spans="2:7" x14ac:dyDescent="0.3">
      <c r="B838" s="102">
        <v>44970.645833333336</v>
      </c>
      <c r="C838" s="108">
        <v>2519.0500000000002</v>
      </c>
      <c r="D838" s="261">
        <f t="shared" si="16"/>
        <v>2.0478023090945992E-2</v>
      </c>
      <c r="E838" s="261">
        <v>-2.9149207505920031E-3</v>
      </c>
      <c r="F838">
        <v>836</v>
      </c>
      <c r="G838" s="259">
        <f ca="1">_xlfn.NORM.INV(RAND(),'VAR Historical Approach'!K$4,'VAR Historical Approach'!K$5)</f>
        <v>1.8558060453788858E-3</v>
      </c>
    </row>
    <row r="839" spans="2:7" x14ac:dyDescent="0.3">
      <c r="B839" s="102">
        <v>44967.645833333336</v>
      </c>
      <c r="C839" s="108">
        <v>2468.5</v>
      </c>
      <c r="D839" s="261">
        <f t="shared" si="16"/>
        <v>2.4161945950335294E-3</v>
      </c>
      <c r="E839" s="261">
        <v>-2.9540592849138631E-3</v>
      </c>
      <c r="F839">
        <v>837</v>
      </c>
      <c r="G839" s="259">
        <f ca="1">_xlfn.NORM.INV(RAND(),'VAR Historical Approach'!K$4,'VAR Historical Approach'!K$5)</f>
        <v>8.3569866031841505E-3</v>
      </c>
    </row>
    <row r="840" spans="2:7" x14ac:dyDescent="0.3">
      <c r="B840" s="102">
        <v>44966.645833333336</v>
      </c>
      <c r="C840" s="108">
        <v>2462.5500000000002</v>
      </c>
      <c r="D840" s="261">
        <f t="shared" si="16"/>
        <v>-1.7026451809059766E-3</v>
      </c>
      <c r="E840" s="261">
        <v>-2.9630631849546256E-3</v>
      </c>
      <c r="F840">
        <v>838</v>
      </c>
      <c r="G840" s="259">
        <f ca="1">_xlfn.NORM.INV(RAND(),'VAR Historical Approach'!K$4,'VAR Historical Approach'!K$5)</f>
        <v>-3.1369782420875326E-2</v>
      </c>
    </row>
    <row r="841" spans="2:7" x14ac:dyDescent="0.3">
      <c r="B841" s="102">
        <v>44965.645833333336</v>
      </c>
      <c r="C841" s="108">
        <v>2466.75</v>
      </c>
      <c r="D841" s="261">
        <f t="shared" si="16"/>
        <v>8.1123053659732346E-3</v>
      </c>
      <c r="E841" s="261">
        <v>-3.0125226431440854E-3</v>
      </c>
      <c r="F841">
        <v>839</v>
      </c>
      <c r="G841" s="259">
        <f ca="1">_xlfn.NORM.INV(RAND(),'VAR Historical Approach'!K$4,'VAR Historical Approach'!K$5)</f>
        <v>-5.6502545186862393E-6</v>
      </c>
    </row>
    <row r="842" spans="2:7" x14ac:dyDescent="0.3">
      <c r="B842" s="102">
        <v>44964.645833333336</v>
      </c>
      <c r="C842" s="108">
        <v>2446.9</v>
      </c>
      <c r="D842" s="261">
        <f t="shared" si="16"/>
        <v>-4.5158665581773432E-3</v>
      </c>
      <c r="E842" s="261">
        <v>-3.0383711824588312E-3</v>
      </c>
      <c r="F842">
        <v>840</v>
      </c>
      <c r="G842" s="259">
        <f ca="1">_xlfn.NORM.INV(RAND(),'VAR Historical Approach'!K$4,'VAR Historical Approach'!K$5)</f>
        <v>-2.3506322745545608E-2</v>
      </c>
    </row>
    <row r="843" spans="2:7" x14ac:dyDescent="0.3">
      <c r="B843" s="102">
        <v>44963.645833333336</v>
      </c>
      <c r="C843" s="108">
        <v>2458</v>
      </c>
      <c r="D843" s="261">
        <f t="shared" si="16"/>
        <v>-2.0705614875562947E-3</v>
      </c>
      <c r="E843" s="261">
        <v>-3.0396824295251205E-3</v>
      </c>
      <c r="F843">
        <v>841</v>
      </c>
      <c r="G843" s="259">
        <f ca="1">_xlfn.NORM.INV(RAND(),'VAR Historical Approach'!K$4,'VAR Historical Approach'!K$5)</f>
        <v>-1.7631846411913679E-3</v>
      </c>
    </row>
    <row r="844" spans="2:7" x14ac:dyDescent="0.3">
      <c r="B844" s="102">
        <v>44960.645833333336</v>
      </c>
      <c r="C844" s="108">
        <v>2463.1</v>
      </c>
      <c r="D844" s="261">
        <f t="shared" si="16"/>
        <v>6.7154802651531564E-2</v>
      </c>
      <c r="E844" s="261">
        <v>-3.067937591258809E-3</v>
      </c>
      <c r="F844">
        <v>842</v>
      </c>
      <c r="G844" s="259">
        <f ca="1">_xlfn.NORM.INV(RAND(),'VAR Historical Approach'!K$4,'VAR Historical Approach'!K$5)</f>
        <v>-2.8307479216811609E-3</v>
      </c>
    </row>
    <row r="845" spans="2:7" x14ac:dyDescent="0.3">
      <c r="B845" s="102">
        <v>44959.645833333336</v>
      </c>
      <c r="C845" s="108">
        <v>2308.1</v>
      </c>
      <c r="D845" s="261">
        <f t="shared" si="16"/>
        <v>-1.6113218807280866E-2</v>
      </c>
      <c r="E845" s="261">
        <v>-3.0900262262730364E-3</v>
      </c>
      <c r="F845">
        <v>843</v>
      </c>
      <c r="G845" s="259">
        <f ca="1">_xlfn.NORM.INV(RAND(),'VAR Historical Approach'!K$4,'VAR Historical Approach'!K$5)</f>
        <v>2.2092364631943098E-2</v>
      </c>
    </row>
    <row r="846" spans="2:7" x14ac:dyDescent="0.3">
      <c r="B846" s="102">
        <v>44958.645833333336</v>
      </c>
      <c r="C846" s="108">
        <v>2345.9</v>
      </c>
      <c r="D846" s="261">
        <f t="shared" si="16"/>
        <v>-1.3145994152661801E-2</v>
      </c>
      <c r="E846" s="261">
        <v>-3.1451580592170795E-3</v>
      </c>
      <c r="F846">
        <v>844</v>
      </c>
      <c r="G846" s="259">
        <f ca="1">_xlfn.NORM.INV(RAND(),'VAR Historical Approach'!K$4,'VAR Historical Approach'!K$5)</f>
        <v>7.4334557346557705E-3</v>
      </c>
    </row>
    <row r="847" spans="2:7" x14ac:dyDescent="0.3">
      <c r="B847" s="102">
        <v>44957.645833333336</v>
      </c>
      <c r="C847" s="108">
        <v>2377.15</v>
      </c>
      <c r="D847" s="261">
        <f t="shared" si="16"/>
        <v>1.7811650360728695E-2</v>
      </c>
      <c r="E847" s="261">
        <v>-3.1809375090367542E-3</v>
      </c>
      <c r="F847">
        <v>845</v>
      </c>
      <c r="G847" s="259">
        <f ca="1">_xlfn.NORM.INV(RAND(),'VAR Historical Approach'!K$4,'VAR Historical Approach'!K$5)</f>
        <v>2.6619109630962593E-2</v>
      </c>
    </row>
    <row r="848" spans="2:7" x14ac:dyDescent="0.3">
      <c r="B848" s="102">
        <v>44956.645833333336</v>
      </c>
      <c r="C848" s="108">
        <v>2335.5500000000002</v>
      </c>
      <c r="D848" s="261">
        <f t="shared" si="16"/>
        <v>1.8445040214477991E-3</v>
      </c>
      <c r="E848" s="261">
        <v>-3.201024327784891E-3</v>
      </c>
      <c r="F848">
        <v>846</v>
      </c>
      <c r="G848" s="259">
        <f ca="1">_xlfn.NORM.INV(RAND(),'VAR Historical Approach'!K$4,'VAR Historical Approach'!K$5)</f>
        <v>5.6716242881806019E-3</v>
      </c>
    </row>
    <row r="849" spans="2:7" x14ac:dyDescent="0.3">
      <c r="B849" s="102">
        <v>44953.645833333336</v>
      </c>
      <c r="C849" s="108">
        <v>2331.25</v>
      </c>
      <c r="D849" s="261">
        <f t="shared" si="16"/>
        <v>-1.075702282950009E-2</v>
      </c>
      <c r="E849" s="261">
        <v>-3.2514402126253509E-3</v>
      </c>
      <c r="F849">
        <v>847</v>
      </c>
      <c r="G849" s="259">
        <f ca="1">_xlfn.NORM.INV(RAND(),'VAR Historical Approach'!K$4,'VAR Historical Approach'!K$5)</f>
        <v>-4.5365907422458468E-2</v>
      </c>
    </row>
    <row r="850" spans="2:7" x14ac:dyDescent="0.3">
      <c r="B850" s="102">
        <v>44951.645833333336</v>
      </c>
      <c r="C850" s="108">
        <v>2356.6</v>
      </c>
      <c r="D850" s="261">
        <f t="shared" si="16"/>
        <v>-5.9685753453548838E-3</v>
      </c>
      <c r="E850" s="261">
        <v>-3.2565957319086081E-3</v>
      </c>
      <c r="F850">
        <v>848</v>
      </c>
      <c r="G850" s="259">
        <f ca="1">_xlfn.NORM.INV(RAND(),'VAR Historical Approach'!K$4,'VAR Historical Approach'!K$5)</f>
        <v>3.3652767036330723E-2</v>
      </c>
    </row>
    <row r="851" spans="2:7" x14ac:dyDescent="0.3">
      <c r="B851" s="102">
        <v>44950.645833333336</v>
      </c>
      <c r="C851" s="108">
        <v>2370.75</v>
      </c>
      <c r="D851" s="261">
        <f t="shared" si="16"/>
        <v>2.5584640757813602E-3</v>
      </c>
      <c r="E851" s="261">
        <v>-3.2587190130735294E-3</v>
      </c>
      <c r="F851">
        <v>849</v>
      </c>
      <c r="G851" s="259">
        <f ca="1">_xlfn.NORM.INV(RAND(),'VAR Historical Approach'!K$4,'VAR Historical Approach'!K$5)</f>
        <v>-5.8759093230809486E-3</v>
      </c>
    </row>
    <row r="852" spans="2:7" x14ac:dyDescent="0.3">
      <c r="B852" s="102">
        <v>44949.645833333336</v>
      </c>
      <c r="C852" s="108">
        <v>2364.6999999999998</v>
      </c>
      <c r="D852" s="261">
        <f t="shared" si="16"/>
        <v>-2.7832834310295464E-3</v>
      </c>
      <c r="E852" s="261">
        <v>-3.2755841031808296E-3</v>
      </c>
      <c r="F852">
        <v>850</v>
      </c>
      <c r="G852" s="259">
        <f ca="1">_xlfn.NORM.INV(RAND(),'VAR Historical Approach'!K$4,'VAR Historical Approach'!K$5)</f>
        <v>1.2685122704403355E-2</v>
      </c>
    </row>
    <row r="853" spans="2:7" x14ac:dyDescent="0.3">
      <c r="B853" s="102">
        <v>44946.645833333336</v>
      </c>
      <c r="C853" s="108">
        <v>2371.3000000000002</v>
      </c>
      <c r="D853" s="261">
        <f t="shared" si="16"/>
        <v>-5.7650783002452773E-3</v>
      </c>
      <c r="E853" s="261">
        <v>-3.285717614708914E-3</v>
      </c>
      <c r="F853">
        <v>851</v>
      </c>
      <c r="G853" s="259">
        <f ca="1">_xlfn.NORM.INV(RAND(),'VAR Historical Approach'!K$4,'VAR Historical Approach'!K$5)</f>
        <v>-7.9661251365970177E-3</v>
      </c>
    </row>
    <row r="854" spans="2:7" x14ac:dyDescent="0.3">
      <c r="B854" s="102">
        <v>44945.645833333336</v>
      </c>
      <c r="C854" s="108">
        <v>2385.0500000000002</v>
      </c>
      <c r="D854" s="261">
        <f t="shared" si="16"/>
        <v>-1.6109071407945104E-2</v>
      </c>
      <c r="E854" s="261">
        <v>-3.2923443078144315E-3</v>
      </c>
      <c r="F854">
        <v>852</v>
      </c>
      <c r="G854" s="259">
        <f ca="1">_xlfn.NORM.INV(RAND(),'VAR Historical Approach'!K$4,'VAR Historical Approach'!K$5)</f>
        <v>1.795369794738229E-3</v>
      </c>
    </row>
    <row r="855" spans="2:7" x14ac:dyDescent="0.3">
      <c r="B855" s="102">
        <v>44944.645833333336</v>
      </c>
      <c r="C855" s="108">
        <v>2424.1</v>
      </c>
      <c r="D855" s="261">
        <f t="shared" si="16"/>
        <v>6.7069498951390569E-3</v>
      </c>
      <c r="E855" s="261">
        <v>-3.314105269740002E-3</v>
      </c>
      <c r="F855">
        <v>853</v>
      </c>
      <c r="G855" s="259">
        <f ca="1">_xlfn.NORM.INV(RAND(),'VAR Historical Approach'!K$4,'VAR Historical Approach'!K$5)</f>
        <v>2.6644309793240974E-2</v>
      </c>
    </row>
    <row r="856" spans="2:7" x14ac:dyDescent="0.3">
      <c r="B856" s="102">
        <v>44943.645833333336</v>
      </c>
      <c r="C856" s="108">
        <v>2407.9499999999998</v>
      </c>
      <c r="D856" s="261">
        <f t="shared" si="16"/>
        <v>8.7287237358933808E-4</v>
      </c>
      <c r="E856" s="261">
        <v>-3.3210332103320518E-3</v>
      </c>
      <c r="F856">
        <v>854</v>
      </c>
      <c r="G856" s="259">
        <f ca="1">_xlfn.NORM.INV(RAND(),'VAR Historical Approach'!K$4,'VAR Historical Approach'!K$5)</f>
        <v>4.6236700061091773E-3</v>
      </c>
    </row>
    <row r="857" spans="2:7" x14ac:dyDescent="0.3">
      <c r="B857" s="102">
        <v>44942.645833333336</v>
      </c>
      <c r="C857" s="108">
        <v>2405.85</v>
      </c>
      <c r="D857" s="261">
        <f t="shared" si="16"/>
        <v>-4.6955154724474223E-3</v>
      </c>
      <c r="E857" s="261">
        <v>-3.3307266776725461E-3</v>
      </c>
      <c r="F857">
        <v>855</v>
      </c>
      <c r="G857" s="259">
        <f ca="1">_xlfn.NORM.INV(RAND(),'VAR Historical Approach'!K$4,'VAR Historical Approach'!K$5)</f>
        <v>-3.4577413053947147E-2</v>
      </c>
    </row>
    <row r="858" spans="2:7" x14ac:dyDescent="0.3">
      <c r="B858" s="102">
        <v>44939.645833333336</v>
      </c>
      <c r="C858" s="108">
        <v>2417.1999999999998</v>
      </c>
      <c r="D858" s="261">
        <f t="shared" si="16"/>
        <v>-1.201667620371131E-2</v>
      </c>
      <c r="E858" s="261">
        <v>-3.3593474944256167E-3</v>
      </c>
      <c r="F858">
        <v>856</v>
      </c>
      <c r="G858" s="259">
        <f ca="1">_xlfn.NORM.INV(RAND(),'VAR Historical Approach'!K$4,'VAR Historical Approach'!K$5)</f>
        <v>2.5936712318983084E-2</v>
      </c>
    </row>
    <row r="859" spans="2:7" x14ac:dyDescent="0.3">
      <c r="B859" s="102">
        <v>44938.645833333336</v>
      </c>
      <c r="C859" s="108">
        <v>2446.6</v>
      </c>
      <c r="D859" s="261">
        <f t="shared" si="16"/>
        <v>3.7745138262081797E-3</v>
      </c>
      <c r="E859" s="261">
        <v>-3.3604114312430601E-3</v>
      </c>
      <c r="F859">
        <v>857</v>
      </c>
      <c r="G859" s="259">
        <f ca="1">_xlfn.NORM.INV(RAND(),'VAR Historical Approach'!K$4,'VAR Historical Approach'!K$5)</f>
        <v>2.9063256781811368E-2</v>
      </c>
    </row>
    <row r="860" spans="2:7" x14ac:dyDescent="0.3">
      <c r="B860" s="102">
        <v>44937.645833333336</v>
      </c>
      <c r="C860" s="108">
        <v>2437.4</v>
      </c>
      <c r="D860" s="261">
        <f t="shared" si="16"/>
        <v>-1.2478729438457065E-2</v>
      </c>
      <c r="E860" s="261">
        <v>-3.3782750924822471E-3</v>
      </c>
      <c r="F860">
        <v>858</v>
      </c>
      <c r="G860" s="259">
        <f ca="1">_xlfn.NORM.INV(RAND(),'VAR Historical Approach'!K$4,'VAR Historical Approach'!K$5)</f>
        <v>3.0073773637510709E-2</v>
      </c>
    </row>
    <row r="861" spans="2:7" x14ac:dyDescent="0.3">
      <c r="B861" s="102">
        <v>44936.645833333336</v>
      </c>
      <c r="C861" s="108">
        <v>2468.1999999999998</v>
      </c>
      <c r="D861" s="261">
        <f t="shared" si="16"/>
        <v>-6.6206507958868543E-3</v>
      </c>
      <c r="E861" s="261">
        <v>-3.3853713268721104E-3</v>
      </c>
      <c r="F861">
        <v>859</v>
      </c>
      <c r="G861" s="259">
        <f ca="1">_xlfn.NORM.INV(RAND(),'VAR Historical Approach'!K$4,'VAR Historical Approach'!K$5)</f>
        <v>2.0247493539479132E-3</v>
      </c>
    </row>
    <row r="862" spans="2:7" x14ac:dyDescent="0.3">
      <c r="B862" s="102">
        <v>44935.645833333336</v>
      </c>
      <c r="C862" s="108">
        <v>2484.65</v>
      </c>
      <c r="D862" s="261">
        <f t="shared" si="16"/>
        <v>-2.1059059926716764E-2</v>
      </c>
      <c r="E862" s="261">
        <v>-3.4317281401706735E-3</v>
      </c>
      <c r="F862">
        <v>860</v>
      </c>
      <c r="G862" s="259">
        <f ca="1">_xlfn.NORM.INV(RAND(),'VAR Historical Approach'!K$4,'VAR Historical Approach'!K$5)</f>
        <v>7.4307993265229728E-3</v>
      </c>
    </row>
    <row r="863" spans="2:7" x14ac:dyDescent="0.3">
      <c r="B863" s="102">
        <v>44932.645833333336</v>
      </c>
      <c r="C863" s="108">
        <v>2538.1</v>
      </c>
      <c r="D863" s="261">
        <f t="shared" si="16"/>
        <v>-9.3673158736973586E-3</v>
      </c>
      <c r="E863" s="261">
        <v>-3.4367007672634516E-3</v>
      </c>
      <c r="F863">
        <v>861</v>
      </c>
      <c r="G863" s="259">
        <f ca="1">_xlfn.NORM.INV(RAND(),'VAR Historical Approach'!K$4,'VAR Historical Approach'!K$5)</f>
        <v>-1.1022829352460014E-2</v>
      </c>
    </row>
    <row r="864" spans="2:7" x14ac:dyDescent="0.3">
      <c r="B864" s="102">
        <v>44931.645833333336</v>
      </c>
      <c r="C864" s="108">
        <v>2562.1</v>
      </c>
      <c r="D864" s="261">
        <f t="shared" si="16"/>
        <v>-1.3647475505765151E-2</v>
      </c>
      <c r="E864" s="261">
        <v>-3.4669748422081962E-3</v>
      </c>
      <c r="F864">
        <v>862</v>
      </c>
      <c r="G864" s="259">
        <f ca="1">_xlfn.NORM.INV(RAND(),'VAR Historical Approach'!K$4,'VAR Historical Approach'!K$5)</f>
        <v>-6.0705644948554809E-3</v>
      </c>
    </row>
    <row r="865" spans="2:7" x14ac:dyDescent="0.3">
      <c r="B865" s="102">
        <v>44930.645833333336</v>
      </c>
      <c r="C865" s="108">
        <v>2597.5500000000002</v>
      </c>
      <c r="D865" s="261">
        <f t="shared" si="16"/>
        <v>-6.140955004591264E-3</v>
      </c>
      <c r="E865" s="261">
        <v>-3.4771795698430347E-3</v>
      </c>
      <c r="F865">
        <v>863</v>
      </c>
      <c r="G865" s="259">
        <f ca="1">_xlfn.NORM.INV(RAND(),'VAR Historical Approach'!K$4,'VAR Historical Approach'!K$5)</f>
        <v>1.3477416775502616E-2</v>
      </c>
    </row>
    <row r="866" spans="2:7" x14ac:dyDescent="0.3">
      <c r="B866" s="102">
        <v>44929.645833333336</v>
      </c>
      <c r="C866" s="108">
        <v>2613.6</v>
      </c>
      <c r="D866" s="261">
        <f t="shared" si="16"/>
        <v>1.8649517684887425E-2</v>
      </c>
      <c r="E866" s="261">
        <v>-3.5104540393418007E-3</v>
      </c>
      <c r="F866">
        <v>864</v>
      </c>
      <c r="G866" s="259">
        <f ca="1">_xlfn.NORM.INV(RAND(),'VAR Historical Approach'!K$4,'VAR Historical Approach'!K$5)</f>
        <v>-5.3235475390207225E-4</v>
      </c>
    </row>
    <row r="867" spans="2:7" x14ac:dyDescent="0.3">
      <c r="B867" s="102">
        <v>44928.645833333336</v>
      </c>
      <c r="C867" s="108">
        <v>2565.75</v>
      </c>
      <c r="D867" s="261">
        <f t="shared" si="16"/>
        <v>-1.2223291626564005E-2</v>
      </c>
      <c r="E867" s="261">
        <v>-3.5142788904432704E-3</v>
      </c>
      <c r="F867">
        <v>865</v>
      </c>
      <c r="G867" s="259">
        <f ca="1">_xlfn.NORM.INV(RAND(),'VAR Historical Approach'!K$4,'VAR Historical Approach'!K$5)</f>
        <v>6.1211502148861337E-3</v>
      </c>
    </row>
    <row r="868" spans="2:7" x14ac:dyDescent="0.3">
      <c r="B868" s="102">
        <v>44925.645833333336</v>
      </c>
      <c r="C868" s="108">
        <v>2597.5</v>
      </c>
      <c r="D868" s="261">
        <f t="shared" si="16"/>
        <v>1.7330852834622539E-2</v>
      </c>
      <c r="E868" s="261">
        <v>-3.5807393912741896E-3</v>
      </c>
      <c r="F868">
        <v>866</v>
      </c>
      <c r="G868" s="259">
        <f ca="1">_xlfn.NORM.INV(RAND(),'VAR Historical Approach'!K$4,'VAR Historical Approach'!K$5)</f>
        <v>9.7976930643588356E-3</v>
      </c>
    </row>
    <row r="869" spans="2:7" x14ac:dyDescent="0.3">
      <c r="B869" s="102">
        <v>44924.645833333336</v>
      </c>
      <c r="C869" s="108">
        <v>2553.25</v>
      </c>
      <c r="D869" s="261">
        <f t="shared" si="16"/>
        <v>-1.0425750440865876E-2</v>
      </c>
      <c r="E869" s="261">
        <v>-3.5817519165514925E-3</v>
      </c>
      <c r="F869">
        <v>867</v>
      </c>
      <c r="G869" s="259">
        <f ca="1">_xlfn.NORM.INV(RAND(),'VAR Historical Approach'!K$4,'VAR Historical Approach'!K$5)</f>
        <v>-1.4661300598498569E-2</v>
      </c>
    </row>
    <row r="870" spans="2:7" x14ac:dyDescent="0.3">
      <c r="B870" s="102">
        <v>44923.645833333336</v>
      </c>
      <c r="C870" s="108">
        <v>2580.15</v>
      </c>
      <c r="D870" s="261">
        <f t="shared" si="16"/>
        <v>3.0596552894889217E-2</v>
      </c>
      <c r="E870" s="261">
        <v>-3.5838116604993233E-3</v>
      </c>
      <c r="F870">
        <v>868</v>
      </c>
      <c r="G870" s="259">
        <f ca="1">_xlfn.NORM.INV(RAND(),'VAR Historical Approach'!K$4,'VAR Historical Approach'!K$5)</f>
        <v>2.1825852465325923E-2</v>
      </c>
    </row>
    <row r="871" spans="2:7" x14ac:dyDescent="0.3">
      <c r="B871" s="102">
        <v>44922.645833333336</v>
      </c>
      <c r="C871" s="108">
        <v>2503.5500000000002</v>
      </c>
      <c r="D871" s="261">
        <f t="shared" si="16"/>
        <v>9.0484059489743564E-3</v>
      </c>
      <c r="E871" s="261">
        <v>-3.5848968760183522E-3</v>
      </c>
      <c r="F871">
        <v>869</v>
      </c>
      <c r="G871" s="259">
        <f ca="1">_xlfn.NORM.INV(RAND(),'VAR Historical Approach'!K$4,'VAR Historical Approach'!K$5)</f>
        <v>1.625161855126913E-2</v>
      </c>
    </row>
    <row r="872" spans="2:7" x14ac:dyDescent="0.3">
      <c r="B872" s="102">
        <v>44921.645833333336</v>
      </c>
      <c r="C872" s="108">
        <v>2481.1</v>
      </c>
      <c r="D872" s="261">
        <f t="shared" si="16"/>
        <v>-7.8532450011086071E-4</v>
      </c>
      <c r="E872" s="261">
        <v>-3.585049580472956E-3</v>
      </c>
      <c r="F872">
        <v>870</v>
      </c>
      <c r="G872" s="259">
        <f ca="1">_xlfn.NORM.INV(RAND(),'VAR Historical Approach'!K$4,'VAR Historical Approach'!K$5)</f>
        <v>3.0839734390911672E-2</v>
      </c>
    </row>
    <row r="873" spans="2:7" x14ac:dyDescent="0.3">
      <c r="B873" s="102">
        <v>44918.645833333336</v>
      </c>
      <c r="C873" s="108">
        <v>2483.0500000000002</v>
      </c>
      <c r="D873" s="261">
        <f t="shared" si="16"/>
        <v>2.0136931131768787E-5</v>
      </c>
      <c r="E873" s="261">
        <v>-3.5893613682722566E-3</v>
      </c>
      <c r="F873">
        <v>871</v>
      </c>
      <c r="G873" s="259">
        <f ca="1">_xlfn.NORM.INV(RAND(),'VAR Historical Approach'!K$4,'VAR Historical Approach'!K$5)</f>
        <v>-1.3866837214095683E-4</v>
      </c>
    </row>
    <row r="874" spans="2:7" x14ac:dyDescent="0.3">
      <c r="B874" s="102">
        <v>44917.645833333336</v>
      </c>
      <c r="C874" s="108">
        <v>2483</v>
      </c>
      <c r="D874" s="261">
        <f t="shared" si="16"/>
        <v>-2.6510282776349252E-3</v>
      </c>
      <c r="E874" s="261">
        <v>-3.6080614401319522E-3</v>
      </c>
      <c r="F874">
        <v>872</v>
      </c>
      <c r="G874" s="259">
        <f ca="1">_xlfn.NORM.INV(RAND(),'VAR Historical Approach'!K$4,'VAR Historical Approach'!K$5)</f>
        <v>-2.8217050954127208E-2</v>
      </c>
    </row>
    <row r="875" spans="2:7" x14ac:dyDescent="0.3">
      <c r="B875" s="102">
        <v>44916.645833333336</v>
      </c>
      <c r="C875" s="108">
        <v>2489.6</v>
      </c>
      <c r="D875" s="261">
        <f t="shared" si="16"/>
        <v>-7.3958894005542652E-3</v>
      </c>
      <c r="E875" s="261">
        <v>-3.619044634883745E-3</v>
      </c>
      <c r="F875">
        <v>873</v>
      </c>
      <c r="G875" s="259">
        <f ca="1">_xlfn.NORM.INV(RAND(),'VAR Historical Approach'!K$4,'VAR Historical Approach'!K$5)</f>
        <v>1.653342072145406E-2</v>
      </c>
    </row>
    <row r="876" spans="2:7" x14ac:dyDescent="0.3">
      <c r="B876" s="102">
        <v>44915.645833333336</v>
      </c>
      <c r="C876" s="108">
        <v>2508.15</v>
      </c>
      <c r="D876" s="261">
        <f t="shared" si="16"/>
        <v>-5.4128003806805016E-3</v>
      </c>
      <c r="E876" s="261">
        <v>-3.6437365931063122E-3</v>
      </c>
      <c r="F876">
        <v>874</v>
      </c>
      <c r="G876" s="259">
        <f ca="1">_xlfn.NORM.INV(RAND(),'VAR Historical Approach'!K$4,'VAR Historical Approach'!K$5)</f>
        <v>1.0497271762024689E-2</v>
      </c>
    </row>
    <row r="877" spans="2:7" x14ac:dyDescent="0.3">
      <c r="B877" s="102">
        <v>44914.645833333336</v>
      </c>
      <c r="C877" s="108">
        <v>2521.8000000000002</v>
      </c>
      <c r="D877" s="261">
        <f t="shared" si="16"/>
        <v>1.5687617052983577E-2</v>
      </c>
      <c r="E877" s="261">
        <v>-3.6504086102541154E-3</v>
      </c>
      <c r="F877">
        <v>875</v>
      </c>
      <c r="G877" s="259">
        <f ca="1">_xlfn.NORM.INV(RAND(),'VAR Historical Approach'!K$4,'VAR Historical Approach'!K$5)</f>
        <v>2.5520672462221302E-3</v>
      </c>
    </row>
    <row r="878" spans="2:7" x14ac:dyDescent="0.3">
      <c r="B878" s="102">
        <v>44911.645833333336</v>
      </c>
      <c r="C878" s="108">
        <v>2482.85</v>
      </c>
      <c r="D878" s="261">
        <f t="shared" si="16"/>
        <v>-1.5796567170095498E-2</v>
      </c>
      <c r="E878" s="261">
        <v>-3.6788858231506004E-3</v>
      </c>
      <c r="F878">
        <v>876</v>
      </c>
      <c r="G878" s="259">
        <f ca="1">_xlfn.NORM.INV(RAND(),'VAR Historical Approach'!K$4,'VAR Historical Approach'!K$5)</f>
        <v>3.4701641202179319E-3</v>
      </c>
    </row>
    <row r="879" spans="2:7" x14ac:dyDescent="0.3">
      <c r="B879" s="102">
        <v>44910.645833333336</v>
      </c>
      <c r="C879" s="108">
        <v>2522.6999999999998</v>
      </c>
      <c r="D879" s="261">
        <f t="shared" si="16"/>
        <v>-2.639805488016676E-2</v>
      </c>
      <c r="E879" s="261">
        <v>-3.7142896593624327E-3</v>
      </c>
      <c r="F879">
        <v>877</v>
      </c>
      <c r="G879" s="259">
        <f ca="1">_xlfn.NORM.INV(RAND(),'VAR Historical Approach'!K$4,'VAR Historical Approach'!K$5)</f>
        <v>-9.6577080003028976E-3</v>
      </c>
    </row>
    <row r="880" spans="2:7" x14ac:dyDescent="0.3">
      <c r="B880" s="102">
        <v>44909.645833333336</v>
      </c>
      <c r="C880" s="108">
        <v>2591.1</v>
      </c>
      <c r="D880" s="261">
        <f t="shared" si="16"/>
        <v>5.9008501882836361E-3</v>
      </c>
      <c r="E880" s="261">
        <v>-3.7794828076158516E-3</v>
      </c>
      <c r="F880">
        <v>878</v>
      </c>
      <c r="G880" s="259">
        <f ca="1">_xlfn.NORM.INV(RAND(),'VAR Historical Approach'!K$4,'VAR Historical Approach'!K$5)</f>
        <v>7.6668267610180462E-3</v>
      </c>
    </row>
    <row r="881" spans="2:7" x14ac:dyDescent="0.3">
      <c r="B881" s="102">
        <v>44908.645833333336</v>
      </c>
      <c r="C881" s="108">
        <v>2575.9</v>
      </c>
      <c r="D881" s="261">
        <f t="shared" si="16"/>
        <v>-3.3853713268721104E-3</v>
      </c>
      <c r="E881" s="261">
        <v>-3.7946068141450026E-3</v>
      </c>
      <c r="F881">
        <v>879</v>
      </c>
      <c r="G881" s="259">
        <f ca="1">_xlfn.NORM.INV(RAND(),'VAR Historical Approach'!K$4,'VAR Historical Approach'!K$5)</f>
        <v>6.1618486275341229E-3</v>
      </c>
    </row>
    <row r="882" spans="2:7" x14ac:dyDescent="0.3">
      <c r="B882" s="102">
        <v>44907.645833333336</v>
      </c>
      <c r="C882" s="108">
        <v>2584.65</v>
      </c>
      <c r="D882" s="261">
        <f t="shared" si="16"/>
        <v>-1.1776176183830594E-2</v>
      </c>
      <c r="E882" s="261">
        <v>-3.8054845456657882E-3</v>
      </c>
      <c r="F882">
        <v>880</v>
      </c>
      <c r="G882" s="259">
        <f ca="1">_xlfn.NORM.INV(RAND(),'VAR Historical Approach'!K$4,'VAR Historical Approach'!K$5)</f>
        <v>1.104806821573332E-2</v>
      </c>
    </row>
    <row r="883" spans="2:7" x14ac:dyDescent="0.3">
      <c r="B883" s="102">
        <v>44904.645833333336</v>
      </c>
      <c r="C883" s="108">
        <v>2615.4499999999998</v>
      </c>
      <c r="D883" s="261">
        <f t="shared" si="16"/>
        <v>1.2366944068124566E-2</v>
      </c>
      <c r="E883" s="261">
        <v>-3.8660353590200649E-3</v>
      </c>
      <c r="F883">
        <v>881</v>
      </c>
      <c r="G883" s="259">
        <f ca="1">_xlfn.NORM.INV(RAND(),'VAR Historical Approach'!K$4,'VAR Historical Approach'!K$5)</f>
        <v>-2.6638962912163052E-2</v>
      </c>
    </row>
    <row r="884" spans="2:7" x14ac:dyDescent="0.3">
      <c r="B884" s="102">
        <v>44903.645833333336</v>
      </c>
      <c r="C884" s="108">
        <v>2583.5</v>
      </c>
      <c r="D884" s="261">
        <f t="shared" si="16"/>
        <v>-5.1408437145002255E-3</v>
      </c>
      <c r="E884" s="261">
        <v>-3.905257076834116E-3</v>
      </c>
      <c r="F884">
        <v>882</v>
      </c>
      <c r="G884" s="259">
        <f ca="1">_xlfn.NORM.INV(RAND(),'VAR Historical Approach'!K$4,'VAR Historical Approach'!K$5)</f>
        <v>4.4230966475536865E-3</v>
      </c>
    </row>
    <row r="885" spans="2:7" x14ac:dyDescent="0.3">
      <c r="B885" s="102">
        <v>44902.645833333336</v>
      </c>
      <c r="C885" s="108">
        <v>2596.85</v>
      </c>
      <c r="D885" s="261">
        <f t="shared" si="16"/>
        <v>-7.6996560947650327E-3</v>
      </c>
      <c r="E885" s="261">
        <v>-3.9094240115289678E-3</v>
      </c>
      <c r="F885">
        <v>883</v>
      </c>
      <c r="G885" s="259">
        <f ca="1">_xlfn.NORM.INV(RAND(),'VAR Historical Approach'!K$4,'VAR Historical Approach'!K$5)</f>
        <v>-2.6667574918483174E-2</v>
      </c>
    </row>
    <row r="886" spans="2:7" x14ac:dyDescent="0.3">
      <c r="B886" s="102">
        <v>44901.645833333336</v>
      </c>
      <c r="C886" s="108">
        <v>2617</v>
      </c>
      <c r="D886" s="261">
        <f t="shared" si="16"/>
        <v>5.1612409917225512E-4</v>
      </c>
      <c r="E886" s="261">
        <v>-4.0051573258717702E-3</v>
      </c>
      <c r="F886">
        <v>884</v>
      </c>
      <c r="G886" s="259">
        <f ca="1">_xlfn.NORM.INV(RAND(),'VAR Historical Approach'!K$4,'VAR Historical Approach'!K$5)</f>
        <v>2.3056084381437121E-3</v>
      </c>
    </row>
    <row r="887" spans="2:7" x14ac:dyDescent="0.3">
      <c r="B887" s="102">
        <v>44900.645833333336</v>
      </c>
      <c r="C887" s="108">
        <v>2615.65</v>
      </c>
      <c r="D887" s="261">
        <f t="shared" si="16"/>
        <v>-8.5946751212804152E-4</v>
      </c>
      <c r="E887" s="261">
        <v>-4.0671971706455002E-3</v>
      </c>
      <c r="F887">
        <v>885</v>
      </c>
      <c r="G887" s="259">
        <f ca="1">_xlfn.NORM.INV(RAND(),'VAR Historical Approach'!K$4,'VAR Historical Approach'!K$5)</f>
        <v>1.0963596826098891E-3</v>
      </c>
    </row>
    <row r="888" spans="2:7" x14ac:dyDescent="0.3">
      <c r="B888" s="102">
        <v>44897.645833333336</v>
      </c>
      <c r="C888" s="108">
        <v>2617.9</v>
      </c>
      <c r="D888" s="261">
        <f t="shared" si="16"/>
        <v>-7.8826694963427934E-3</v>
      </c>
      <c r="E888" s="261">
        <v>-4.0953919875188812E-3</v>
      </c>
      <c r="F888">
        <v>886</v>
      </c>
      <c r="G888" s="259">
        <f ca="1">_xlfn.NORM.INV(RAND(),'VAR Historical Approach'!K$4,'VAR Historical Approach'!K$5)</f>
        <v>5.562856024564247E-3</v>
      </c>
    </row>
    <row r="889" spans="2:7" x14ac:dyDescent="0.3">
      <c r="B889" s="102">
        <v>44896.645833333336</v>
      </c>
      <c r="C889" s="108">
        <v>2638.7</v>
      </c>
      <c r="D889" s="261">
        <f t="shared" si="16"/>
        <v>-5.3901243874859336E-3</v>
      </c>
      <c r="E889" s="261">
        <v>-4.1489200402485844E-3</v>
      </c>
      <c r="F889">
        <v>887</v>
      </c>
      <c r="G889" s="259">
        <f ca="1">_xlfn.NORM.INV(RAND(),'VAR Historical Approach'!K$4,'VAR Historical Approach'!K$5)</f>
        <v>-2.2777386230213258E-2</v>
      </c>
    </row>
    <row r="890" spans="2:7" x14ac:dyDescent="0.3">
      <c r="B890" s="102">
        <v>44895.645833333336</v>
      </c>
      <c r="C890" s="108">
        <v>2653</v>
      </c>
      <c r="D890" s="261">
        <f t="shared" si="16"/>
        <v>1.5016738402678144E-2</v>
      </c>
      <c r="E890" s="261">
        <v>-4.1678578414409539E-3</v>
      </c>
      <c r="F890">
        <v>888</v>
      </c>
      <c r="G890" s="259">
        <f ca="1">_xlfn.NORM.INV(RAND(),'VAR Historical Approach'!K$4,'VAR Historical Approach'!K$5)</f>
        <v>-1.6412172868330948E-2</v>
      </c>
    </row>
    <row r="891" spans="2:7" x14ac:dyDescent="0.3">
      <c r="B891" s="102">
        <v>44894.645833333336</v>
      </c>
      <c r="C891" s="108">
        <v>2613.75</v>
      </c>
      <c r="D891" s="261">
        <f t="shared" si="16"/>
        <v>8.2939531295206873E-3</v>
      </c>
      <c r="E891" s="261">
        <v>-4.1753160973768211E-3</v>
      </c>
      <c r="F891">
        <v>889</v>
      </c>
      <c r="G891" s="259">
        <f ca="1">_xlfn.NORM.INV(RAND(),'VAR Historical Approach'!K$4,'VAR Historical Approach'!K$5)</f>
        <v>-2.4587061627235353E-3</v>
      </c>
    </row>
    <row r="892" spans="2:7" x14ac:dyDescent="0.3">
      <c r="B892" s="102">
        <v>44893.645833333336</v>
      </c>
      <c r="C892" s="108">
        <v>2592.25</v>
      </c>
      <c r="D892" s="261">
        <f t="shared" si="16"/>
        <v>-1.2136857517146069E-3</v>
      </c>
      <c r="E892" s="261">
        <v>-4.1809950273372981E-3</v>
      </c>
      <c r="F892">
        <v>890</v>
      </c>
      <c r="G892" s="259">
        <f ca="1">_xlfn.NORM.INV(RAND(),'VAR Historical Approach'!K$4,'VAR Historical Approach'!K$5)</f>
        <v>1.4495692916596777E-2</v>
      </c>
    </row>
    <row r="893" spans="2:7" x14ac:dyDescent="0.3">
      <c r="B893" s="102">
        <v>44890.645833333336</v>
      </c>
      <c r="C893" s="108">
        <v>2595.4</v>
      </c>
      <c r="D893" s="261">
        <f t="shared" si="16"/>
        <v>-5.6700635966591556E-3</v>
      </c>
      <c r="E893" s="261">
        <v>-4.1891763813857192E-3</v>
      </c>
      <c r="F893">
        <v>891</v>
      </c>
      <c r="G893" s="259">
        <f ca="1">_xlfn.NORM.INV(RAND(),'VAR Historical Approach'!K$4,'VAR Historical Approach'!K$5)</f>
        <v>-9.2954969061371064E-4</v>
      </c>
    </row>
    <row r="894" spans="2:7" x14ac:dyDescent="0.3">
      <c r="B894" s="102">
        <v>44889.645833333336</v>
      </c>
      <c r="C894" s="108">
        <v>2610.1999999999998</v>
      </c>
      <c r="D894" s="261">
        <f t="shared" si="16"/>
        <v>3.2478139713653571E-3</v>
      </c>
      <c r="E894" s="261">
        <v>-4.2029650007641755E-3</v>
      </c>
      <c r="F894">
        <v>892</v>
      </c>
      <c r="G894" s="259">
        <f ca="1">_xlfn.NORM.INV(RAND(),'VAR Historical Approach'!K$4,'VAR Historical Approach'!K$5)</f>
        <v>-4.261536708556753E-3</v>
      </c>
    </row>
    <row r="895" spans="2:7" x14ac:dyDescent="0.3">
      <c r="B895" s="102">
        <v>44888.645833333336</v>
      </c>
      <c r="C895" s="108">
        <v>2601.75</v>
      </c>
      <c r="D895" s="261">
        <f t="shared" si="16"/>
        <v>-1.7074668099147489E-3</v>
      </c>
      <c r="E895" s="261">
        <v>-4.2038216560509557E-3</v>
      </c>
      <c r="F895">
        <v>893</v>
      </c>
      <c r="G895" s="259">
        <f ca="1">_xlfn.NORM.INV(RAND(),'VAR Historical Approach'!K$4,'VAR Historical Approach'!K$5)</f>
        <v>5.2602943311049954E-3</v>
      </c>
    </row>
    <row r="896" spans="2:7" x14ac:dyDescent="0.3">
      <c r="B896" s="102">
        <v>44887.645833333336</v>
      </c>
      <c r="C896" s="108">
        <v>2606.1999999999998</v>
      </c>
      <c r="D896" s="261">
        <f t="shared" si="16"/>
        <v>1.2765461363592169E-2</v>
      </c>
      <c r="E896" s="261">
        <v>-4.2068656046668164E-3</v>
      </c>
      <c r="F896">
        <v>894</v>
      </c>
      <c r="G896" s="259">
        <f ca="1">_xlfn.NORM.INV(RAND(),'VAR Historical Approach'!K$4,'VAR Historical Approach'!K$5)</f>
        <v>-5.4679875024639417E-3</v>
      </c>
    </row>
    <row r="897" spans="2:7" x14ac:dyDescent="0.3">
      <c r="B897" s="102">
        <v>44886.645833333336</v>
      </c>
      <c r="C897" s="108">
        <v>2573.35</v>
      </c>
      <c r="D897" s="261">
        <f t="shared" si="16"/>
        <v>2.9425520305556654E-3</v>
      </c>
      <c r="E897" s="261">
        <v>-4.2454201802848961E-3</v>
      </c>
      <c r="F897">
        <v>895</v>
      </c>
      <c r="G897" s="259">
        <f ca="1">_xlfn.NORM.INV(RAND(),'VAR Historical Approach'!K$4,'VAR Historical Approach'!K$5)</f>
        <v>1.5320715900191328E-2</v>
      </c>
    </row>
    <row r="898" spans="2:7" x14ac:dyDescent="0.3">
      <c r="B898" s="102">
        <v>44883.645833333336</v>
      </c>
      <c r="C898" s="108">
        <v>2565.8000000000002</v>
      </c>
      <c r="D898" s="261">
        <f t="shared" si="16"/>
        <v>-6.27420604182797E-3</v>
      </c>
      <c r="E898" s="261">
        <v>-4.264090697815485E-3</v>
      </c>
      <c r="F898">
        <v>896</v>
      </c>
      <c r="G898" s="259">
        <f ca="1">_xlfn.NORM.INV(RAND(),'VAR Historical Approach'!K$4,'VAR Historical Approach'!K$5)</f>
        <v>2.3997971530800451E-3</v>
      </c>
    </row>
    <row r="899" spans="2:7" x14ac:dyDescent="0.3">
      <c r="B899" s="102">
        <v>44882.645833333336</v>
      </c>
      <c r="C899" s="108">
        <v>2582</v>
      </c>
      <c r="D899" s="261">
        <f t="shared" ref="D899:D962" si="17">(C899-C900)/C900</f>
        <v>-2.3560110426199817E-2</v>
      </c>
      <c r="E899" s="261">
        <v>-4.2671189543539174E-3</v>
      </c>
      <c r="F899">
        <v>897</v>
      </c>
      <c r="G899" s="259">
        <f ca="1">_xlfn.NORM.INV(RAND(),'VAR Historical Approach'!K$4,'VAR Historical Approach'!K$5)</f>
        <v>-3.6112666827334463E-3</v>
      </c>
    </row>
    <row r="900" spans="2:7" x14ac:dyDescent="0.3">
      <c r="B900" s="102">
        <v>44881.645833333336</v>
      </c>
      <c r="C900" s="108">
        <v>2644.3</v>
      </c>
      <c r="D900" s="261">
        <f t="shared" si="17"/>
        <v>-4.6487117234110288E-3</v>
      </c>
      <c r="E900" s="261">
        <v>-4.3275032248220897E-3</v>
      </c>
      <c r="F900">
        <v>898</v>
      </c>
      <c r="G900" s="259">
        <f ca="1">_xlfn.NORM.INV(RAND(),'VAR Historical Approach'!K$4,'VAR Historical Approach'!K$5)</f>
        <v>2.2628361560638233E-2</v>
      </c>
    </row>
    <row r="901" spans="2:7" x14ac:dyDescent="0.3">
      <c r="B901" s="102">
        <v>44880.645833333336</v>
      </c>
      <c r="C901" s="108">
        <v>2656.65</v>
      </c>
      <c r="D901" s="261">
        <f t="shared" si="17"/>
        <v>1.0209901893680092E-2</v>
      </c>
      <c r="E901" s="261">
        <v>-4.3406905225700848E-3</v>
      </c>
      <c r="F901">
        <v>899</v>
      </c>
      <c r="G901" s="259">
        <f ca="1">_xlfn.NORM.INV(RAND(),'VAR Historical Approach'!K$4,'VAR Historical Approach'!K$5)</f>
        <v>5.1727800608401577E-3</v>
      </c>
    </row>
    <row r="902" spans="2:7" x14ac:dyDescent="0.3">
      <c r="B902" s="102">
        <v>44879.645833333336</v>
      </c>
      <c r="C902" s="108">
        <v>2629.8</v>
      </c>
      <c r="D902" s="261">
        <f t="shared" si="17"/>
        <v>-8.2962516026849689E-3</v>
      </c>
      <c r="E902" s="261">
        <v>-4.348844211019302E-3</v>
      </c>
      <c r="F902">
        <v>900</v>
      </c>
      <c r="G902" s="259">
        <f ca="1">_xlfn.NORM.INV(RAND(),'VAR Historical Approach'!K$4,'VAR Historical Approach'!K$5)</f>
        <v>1.8743361725168849E-2</v>
      </c>
    </row>
    <row r="903" spans="2:7" x14ac:dyDescent="0.3">
      <c r="B903" s="102">
        <v>44876.645833333336</v>
      </c>
      <c r="C903" s="108">
        <v>2651.8</v>
      </c>
      <c r="D903" s="261">
        <f t="shared" si="17"/>
        <v>4.0893600908747376E-3</v>
      </c>
      <c r="E903" s="261">
        <v>-4.3730214090251067E-3</v>
      </c>
      <c r="F903">
        <v>901</v>
      </c>
      <c r="G903" s="259">
        <f ca="1">_xlfn.NORM.INV(RAND(),'VAR Historical Approach'!K$4,'VAR Historical Approach'!K$5)</f>
        <v>2.1629700828862331E-2</v>
      </c>
    </row>
    <row r="904" spans="2:7" x14ac:dyDescent="0.3">
      <c r="B904" s="102">
        <v>44875.645833333336</v>
      </c>
      <c r="C904" s="108">
        <v>2641</v>
      </c>
      <c r="D904" s="261">
        <f t="shared" si="17"/>
        <v>-2.8365402303079323E-2</v>
      </c>
      <c r="E904" s="261">
        <v>-4.4032253625780884E-3</v>
      </c>
      <c r="F904">
        <v>902</v>
      </c>
      <c r="G904" s="259">
        <f ca="1">_xlfn.NORM.INV(RAND(),'VAR Historical Approach'!K$4,'VAR Historical Approach'!K$5)</f>
        <v>1.0988062653944157E-2</v>
      </c>
    </row>
    <row r="905" spans="2:7" x14ac:dyDescent="0.3">
      <c r="B905" s="102">
        <v>44874.645833333336</v>
      </c>
      <c r="C905" s="108">
        <v>2718.1</v>
      </c>
      <c r="D905" s="261">
        <f t="shared" si="17"/>
        <v>-8.5535554704456503E-3</v>
      </c>
      <c r="E905" s="261">
        <v>-4.4110552071127849E-3</v>
      </c>
      <c r="F905">
        <v>903</v>
      </c>
      <c r="G905" s="259">
        <f ca="1">_xlfn.NORM.INV(RAND(),'VAR Historical Approach'!K$4,'VAR Historical Approach'!K$5)</f>
        <v>3.5831136554579923E-3</v>
      </c>
    </row>
    <row r="906" spans="2:7" x14ac:dyDescent="0.3">
      <c r="B906" s="102">
        <v>44872.645833333336</v>
      </c>
      <c r="C906" s="108">
        <v>2741.55</v>
      </c>
      <c r="D906" s="261">
        <f t="shared" si="17"/>
        <v>-1.016355561974208E-2</v>
      </c>
      <c r="E906" s="261">
        <v>-4.4631898417799194E-3</v>
      </c>
      <c r="F906">
        <v>904</v>
      </c>
      <c r="G906" s="259">
        <f ca="1">_xlfn.NORM.INV(RAND(),'VAR Historical Approach'!K$4,'VAR Historical Approach'!K$5)</f>
        <v>1.2436584397304887E-2</v>
      </c>
    </row>
    <row r="907" spans="2:7" x14ac:dyDescent="0.3">
      <c r="B907" s="102">
        <v>44869.645833333336</v>
      </c>
      <c r="C907" s="108">
        <v>2769.7</v>
      </c>
      <c r="D907" s="261">
        <f t="shared" si="17"/>
        <v>2.1891339351942998E-3</v>
      </c>
      <c r="E907" s="261">
        <v>-4.4851710373836956E-3</v>
      </c>
      <c r="F907">
        <v>905</v>
      </c>
      <c r="G907" s="259">
        <f ca="1">_xlfn.NORM.INV(RAND(),'VAR Historical Approach'!K$4,'VAR Historical Approach'!K$5)</f>
        <v>-3.6989043503928018E-3</v>
      </c>
    </row>
    <row r="908" spans="2:7" x14ac:dyDescent="0.3">
      <c r="B908" s="102">
        <v>44868.645833333336</v>
      </c>
      <c r="C908" s="108">
        <v>2763.65</v>
      </c>
      <c r="D908" s="261">
        <f t="shared" si="17"/>
        <v>1.2901097692829364E-2</v>
      </c>
      <c r="E908" s="261">
        <v>-4.4989617780511488E-3</v>
      </c>
      <c r="F908">
        <v>906</v>
      </c>
      <c r="G908" s="259">
        <f ca="1">_xlfn.NORM.INV(RAND(),'VAR Historical Approach'!K$4,'VAR Historical Approach'!K$5)</f>
        <v>1.6295123777594636E-2</v>
      </c>
    </row>
    <row r="909" spans="2:7" x14ac:dyDescent="0.3">
      <c r="B909" s="102">
        <v>44867.645833333336</v>
      </c>
      <c r="C909" s="108">
        <v>2728.45</v>
      </c>
      <c r="D909" s="261">
        <f t="shared" si="17"/>
        <v>-9.6190493475380688E-3</v>
      </c>
      <c r="E909" s="261">
        <v>-4.5158665581773432E-3</v>
      </c>
      <c r="F909">
        <v>907</v>
      </c>
      <c r="G909" s="259">
        <f ca="1">_xlfn.NORM.INV(RAND(),'VAR Historical Approach'!K$4,'VAR Historical Approach'!K$5)</f>
        <v>4.2794757597823686E-3</v>
      </c>
    </row>
    <row r="910" spans="2:7" x14ac:dyDescent="0.3">
      <c r="B910" s="102">
        <v>44866.645833333336</v>
      </c>
      <c r="C910" s="108">
        <v>2754.95</v>
      </c>
      <c r="D910" s="261">
        <f t="shared" si="17"/>
        <v>-2.371899330074301E-3</v>
      </c>
      <c r="E910" s="261">
        <v>-4.5575986170045815E-3</v>
      </c>
      <c r="F910">
        <v>908</v>
      </c>
      <c r="G910" s="259">
        <f ca="1">_xlfn.NORM.INV(RAND(),'VAR Historical Approach'!K$4,'VAR Historical Approach'!K$5)</f>
        <v>3.0730559677023393E-2</v>
      </c>
    </row>
    <row r="911" spans="2:7" x14ac:dyDescent="0.3">
      <c r="B911" s="102">
        <v>44865.645833333336</v>
      </c>
      <c r="C911" s="108">
        <v>2761.5</v>
      </c>
      <c r="D911" s="261">
        <f t="shared" si="17"/>
        <v>9.1726355795935938E-3</v>
      </c>
      <c r="E911" s="261">
        <v>-4.6487117234110288E-3</v>
      </c>
      <c r="F911">
        <v>909</v>
      </c>
      <c r="G911" s="259">
        <f ca="1">_xlfn.NORM.INV(RAND(),'VAR Historical Approach'!K$4,'VAR Historical Approach'!K$5)</f>
        <v>9.0209433000988503E-3</v>
      </c>
    </row>
    <row r="912" spans="2:7" x14ac:dyDescent="0.3">
      <c r="B912" s="102">
        <v>44862.645833333336</v>
      </c>
      <c r="C912" s="108">
        <v>2736.4</v>
      </c>
      <c r="D912" s="261">
        <f t="shared" si="17"/>
        <v>1.2057104815444895E-2</v>
      </c>
      <c r="E912" s="261">
        <v>-4.6848281839263544E-3</v>
      </c>
      <c r="F912">
        <v>910</v>
      </c>
      <c r="G912" s="259">
        <f ca="1">_xlfn.NORM.INV(RAND(),'VAR Historical Approach'!K$4,'VAR Historical Approach'!K$5)</f>
        <v>4.1950484460559186E-3</v>
      </c>
    </row>
    <row r="913" spans="2:7" x14ac:dyDescent="0.3">
      <c r="B913" s="102">
        <v>44861.645833333336</v>
      </c>
      <c r="C913" s="108">
        <v>2703.8</v>
      </c>
      <c r="D913" s="261">
        <f t="shared" si="17"/>
        <v>1.2545406883121746E-2</v>
      </c>
      <c r="E913" s="261">
        <v>-4.6955154724474223E-3</v>
      </c>
      <c r="F913">
        <v>911</v>
      </c>
      <c r="G913" s="259">
        <f ca="1">_xlfn.NORM.INV(RAND(),'VAR Historical Approach'!K$4,'VAR Historical Approach'!K$5)</f>
        <v>-1.6095886556213551E-2</v>
      </c>
    </row>
    <row r="914" spans="2:7" x14ac:dyDescent="0.3">
      <c r="B914" s="102">
        <v>44859.645833333336</v>
      </c>
      <c r="C914" s="108">
        <v>2670.3</v>
      </c>
      <c r="D914" s="261">
        <f t="shared" si="17"/>
        <v>1.7444150582409884E-3</v>
      </c>
      <c r="E914" s="261">
        <v>-4.8149262714413475E-3</v>
      </c>
      <c r="F914">
        <v>912</v>
      </c>
      <c r="G914" s="259">
        <f ca="1">_xlfn.NORM.INV(RAND(),'VAR Historical Approach'!K$4,'VAR Historical Approach'!K$5)</f>
        <v>5.0635223063484579E-3</v>
      </c>
    </row>
    <row r="915" spans="2:7" x14ac:dyDescent="0.3">
      <c r="B915" s="102">
        <v>44855.645833333336</v>
      </c>
      <c r="C915" s="108">
        <v>2665.65</v>
      </c>
      <c r="D915" s="261">
        <f t="shared" si="17"/>
        <v>1.2977389321679685E-2</v>
      </c>
      <c r="E915" s="261">
        <v>-4.8232468589349516E-3</v>
      </c>
      <c r="F915">
        <v>913</v>
      </c>
      <c r="G915" s="259">
        <f ca="1">_xlfn.NORM.INV(RAND(),'VAR Historical Approach'!K$4,'VAR Historical Approach'!K$5)</f>
        <v>-4.8528664286557038E-3</v>
      </c>
    </row>
    <row r="916" spans="2:7" x14ac:dyDescent="0.3">
      <c r="B916" s="102">
        <v>44854.645833333336</v>
      </c>
      <c r="C916" s="108">
        <v>2631.5</v>
      </c>
      <c r="D916" s="261">
        <f t="shared" si="17"/>
        <v>-4.9346769771795506E-3</v>
      </c>
      <c r="E916" s="261">
        <v>-4.9030985261692269E-3</v>
      </c>
      <c r="F916">
        <v>914</v>
      </c>
      <c r="G916" s="259">
        <f ca="1">_xlfn.NORM.INV(RAND(),'VAR Historical Approach'!K$4,'VAR Historical Approach'!K$5)</f>
        <v>-2.0197269471274308E-2</v>
      </c>
    </row>
    <row r="917" spans="2:7" x14ac:dyDescent="0.3">
      <c r="B917" s="102">
        <v>44853.645833333336</v>
      </c>
      <c r="C917" s="108">
        <v>2644.55</v>
      </c>
      <c r="D917" s="261">
        <f t="shared" si="17"/>
        <v>1.3062739010261909E-3</v>
      </c>
      <c r="E917" s="261">
        <v>-4.9346769771795506E-3</v>
      </c>
      <c r="F917">
        <v>915</v>
      </c>
      <c r="G917" s="259">
        <f ca="1">_xlfn.NORM.INV(RAND(),'VAR Historical Approach'!K$4,'VAR Historical Approach'!K$5)</f>
        <v>-2.4944588691020137E-2</v>
      </c>
    </row>
    <row r="918" spans="2:7" x14ac:dyDescent="0.3">
      <c r="B918" s="102">
        <v>44852.645833333336</v>
      </c>
      <c r="C918" s="108">
        <v>2641.1</v>
      </c>
      <c r="D918" s="261">
        <f t="shared" si="17"/>
        <v>6.1333333333332988E-3</v>
      </c>
      <c r="E918" s="261">
        <v>-4.9403310663414723E-3</v>
      </c>
      <c r="F918">
        <v>916</v>
      </c>
      <c r="G918" s="259">
        <f ca="1">_xlfn.NORM.INV(RAND(),'VAR Historical Approach'!K$4,'VAR Historical Approach'!K$5)</f>
        <v>-2.4399324263267259E-2</v>
      </c>
    </row>
    <row r="919" spans="2:7" x14ac:dyDescent="0.3">
      <c r="B919" s="102">
        <v>44851.645833333336</v>
      </c>
      <c r="C919" s="108">
        <v>2625</v>
      </c>
      <c r="D919" s="261">
        <f t="shared" si="17"/>
        <v>2.7504011001603704E-3</v>
      </c>
      <c r="E919" s="261">
        <v>-4.9557339390342179E-3</v>
      </c>
      <c r="F919">
        <v>917</v>
      </c>
      <c r="G919" s="259">
        <f ca="1">_xlfn.NORM.INV(RAND(),'VAR Historical Approach'!K$4,'VAR Historical Approach'!K$5)</f>
        <v>4.5197027949671707E-3</v>
      </c>
    </row>
    <row r="920" spans="2:7" x14ac:dyDescent="0.3">
      <c r="B920" s="102">
        <v>44848.645833333336</v>
      </c>
      <c r="C920" s="108">
        <v>2617.8000000000002</v>
      </c>
      <c r="D920" s="261">
        <f t="shared" si="17"/>
        <v>7.3692109364478058E-3</v>
      </c>
      <c r="E920" s="261">
        <v>-4.9629350420906772E-3</v>
      </c>
      <c r="F920">
        <v>918</v>
      </c>
      <c r="G920" s="259">
        <f ca="1">_xlfn.NORM.INV(RAND(),'VAR Historical Approach'!K$4,'VAR Historical Approach'!K$5)</f>
        <v>1.8528780158457065E-2</v>
      </c>
    </row>
    <row r="921" spans="2:7" x14ac:dyDescent="0.3">
      <c r="B921" s="102">
        <v>44847.645833333336</v>
      </c>
      <c r="C921" s="108">
        <v>2598.65</v>
      </c>
      <c r="D921" s="261">
        <f t="shared" si="17"/>
        <v>-8.6596600988039819E-3</v>
      </c>
      <c r="E921" s="261">
        <v>-5.0298124646080775E-3</v>
      </c>
      <c r="F921">
        <v>919</v>
      </c>
      <c r="G921" s="259">
        <f ca="1">_xlfn.NORM.INV(RAND(),'VAR Historical Approach'!K$4,'VAR Historical Approach'!K$5)</f>
        <v>1.7171456614484673E-2</v>
      </c>
    </row>
    <row r="922" spans="2:7" x14ac:dyDescent="0.3">
      <c r="B922" s="102">
        <v>44846.645833333336</v>
      </c>
      <c r="C922" s="108">
        <v>2621.35</v>
      </c>
      <c r="D922" s="261">
        <f t="shared" si="17"/>
        <v>-1.2002286149743154E-3</v>
      </c>
      <c r="E922" s="261">
        <v>-5.0624828970171985E-3</v>
      </c>
      <c r="F922">
        <v>920</v>
      </c>
      <c r="G922" s="259">
        <f ca="1">_xlfn.NORM.INV(RAND(),'VAR Historical Approach'!K$4,'VAR Historical Approach'!K$5)</f>
        <v>3.0249153270715402E-2</v>
      </c>
    </row>
    <row r="923" spans="2:7" x14ac:dyDescent="0.3">
      <c r="B923" s="102">
        <v>44845.645833333336</v>
      </c>
      <c r="C923" s="108">
        <v>2624.5</v>
      </c>
      <c r="D923" s="261">
        <f t="shared" si="17"/>
        <v>-2.0745494571098061E-2</v>
      </c>
      <c r="E923" s="261">
        <v>-5.0946028561127399E-3</v>
      </c>
      <c r="F923">
        <v>921</v>
      </c>
      <c r="G923" s="259">
        <f ca="1">_xlfn.NORM.INV(RAND(),'VAR Historical Approach'!K$4,'VAR Historical Approach'!K$5)</f>
        <v>1.8349320922052204E-2</v>
      </c>
    </row>
    <row r="924" spans="2:7" x14ac:dyDescent="0.3">
      <c r="B924" s="102">
        <v>44844.645833333336</v>
      </c>
      <c r="C924" s="108">
        <v>2680.1</v>
      </c>
      <c r="D924" s="261">
        <f t="shared" si="17"/>
        <v>-1.8458157846548286E-2</v>
      </c>
      <c r="E924" s="261">
        <v>-5.1364291358714179E-3</v>
      </c>
      <c r="F924">
        <v>922</v>
      </c>
      <c r="G924" s="259">
        <f ca="1">_xlfn.NORM.INV(RAND(),'VAR Historical Approach'!K$4,'VAR Historical Approach'!K$5)</f>
        <v>3.646085753801849E-2</v>
      </c>
    </row>
    <row r="925" spans="2:7" x14ac:dyDescent="0.3">
      <c r="B925" s="102">
        <v>44841.645833333336</v>
      </c>
      <c r="C925" s="108">
        <v>2730.5</v>
      </c>
      <c r="D925" s="261">
        <f t="shared" si="17"/>
        <v>5.3088300518734248E-2</v>
      </c>
      <c r="E925" s="261">
        <v>-5.1408437145002255E-3</v>
      </c>
      <c r="F925">
        <v>923</v>
      </c>
      <c r="G925" s="259">
        <f ca="1">_xlfn.NORM.INV(RAND(),'VAR Historical Approach'!K$4,'VAR Historical Approach'!K$5)</f>
        <v>2.3771268382526797E-3</v>
      </c>
    </row>
    <row r="926" spans="2:7" x14ac:dyDescent="0.3">
      <c r="B926" s="102">
        <v>44840.645833333336</v>
      </c>
      <c r="C926" s="108">
        <v>2592.85</v>
      </c>
      <c r="D926" s="261">
        <f t="shared" si="17"/>
        <v>2.9979497891764345E-3</v>
      </c>
      <c r="E926" s="261">
        <v>-5.1439720924732722E-3</v>
      </c>
      <c r="F926">
        <v>924</v>
      </c>
      <c r="G926" s="259">
        <f ca="1">_xlfn.NORM.INV(RAND(),'VAR Historical Approach'!K$4,'VAR Historical Approach'!K$5)</f>
        <v>-1.6287731408791875E-2</v>
      </c>
    </row>
    <row r="927" spans="2:7" x14ac:dyDescent="0.3">
      <c r="B927" s="102">
        <v>44838.645833333336</v>
      </c>
      <c r="C927" s="108">
        <v>2585.1</v>
      </c>
      <c r="D927" s="261">
        <f t="shared" si="17"/>
        <v>4.2343252272551051E-3</v>
      </c>
      <c r="E927" s="261">
        <v>-5.1451457304060311E-3</v>
      </c>
      <c r="F927">
        <v>925</v>
      </c>
      <c r="G927" s="259">
        <f ca="1">_xlfn.NORM.INV(RAND(),'VAR Historical Approach'!K$4,'VAR Historical Approach'!K$5)</f>
        <v>5.4702120226397481E-3</v>
      </c>
    </row>
    <row r="928" spans="2:7" x14ac:dyDescent="0.3">
      <c r="B928" s="102">
        <v>44837.645833333336</v>
      </c>
      <c r="C928" s="108">
        <v>2574.1999999999998</v>
      </c>
      <c r="D928" s="261">
        <f t="shared" si="17"/>
        <v>-1.2562573121847371E-2</v>
      </c>
      <c r="E928" s="261">
        <v>-5.1667449506811458E-3</v>
      </c>
      <c r="F928">
        <v>926</v>
      </c>
      <c r="G928" s="259">
        <f ca="1">_xlfn.NORM.INV(RAND(),'VAR Historical Approach'!K$4,'VAR Historical Approach'!K$5)</f>
        <v>8.6623217561041209E-3</v>
      </c>
    </row>
    <row r="929" spans="2:7" x14ac:dyDescent="0.3">
      <c r="B929" s="102">
        <v>44834.645833333336</v>
      </c>
      <c r="C929" s="108">
        <v>2606.9499999999998</v>
      </c>
      <c r="D929" s="261">
        <f t="shared" si="17"/>
        <v>2.9804463756665938E-2</v>
      </c>
      <c r="E929" s="261">
        <v>-5.1988834612700947E-3</v>
      </c>
      <c r="F929">
        <v>927</v>
      </c>
      <c r="G929" s="259">
        <f ca="1">_xlfn.NORM.INV(RAND(),'VAR Historical Approach'!K$4,'VAR Historical Approach'!K$5)</f>
        <v>2.4942587230501567E-3</v>
      </c>
    </row>
    <row r="930" spans="2:7" x14ac:dyDescent="0.3">
      <c r="B930" s="102">
        <v>44833.645833333336</v>
      </c>
      <c r="C930" s="108">
        <v>2531.5</v>
      </c>
      <c r="D930" s="261">
        <f t="shared" si="17"/>
        <v>-1.7637129164322096E-2</v>
      </c>
      <c r="E930" s="261">
        <v>-5.2598061183574737E-3</v>
      </c>
      <c r="F930">
        <v>928</v>
      </c>
      <c r="G930" s="259">
        <f ca="1">_xlfn.NORM.INV(RAND(),'VAR Historical Approach'!K$4,'VAR Historical Approach'!K$5)</f>
        <v>7.3019446221577848E-3</v>
      </c>
    </row>
    <row r="931" spans="2:7" x14ac:dyDescent="0.3">
      <c r="B931" s="102">
        <v>44832.645833333336</v>
      </c>
      <c r="C931" s="108">
        <v>2576.9499999999998</v>
      </c>
      <c r="D931" s="261">
        <f t="shared" si="17"/>
        <v>-8.9987886246082616E-3</v>
      </c>
      <c r="E931" s="261">
        <v>-5.266715484706759E-3</v>
      </c>
      <c r="F931">
        <v>929</v>
      </c>
      <c r="G931" s="259">
        <f ca="1">_xlfn.NORM.INV(RAND(),'VAR Historical Approach'!K$4,'VAR Historical Approach'!K$5)</f>
        <v>1.451846750906757E-2</v>
      </c>
    </row>
    <row r="932" spans="2:7" x14ac:dyDescent="0.3">
      <c r="B932" s="102">
        <v>44831.645833333336</v>
      </c>
      <c r="C932" s="108">
        <v>2600.35</v>
      </c>
      <c r="D932" s="261">
        <f t="shared" si="17"/>
        <v>-2.0768216908303556E-2</v>
      </c>
      <c r="E932" s="261">
        <v>-5.2928416485900744E-3</v>
      </c>
      <c r="F932">
        <v>930</v>
      </c>
      <c r="G932" s="259">
        <f ca="1">_xlfn.NORM.INV(RAND(),'VAR Historical Approach'!K$4,'VAR Historical Approach'!K$5)</f>
        <v>-3.0220408580245179E-2</v>
      </c>
    </row>
    <row r="933" spans="2:7" x14ac:dyDescent="0.3">
      <c r="B933" s="102">
        <v>44830.645833333336</v>
      </c>
      <c r="C933" s="108">
        <v>2655.5</v>
      </c>
      <c r="D933" s="261">
        <f t="shared" si="17"/>
        <v>-6.34249471458767E-3</v>
      </c>
      <c r="E933" s="261">
        <v>-5.293891170431211E-3</v>
      </c>
      <c r="F933">
        <v>931</v>
      </c>
      <c r="G933" s="259">
        <f ca="1">_xlfn.NORM.INV(RAND(),'VAR Historical Approach'!K$4,'VAR Historical Approach'!K$5)</f>
        <v>1.8367293626047015E-3</v>
      </c>
    </row>
    <row r="934" spans="2:7" x14ac:dyDescent="0.3">
      <c r="B934" s="102">
        <v>44827.645833333336</v>
      </c>
      <c r="C934" s="108">
        <v>2672.45</v>
      </c>
      <c r="D934" s="261">
        <f t="shared" si="17"/>
        <v>-2.3798217416715405E-2</v>
      </c>
      <c r="E934" s="261">
        <v>-5.3262713125240687E-3</v>
      </c>
      <c r="F934">
        <v>932</v>
      </c>
      <c r="G934" s="259">
        <f ca="1">_xlfn.NORM.INV(RAND(),'VAR Historical Approach'!K$4,'VAR Historical Approach'!K$5)</f>
        <v>2.5061009036729785E-2</v>
      </c>
    </row>
    <row r="935" spans="2:7" x14ac:dyDescent="0.3">
      <c r="B935" s="102">
        <v>44826.645833333336</v>
      </c>
      <c r="C935" s="108">
        <v>2737.6</v>
      </c>
      <c r="D935" s="261">
        <f t="shared" si="17"/>
        <v>2.6606416290101745E-2</v>
      </c>
      <c r="E935" s="261">
        <v>-5.3823064070146883E-3</v>
      </c>
      <c r="F935">
        <v>933</v>
      </c>
      <c r="G935" s="259">
        <f ca="1">_xlfn.NORM.INV(RAND(),'VAR Historical Approach'!K$4,'VAR Historical Approach'!K$5)</f>
        <v>1.2648191793300062E-2</v>
      </c>
    </row>
    <row r="936" spans="2:7" x14ac:dyDescent="0.3">
      <c r="B936" s="102">
        <v>44825.645833333336</v>
      </c>
      <c r="C936" s="108">
        <v>2666.65</v>
      </c>
      <c r="D936" s="261">
        <f t="shared" si="17"/>
        <v>-6.464232488822619E-3</v>
      </c>
      <c r="E936" s="261">
        <v>-5.3901243874859336E-3</v>
      </c>
      <c r="F936">
        <v>934</v>
      </c>
      <c r="G936" s="259">
        <f ca="1">_xlfn.NORM.INV(RAND(),'VAR Historical Approach'!K$4,'VAR Historical Approach'!K$5)</f>
        <v>1.5081581328190492E-2</v>
      </c>
    </row>
    <row r="937" spans="2:7" x14ac:dyDescent="0.3">
      <c r="B937" s="102">
        <v>44824.645833333336</v>
      </c>
      <c r="C937" s="108">
        <v>2684</v>
      </c>
      <c r="D937" s="261">
        <f t="shared" si="17"/>
        <v>2.450568745705772E-2</v>
      </c>
      <c r="E937" s="261">
        <v>-5.4128003806805016E-3</v>
      </c>
      <c r="F937">
        <v>935</v>
      </c>
      <c r="G937" s="259">
        <f ca="1">_xlfn.NORM.INV(RAND(),'VAR Historical Approach'!K$4,'VAR Historical Approach'!K$5)</f>
        <v>-2.6392545854153696E-2</v>
      </c>
    </row>
    <row r="938" spans="2:7" x14ac:dyDescent="0.3">
      <c r="B938" s="102">
        <v>44823.645833333336</v>
      </c>
      <c r="C938" s="108">
        <v>2619.8000000000002</v>
      </c>
      <c r="D938" s="261">
        <f t="shared" si="17"/>
        <v>3.0630216708783212E-3</v>
      </c>
      <c r="E938" s="261">
        <v>-5.4169007302784693E-3</v>
      </c>
      <c r="F938">
        <v>936</v>
      </c>
      <c r="G938" s="259">
        <f ca="1">_xlfn.NORM.INV(RAND(),'VAR Historical Approach'!K$4,'VAR Historical Approach'!K$5)</f>
        <v>-4.3472750803797613E-3</v>
      </c>
    </row>
    <row r="939" spans="2:7" x14ac:dyDescent="0.3">
      <c r="B939" s="102">
        <v>44820.645833333336</v>
      </c>
      <c r="C939" s="108">
        <v>2611.8000000000002</v>
      </c>
      <c r="D939" s="261">
        <f t="shared" si="17"/>
        <v>-1.6697099184910455E-2</v>
      </c>
      <c r="E939" s="261">
        <v>-5.4468652734548434E-3</v>
      </c>
      <c r="F939">
        <v>937</v>
      </c>
      <c r="G939" s="259">
        <f ca="1">_xlfn.NORM.INV(RAND(),'VAR Historical Approach'!K$4,'VAR Historical Approach'!K$5)</f>
        <v>-1.0322324380366791E-3</v>
      </c>
    </row>
    <row r="940" spans="2:7" x14ac:dyDescent="0.3">
      <c r="B940" s="102">
        <v>44819.645833333336</v>
      </c>
      <c r="C940" s="108">
        <v>2656.15</v>
      </c>
      <c r="D940" s="261">
        <f t="shared" si="17"/>
        <v>-1.6459305339554108E-2</v>
      </c>
      <c r="E940" s="261">
        <v>-5.4540905679259901E-3</v>
      </c>
      <c r="F940">
        <v>938</v>
      </c>
      <c r="G940" s="259">
        <f ca="1">_xlfn.NORM.INV(RAND(),'VAR Historical Approach'!K$4,'VAR Historical Approach'!K$5)</f>
        <v>7.4076686165217261E-3</v>
      </c>
    </row>
    <row r="941" spans="2:7" x14ac:dyDescent="0.3">
      <c r="B941" s="102">
        <v>44818.645833333336</v>
      </c>
      <c r="C941" s="108">
        <v>2700.6</v>
      </c>
      <c r="D941" s="261">
        <f t="shared" si="17"/>
        <v>-1.8295725453236025E-3</v>
      </c>
      <c r="E941" s="261">
        <v>-5.4557714706062284E-3</v>
      </c>
      <c r="F941">
        <v>939</v>
      </c>
      <c r="G941" s="259">
        <f ca="1">_xlfn.NORM.INV(RAND(),'VAR Historical Approach'!K$4,'VAR Historical Approach'!K$5)</f>
        <v>-2.4447809801197897E-2</v>
      </c>
    </row>
    <row r="942" spans="2:7" x14ac:dyDescent="0.3">
      <c r="B942" s="102">
        <v>44817.645833333336</v>
      </c>
      <c r="C942" s="108">
        <v>2705.55</v>
      </c>
      <c r="D942" s="261">
        <f t="shared" si="17"/>
        <v>3.921719257139579E-2</v>
      </c>
      <c r="E942" s="261">
        <v>-5.4968825550324235E-3</v>
      </c>
      <c r="F942">
        <v>940</v>
      </c>
      <c r="G942" s="259">
        <f ca="1">_xlfn.NORM.INV(RAND(),'VAR Historical Approach'!K$4,'VAR Historical Approach'!K$5)</f>
        <v>1.5264122396788343E-2</v>
      </c>
    </row>
    <row r="943" spans="2:7" x14ac:dyDescent="0.3">
      <c r="B943" s="102">
        <v>44813.645833333336</v>
      </c>
      <c r="C943" s="108">
        <v>2603.4499999999998</v>
      </c>
      <c r="D943" s="261">
        <f t="shared" si="17"/>
        <v>-8.8514105150949863E-3</v>
      </c>
      <c r="E943" s="261">
        <v>-5.5833220766356387E-3</v>
      </c>
      <c r="F943">
        <v>941</v>
      </c>
      <c r="G943" s="259">
        <f ca="1">_xlfn.NORM.INV(RAND(),'VAR Historical Approach'!K$4,'VAR Historical Approach'!K$5)</f>
        <v>2.3962121191849477E-2</v>
      </c>
    </row>
    <row r="944" spans="2:7" x14ac:dyDescent="0.3">
      <c r="B944" s="102">
        <v>44812.645833333336</v>
      </c>
      <c r="C944" s="108">
        <v>2626.7</v>
      </c>
      <c r="D944" s="261">
        <f t="shared" si="17"/>
        <v>-4.1891763813857192E-3</v>
      </c>
      <c r="E944" s="261">
        <v>-5.6030537759223734E-3</v>
      </c>
      <c r="F944">
        <v>942</v>
      </c>
      <c r="G944" s="259">
        <f ca="1">_xlfn.NORM.INV(RAND(),'VAR Historical Approach'!K$4,'VAR Historical Approach'!K$5)</f>
        <v>1.335086386855937E-2</v>
      </c>
    </row>
    <row r="945" spans="2:7" x14ac:dyDescent="0.3">
      <c r="B945" s="102">
        <v>44811.645833333336</v>
      </c>
      <c r="C945" s="108">
        <v>2637.75</v>
      </c>
      <c r="D945" s="261">
        <f t="shared" si="17"/>
        <v>2.3179374156897417E-3</v>
      </c>
      <c r="E945" s="261">
        <v>-5.6170368227970325E-3</v>
      </c>
      <c r="F945">
        <v>943</v>
      </c>
      <c r="G945" s="259">
        <f ca="1">_xlfn.NORM.INV(RAND(),'VAR Historical Approach'!K$4,'VAR Historical Approach'!K$5)</f>
        <v>1.6172304735376272E-2</v>
      </c>
    </row>
    <row r="946" spans="2:7" x14ac:dyDescent="0.3">
      <c r="B946" s="102">
        <v>44810.645833333336</v>
      </c>
      <c r="C946" s="108">
        <v>2631.65</v>
      </c>
      <c r="D946" s="261">
        <f t="shared" si="17"/>
        <v>1.6366300645137427E-3</v>
      </c>
      <c r="E946" s="261">
        <v>-5.64159592069223E-3</v>
      </c>
      <c r="F946">
        <v>944</v>
      </c>
      <c r="G946" s="259">
        <f ca="1">_xlfn.NORM.INV(RAND(),'VAR Historical Approach'!K$4,'VAR Historical Approach'!K$5)</f>
        <v>-4.4239329131353727E-2</v>
      </c>
    </row>
    <row r="947" spans="2:7" x14ac:dyDescent="0.3">
      <c r="B947" s="102">
        <v>44809.645833333336</v>
      </c>
      <c r="C947" s="108">
        <v>2627.35</v>
      </c>
      <c r="D947" s="261">
        <f t="shared" si="17"/>
        <v>5.6457169103574989E-3</v>
      </c>
      <c r="E947" s="261">
        <v>-5.6475321058332044E-3</v>
      </c>
      <c r="F947">
        <v>945</v>
      </c>
      <c r="G947" s="259">
        <f ca="1">_xlfn.NORM.INV(RAND(),'VAR Historical Approach'!K$4,'VAR Historical Approach'!K$5)</f>
        <v>-2.3260216113299592E-2</v>
      </c>
    </row>
    <row r="948" spans="2:7" x14ac:dyDescent="0.3">
      <c r="B948" s="102">
        <v>44806.645833333336</v>
      </c>
      <c r="C948" s="108">
        <v>2612.6</v>
      </c>
      <c r="D948" s="261">
        <f t="shared" si="17"/>
        <v>-3.585049580472956E-3</v>
      </c>
      <c r="E948" s="261">
        <v>-5.6632032200692262E-3</v>
      </c>
      <c r="F948">
        <v>946</v>
      </c>
      <c r="G948" s="259">
        <f ca="1">_xlfn.NORM.INV(RAND(),'VAR Historical Approach'!K$4,'VAR Historical Approach'!K$5)</f>
        <v>1.6911299646306673E-2</v>
      </c>
    </row>
    <row r="949" spans="2:7" x14ac:dyDescent="0.3">
      <c r="B949" s="102">
        <v>44805.645833333336</v>
      </c>
      <c r="C949" s="108">
        <v>2622</v>
      </c>
      <c r="D949" s="261">
        <f t="shared" si="17"/>
        <v>6.6611636880194681E-3</v>
      </c>
      <c r="E949" s="261">
        <v>-5.6700635966591556E-3</v>
      </c>
      <c r="F949">
        <v>947</v>
      </c>
      <c r="G949" s="259">
        <f ca="1">_xlfn.NORM.INV(RAND(),'VAR Historical Approach'!K$4,'VAR Historical Approach'!K$5)</f>
        <v>1.8356808138170162E-2</v>
      </c>
    </row>
    <row r="950" spans="2:7" x14ac:dyDescent="0.3">
      <c r="B950" s="102">
        <v>44803.645833333336</v>
      </c>
      <c r="C950" s="108">
        <v>2604.65</v>
      </c>
      <c r="D950" s="261">
        <f t="shared" si="17"/>
        <v>2.8814630485444671E-2</v>
      </c>
      <c r="E950" s="261">
        <v>-5.6740697447885567E-3</v>
      </c>
      <c r="F950">
        <v>948</v>
      </c>
      <c r="G950" s="259">
        <f ca="1">_xlfn.NORM.INV(RAND(),'VAR Historical Approach'!K$4,'VAR Historical Approach'!K$5)</f>
        <v>1.0398022425515656E-2</v>
      </c>
    </row>
    <row r="951" spans="2:7" x14ac:dyDescent="0.3">
      <c r="B951" s="102">
        <v>44802.645833333336</v>
      </c>
      <c r="C951" s="108">
        <v>2531.6999999999998</v>
      </c>
      <c r="D951" s="261">
        <f t="shared" si="17"/>
        <v>-4.7376524931907018E-4</v>
      </c>
      <c r="E951" s="261">
        <v>-5.6821410307403824E-3</v>
      </c>
      <c r="F951">
        <v>949</v>
      </c>
      <c r="G951" s="259">
        <f ca="1">_xlfn.NORM.INV(RAND(),'VAR Historical Approach'!K$4,'VAR Historical Approach'!K$5)</f>
        <v>1.4313789327230601E-2</v>
      </c>
    </row>
    <row r="952" spans="2:7" x14ac:dyDescent="0.3">
      <c r="B952" s="102">
        <v>44799.645833333336</v>
      </c>
      <c r="C952" s="108">
        <v>2532.9</v>
      </c>
      <c r="D952" s="261">
        <f t="shared" si="17"/>
        <v>2.6941555677187975E-2</v>
      </c>
      <c r="E952" s="261">
        <v>-5.7359183205231154E-3</v>
      </c>
      <c r="F952">
        <v>950</v>
      </c>
      <c r="G952" s="259">
        <f ca="1">_xlfn.NORM.INV(RAND(),'VAR Historical Approach'!K$4,'VAR Historical Approach'!K$5)</f>
        <v>-1.1614621726440273E-2</v>
      </c>
    </row>
    <row r="953" spans="2:7" x14ac:dyDescent="0.3">
      <c r="B953" s="102">
        <v>44798.645833333336</v>
      </c>
      <c r="C953" s="108">
        <v>2466.4499999999998</v>
      </c>
      <c r="D953" s="261">
        <f t="shared" si="17"/>
        <v>2.3367334498313489E-3</v>
      </c>
      <c r="E953" s="261">
        <v>-5.7467824004788443E-3</v>
      </c>
      <c r="F953">
        <v>951</v>
      </c>
      <c r="G953" s="259">
        <f ca="1">_xlfn.NORM.INV(RAND(),'VAR Historical Approach'!K$4,'VAR Historical Approach'!K$5)</f>
        <v>4.6728766374812998E-3</v>
      </c>
    </row>
    <row r="954" spans="2:7" x14ac:dyDescent="0.3">
      <c r="B954" s="102">
        <v>44797.645833333336</v>
      </c>
      <c r="C954" s="108">
        <v>2460.6999999999998</v>
      </c>
      <c r="D954" s="261">
        <f t="shared" si="17"/>
        <v>-7.8622691718409805E-3</v>
      </c>
      <c r="E954" s="261">
        <v>-5.7650783002452773E-3</v>
      </c>
      <c r="F954">
        <v>952</v>
      </c>
      <c r="G954" s="259">
        <f ca="1">_xlfn.NORM.INV(RAND(),'VAR Historical Approach'!K$4,'VAR Historical Approach'!K$5)</f>
        <v>6.3616365633871073E-3</v>
      </c>
    </row>
    <row r="955" spans="2:7" x14ac:dyDescent="0.3">
      <c r="B955" s="102">
        <v>44796.645833333336</v>
      </c>
      <c r="C955" s="108">
        <v>2480.1999999999998</v>
      </c>
      <c r="D955" s="261">
        <f t="shared" si="17"/>
        <v>2.5893448047650525E-2</v>
      </c>
      <c r="E955" s="261">
        <v>-5.7717170473434712E-3</v>
      </c>
      <c r="F955">
        <v>953</v>
      </c>
      <c r="G955" s="259">
        <f ca="1">_xlfn.NORM.INV(RAND(),'VAR Historical Approach'!K$4,'VAR Historical Approach'!K$5)</f>
        <v>1.3067817851282665E-2</v>
      </c>
    </row>
    <row r="956" spans="2:7" x14ac:dyDescent="0.3">
      <c r="B956" s="102">
        <v>44795.645833333336</v>
      </c>
      <c r="C956" s="108">
        <v>2417.6</v>
      </c>
      <c r="D956" s="261">
        <f t="shared" si="17"/>
        <v>-9.4239121527493249E-3</v>
      </c>
      <c r="E956" s="261">
        <v>-5.7718343982328642E-3</v>
      </c>
      <c r="F956">
        <v>954</v>
      </c>
      <c r="G956" s="259">
        <f ca="1">_xlfn.NORM.INV(RAND(),'VAR Historical Approach'!K$4,'VAR Historical Approach'!K$5)</f>
        <v>-9.3066402988167569E-4</v>
      </c>
    </row>
    <row r="957" spans="2:7" x14ac:dyDescent="0.3">
      <c r="B957" s="102">
        <v>44792.645833333336</v>
      </c>
      <c r="C957" s="108">
        <v>2440.6</v>
      </c>
      <c r="D957" s="261">
        <f t="shared" si="17"/>
        <v>-1.5370960584177154E-2</v>
      </c>
      <c r="E957" s="261">
        <v>-5.7889926044927265E-3</v>
      </c>
      <c r="F957">
        <v>955</v>
      </c>
      <c r="G957" s="259">
        <f ca="1">_xlfn.NORM.INV(RAND(),'VAR Historical Approach'!K$4,'VAR Historical Approach'!K$5)</f>
        <v>1.680443153304938E-3</v>
      </c>
    </row>
    <row r="958" spans="2:7" x14ac:dyDescent="0.3">
      <c r="B958" s="102">
        <v>44791.645833333336</v>
      </c>
      <c r="C958" s="108">
        <v>2478.6999999999998</v>
      </c>
      <c r="D958" s="261">
        <f t="shared" si="17"/>
        <v>-5.4169007302784693E-3</v>
      </c>
      <c r="E958" s="261">
        <v>-5.7950825381347581E-3</v>
      </c>
      <c r="F958">
        <v>956</v>
      </c>
      <c r="G958" s="259">
        <f ca="1">_xlfn.NORM.INV(RAND(),'VAR Historical Approach'!K$4,'VAR Historical Approach'!K$5)</f>
        <v>-4.4560951553765263E-4</v>
      </c>
    </row>
    <row r="959" spans="2:7" x14ac:dyDescent="0.3">
      <c r="B959" s="102">
        <v>44790.645833333336</v>
      </c>
      <c r="C959" s="108">
        <v>2492.1999999999998</v>
      </c>
      <c r="D959" s="261">
        <f t="shared" si="17"/>
        <v>-6.6162760390564427E-4</v>
      </c>
      <c r="E959" s="261">
        <v>-5.8273125666233241E-3</v>
      </c>
      <c r="F959">
        <v>957</v>
      </c>
      <c r="G959" s="259">
        <f ca="1">_xlfn.NORM.INV(RAND(),'VAR Historical Approach'!K$4,'VAR Historical Approach'!K$5)</f>
        <v>-5.1159805404083014E-3</v>
      </c>
    </row>
    <row r="960" spans="2:7" x14ac:dyDescent="0.3">
      <c r="B960" s="102">
        <v>44789.645833333336</v>
      </c>
      <c r="C960" s="108">
        <v>2493.85</v>
      </c>
      <c r="D960" s="261">
        <f t="shared" si="17"/>
        <v>8.8594024960052149E-3</v>
      </c>
      <c r="E960" s="261">
        <v>-5.8666206539556807E-3</v>
      </c>
      <c r="F960">
        <v>958</v>
      </c>
      <c r="G960" s="259">
        <f ca="1">_xlfn.NORM.INV(RAND(),'VAR Historical Approach'!K$4,'VAR Historical Approach'!K$5)</f>
        <v>-1.810486042224513E-3</v>
      </c>
    </row>
    <row r="961" spans="2:7" x14ac:dyDescent="0.3">
      <c r="B961" s="102">
        <v>44785.645833333336</v>
      </c>
      <c r="C961" s="108">
        <v>2471.9499999999998</v>
      </c>
      <c r="D961" s="261">
        <f t="shared" si="17"/>
        <v>-1.6178939066074422E-4</v>
      </c>
      <c r="E961" s="261">
        <v>-5.8717253839206188E-3</v>
      </c>
      <c r="F961">
        <v>959</v>
      </c>
      <c r="G961" s="259">
        <f ca="1">_xlfn.NORM.INV(RAND(),'VAR Historical Approach'!K$4,'VAR Historical Approach'!K$5)</f>
        <v>-2.2038614096275003E-2</v>
      </c>
    </row>
    <row r="962" spans="2:7" x14ac:dyDescent="0.3">
      <c r="B962" s="102">
        <v>44784.645833333336</v>
      </c>
      <c r="C962" s="108">
        <v>2472.35</v>
      </c>
      <c r="D962" s="261">
        <f t="shared" si="17"/>
        <v>1.5922912557527941E-2</v>
      </c>
      <c r="E962" s="261">
        <v>-5.9252141884858197E-3</v>
      </c>
      <c r="F962">
        <v>960</v>
      </c>
      <c r="G962" s="259">
        <f ca="1">_xlfn.NORM.INV(RAND(),'VAR Historical Approach'!K$4,'VAR Historical Approach'!K$5)</f>
        <v>-1.6532076047535697E-2</v>
      </c>
    </row>
    <row r="963" spans="2:7" x14ac:dyDescent="0.3">
      <c r="B963" s="102">
        <v>44783.645833333336</v>
      </c>
      <c r="C963" s="108">
        <v>2433.6</v>
      </c>
      <c r="D963" s="261">
        <f t="shared" ref="D963:D1026" si="18">(C963-C964)/C964</f>
        <v>-5.4557714706062284E-3</v>
      </c>
      <c r="E963" s="261">
        <v>-5.9685753453548838E-3</v>
      </c>
      <c r="F963">
        <v>961</v>
      </c>
      <c r="G963" s="259">
        <f ca="1">_xlfn.NORM.INV(RAND(),'VAR Historical Approach'!K$4,'VAR Historical Approach'!K$5)</f>
        <v>-5.7296161552139815E-4</v>
      </c>
    </row>
    <row r="964" spans="2:7" x14ac:dyDescent="0.3">
      <c r="B964" s="102">
        <v>44781.645833333336</v>
      </c>
      <c r="C964" s="108">
        <v>2446.9499999999998</v>
      </c>
      <c r="D964" s="261">
        <f t="shared" si="18"/>
        <v>5.8163433081221778E-3</v>
      </c>
      <c r="E964" s="261">
        <v>-6.0055347921599174E-3</v>
      </c>
      <c r="F964">
        <v>962</v>
      </c>
      <c r="G964" s="259">
        <f ca="1">_xlfn.NORM.INV(RAND(),'VAR Historical Approach'!K$4,'VAR Historical Approach'!K$5)</f>
        <v>3.4673496611966947E-2</v>
      </c>
    </row>
    <row r="965" spans="2:7" x14ac:dyDescent="0.3">
      <c r="B965" s="102">
        <v>44778.645833333336</v>
      </c>
      <c r="C965" s="108">
        <v>2432.8000000000002</v>
      </c>
      <c r="D965" s="261">
        <f t="shared" si="18"/>
        <v>3.77529758834819E-3</v>
      </c>
      <c r="E965" s="261">
        <v>-6.0327662007374095E-3</v>
      </c>
      <c r="F965">
        <v>963</v>
      </c>
      <c r="G965" s="259">
        <f ca="1">_xlfn.NORM.INV(RAND(),'VAR Historical Approach'!K$4,'VAR Historical Approach'!K$5)</f>
        <v>2.0254920054074625E-3</v>
      </c>
    </row>
    <row r="966" spans="2:7" x14ac:dyDescent="0.3">
      <c r="B966" s="102">
        <v>44777.645833333336</v>
      </c>
      <c r="C966" s="108">
        <v>2423.65</v>
      </c>
      <c r="D966" s="261">
        <f t="shared" si="18"/>
        <v>3.0003310710147325E-3</v>
      </c>
      <c r="E966" s="261">
        <v>-6.0769946499184806E-3</v>
      </c>
      <c r="F966">
        <v>964</v>
      </c>
      <c r="G966" s="259">
        <f ca="1">_xlfn.NORM.INV(RAND(),'VAR Historical Approach'!K$4,'VAR Historical Approach'!K$5)</f>
        <v>1.0071654198877589E-2</v>
      </c>
    </row>
    <row r="967" spans="2:7" x14ac:dyDescent="0.3">
      <c r="B967" s="102">
        <v>44776.645833333336</v>
      </c>
      <c r="C967" s="108">
        <v>2416.4</v>
      </c>
      <c r="D967" s="261">
        <f t="shared" si="18"/>
        <v>1.3186859263297039E-2</v>
      </c>
      <c r="E967" s="261">
        <v>-6.080464267083867E-3</v>
      </c>
      <c r="F967">
        <v>965</v>
      </c>
      <c r="G967" s="259">
        <f ca="1">_xlfn.NORM.INV(RAND(),'VAR Historical Approach'!K$4,'VAR Historical Approach'!K$5)</f>
        <v>-2.5397419212965667E-2</v>
      </c>
    </row>
    <row r="968" spans="2:7" x14ac:dyDescent="0.3">
      <c r="B968" s="102">
        <v>44775.645833333336</v>
      </c>
      <c r="C968" s="108">
        <v>2384.9499999999998</v>
      </c>
      <c r="D968" s="261">
        <f t="shared" si="18"/>
        <v>3.6612309310888242E-3</v>
      </c>
      <c r="E968" s="261">
        <v>-6.0843767285161847E-3</v>
      </c>
      <c r="F968">
        <v>966</v>
      </c>
      <c r="G968" s="259">
        <f ca="1">_xlfn.NORM.INV(RAND(),'VAR Historical Approach'!K$4,'VAR Historical Approach'!K$5)</f>
        <v>2.8192851374387339E-3</v>
      </c>
    </row>
    <row r="969" spans="2:7" x14ac:dyDescent="0.3">
      <c r="B969" s="102">
        <v>44774.645833333336</v>
      </c>
      <c r="C969" s="108">
        <v>2376.25</v>
      </c>
      <c r="D969" s="261">
        <f t="shared" si="18"/>
        <v>1.0288896919708261E-2</v>
      </c>
      <c r="E969" s="261">
        <v>-6.096582704957533E-3</v>
      </c>
      <c r="F969">
        <v>967</v>
      </c>
      <c r="G969" s="259">
        <f ca="1">_xlfn.NORM.INV(RAND(),'VAR Historical Approach'!K$4,'VAR Historical Approach'!K$5)</f>
        <v>-8.8442138197308007E-3</v>
      </c>
    </row>
    <row r="970" spans="2:7" x14ac:dyDescent="0.3">
      <c r="B970" s="102">
        <v>44771.645833333336</v>
      </c>
      <c r="C970" s="108">
        <v>2352.0500000000002</v>
      </c>
      <c r="D970" s="261">
        <f t="shared" si="18"/>
        <v>7.4529372711113397E-3</v>
      </c>
      <c r="E970" s="261">
        <v>-6.140955004591264E-3</v>
      </c>
      <c r="F970">
        <v>968</v>
      </c>
      <c r="G970" s="259">
        <f ca="1">_xlfn.NORM.INV(RAND(),'VAR Historical Approach'!K$4,'VAR Historical Approach'!K$5)</f>
        <v>4.7882330136723913E-4</v>
      </c>
    </row>
    <row r="971" spans="2:7" x14ac:dyDescent="0.3">
      <c r="B971" s="102">
        <v>44770.645833333336</v>
      </c>
      <c r="C971" s="108">
        <v>2334.65</v>
      </c>
      <c r="D971" s="261">
        <f t="shared" si="18"/>
        <v>1.350090078357314E-2</v>
      </c>
      <c r="E971" s="261">
        <v>-6.1643296045376123E-3</v>
      </c>
      <c r="F971">
        <v>969</v>
      </c>
      <c r="G971" s="259">
        <f ca="1">_xlfn.NORM.INV(RAND(),'VAR Historical Approach'!K$4,'VAR Historical Approach'!K$5)</f>
        <v>1.8873010811934481E-2</v>
      </c>
    </row>
    <row r="972" spans="2:7" x14ac:dyDescent="0.3">
      <c r="B972" s="102">
        <v>44769.645833333336</v>
      </c>
      <c r="C972" s="108">
        <v>2303.5500000000002</v>
      </c>
      <c r="D972" s="261">
        <f t="shared" si="18"/>
        <v>4.5133437990582436E-3</v>
      </c>
      <c r="E972" s="261">
        <v>-6.1663931572927995E-3</v>
      </c>
      <c r="F972">
        <v>970</v>
      </c>
      <c r="G972" s="259">
        <f ca="1">_xlfn.NORM.INV(RAND(),'VAR Historical Approach'!K$4,'VAR Historical Approach'!K$5)</f>
        <v>1.6583039357712344E-3</v>
      </c>
    </row>
    <row r="973" spans="2:7" x14ac:dyDescent="0.3">
      <c r="B973" s="102">
        <v>44768.645833333336</v>
      </c>
      <c r="C973" s="108">
        <v>2293.1999999999998</v>
      </c>
      <c r="D973" s="261">
        <f t="shared" si="18"/>
        <v>-1.530798462760594E-2</v>
      </c>
      <c r="E973" s="261">
        <v>-6.1874790963543768E-3</v>
      </c>
      <c r="F973">
        <v>971</v>
      </c>
      <c r="G973" s="259">
        <f ca="1">_xlfn.NORM.INV(RAND(),'VAR Historical Approach'!K$4,'VAR Historical Approach'!K$5)</f>
        <v>5.8776605575492974E-3</v>
      </c>
    </row>
    <row r="974" spans="2:7" x14ac:dyDescent="0.3">
      <c r="B974" s="102">
        <v>44767.645833333336</v>
      </c>
      <c r="C974" s="108">
        <v>2328.85</v>
      </c>
      <c r="D974" s="261">
        <f t="shared" si="18"/>
        <v>1.6559139784945846E-3</v>
      </c>
      <c r="E974" s="261">
        <v>-6.1889250814332244E-3</v>
      </c>
      <c r="F974">
        <v>972</v>
      </c>
      <c r="G974" s="259">
        <f ca="1">_xlfn.NORM.INV(RAND(),'VAR Historical Approach'!K$4,'VAR Historical Approach'!K$5)</f>
        <v>-1.9363287141782849E-2</v>
      </c>
    </row>
    <row r="975" spans="2:7" x14ac:dyDescent="0.3">
      <c r="B975" s="102">
        <v>44764.645833333336</v>
      </c>
      <c r="C975" s="108">
        <v>2325</v>
      </c>
      <c r="D975" s="261">
        <f t="shared" si="18"/>
        <v>1.5904920038451495E-2</v>
      </c>
      <c r="E975" s="261">
        <v>-6.1990586614624928E-3</v>
      </c>
      <c r="F975">
        <v>973</v>
      </c>
      <c r="G975" s="259">
        <f ca="1">_xlfn.NORM.INV(RAND(),'VAR Historical Approach'!K$4,'VAR Historical Approach'!K$5)</f>
        <v>-1.3885908024291198E-2</v>
      </c>
    </row>
    <row r="976" spans="2:7" x14ac:dyDescent="0.3">
      <c r="B976" s="102">
        <v>44763.645833333336</v>
      </c>
      <c r="C976" s="108">
        <v>2288.6</v>
      </c>
      <c r="D976" s="261">
        <f t="shared" si="18"/>
        <v>7.6611482916520311E-3</v>
      </c>
      <c r="E976" s="261">
        <v>-6.2123583250343391E-3</v>
      </c>
      <c r="F976">
        <v>974</v>
      </c>
      <c r="G976" s="259">
        <f ca="1">_xlfn.NORM.INV(RAND(),'VAR Historical Approach'!K$4,'VAR Historical Approach'!K$5)</f>
        <v>-1.2171933819166206E-2</v>
      </c>
    </row>
    <row r="977" spans="2:7" x14ac:dyDescent="0.3">
      <c r="B977" s="102">
        <v>44762.645833333336</v>
      </c>
      <c r="C977" s="108">
        <v>2271.1999999999998</v>
      </c>
      <c r="D977" s="261">
        <f t="shared" si="18"/>
        <v>1.3385686239514546E-2</v>
      </c>
      <c r="E977" s="261">
        <v>-6.2539178098167027E-3</v>
      </c>
      <c r="F977">
        <v>975</v>
      </c>
      <c r="G977" s="259">
        <f ca="1">_xlfn.NORM.INV(RAND(),'VAR Historical Approach'!K$4,'VAR Historical Approach'!K$5)</f>
        <v>1.7296068491102361E-2</v>
      </c>
    </row>
    <row r="978" spans="2:7" x14ac:dyDescent="0.3">
      <c r="B978" s="102">
        <v>44761.645833333336</v>
      </c>
      <c r="C978" s="108">
        <v>2241.1999999999998</v>
      </c>
      <c r="D978" s="261">
        <f t="shared" si="18"/>
        <v>1.6760151064828266E-3</v>
      </c>
      <c r="E978" s="261">
        <v>-6.2586105097421525E-3</v>
      </c>
      <c r="F978">
        <v>976</v>
      </c>
      <c r="G978" s="259">
        <f ca="1">_xlfn.NORM.INV(RAND(),'VAR Historical Approach'!K$4,'VAR Historical Approach'!K$5)</f>
        <v>1.750771983730183E-2</v>
      </c>
    </row>
    <row r="979" spans="2:7" x14ac:dyDescent="0.3">
      <c r="B979" s="102">
        <v>44760.645833333336</v>
      </c>
      <c r="C979" s="108">
        <v>2237.4499999999998</v>
      </c>
      <c r="D979" s="261">
        <f t="shared" si="18"/>
        <v>2.1806640179019957E-2</v>
      </c>
      <c r="E979" s="261">
        <v>-6.27420604182797E-3</v>
      </c>
      <c r="F979">
        <v>977</v>
      </c>
      <c r="G979" s="259">
        <f ca="1">_xlfn.NORM.INV(RAND(),'VAR Historical Approach'!K$4,'VAR Historical Approach'!K$5)</f>
        <v>1.6083116799695086E-2</v>
      </c>
    </row>
    <row r="980" spans="2:7" x14ac:dyDescent="0.3">
      <c r="B980" s="102">
        <v>44757.645833333336</v>
      </c>
      <c r="C980" s="108">
        <v>2189.6999999999998</v>
      </c>
      <c r="D980" s="261">
        <f t="shared" si="18"/>
        <v>2.9260382147641546E-2</v>
      </c>
      <c r="E980" s="261">
        <v>-6.3244545576228387E-3</v>
      </c>
      <c r="F980">
        <v>978</v>
      </c>
      <c r="G980" s="259">
        <f ca="1">_xlfn.NORM.INV(RAND(),'VAR Historical Approach'!K$4,'VAR Historical Approach'!K$5)</f>
        <v>-5.839819178556962E-4</v>
      </c>
    </row>
    <row r="981" spans="2:7" x14ac:dyDescent="0.3">
      <c r="B981" s="102">
        <v>44756.645833333336</v>
      </c>
      <c r="C981" s="108">
        <v>2127.4499999999998</v>
      </c>
      <c r="D981" s="261">
        <f t="shared" si="18"/>
        <v>7.6015913611820248E-3</v>
      </c>
      <c r="E981" s="261">
        <v>-6.34249471458767E-3</v>
      </c>
      <c r="F981">
        <v>979</v>
      </c>
      <c r="G981" s="259">
        <f ca="1">_xlfn.NORM.INV(RAND(),'VAR Historical Approach'!K$4,'VAR Historical Approach'!K$5)</f>
        <v>-4.4030012545515371E-3</v>
      </c>
    </row>
    <row r="982" spans="2:7" x14ac:dyDescent="0.3">
      <c r="B982" s="102">
        <v>44755.645833333336</v>
      </c>
      <c r="C982" s="108">
        <v>2111.4</v>
      </c>
      <c r="D982" s="261">
        <f t="shared" si="18"/>
        <v>-8.7323943661971395E-3</v>
      </c>
      <c r="E982" s="261">
        <v>-6.3442749089009636E-3</v>
      </c>
      <c r="F982">
        <v>980</v>
      </c>
      <c r="G982" s="259">
        <f ca="1">_xlfn.NORM.INV(RAND(),'VAR Historical Approach'!K$4,'VAR Historical Approach'!K$5)</f>
        <v>-1.0538640174501747E-2</v>
      </c>
    </row>
    <row r="983" spans="2:7" x14ac:dyDescent="0.3">
      <c r="B983" s="102">
        <v>44754.645833333336</v>
      </c>
      <c r="C983" s="108">
        <v>2130</v>
      </c>
      <c r="D983" s="261">
        <f t="shared" si="18"/>
        <v>-1.5529672767609498E-2</v>
      </c>
      <c r="E983" s="261">
        <v>-6.3996696944673822E-3</v>
      </c>
      <c r="F983">
        <v>981</v>
      </c>
      <c r="G983" s="259">
        <f ca="1">_xlfn.NORM.INV(RAND(),'VAR Historical Approach'!K$4,'VAR Historical Approach'!K$5)</f>
        <v>-8.6374601698877909E-3</v>
      </c>
    </row>
    <row r="984" spans="2:7" x14ac:dyDescent="0.3">
      <c r="B984" s="102">
        <v>44753.645833333336</v>
      </c>
      <c r="C984" s="108">
        <v>2163.6</v>
      </c>
      <c r="D984" s="261">
        <f t="shared" si="18"/>
        <v>8.9770793014200111E-3</v>
      </c>
      <c r="E984" s="261">
        <v>-6.419163007836356E-3</v>
      </c>
      <c r="F984">
        <v>982</v>
      </c>
      <c r="G984" s="259">
        <f ca="1">_xlfn.NORM.INV(RAND(),'VAR Historical Approach'!K$4,'VAR Historical Approach'!K$5)</f>
        <v>3.7967333708706176E-2</v>
      </c>
    </row>
    <row r="985" spans="2:7" x14ac:dyDescent="0.3">
      <c r="B985" s="102">
        <v>44750.645833333336</v>
      </c>
      <c r="C985" s="108">
        <v>2144.35</v>
      </c>
      <c r="D985" s="261">
        <f t="shared" si="18"/>
        <v>7.920094007050486E-3</v>
      </c>
      <c r="E985" s="261">
        <v>-6.4348362642690556E-3</v>
      </c>
      <c r="F985">
        <v>983</v>
      </c>
      <c r="G985" s="259">
        <f ca="1">_xlfn.NORM.INV(RAND(),'VAR Historical Approach'!K$4,'VAR Historical Approach'!K$5)</f>
        <v>-4.0736878914932459E-3</v>
      </c>
    </row>
    <row r="986" spans="2:7" x14ac:dyDescent="0.3">
      <c r="B986" s="102">
        <v>44749.645833333336</v>
      </c>
      <c r="C986" s="108">
        <v>2127.5</v>
      </c>
      <c r="D986" s="261">
        <f t="shared" si="18"/>
        <v>5.6591591964440933E-2</v>
      </c>
      <c r="E986" s="261">
        <v>-6.440749315933564E-3</v>
      </c>
      <c r="F986">
        <v>984</v>
      </c>
      <c r="G986" s="259">
        <f ca="1">_xlfn.NORM.INV(RAND(),'VAR Historical Approach'!K$4,'VAR Historical Approach'!K$5)</f>
        <v>-2.0135846790950533E-2</v>
      </c>
    </row>
    <row r="987" spans="2:7" x14ac:dyDescent="0.3">
      <c r="B987" s="102">
        <v>44748.645833333336</v>
      </c>
      <c r="C987" s="108">
        <v>2013.55</v>
      </c>
      <c r="D987" s="261">
        <f t="shared" si="18"/>
        <v>3.0344121785851327E-2</v>
      </c>
      <c r="E987" s="261">
        <v>-6.464232488822619E-3</v>
      </c>
      <c r="F987">
        <v>985</v>
      </c>
      <c r="G987" s="259">
        <f ca="1">_xlfn.NORM.INV(RAND(),'VAR Historical Approach'!K$4,'VAR Historical Approach'!K$5)</f>
        <v>3.8402030994300067E-3</v>
      </c>
    </row>
    <row r="988" spans="2:7" x14ac:dyDescent="0.3">
      <c r="B988" s="102">
        <v>44747.645833333336</v>
      </c>
      <c r="C988" s="108">
        <v>1954.25</v>
      </c>
      <c r="D988" s="261">
        <f t="shared" si="18"/>
        <v>-4.2038216560509557E-3</v>
      </c>
      <c r="E988" s="261">
        <v>-6.5013170115257269E-3</v>
      </c>
      <c r="F988">
        <v>986</v>
      </c>
      <c r="G988" s="259">
        <f ca="1">_xlfn.NORM.INV(RAND(),'VAR Historical Approach'!K$4,'VAR Historical Approach'!K$5)</f>
        <v>-1.7987618305858565E-3</v>
      </c>
    </row>
    <row r="989" spans="2:7" x14ac:dyDescent="0.3">
      <c r="B989" s="102">
        <v>44746.645833333336</v>
      </c>
      <c r="C989" s="108">
        <v>1962.5</v>
      </c>
      <c r="D989" s="261">
        <f t="shared" si="18"/>
        <v>8.3752954475387695E-3</v>
      </c>
      <c r="E989" s="261">
        <v>-6.5107406485859966E-3</v>
      </c>
      <c r="F989">
        <v>987</v>
      </c>
      <c r="G989" s="259">
        <f ca="1">_xlfn.NORM.INV(RAND(),'VAR Historical Approach'!K$4,'VAR Historical Approach'!K$5)</f>
        <v>8.6971981556326836E-3</v>
      </c>
    </row>
    <row r="990" spans="2:7" x14ac:dyDescent="0.3">
      <c r="B990" s="102">
        <v>44743.645833333336</v>
      </c>
      <c r="C990" s="108">
        <v>1946.2</v>
      </c>
      <c r="D990" s="261">
        <f t="shared" si="18"/>
        <v>2.5499034127495403E-3</v>
      </c>
      <c r="E990" s="261">
        <v>-6.5713626931057549E-3</v>
      </c>
      <c r="F990">
        <v>988</v>
      </c>
      <c r="G990" s="259">
        <f ca="1">_xlfn.NORM.INV(RAND(),'VAR Historical Approach'!K$4,'VAR Historical Approach'!K$5)</f>
        <v>2.0040026167771854E-2</v>
      </c>
    </row>
    <row r="991" spans="2:7" x14ac:dyDescent="0.3">
      <c r="B991" s="102">
        <v>44742.645833333336</v>
      </c>
      <c r="C991" s="108">
        <v>1941.25</v>
      </c>
      <c r="D991" s="261">
        <f t="shared" si="18"/>
        <v>2.6340934328434825E-3</v>
      </c>
      <c r="E991" s="261">
        <v>-6.6206507958868543E-3</v>
      </c>
      <c r="F991">
        <v>989</v>
      </c>
      <c r="G991" s="259">
        <f ca="1">_xlfn.NORM.INV(RAND(),'VAR Historical Approach'!K$4,'VAR Historical Approach'!K$5)</f>
        <v>1.1963382477023841E-3</v>
      </c>
    </row>
    <row r="992" spans="2:7" x14ac:dyDescent="0.3">
      <c r="B992" s="102">
        <v>44741.645833333336</v>
      </c>
      <c r="C992" s="108">
        <v>1936.15</v>
      </c>
      <c r="D992" s="261">
        <f t="shared" si="18"/>
        <v>-1.6208937781052243E-2</v>
      </c>
      <c r="E992" s="261">
        <v>-6.6718995290422677E-3</v>
      </c>
      <c r="F992">
        <v>990</v>
      </c>
      <c r="G992" s="259">
        <f ca="1">_xlfn.NORM.INV(RAND(),'VAR Historical Approach'!K$4,'VAR Historical Approach'!K$5)</f>
        <v>1.4450303147434914E-2</v>
      </c>
    </row>
    <row r="993" spans="2:7" x14ac:dyDescent="0.3">
      <c r="B993" s="102">
        <v>44740.645833333336</v>
      </c>
      <c r="C993" s="108">
        <v>1968.05</v>
      </c>
      <c r="D993" s="261">
        <f t="shared" si="18"/>
        <v>-3.5411459099152089E-2</v>
      </c>
      <c r="E993" s="261">
        <v>-6.6877859908482931E-3</v>
      </c>
      <c r="F993">
        <v>991</v>
      </c>
      <c r="G993" s="259">
        <f ca="1">_xlfn.NORM.INV(RAND(),'VAR Historical Approach'!K$4,'VAR Historical Approach'!K$5)</f>
        <v>7.6383948509866116E-3</v>
      </c>
    </row>
    <row r="994" spans="2:7" x14ac:dyDescent="0.3">
      <c r="B994" s="102">
        <v>44739.645833333336</v>
      </c>
      <c r="C994" s="108">
        <v>2040.3</v>
      </c>
      <c r="D994" s="261">
        <f t="shared" si="18"/>
        <v>-2.590926867422739E-3</v>
      </c>
      <c r="E994" s="261">
        <v>-6.7734360888674809E-3</v>
      </c>
      <c r="F994">
        <v>992</v>
      </c>
      <c r="G994" s="259">
        <f ca="1">_xlfn.NORM.INV(RAND(),'VAR Historical Approach'!K$4,'VAR Historical Approach'!K$5)</f>
        <v>5.7898091427596959E-5</v>
      </c>
    </row>
    <row r="995" spans="2:7" x14ac:dyDescent="0.3">
      <c r="B995" s="102">
        <v>44736.645833333336</v>
      </c>
      <c r="C995" s="108">
        <v>2045.6</v>
      </c>
      <c r="D995" s="261">
        <f t="shared" si="18"/>
        <v>2.0574115802879482E-3</v>
      </c>
      <c r="E995" s="261">
        <v>-6.8174314955431132E-3</v>
      </c>
      <c r="F995">
        <v>993</v>
      </c>
      <c r="G995" s="259">
        <f ca="1">_xlfn.NORM.INV(RAND(),'VAR Historical Approach'!K$4,'VAR Historical Approach'!K$5)</f>
        <v>-3.0448891605488804E-2</v>
      </c>
    </row>
    <row r="996" spans="2:7" x14ac:dyDescent="0.3">
      <c r="B996" s="102">
        <v>44735.645833333336</v>
      </c>
      <c r="C996" s="108">
        <v>2041.4</v>
      </c>
      <c r="D996" s="261">
        <f t="shared" si="18"/>
        <v>5.0216620716817869E-3</v>
      </c>
      <c r="E996" s="261">
        <v>-6.8226419722801426E-3</v>
      </c>
      <c r="F996">
        <v>994</v>
      </c>
      <c r="G996" s="259">
        <f ca="1">_xlfn.NORM.INV(RAND(),'VAR Historical Approach'!K$4,'VAR Historical Approach'!K$5)</f>
        <v>-2.4289429392359021E-3</v>
      </c>
    </row>
    <row r="997" spans="2:7" x14ac:dyDescent="0.3">
      <c r="B997" s="102">
        <v>44734.645833333336</v>
      </c>
      <c r="C997" s="108">
        <v>2031.2</v>
      </c>
      <c r="D997" s="261">
        <f t="shared" si="18"/>
        <v>-2.2568692555699852E-2</v>
      </c>
      <c r="E997" s="261">
        <v>-6.9181646168401398E-3</v>
      </c>
      <c r="F997">
        <v>995</v>
      </c>
      <c r="G997" s="259">
        <f ca="1">_xlfn.NORM.INV(RAND(),'VAR Historical Approach'!K$4,'VAR Historical Approach'!K$5)</f>
        <v>-2.0951028339536409E-2</v>
      </c>
    </row>
    <row r="998" spans="2:7" x14ac:dyDescent="0.3">
      <c r="B998" s="102">
        <v>44733.645833333336</v>
      </c>
      <c r="C998" s="108">
        <v>2078.1</v>
      </c>
      <c r="D998" s="261">
        <f t="shared" si="18"/>
        <v>5.9336289952592068E-2</v>
      </c>
      <c r="E998" s="261">
        <v>-6.9341580532270471E-3</v>
      </c>
      <c r="F998">
        <v>996</v>
      </c>
      <c r="G998" s="259">
        <f ca="1">_xlfn.NORM.INV(RAND(),'VAR Historical Approach'!K$4,'VAR Historical Approach'!K$5)</f>
        <v>-1.403047992517574E-2</v>
      </c>
    </row>
    <row r="999" spans="2:7" x14ac:dyDescent="0.3">
      <c r="B999" s="102">
        <v>44732.645833333336</v>
      </c>
      <c r="C999" s="108">
        <v>1961.7</v>
      </c>
      <c r="D999" s="261">
        <f t="shared" si="18"/>
        <v>1.303932453716853E-2</v>
      </c>
      <c r="E999" s="261">
        <v>-6.9897862425834381E-3</v>
      </c>
      <c r="F999">
        <v>997</v>
      </c>
      <c r="G999" s="259">
        <f ca="1">_xlfn.NORM.INV(RAND(),'VAR Historical Approach'!K$4,'VAR Historical Approach'!K$5)</f>
        <v>1.8574610419865981E-3</v>
      </c>
    </row>
    <row r="1000" spans="2:7" x14ac:dyDescent="0.3">
      <c r="B1000" s="102">
        <v>44729.645833333336</v>
      </c>
      <c r="C1000" s="108">
        <v>1936.45</v>
      </c>
      <c r="D1000" s="261">
        <f t="shared" si="18"/>
        <v>-6.0409034668478023E-2</v>
      </c>
      <c r="E1000" s="261">
        <v>-6.9949561985664741E-3</v>
      </c>
      <c r="F1000">
        <v>998</v>
      </c>
      <c r="G1000" s="259">
        <f ca="1">_xlfn.NORM.INV(RAND(),'VAR Historical Approach'!K$4,'VAR Historical Approach'!K$5)</f>
        <v>1.2376621233944493E-2</v>
      </c>
    </row>
    <row r="1001" spans="2:7" x14ac:dyDescent="0.3">
      <c r="B1001" s="102">
        <v>44728.645833333336</v>
      </c>
      <c r="C1001" s="108">
        <v>2060.9499999999998</v>
      </c>
      <c r="D1001" s="261">
        <f t="shared" si="18"/>
        <v>-2.094962114914152E-2</v>
      </c>
      <c r="E1001" s="261">
        <v>-7.0566906073496081E-3</v>
      </c>
      <c r="F1001">
        <v>999</v>
      </c>
      <c r="G1001" s="259">
        <f ca="1">_xlfn.NORM.INV(RAND(),'VAR Historical Approach'!K$4,'VAR Historical Approach'!K$5)</f>
        <v>4.1318532372198432E-3</v>
      </c>
    </row>
    <row r="1002" spans="2:7" x14ac:dyDescent="0.3">
      <c r="B1002" s="102">
        <v>44727.645833333336</v>
      </c>
      <c r="C1002" s="108">
        <v>2105.0500000000002</v>
      </c>
      <c r="D1002" s="261">
        <f t="shared" si="18"/>
        <v>1.4509990485253007E-3</v>
      </c>
      <c r="E1002" s="261">
        <v>-7.0969857096021792E-3</v>
      </c>
      <c r="F1002">
        <v>1000</v>
      </c>
      <c r="G1002" s="259">
        <f ca="1">_xlfn.NORM.INV(RAND(),'VAR Historical Approach'!K$4,'VAR Historical Approach'!K$5)</f>
        <v>4.7295000070534735E-3</v>
      </c>
    </row>
    <row r="1003" spans="2:7" x14ac:dyDescent="0.3">
      <c r="B1003" s="102">
        <v>44726.645833333336</v>
      </c>
      <c r="C1003" s="108">
        <v>2102</v>
      </c>
      <c r="D1003" s="261">
        <f t="shared" si="18"/>
        <v>-1.9025875190263077E-4</v>
      </c>
      <c r="E1003" s="261">
        <v>-7.1575598802393935E-3</v>
      </c>
      <c r="F1003">
        <v>1001</v>
      </c>
      <c r="G1003" s="259">
        <f ca="1">_xlfn.NORM.INV(RAND(),'VAR Historical Approach'!K$4,'VAR Historical Approach'!K$5)</f>
        <v>1.1938806939233141E-2</v>
      </c>
    </row>
    <row r="1004" spans="2:7" x14ac:dyDescent="0.3">
      <c r="B1004" s="102">
        <v>44725.645833333336</v>
      </c>
      <c r="C1004" s="108">
        <v>2102.4</v>
      </c>
      <c r="D1004" s="261">
        <f t="shared" si="18"/>
        <v>-1.8601937215544363E-2</v>
      </c>
      <c r="E1004" s="261">
        <v>-7.2167249460605614E-3</v>
      </c>
      <c r="F1004">
        <v>1002</v>
      </c>
      <c r="G1004" s="259">
        <f ca="1">_xlfn.NORM.INV(RAND(),'VAR Historical Approach'!K$4,'VAR Historical Approach'!K$5)</f>
        <v>4.8637365732766575E-3</v>
      </c>
    </row>
    <row r="1005" spans="2:7" x14ac:dyDescent="0.3">
      <c r="B1005" s="102">
        <v>44722.645833333336</v>
      </c>
      <c r="C1005" s="108">
        <v>2142.25</v>
      </c>
      <c r="D1005" s="261">
        <f t="shared" si="18"/>
        <v>1.1917558536244249E-3</v>
      </c>
      <c r="E1005" s="261">
        <v>-7.2199886332540856E-3</v>
      </c>
      <c r="F1005">
        <v>1003</v>
      </c>
      <c r="G1005" s="259">
        <f ca="1">_xlfn.NORM.INV(RAND(),'VAR Historical Approach'!K$4,'VAR Historical Approach'!K$5)</f>
        <v>4.0754054810173898E-3</v>
      </c>
    </row>
    <row r="1006" spans="2:7" x14ac:dyDescent="0.3">
      <c r="B1006" s="102">
        <v>44721.645833333336</v>
      </c>
      <c r="C1006" s="108">
        <v>2139.6999999999998</v>
      </c>
      <c r="D1006" s="261">
        <f t="shared" si="18"/>
        <v>5.0966484252060549E-3</v>
      </c>
      <c r="E1006" s="261">
        <v>-7.2281583909490884E-3</v>
      </c>
      <c r="F1006">
        <v>1004</v>
      </c>
      <c r="G1006" s="259">
        <f ca="1">_xlfn.NORM.INV(RAND(),'VAR Historical Approach'!K$4,'VAR Historical Approach'!K$5)</f>
        <v>4.7637990475767673E-2</v>
      </c>
    </row>
    <row r="1007" spans="2:7" x14ac:dyDescent="0.3">
      <c r="B1007" s="102">
        <v>44720.645833333336</v>
      </c>
      <c r="C1007" s="108">
        <v>2128.85</v>
      </c>
      <c r="D1007" s="261">
        <f t="shared" si="18"/>
        <v>1.3352056359481971E-2</v>
      </c>
      <c r="E1007" s="261">
        <v>-7.2327404231645248E-3</v>
      </c>
      <c r="F1007">
        <v>1005</v>
      </c>
      <c r="G1007" s="259">
        <f ca="1">_xlfn.NORM.INV(RAND(),'VAR Historical Approach'!K$4,'VAR Historical Approach'!K$5)</f>
        <v>5.6614390786264516E-3</v>
      </c>
    </row>
    <row r="1008" spans="2:7" x14ac:dyDescent="0.3">
      <c r="B1008" s="102">
        <v>44719.645833333336</v>
      </c>
      <c r="C1008" s="108">
        <v>2100.8000000000002</v>
      </c>
      <c r="D1008" s="261">
        <f t="shared" si="18"/>
        <v>-4.4461122103204381E-2</v>
      </c>
      <c r="E1008" s="261">
        <v>-7.3035759431444702E-3</v>
      </c>
      <c r="F1008">
        <v>1006</v>
      </c>
      <c r="G1008" s="259">
        <f ca="1">_xlfn.NORM.INV(RAND(),'VAR Historical Approach'!K$4,'VAR Historical Approach'!K$5)</f>
        <v>-7.5190831185034982E-4</v>
      </c>
    </row>
    <row r="1009" spans="2:7" x14ac:dyDescent="0.3">
      <c r="B1009" s="102">
        <v>44718.645833333336</v>
      </c>
      <c r="C1009" s="108">
        <v>2198.5500000000002</v>
      </c>
      <c r="D1009" s="261">
        <f t="shared" si="18"/>
        <v>-2.6537833424060556E-3</v>
      </c>
      <c r="E1009" s="261">
        <v>-7.3465221537262872E-3</v>
      </c>
      <c r="F1009">
        <v>1007</v>
      </c>
      <c r="G1009" s="259">
        <f ca="1">_xlfn.NORM.INV(RAND(),'VAR Historical Approach'!K$4,'VAR Historical Approach'!K$5)</f>
        <v>2.2392282725313139E-2</v>
      </c>
    </row>
    <row r="1010" spans="2:7" x14ac:dyDescent="0.3">
      <c r="B1010" s="102">
        <v>44715.645833333336</v>
      </c>
      <c r="C1010" s="108">
        <v>2204.4</v>
      </c>
      <c r="D1010" s="261">
        <f t="shared" si="18"/>
        <v>-7.4517661361128027E-3</v>
      </c>
      <c r="E1010" s="261">
        <v>-7.3568938242024361E-3</v>
      </c>
      <c r="F1010">
        <v>1008</v>
      </c>
      <c r="G1010" s="259">
        <f ca="1">_xlfn.NORM.INV(RAND(),'VAR Historical Approach'!K$4,'VAR Historical Approach'!K$5)</f>
        <v>8.2475445552492423E-4</v>
      </c>
    </row>
    <row r="1011" spans="2:7" x14ac:dyDescent="0.3">
      <c r="B1011" s="102">
        <v>44714.645833333336</v>
      </c>
      <c r="C1011" s="108">
        <v>2220.9499999999998</v>
      </c>
      <c r="D1011" s="261">
        <f t="shared" si="18"/>
        <v>1.0625227520931885E-2</v>
      </c>
      <c r="E1011" s="261">
        <v>-7.3786838023488103E-3</v>
      </c>
      <c r="F1011">
        <v>1009</v>
      </c>
      <c r="G1011" s="259">
        <f ca="1">_xlfn.NORM.INV(RAND(),'VAR Historical Approach'!K$4,'VAR Historical Approach'!K$5)</f>
        <v>1.2696174431533334E-2</v>
      </c>
    </row>
    <row r="1012" spans="2:7" x14ac:dyDescent="0.3">
      <c r="B1012" s="102">
        <v>44713.645833333336</v>
      </c>
      <c r="C1012" s="108">
        <v>2197.6</v>
      </c>
      <c r="D1012" s="261">
        <f t="shared" si="18"/>
        <v>-8.3032490974729659E-3</v>
      </c>
      <c r="E1012" s="261">
        <v>-7.3958894005542652E-3</v>
      </c>
      <c r="F1012">
        <v>1010</v>
      </c>
      <c r="G1012" s="259">
        <f ca="1">_xlfn.NORM.INV(RAND(),'VAR Historical Approach'!K$4,'VAR Historical Approach'!K$5)</f>
        <v>3.7584549593879806E-3</v>
      </c>
    </row>
    <row r="1013" spans="2:7" x14ac:dyDescent="0.3">
      <c r="B1013" s="102">
        <v>44712.645833333336</v>
      </c>
      <c r="C1013" s="108">
        <v>2216</v>
      </c>
      <c r="D1013" s="261">
        <f t="shared" si="18"/>
        <v>-1.7686954208963202E-2</v>
      </c>
      <c r="E1013" s="261">
        <v>-7.4214229292576071E-3</v>
      </c>
      <c r="F1013">
        <v>1011</v>
      </c>
      <c r="G1013" s="259">
        <f ca="1">_xlfn.NORM.INV(RAND(),'VAR Historical Approach'!K$4,'VAR Historical Approach'!K$5)</f>
        <v>2.3447898661421453E-3</v>
      </c>
    </row>
    <row r="1014" spans="2:7" x14ac:dyDescent="0.3">
      <c r="B1014" s="102">
        <v>44711.645833333336</v>
      </c>
      <c r="C1014" s="108">
        <v>2255.9</v>
      </c>
      <c r="D1014" s="261">
        <f t="shared" si="18"/>
        <v>4.9646380048390233E-2</v>
      </c>
      <c r="E1014" s="261">
        <v>-7.4517661361128027E-3</v>
      </c>
      <c r="F1014">
        <v>1012</v>
      </c>
      <c r="G1014" s="259">
        <f ca="1">_xlfn.NORM.INV(RAND(),'VAR Historical Approach'!K$4,'VAR Historical Approach'!K$5)</f>
        <v>-4.8435567217255523E-3</v>
      </c>
    </row>
    <row r="1015" spans="2:7" x14ac:dyDescent="0.3">
      <c r="B1015" s="102">
        <v>44708.645833333336</v>
      </c>
      <c r="C1015" s="108">
        <v>2149.1999999999998</v>
      </c>
      <c r="D1015" s="261">
        <f t="shared" si="18"/>
        <v>3.384766217698826E-3</v>
      </c>
      <c r="E1015" s="261">
        <v>-7.4729596853491259E-3</v>
      </c>
      <c r="F1015">
        <v>1013</v>
      </c>
      <c r="G1015" s="259">
        <f ca="1">_xlfn.NORM.INV(RAND(),'VAR Historical Approach'!K$4,'VAR Historical Approach'!K$5)</f>
        <v>-1.2911626334960079E-2</v>
      </c>
    </row>
    <row r="1016" spans="2:7" x14ac:dyDescent="0.3">
      <c r="B1016" s="102">
        <v>44707.645833333336</v>
      </c>
      <c r="C1016" s="108">
        <v>2141.9499999999998</v>
      </c>
      <c r="D1016" s="261">
        <f t="shared" si="18"/>
        <v>1.3509037569792621E-2</v>
      </c>
      <c r="E1016" s="261">
        <v>-7.481329720441526E-3</v>
      </c>
      <c r="F1016">
        <v>1014</v>
      </c>
      <c r="G1016" s="259">
        <f ca="1">_xlfn.NORM.INV(RAND(),'VAR Historical Approach'!K$4,'VAR Historical Approach'!K$5)</f>
        <v>-8.6950983610134657E-3</v>
      </c>
    </row>
    <row r="1017" spans="2:7" x14ac:dyDescent="0.3">
      <c r="B1017" s="102">
        <v>44706.645833333336</v>
      </c>
      <c r="C1017" s="108">
        <v>2113.4</v>
      </c>
      <c r="D1017" s="261">
        <f t="shared" si="18"/>
        <v>-1.2545263403807924E-2</v>
      </c>
      <c r="E1017" s="261">
        <v>-7.5165363800360789E-3</v>
      </c>
      <c r="F1017">
        <v>1015</v>
      </c>
      <c r="G1017" s="259">
        <f ca="1">_xlfn.NORM.INV(RAND(),'VAR Historical Approach'!K$4,'VAR Historical Approach'!K$5)</f>
        <v>1.8068645334945486E-2</v>
      </c>
    </row>
    <row r="1018" spans="2:7" x14ac:dyDescent="0.3">
      <c r="B1018" s="102">
        <v>44705.645833333336</v>
      </c>
      <c r="C1018" s="108">
        <v>2140.25</v>
      </c>
      <c r="D1018" s="261">
        <f t="shared" si="18"/>
        <v>-5.1364291358714179E-3</v>
      </c>
      <c r="E1018" s="261">
        <v>-7.5599648373728262E-3</v>
      </c>
      <c r="F1018">
        <v>1016</v>
      </c>
      <c r="G1018" s="259">
        <f ca="1">_xlfn.NORM.INV(RAND(),'VAR Historical Approach'!K$4,'VAR Historical Approach'!K$5)</f>
        <v>-3.4252187638386937E-4</v>
      </c>
    </row>
    <row r="1019" spans="2:7" x14ac:dyDescent="0.3">
      <c r="B1019" s="102">
        <v>44704.645833333336</v>
      </c>
      <c r="C1019" s="108">
        <v>2151.3000000000002</v>
      </c>
      <c r="D1019" s="261">
        <f t="shared" si="18"/>
        <v>6.6680704709763455E-3</v>
      </c>
      <c r="E1019" s="261">
        <v>-7.5730256040390659E-3</v>
      </c>
      <c r="F1019">
        <v>1017</v>
      </c>
      <c r="G1019" s="259">
        <f ca="1">_xlfn.NORM.INV(RAND(),'VAR Historical Approach'!K$4,'VAR Historical Approach'!K$5)</f>
        <v>-1.3427992715716714E-3</v>
      </c>
    </row>
    <row r="1020" spans="2:7" x14ac:dyDescent="0.3">
      <c r="B1020" s="102">
        <v>44701.645833333336</v>
      </c>
      <c r="C1020" s="108">
        <v>2137.0500000000002</v>
      </c>
      <c r="D1020" s="261">
        <f t="shared" si="18"/>
        <v>1.1884751059447604E-2</v>
      </c>
      <c r="E1020" s="261">
        <v>-7.6248790561324218E-3</v>
      </c>
      <c r="F1020">
        <v>1018</v>
      </c>
      <c r="G1020" s="259">
        <f ca="1">_xlfn.NORM.INV(RAND(),'VAR Historical Approach'!K$4,'VAR Historical Approach'!K$5)</f>
        <v>2.04104429713939E-2</v>
      </c>
    </row>
    <row r="1021" spans="2:7" x14ac:dyDescent="0.3">
      <c r="B1021" s="102">
        <v>44700.645833333336</v>
      </c>
      <c r="C1021" s="108">
        <v>2111.9499999999998</v>
      </c>
      <c r="D1021" s="261">
        <f t="shared" si="18"/>
        <v>-2.5291334948655906E-2</v>
      </c>
      <c r="E1021" s="261">
        <v>-7.6271186440678212E-3</v>
      </c>
      <c r="F1021">
        <v>1019</v>
      </c>
      <c r="G1021" s="259">
        <f ca="1">_xlfn.NORM.INV(RAND(),'VAR Historical Approach'!K$4,'VAR Historical Approach'!K$5)</f>
        <v>-2.9816396158463369E-3</v>
      </c>
    </row>
    <row r="1022" spans="2:7" x14ac:dyDescent="0.3">
      <c r="B1022" s="102">
        <v>44699.645833333336</v>
      </c>
      <c r="C1022" s="108">
        <v>2166.75</v>
      </c>
      <c r="D1022" s="261">
        <f t="shared" si="18"/>
        <v>-4.4110552071127849E-3</v>
      </c>
      <c r="E1022" s="261">
        <v>-7.6584191383637203E-3</v>
      </c>
      <c r="F1022">
        <v>1020</v>
      </c>
      <c r="G1022" s="259">
        <f ca="1">_xlfn.NORM.INV(RAND(),'VAR Historical Approach'!K$4,'VAR Historical Approach'!K$5)</f>
        <v>3.9683057909752576E-3</v>
      </c>
    </row>
    <row r="1023" spans="2:7" x14ac:dyDescent="0.3">
      <c r="B1023" s="102">
        <v>44698.645833333336</v>
      </c>
      <c r="C1023" s="108">
        <v>2176.35</v>
      </c>
      <c r="D1023" s="261">
        <f t="shared" si="18"/>
        <v>3.1641069397042094E-2</v>
      </c>
      <c r="E1023" s="261">
        <v>-7.661121207884829E-3</v>
      </c>
      <c r="F1023">
        <v>1021</v>
      </c>
      <c r="G1023" s="259">
        <f ca="1">_xlfn.NORM.INV(RAND(),'VAR Historical Approach'!K$4,'VAR Historical Approach'!K$5)</f>
        <v>1.9573372424966408E-2</v>
      </c>
    </row>
    <row r="1024" spans="2:7" x14ac:dyDescent="0.3">
      <c r="B1024" s="102">
        <v>44697.645833333336</v>
      </c>
      <c r="C1024" s="108">
        <v>2109.6</v>
      </c>
      <c r="D1024" s="261">
        <f t="shared" si="18"/>
        <v>8.5576325476885273E-3</v>
      </c>
      <c r="E1024" s="261">
        <v>-7.6996560947650327E-3</v>
      </c>
      <c r="F1024">
        <v>1022</v>
      </c>
      <c r="G1024" s="259">
        <f ca="1">_xlfn.NORM.INV(RAND(),'VAR Historical Approach'!K$4,'VAR Historical Approach'!K$5)</f>
        <v>6.3542325120135943E-3</v>
      </c>
    </row>
    <row r="1025" spans="2:7" x14ac:dyDescent="0.3">
      <c r="B1025" s="102">
        <v>44694.645833333336</v>
      </c>
      <c r="C1025" s="108">
        <v>2091.6999999999998</v>
      </c>
      <c r="D1025" s="261">
        <f t="shared" si="18"/>
        <v>2.1063679187717961E-2</v>
      </c>
      <c r="E1025" s="261">
        <v>-7.7137521314315106E-3</v>
      </c>
      <c r="F1025">
        <v>1023</v>
      </c>
      <c r="G1025" s="259">
        <f ca="1">_xlfn.NORM.INV(RAND(),'VAR Historical Approach'!K$4,'VAR Historical Approach'!K$5)</f>
        <v>-5.9782863867307082E-4</v>
      </c>
    </row>
    <row r="1026" spans="2:7" x14ac:dyDescent="0.3">
      <c r="B1026" s="102">
        <v>44693.645833333336</v>
      </c>
      <c r="C1026" s="108">
        <v>2048.5500000000002</v>
      </c>
      <c r="D1026" s="261">
        <f t="shared" si="18"/>
        <v>-3.1281032770605594E-2</v>
      </c>
      <c r="E1026" s="261">
        <v>-7.7206343892538059E-3</v>
      </c>
      <c r="F1026">
        <v>1024</v>
      </c>
      <c r="G1026" s="259">
        <f ca="1">_xlfn.NORM.INV(RAND(),'VAR Historical Approach'!K$4,'VAR Historical Approach'!K$5)</f>
        <v>1.9633944494846033E-2</v>
      </c>
    </row>
    <row r="1027" spans="2:7" x14ac:dyDescent="0.3">
      <c r="B1027" s="102">
        <v>44692.645833333336</v>
      </c>
      <c r="C1027" s="108">
        <v>2114.6999999999998</v>
      </c>
      <c r="D1027" s="261">
        <f t="shared" ref="D1027:D1090" si="19">(C1027-C1028)/C1028</f>
        <v>-1.0597234893676793E-2</v>
      </c>
      <c r="E1027" s="261">
        <v>-7.7679880306487387E-3</v>
      </c>
      <c r="F1027">
        <v>1025</v>
      </c>
      <c r="G1027" s="259">
        <f ca="1">_xlfn.NORM.INV(RAND(),'VAR Historical Approach'!K$4,'VAR Historical Approach'!K$5)</f>
        <v>1.6616324205131087E-2</v>
      </c>
    </row>
    <row r="1028" spans="2:7" x14ac:dyDescent="0.3">
      <c r="B1028" s="102">
        <v>44691.645833333336</v>
      </c>
      <c r="C1028" s="108">
        <v>2137.35</v>
      </c>
      <c r="D1028" s="261">
        <f t="shared" si="19"/>
        <v>-2.1001282521069951E-2</v>
      </c>
      <c r="E1028" s="261">
        <v>-7.7793253388591353E-3</v>
      </c>
      <c r="F1028">
        <v>1026</v>
      </c>
      <c r="G1028" s="259">
        <f ca="1">_xlfn.NORM.INV(RAND(),'VAR Historical Approach'!K$4,'VAR Historical Approach'!K$5)</f>
        <v>3.5595979344622615E-2</v>
      </c>
    </row>
    <row r="1029" spans="2:7" x14ac:dyDescent="0.3">
      <c r="B1029" s="102">
        <v>44690.645833333336</v>
      </c>
      <c r="C1029" s="108">
        <v>2183.1999999999998</v>
      </c>
      <c r="D1029" s="261">
        <f t="shared" si="19"/>
        <v>-1.156762874929267E-2</v>
      </c>
      <c r="E1029" s="261">
        <v>-7.8055477867330653E-3</v>
      </c>
      <c r="F1029">
        <v>1027</v>
      </c>
      <c r="G1029" s="259">
        <f ca="1">_xlfn.NORM.INV(RAND(),'VAR Historical Approach'!K$4,'VAR Historical Approach'!K$5)</f>
        <v>1.0189166623663592E-2</v>
      </c>
    </row>
    <row r="1030" spans="2:7" x14ac:dyDescent="0.3">
      <c r="B1030" s="102">
        <v>44687.645833333336</v>
      </c>
      <c r="C1030" s="108">
        <v>2208.75</v>
      </c>
      <c r="D1030" s="261">
        <f t="shared" si="19"/>
        <v>-2.3541114058355437E-2</v>
      </c>
      <c r="E1030" s="261">
        <v>-7.8622691718409805E-3</v>
      </c>
      <c r="F1030">
        <v>1028</v>
      </c>
      <c r="G1030" s="259">
        <f ca="1">_xlfn.NORM.INV(RAND(),'VAR Historical Approach'!K$4,'VAR Historical Approach'!K$5)</f>
        <v>-4.5698008783403967E-3</v>
      </c>
    </row>
    <row r="1031" spans="2:7" x14ac:dyDescent="0.3">
      <c r="B1031" s="102">
        <v>44686.645833333336</v>
      </c>
      <c r="C1031" s="108">
        <v>2262</v>
      </c>
      <c r="D1031" s="261">
        <f t="shared" si="19"/>
        <v>-1.2205506670451241E-2</v>
      </c>
      <c r="E1031" s="261">
        <v>-7.8700629928910928E-3</v>
      </c>
      <c r="F1031">
        <v>1029</v>
      </c>
      <c r="G1031" s="259">
        <f ca="1">_xlfn.NORM.INV(RAND(),'VAR Historical Approach'!K$4,'VAR Historical Approach'!K$5)</f>
        <v>6.8517162633114801E-5</v>
      </c>
    </row>
    <row r="1032" spans="2:7" x14ac:dyDescent="0.3">
      <c r="B1032" s="102">
        <v>44685.645833333336</v>
      </c>
      <c r="C1032" s="108">
        <v>2289.9499999999998</v>
      </c>
      <c r="D1032" s="261">
        <f t="shared" si="19"/>
        <v>-4.0476838951624877E-2</v>
      </c>
      <c r="E1032" s="261">
        <v>-7.8748092482220228E-3</v>
      </c>
      <c r="F1032">
        <v>1030</v>
      </c>
      <c r="G1032" s="259">
        <f ca="1">_xlfn.NORM.INV(RAND(),'VAR Historical Approach'!K$4,'VAR Historical Approach'!K$5)</f>
        <v>1.0481714443119473E-2</v>
      </c>
    </row>
    <row r="1033" spans="2:7" x14ac:dyDescent="0.3">
      <c r="B1033" s="102">
        <v>44683.645833333336</v>
      </c>
      <c r="C1033" s="108">
        <v>2386.5500000000002</v>
      </c>
      <c r="D1033" s="261">
        <f t="shared" si="19"/>
        <v>-2.9147343584736654E-2</v>
      </c>
      <c r="E1033" s="261">
        <v>-7.8826694963427934E-3</v>
      </c>
      <c r="F1033">
        <v>1031</v>
      </c>
      <c r="G1033" s="259">
        <f ca="1">_xlfn.NORM.INV(RAND(),'VAR Historical Approach'!K$4,'VAR Historical Approach'!K$5)</f>
        <v>-1.1736148423552171E-2</v>
      </c>
    </row>
    <row r="1034" spans="2:7" x14ac:dyDescent="0.3">
      <c r="B1034" s="102">
        <v>44680.645833333336</v>
      </c>
      <c r="C1034" s="108">
        <v>2458.1999999999998</v>
      </c>
      <c r="D1034" s="261">
        <f t="shared" si="19"/>
        <v>-2.1884450103453766E-2</v>
      </c>
      <c r="E1034" s="261">
        <v>-7.9018338727077087E-3</v>
      </c>
      <c r="F1034">
        <v>1032</v>
      </c>
      <c r="G1034" s="259">
        <f ca="1">_xlfn.NORM.INV(RAND(),'VAR Historical Approach'!K$4,'VAR Historical Approach'!K$5)</f>
        <v>2.1256617575472345E-2</v>
      </c>
    </row>
    <row r="1035" spans="2:7" x14ac:dyDescent="0.3">
      <c r="B1035" s="102">
        <v>44679.645833333336</v>
      </c>
      <c r="C1035" s="108">
        <v>2513.1999999999998</v>
      </c>
      <c r="D1035" s="261">
        <f t="shared" si="19"/>
        <v>8.3655987321202517E-3</v>
      </c>
      <c r="E1035" s="261">
        <v>-8.0081276519452221E-3</v>
      </c>
      <c r="F1035">
        <v>1033</v>
      </c>
      <c r="G1035" s="259">
        <f ca="1">_xlfn.NORM.INV(RAND(),'VAR Historical Approach'!K$4,'VAR Historical Approach'!K$5)</f>
        <v>2.0585127318552204E-2</v>
      </c>
    </row>
    <row r="1036" spans="2:7" x14ac:dyDescent="0.3">
      <c r="B1036" s="102">
        <v>44678.645833333336</v>
      </c>
      <c r="C1036" s="108">
        <v>2492.35</v>
      </c>
      <c r="D1036" s="261">
        <f t="shared" si="19"/>
        <v>-2.1917431912722673E-2</v>
      </c>
      <c r="E1036" s="261">
        <v>-8.0291303552929381E-3</v>
      </c>
      <c r="F1036">
        <v>1034</v>
      </c>
      <c r="G1036" s="259">
        <f ca="1">_xlfn.NORM.INV(RAND(),'VAR Historical Approach'!K$4,'VAR Historical Approach'!K$5)</f>
        <v>-2.792241787028558E-4</v>
      </c>
    </row>
    <row r="1037" spans="2:7" x14ac:dyDescent="0.3">
      <c r="B1037" s="102">
        <v>44677.645833333336</v>
      </c>
      <c r="C1037" s="108">
        <v>2548.1999999999998</v>
      </c>
      <c r="D1037" s="261">
        <f t="shared" si="19"/>
        <v>3.8428623823301568E-2</v>
      </c>
      <c r="E1037" s="261">
        <v>-8.0614760040597887E-3</v>
      </c>
      <c r="F1037">
        <v>1035</v>
      </c>
      <c r="G1037" s="259">
        <f ca="1">_xlfn.NORM.INV(RAND(),'VAR Historical Approach'!K$4,'VAR Historical Approach'!K$5)</f>
        <v>5.8945950146839406E-3</v>
      </c>
    </row>
    <row r="1038" spans="2:7" x14ac:dyDescent="0.3">
      <c r="B1038" s="102">
        <v>44676.645833333336</v>
      </c>
      <c r="C1038" s="108">
        <v>2453.9</v>
      </c>
      <c r="D1038" s="261">
        <f t="shared" si="19"/>
        <v>-2.3401122298722384E-2</v>
      </c>
      <c r="E1038" s="261">
        <v>-8.0792285639823044E-3</v>
      </c>
      <c r="F1038">
        <v>1036</v>
      </c>
      <c r="G1038" s="259">
        <f ca="1">_xlfn.NORM.INV(RAND(),'VAR Historical Approach'!K$4,'VAR Historical Approach'!K$5)</f>
        <v>1.4095269088480542E-3</v>
      </c>
    </row>
    <row r="1039" spans="2:7" x14ac:dyDescent="0.3">
      <c r="B1039" s="102">
        <v>44673.645833333336</v>
      </c>
      <c r="C1039" s="108">
        <v>2512.6999999999998</v>
      </c>
      <c r="D1039" s="261">
        <f t="shared" si="19"/>
        <v>-3.2923443078144315E-3</v>
      </c>
      <c r="E1039" s="261">
        <v>-8.1097824250501837E-3</v>
      </c>
      <c r="F1039">
        <v>1037</v>
      </c>
      <c r="G1039" s="259">
        <f ca="1">_xlfn.NORM.INV(RAND(),'VAR Historical Approach'!K$4,'VAR Historical Approach'!K$5)</f>
        <v>-1.4530742961947446E-2</v>
      </c>
    </row>
    <row r="1040" spans="2:7" x14ac:dyDescent="0.3">
      <c r="B1040" s="102">
        <v>44672.645833333336</v>
      </c>
      <c r="C1040" s="108">
        <v>2521</v>
      </c>
      <c r="D1040" s="261">
        <f t="shared" si="19"/>
        <v>1.542675313167124E-2</v>
      </c>
      <c r="E1040" s="261">
        <v>-8.2225119513255427E-3</v>
      </c>
      <c r="F1040">
        <v>1038</v>
      </c>
      <c r="G1040" s="259">
        <f ca="1">_xlfn.NORM.INV(RAND(),'VAR Historical Approach'!K$4,'VAR Historical Approach'!K$5)</f>
        <v>-8.7934202174257299E-3</v>
      </c>
    </row>
    <row r="1041" spans="2:7" x14ac:dyDescent="0.3">
      <c r="B1041" s="102">
        <v>44671.645833333336</v>
      </c>
      <c r="C1041" s="108">
        <v>2482.6999999999998</v>
      </c>
      <c r="D1041" s="261">
        <f t="shared" si="19"/>
        <v>1.2272690206311632E-2</v>
      </c>
      <c r="E1041" s="261">
        <v>-8.2322944638836652E-3</v>
      </c>
      <c r="F1041">
        <v>1039</v>
      </c>
      <c r="G1041" s="259">
        <f ca="1">_xlfn.NORM.INV(RAND(),'VAR Historical Approach'!K$4,'VAR Historical Approach'!K$5)</f>
        <v>8.2184878798492924E-3</v>
      </c>
    </row>
    <row r="1042" spans="2:7" x14ac:dyDescent="0.3">
      <c r="B1042" s="102">
        <v>44670.645833333336</v>
      </c>
      <c r="C1042" s="108">
        <v>2452.6</v>
      </c>
      <c r="D1042" s="261">
        <f t="shared" si="19"/>
        <v>-1.6382923258938382E-2</v>
      </c>
      <c r="E1042" s="261">
        <v>-8.2447783070721866E-3</v>
      </c>
      <c r="F1042">
        <v>1040</v>
      </c>
      <c r="G1042" s="259">
        <f ca="1">_xlfn.NORM.INV(RAND(),'VAR Historical Approach'!K$4,'VAR Historical Approach'!K$5)</f>
        <v>-2.7161323894157655E-2</v>
      </c>
    </row>
    <row r="1043" spans="2:7" x14ac:dyDescent="0.3">
      <c r="B1043" s="102">
        <v>44669.645833333336</v>
      </c>
      <c r="C1043" s="108">
        <v>2493.4499999999998</v>
      </c>
      <c r="D1043" s="261">
        <f t="shared" si="19"/>
        <v>1.3041623499299129E-2</v>
      </c>
      <c r="E1043" s="261">
        <v>-8.2491637166704854E-3</v>
      </c>
      <c r="F1043">
        <v>1041</v>
      </c>
      <c r="G1043" s="259">
        <f ca="1">_xlfn.NORM.INV(RAND(),'VAR Historical Approach'!K$4,'VAR Historical Approach'!K$5)</f>
        <v>-2.0483985008647272E-3</v>
      </c>
    </row>
    <row r="1044" spans="2:7" x14ac:dyDescent="0.3">
      <c r="B1044" s="102">
        <v>44664.645833333336</v>
      </c>
      <c r="C1044" s="108">
        <v>2461.35</v>
      </c>
      <c r="D1044" s="261">
        <f t="shared" si="19"/>
        <v>-1.0790933204726273E-2</v>
      </c>
      <c r="E1044" s="261">
        <v>-8.2962516026849689E-3</v>
      </c>
      <c r="F1044">
        <v>1042</v>
      </c>
      <c r="G1044" s="259">
        <f ca="1">_xlfn.NORM.INV(RAND(),'VAR Historical Approach'!K$4,'VAR Historical Approach'!K$5)</f>
        <v>3.3439832439299583E-3</v>
      </c>
    </row>
    <row r="1045" spans="2:7" x14ac:dyDescent="0.3">
      <c r="B1045" s="102">
        <v>44663.645833333336</v>
      </c>
      <c r="C1045" s="108">
        <v>2488.1999999999998</v>
      </c>
      <c r="D1045" s="261">
        <f t="shared" si="19"/>
        <v>-6.6269052352555013E-4</v>
      </c>
      <c r="E1045" s="261">
        <v>-8.2981715893108293E-3</v>
      </c>
      <c r="F1045">
        <v>1043</v>
      </c>
      <c r="G1045" s="259">
        <f ca="1">_xlfn.NORM.INV(RAND(),'VAR Historical Approach'!K$4,'VAR Historical Approach'!K$5)</f>
        <v>-1.2029097775858935E-3</v>
      </c>
    </row>
    <row r="1046" spans="2:7" x14ac:dyDescent="0.3">
      <c r="B1046" s="102">
        <v>44662.645833333336</v>
      </c>
      <c r="C1046" s="108">
        <v>2489.85</v>
      </c>
      <c r="D1046" s="261">
        <f t="shared" si="19"/>
        <v>-8.0081276519452221E-3</v>
      </c>
      <c r="E1046" s="261">
        <v>-8.3032490974729659E-3</v>
      </c>
      <c r="F1046">
        <v>1044</v>
      </c>
      <c r="G1046" s="259">
        <f ca="1">_xlfn.NORM.INV(RAND(),'VAR Historical Approach'!K$4,'VAR Historical Approach'!K$5)</f>
        <v>-1.5400864032443355E-3</v>
      </c>
    </row>
    <row r="1047" spans="2:7" x14ac:dyDescent="0.3">
      <c r="B1047" s="102">
        <v>44659.645833333336</v>
      </c>
      <c r="C1047" s="108">
        <v>2509.9499999999998</v>
      </c>
      <c r="D1047" s="261">
        <f t="shared" si="19"/>
        <v>2.0989688205503655E-2</v>
      </c>
      <c r="E1047" s="261">
        <v>-8.3267364470635472E-3</v>
      </c>
      <c r="F1047">
        <v>1045</v>
      </c>
      <c r="G1047" s="259">
        <f ca="1">_xlfn.NORM.INV(RAND(),'VAR Historical Approach'!K$4,'VAR Historical Approach'!K$5)</f>
        <v>9.5643149911108557E-3</v>
      </c>
    </row>
    <row r="1048" spans="2:7" x14ac:dyDescent="0.3">
      <c r="B1048" s="102">
        <v>44658.645833333336</v>
      </c>
      <c r="C1048" s="108">
        <v>2458.35</v>
      </c>
      <c r="D1048" s="261">
        <f t="shared" si="19"/>
        <v>-3.2164721166906267E-2</v>
      </c>
      <c r="E1048" s="261">
        <v>-8.3441187666540052E-3</v>
      </c>
      <c r="F1048">
        <v>1046</v>
      </c>
      <c r="G1048" s="259">
        <f ca="1">_xlfn.NORM.INV(RAND(),'VAR Historical Approach'!K$4,'VAR Historical Approach'!K$5)</f>
        <v>2.881819309723263E-3</v>
      </c>
    </row>
    <row r="1049" spans="2:7" x14ac:dyDescent="0.3">
      <c r="B1049" s="102">
        <v>44657.645833333336</v>
      </c>
      <c r="C1049" s="108">
        <v>2540.0500000000002</v>
      </c>
      <c r="D1049" s="261">
        <f t="shared" si="19"/>
        <v>-3.5893613682722566E-3</v>
      </c>
      <c r="E1049" s="261">
        <v>-8.3863238411206343E-3</v>
      </c>
      <c r="F1049">
        <v>1047</v>
      </c>
      <c r="G1049" s="259">
        <f ca="1">_xlfn.NORM.INV(RAND(),'VAR Historical Approach'!K$4,'VAR Historical Approach'!K$5)</f>
        <v>-1.2227133686754281E-3</v>
      </c>
    </row>
    <row r="1050" spans="2:7" x14ac:dyDescent="0.3">
      <c r="B1050" s="102">
        <v>44656.645833333336</v>
      </c>
      <c r="C1050" s="108">
        <v>2549.1999999999998</v>
      </c>
      <c r="D1050" s="261">
        <f t="shared" si="19"/>
        <v>1.2793007548668979E-2</v>
      </c>
      <c r="E1050" s="261">
        <v>-8.4622001720447686E-3</v>
      </c>
      <c r="F1050">
        <v>1048</v>
      </c>
      <c r="G1050" s="259">
        <f ca="1">_xlfn.NORM.INV(RAND(),'VAR Historical Approach'!K$4,'VAR Historical Approach'!K$5)</f>
        <v>1.0141473229574531E-2</v>
      </c>
    </row>
    <row r="1051" spans="2:7" x14ac:dyDescent="0.3">
      <c r="B1051" s="102">
        <v>44655.645833333336</v>
      </c>
      <c r="C1051" s="108">
        <v>2517</v>
      </c>
      <c r="D1051" s="261">
        <f t="shared" si="19"/>
        <v>-1.5272626296685282E-3</v>
      </c>
      <c r="E1051" s="261">
        <v>-8.4846837870072352E-3</v>
      </c>
      <c r="F1051">
        <v>1049</v>
      </c>
      <c r="G1051" s="259">
        <f ca="1">_xlfn.NORM.INV(RAND(),'VAR Historical Approach'!K$4,'VAR Historical Approach'!K$5)</f>
        <v>9.4784932285070216E-3</v>
      </c>
    </row>
    <row r="1052" spans="2:7" x14ac:dyDescent="0.3">
      <c r="B1052" s="102">
        <v>44652.645833333336</v>
      </c>
      <c r="C1052" s="108">
        <v>2520.85</v>
      </c>
      <c r="D1052" s="261">
        <f t="shared" si="19"/>
        <v>-6.0327662007374095E-3</v>
      </c>
      <c r="E1052" s="261">
        <v>-8.5058954654777964E-3</v>
      </c>
      <c r="F1052">
        <v>1050</v>
      </c>
      <c r="G1052" s="259">
        <f ca="1">_xlfn.NORM.INV(RAND(),'VAR Historical Approach'!K$4,'VAR Historical Approach'!K$5)</f>
        <v>2.4947705564648894E-2</v>
      </c>
    </row>
    <row r="1053" spans="2:7" x14ac:dyDescent="0.3">
      <c r="B1053" s="102">
        <v>44651.645833333336</v>
      </c>
      <c r="C1053" s="108">
        <v>2536.15</v>
      </c>
      <c r="D1053" s="261">
        <f t="shared" si="19"/>
        <v>5.1522897964845528E-3</v>
      </c>
      <c r="E1053" s="261">
        <v>-8.5237759656364605E-3</v>
      </c>
      <c r="F1053">
        <v>1051</v>
      </c>
      <c r="G1053" s="259">
        <f ca="1">_xlfn.NORM.INV(RAND(),'VAR Historical Approach'!K$4,'VAR Historical Approach'!K$5)</f>
        <v>2.150078833246926E-2</v>
      </c>
    </row>
    <row r="1054" spans="2:7" x14ac:dyDescent="0.3">
      <c r="B1054" s="102">
        <v>44650.645833333336</v>
      </c>
      <c r="C1054" s="108">
        <v>2523.15</v>
      </c>
      <c r="D1054" s="261">
        <f t="shared" si="19"/>
        <v>-6.1643296045376123E-3</v>
      </c>
      <c r="E1054" s="261">
        <v>-8.5446078793702685E-3</v>
      </c>
      <c r="F1054">
        <v>1052</v>
      </c>
      <c r="G1054" s="259">
        <f ca="1">_xlfn.NORM.INV(RAND(),'VAR Historical Approach'!K$4,'VAR Historical Approach'!K$5)</f>
        <v>1.243502296605307E-2</v>
      </c>
    </row>
    <row r="1055" spans="2:7" x14ac:dyDescent="0.3">
      <c r="B1055" s="102">
        <v>44649.645833333336</v>
      </c>
      <c r="C1055" s="108">
        <v>2538.8000000000002</v>
      </c>
      <c r="D1055" s="261">
        <f t="shared" si="19"/>
        <v>1.1435782168066923E-3</v>
      </c>
      <c r="E1055" s="261">
        <v>-8.5535554704456503E-3</v>
      </c>
      <c r="F1055">
        <v>1053</v>
      </c>
      <c r="G1055" s="259">
        <f ca="1">_xlfn.NORM.INV(RAND(),'VAR Historical Approach'!K$4,'VAR Historical Approach'!K$5)</f>
        <v>-9.7069864946593525E-3</v>
      </c>
    </row>
    <row r="1056" spans="2:7" x14ac:dyDescent="0.3">
      <c r="B1056" s="102">
        <v>44648.645833333336</v>
      </c>
      <c r="C1056" s="108">
        <v>2535.9</v>
      </c>
      <c r="D1056" s="261">
        <f t="shared" si="19"/>
        <v>4.7545465351242124E-3</v>
      </c>
      <c r="E1056" s="261">
        <v>-8.5581800641085486E-3</v>
      </c>
      <c r="F1056">
        <v>1054</v>
      </c>
      <c r="G1056" s="259">
        <f ca="1">_xlfn.NORM.INV(RAND(),'VAR Historical Approach'!K$4,'VAR Historical Approach'!K$5)</f>
        <v>-6.4471702531007343E-3</v>
      </c>
    </row>
    <row r="1057" spans="2:7" x14ac:dyDescent="0.3">
      <c r="B1057" s="102">
        <v>44645.645833333336</v>
      </c>
      <c r="C1057" s="108">
        <v>2523.9</v>
      </c>
      <c r="D1057" s="261">
        <f t="shared" si="19"/>
        <v>-3.6127553943097156E-2</v>
      </c>
      <c r="E1057" s="261">
        <v>-8.6480082926106375E-3</v>
      </c>
      <c r="F1057">
        <v>1055</v>
      </c>
      <c r="G1057" s="259">
        <f ca="1">_xlfn.NORM.INV(RAND(),'VAR Historical Approach'!K$4,'VAR Historical Approach'!K$5)</f>
        <v>1.6493007195099709E-3</v>
      </c>
    </row>
    <row r="1058" spans="2:7" x14ac:dyDescent="0.3">
      <c r="B1058" s="102">
        <v>44644.645833333336</v>
      </c>
      <c r="C1058" s="108">
        <v>2618.5</v>
      </c>
      <c r="D1058" s="261">
        <f t="shared" si="19"/>
        <v>-2.6579925650557622E-2</v>
      </c>
      <c r="E1058" s="261">
        <v>-8.6596600988039819E-3</v>
      </c>
      <c r="F1058">
        <v>1056</v>
      </c>
      <c r="G1058" s="259">
        <f ca="1">_xlfn.NORM.INV(RAND(),'VAR Historical Approach'!K$4,'VAR Historical Approach'!K$5)</f>
        <v>1.0497886387212883E-2</v>
      </c>
    </row>
    <row r="1059" spans="2:7" x14ac:dyDescent="0.3">
      <c r="B1059" s="102">
        <v>44643.645833333336</v>
      </c>
      <c r="C1059" s="108">
        <v>2690</v>
      </c>
      <c r="D1059" s="261">
        <f t="shared" si="19"/>
        <v>-8.3863238411206343E-3</v>
      </c>
      <c r="E1059" s="261">
        <v>-8.6883313689173867E-3</v>
      </c>
      <c r="F1059">
        <v>1057</v>
      </c>
      <c r="G1059" s="259">
        <f ca="1">_xlfn.NORM.INV(RAND(),'VAR Historical Approach'!K$4,'VAR Historical Approach'!K$5)</f>
        <v>3.5310312119198758E-3</v>
      </c>
    </row>
    <row r="1060" spans="2:7" x14ac:dyDescent="0.3">
      <c r="B1060" s="102">
        <v>44642.645833333336</v>
      </c>
      <c r="C1060" s="108">
        <v>2712.75</v>
      </c>
      <c r="D1060" s="261">
        <f t="shared" si="19"/>
        <v>2.0315818635146367E-3</v>
      </c>
      <c r="E1060" s="261">
        <v>-8.7087230387478537E-3</v>
      </c>
      <c r="F1060">
        <v>1058</v>
      </c>
      <c r="G1060" s="259">
        <f ca="1">_xlfn.NORM.INV(RAND(),'VAR Historical Approach'!K$4,'VAR Historical Approach'!K$5)</f>
        <v>-2.9972121756052138E-2</v>
      </c>
    </row>
    <row r="1061" spans="2:7" x14ac:dyDescent="0.3">
      <c r="B1061" s="102">
        <v>44641.645833333336</v>
      </c>
      <c r="C1061" s="108">
        <v>2707.25</v>
      </c>
      <c r="D1061" s="261">
        <f t="shared" si="19"/>
        <v>1.5723270440251573E-3</v>
      </c>
      <c r="E1061" s="261">
        <v>-8.7290040999867206E-3</v>
      </c>
      <c r="F1061">
        <v>1059</v>
      </c>
      <c r="G1061" s="259">
        <f ca="1">_xlfn.NORM.INV(RAND(),'VAR Historical Approach'!K$4,'VAR Historical Approach'!K$5)</f>
        <v>3.3509316229070024E-2</v>
      </c>
    </row>
    <row r="1062" spans="2:7" x14ac:dyDescent="0.3">
      <c r="B1062" s="102">
        <v>44637.645833333336</v>
      </c>
      <c r="C1062" s="108">
        <v>2703</v>
      </c>
      <c r="D1062" s="261">
        <f t="shared" si="19"/>
        <v>4.4718432342596454E-2</v>
      </c>
      <c r="E1062" s="261">
        <v>-8.7323943661971395E-3</v>
      </c>
      <c r="F1062">
        <v>1060</v>
      </c>
      <c r="G1062" s="259">
        <f ca="1">_xlfn.NORM.INV(RAND(),'VAR Historical Approach'!K$4,'VAR Historical Approach'!K$5)</f>
        <v>2.8421023766732015E-2</v>
      </c>
    </row>
    <row r="1063" spans="2:7" x14ac:dyDescent="0.3">
      <c r="B1063" s="102">
        <v>44636.645833333336</v>
      </c>
      <c r="C1063" s="108">
        <v>2587.3000000000002</v>
      </c>
      <c r="D1063" s="261">
        <f t="shared" si="19"/>
        <v>1.1869610277870262E-2</v>
      </c>
      <c r="E1063" s="261">
        <v>-8.7614969869964747E-3</v>
      </c>
      <c r="F1063">
        <v>1061</v>
      </c>
      <c r="G1063" s="259">
        <f ca="1">_xlfn.NORM.INV(RAND(),'VAR Historical Approach'!K$4,'VAR Historical Approach'!K$5)</f>
        <v>-6.0654684234900808E-3</v>
      </c>
    </row>
    <row r="1064" spans="2:7" x14ac:dyDescent="0.3">
      <c r="B1064" s="102">
        <v>44635.645833333336</v>
      </c>
      <c r="C1064" s="108">
        <v>2556.9499999999998</v>
      </c>
      <c r="D1064" s="261">
        <f t="shared" si="19"/>
        <v>7.0697124852303339E-3</v>
      </c>
      <c r="E1064" s="261">
        <v>-8.8477305571121011E-3</v>
      </c>
      <c r="F1064">
        <v>1062</v>
      </c>
      <c r="G1064" s="259">
        <f ca="1">_xlfn.NORM.INV(RAND(),'VAR Historical Approach'!K$4,'VAR Historical Approach'!K$5)</f>
        <v>-6.3287056260404881E-3</v>
      </c>
    </row>
    <row r="1065" spans="2:7" x14ac:dyDescent="0.3">
      <c r="B1065" s="102">
        <v>44634.645833333336</v>
      </c>
      <c r="C1065" s="108">
        <v>2539</v>
      </c>
      <c r="D1065" s="261">
        <f t="shared" si="19"/>
        <v>1.8206608918832249E-2</v>
      </c>
      <c r="E1065" s="261">
        <v>-8.8514105150949863E-3</v>
      </c>
      <c r="F1065">
        <v>1063</v>
      </c>
      <c r="G1065" s="259">
        <f ca="1">_xlfn.NORM.INV(RAND(),'VAR Historical Approach'!K$4,'VAR Historical Approach'!K$5)</f>
        <v>4.4272856542862367E-3</v>
      </c>
    </row>
    <row r="1066" spans="2:7" x14ac:dyDescent="0.3">
      <c r="B1066" s="102">
        <v>44631.645833333336</v>
      </c>
      <c r="C1066" s="108">
        <v>2493.6</v>
      </c>
      <c r="D1066" s="261">
        <f t="shared" si="19"/>
        <v>1.0454655968879052E-2</v>
      </c>
      <c r="E1066" s="261">
        <v>-8.8544548976203907E-3</v>
      </c>
      <c r="F1066">
        <v>1064</v>
      </c>
      <c r="G1066" s="259">
        <f ca="1">_xlfn.NORM.INV(RAND(),'VAR Historical Approach'!K$4,'VAR Historical Approach'!K$5)</f>
        <v>3.2863567040110173E-3</v>
      </c>
    </row>
    <row r="1067" spans="2:7" x14ac:dyDescent="0.3">
      <c r="B1067" s="102">
        <v>44630.645833333336</v>
      </c>
      <c r="C1067" s="108">
        <v>2467.8000000000002</v>
      </c>
      <c r="D1067" s="261">
        <f t="shared" si="19"/>
        <v>1.4032420438436131E-2</v>
      </c>
      <c r="E1067" s="261">
        <v>-8.8956159218247961E-3</v>
      </c>
      <c r="F1067">
        <v>1065</v>
      </c>
      <c r="G1067" s="259">
        <f ca="1">_xlfn.NORM.INV(RAND(),'VAR Historical Approach'!K$4,'VAR Historical Approach'!K$5)</f>
        <v>-1.0010906475162399E-3</v>
      </c>
    </row>
    <row r="1068" spans="2:7" x14ac:dyDescent="0.3">
      <c r="B1068" s="102">
        <v>44629.645833333336</v>
      </c>
      <c r="C1068" s="108">
        <v>2433.65</v>
      </c>
      <c r="D1068" s="261">
        <f t="shared" si="19"/>
        <v>2.6315234580917276E-2</v>
      </c>
      <c r="E1068" s="261">
        <v>-8.9205549280272616E-3</v>
      </c>
      <c r="F1068">
        <v>1066</v>
      </c>
      <c r="G1068" s="259">
        <f ca="1">_xlfn.NORM.INV(RAND(),'VAR Historical Approach'!K$4,'VAR Historical Approach'!K$5)</f>
        <v>-1.1753986932616395E-2</v>
      </c>
    </row>
    <row r="1069" spans="2:7" x14ac:dyDescent="0.3">
      <c r="B1069" s="102">
        <v>44628.645833333336</v>
      </c>
      <c r="C1069" s="108">
        <v>2371.25</v>
      </c>
      <c r="D1069" s="261">
        <f t="shared" si="19"/>
        <v>-7.7206343892538059E-3</v>
      </c>
      <c r="E1069" s="261">
        <v>-8.930368283356813E-3</v>
      </c>
      <c r="F1069">
        <v>1067</v>
      </c>
      <c r="G1069" s="259">
        <f ca="1">_xlfn.NORM.INV(RAND(),'VAR Historical Approach'!K$4,'VAR Historical Approach'!K$5)</f>
        <v>-1.2269852272375372E-2</v>
      </c>
    </row>
    <row r="1070" spans="2:7" x14ac:dyDescent="0.3">
      <c r="B1070" s="102">
        <v>44627.645833333336</v>
      </c>
      <c r="C1070" s="108">
        <v>2389.6999999999998</v>
      </c>
      <c r="D1070" s="261">
        <f t="shared" si="19"/>
        <v>-2.1015977058582623E-2</v>
      </c>
      <c r="E1070" s="261">
        <v>-8.9371701529335767E-3</v>
      </c>
      <c r="F1070">
        <v>1068</v>
      </c>
      <c r="G1070" s="259">
        <f ca="1">_xlfn.NORM.INV(RAND(),'VAR Historical Approach'!K$4,'VAR Historical Approach'!K$5)</f>
        <v>-1.5745811958092007E-2</v>
      </c>
    </row>
    <row r="1071" spans="2:7" x14ac:dyDescent="0.3">
      <c r="B1071" s="102">
        <v>44624.645833333336</v>
      </c>
      <c r="C1071" s="108">
        <v>2441</v>
      </c>
      <c r="D1071" s="261">
        <f t="shared" si="19"/>
        <v>-5.1762649315334565E-2</v>
      </c>
      <c r="E1071" s="261">
        <v>-8.9440060127771517E-3</v>
      </c>
      <c r="F1071">
        <v>1069</v>
      </c>
      <c r="G1071" s="259">
        <f ca="1">_xlfn.NORM.INV(RAND(),'VAR Historical Approach'!K$4,'VAR Historical Approach'!K$5)</f>
        <v>-4.1876600032436226E-3</v>
      </c>
    </row>
    <row r="1072" spans="2:7" x14ac:dyDescent="0.3">
      <c r="B1072" s="102">
        <v>44623.645833333336</v>
      </c>
      <c r="C1072" s="108">
        <v>2574.25</v>
      </c>
      <c r="D1072" s="261">
        <f t="shared" si="19"/>
        <v>-7.0969857096021792E-3</v>
      </c>
      <c r="E1072" s="261">
        <v>-8.9987886246082616E-3</v>
      </c>
      <c r="F1072">
        <v>1070</v>
      </c>
      <c r="G1072" s="259">
        <f ca="1">_xlfn.NORM.INV(RAND(),'VAR Historical Approach'!K$4,'VAR Historical Approach'!K$5)</f>
        <v>8.3776508485702474E-3</v>
      </c>
    </row>
    <row r="1073" spans="2:7" x14ac:dyDescent="0.3">
      <c r="B1073" s="102">
        <v>44622.645833333336</v>
      </c>
      <c r="C1073" s="108">
        <v>2592.65</v>
      </c>
      <c r="D1073" s="261">
        <f t="shared" si="19"/>
        <v>1.8102923563252205E-2</v>
      </c>
      <c r="E1073" s="261">
        <v>-9.0106355042017701E-3</v>
      </c>
      <c r="F1073">
        <v>1071</v>
      </c>
      <c r="G1073" s="259">
        <f ca="1">_xlfn.NORM.INV(RAND(),'VAR Historical Approach'!K$4,'VAR Historical Approach'!K$5)</f>
        <v>5.8373060250953611E-3</v>
      </c>
    </row>
    <row r="1074" spans="2:7" x14ac:dyDescent="0.3">
      <c r="B1074" s="102">
        <v>44620.645833333336</v>
      </c>
      <c r="C1074" s="108">
        <v>2546.5500000000002</v>
      </c>
      <c r="D1074" s="261">
        <f t="shared" si="19"/>
        <v>3.1639287812189984E-2</v>
      </c>
      <c r="E1074" s="261">
        <v>-9.0505158943161891E-3</v>
      </c>
      <c r="F1074">
        <v>1072</v>
      </c>
      <c r="G1074" s="259">
        <f ca="1">_xlfn.NORM.INV(RAND(),'VAR Historical Approach'!K$4,'VAR Historical Approach'!K$5)</f>
        <v>-2.473952638669293E-3</v>
      </c>
    </row>
    <row r="1075" spans="2:7" x14ac:dyDescent="0.3">
      <c r="B1075" s="102">
        <v>44617.645833333336</v>
      </c>
      <c r="C1075" s="108">
        <v>2468.4499999999998</v>
      </c>
      <c r="D1075" s="261">
        <f t="shared" si="19"/>
        <v>2.5700157899110742E-2</v>
      </c>
      <c r="E1075" s="261">
        <v>-9.0785292782569228E-3</v>
      </c>
      <c r="F1075">
        <v>1073</v>
      </c>
      <c r="G1075" s="259">
        <f ca="1">_xlfn.NORM.INV(RAND(),'VAR Historical Approach'!K$4,'VAR Historical Approach'!K$5)</f>
        <v>1.2836027395868225E-2</v>
      </c>
    </row>
    <row r="1076" spans="2:7" x14ac:dyDescent="0.3">
      <c r="B1076" s="102">
        <v>44616.645833333336</v>
      </c>
      <c r="C1076" s="108">
        <v>2406.6</v>
      </c>
      <c r="D1076" s="261">
        <f t="shared" si="19"/>
        <v>-3.5701406419040717E-2</v>
      </c>
      <c r="E1076" s="261">
        <v>-9.1425586103310915E-3</v>
      </c>
      <c r="F1076">
        <v>1074</v>
      </c>
      <c r="G1076" s="259">
        <f ca="1">_xlfn.NORM.INV(RAND(),'VAR Historical Approach'!K$4,'VAR Historical Approach'!K$5)</f>
        <v>-2.5760903593953614E-2</v>
      </c>
    </row>
    <row r="1077" spans="2:7" x14ac:dyDescent="0.3">
      <c r="B1077" s="102">
        <v>44615.645833333336</v>
      </c>
      <c r="C1077" s="108">
        <v>2495.6999999999998</v>
      </c>
      <c r="D1077" s="261">
        <f t="shared" si="19"/>
        <v>1.8611485245500149E-2</v>
      </c>
      <c r="E1077" s="261">
        <v>-9.1538426272597517E-3</v>
      </c>
      <c r="F1077">
        <v>1075</v>
      </c>
      <c r="G1077" s="259">
        <f ca="1">_xlfn.NORM.INV(RAND(),'VAR Historical Approach'!K$4,'VAR Historical Approach'!K$5)</f>
        <v>1.06888860704633E-2</v>
      </c>
    </row>
    <row r="1078" spans="2:7" x14ac:dyDescent="0.3">
      <c r="B1078" s="102">
        <v>44614.645833333336</v>
      </c>
      <c r="C1078" s="108">
        <v>2450.1</v>
      </c>
      <c r="D1078" s="261">
        <f t="shared" si="19"/>
        <v>-1.7316193696905494E-3</v>
      </c>
      <c r="E1078" s="261">
        <v>-9.2144184707206138E-3</v>
      </c>
      <c r="F1078">
        <v>1076</v>
      </c>
      <c r="G1078" s="259">
        <f ca="1">_xlfn.NORM.INV(RAND(),'VAR Historical Approach'!K$4,'VAR Historical Approach'!K$5)</f>
        <v>-3.1848761008592248E-2</v>
      </c>
    </row>
    <row r="1079" spans="2:7" x14ac:dyDescent="0.3">
      <c r="B1079" s="102">
        <v>44613.645833333336</v>
      </c>
      <c r="C1079" s="108">
        <v>2454.35</v>
      </c>
      <c r="D1079" s="261">
        <f t="shared" si="19"/>
        <v>-1.3901444384178032E-2</v>
      </c>
      <c r="E1079" s="261">
        <v>-9.2608525615955912E-3</v>
      </c>
      <c r="F1079">
        <v>1077</v>
      </c>
      <c r="G1079" s="259">
        <f ca="1">_xlfn.NORM.INV(RAND(),'VAR Historical Approach'!K$4,'VAR Historical Approach'!K$5)</f>
        <v>1.5050435335757664E-2</v>
      </c>
    </row>
    <row r="1080" spans="2:7" x14ac:dyDescent="0.3">
      <c r="B1080" s="102">
        <v>44610.645833333336</v>
      </c>
      <c r="C1080" s="108">
        <v>2488.9499999999998</v>
      </c>
      <c r="D1080" s="261">
        <f t="shared" si="19"/>
        <v>-1.7046366115835072E-3</v>
      </c>
      <c r="E1080" s="261">
        <v>-9.2672193970478167E-3</v>
      </c>
      <c r="F1080">
        <v>1078</v>
      </c>
      <c r="G1080" s="259">
        <f ca="1">_xlfn.NORM.INV(RAND(),'VAR Historical Approach'!K$4,'VAR Historical Approach'!K$5)</f>
        <v>-8.3652560451854818E-3</v>
      </c>
    </row>
    <row r="1081" spans="2:7" x14ac:dyDescent="0.3">
      <c r="B1081" s="102">
        <v>44609.645833333336</v>
      </c>
      <c r="C1081" s="108">
        <v>2493.1999999999998</v>
      </c>
      <c r="D1081" s="261">
        <f t="shared" si="19"/>
        <v>2.0698940937680659E-3</v>
      </c>
      <c r="E1081" s="261">
        <v>-9.2801605216955609E-3</v>
      </c>
      <c r="F1081">
        <v>1079</v>
      </c>
      <c r="G1081" s="259">
        <f ca="1">_xlfn.NORM.INV(RAND(),'VAR Historical Approach'!K$4,'VAR Historical Approach'!K$5)</f>
        <v>-3.3125518968217709E-3</v>
      </c>
    </row>
    <row r="1082" spans="2:7" x14ac:dyDescent="0.3">
      <c r="B1082" s="102">
        <v>44608.645833333336</v>
      </c>
      <c r="C1082" s="108">
        <v>2488.0500000000002</v>
      </c>
      <c r="D1082" s="261">
        <f t="shared" si="19"/>
        <v>-3.1451580592170795E-3</v>
      </c>
      <c r="E1082" s="261">
        <v>-9.3362806119480866E-3</v>
      </c>
      <c r="F1082">
        <v>1080</v>
      </c>
      <c r="G1082" s="259">
        <f ca="1">_xlfn.NORM.INV(RAND(),'VAR Historical Approach'!K$4,'VAR Historical Approach'!K$5)</f>
        <v>-1.6278638268435626E-2</v>
      </c>
    </row>
    <row r="1083" spans="2:7" x14ac:dyDescent="0.3">
      <c r="B1083" s="102">
        <v>44607.645833333336</v>
      </c>
      <c r="C1083" s="108">
        <v>2495.9</v>
      </c>
      <c r="D1083" s="261">
        <f t="shared" si="19"/>
        <v>4.0825688073394532E-2</v>
      </c>
      <c r="E1083" s="261">
        <v>-9.3508200639321783E-3</v>
      </c>
      <c r="F1083">
        <v>1081</v>
      </c>
      <c r="G1083" s="259">
        <f ca="1">_xlfn.NORM.INV(RAND(),'VAR Historical Approach'!K$4,'VAR Historical Approach'!K$5)</f>
        <v>-8.008246800604869E-3</v>
      </c>
    </row>
    <row r="1084" spans="2:7" x14ac:dyDescent="0.3">
      <c r="B1084" s="102">
        <v>44606.645833333336</v>
      </c>
      <c r="C1084" s="108">
        <v>2398</v>
      </c>
      <c r="D1084" s="261">
        <f t="shared" si="19"/>
        <v>-1.8118538233186612E-2</v>
      </c>
      <c r="E1084" s="261">
        <v>-9.3673158736973586E-3</v>
      </c>
      <c r="F1084">
        <v>1082</v>
      </c>
      <c r="G1084" s="259">
        <f ca="1">_xlfn.NORM.INV(RAND(),'VAR Historical Approach'!K$4,'VAR Historical Approach'!K$5)</f>
        <v>1.9350865824735483E-2</v>
      </c>
    </row>
    <row r="1085" spans="2:7" x14ac:dyDescent="0.3">
      <c r="B1085" s="102">
        <v>44603.645833333336</v>
      </c>
      <c r="C1085" s="108">
        <v>2442.25</v>
      </c>
      <c r="D1085" s="261">
        <f t="shared" si="19"/>
        <v>-1.9904889941208304E-2</v>
      </c>
      <c r="E1085" s="261">
        <v>-9.4238096623135131E-3</v>
      </c>
      <c r="F1085">
        <v>1083</v>
      </c>
      <c r="G1085" s="259">
        <f ca="1">_xlfn.NORM.INV(RAND(),'VAR Historical Approach'!K$4,'VAR Historical Approach'!K$5)</f>
        <v>-1.151051627576254E-2</v>
      </c>
    </row>
    <row r="1086" spans="2:7" x14ac:dyDescent="0.3">
      <c r="B1086" s="102">
        <v>44602.645833333336</v>
      </c>
      <c r="C1086" s="108">
        <v>2491.85</v>
      </c>
      <c r="D1086" s="261">
        <f t="shared" si="19"/>
        <v>2.8372504829361424E-3</v>
      </c>
      <c r="E1086" s="261">
        <v>-9.4239121527493249E-3</v>
      </c>
      <c r="F1086">
        <v>1084</v>
      </c>
      <c r="G1086" s="259">
        <f ca="1">_xlfn.NORM.INV(RAND(),'VAR Historical Approach'!K$4,'VAR Historical Approach'!K$5)</f>
        <v>-1.8799389160165322E-2</v>
      </c>
    </row>
    <row r="1087" spans="2:7" x14ac:dyDescent="0.3">
      <c r="B1087" s="102">
        <v>44601.645833333336</v>
      </c>
      <c r="C1087" s="108">
        <v>2484.8000000000002</v>
      </c>
      <c r="D1087" s="261">
        <f t="shared" si="19"/>
        <v>1.6839563767315324E-2</v>
      </c>
      <c r="E1087" s="261">
        <v>-9.4258949741516697E-3</v>
      </c>
      <c r="F1087">
        <v>1085</v>
      </c>
      <c r="G1087" s="259">
        <f ca="1">_xlfn.NORM.INV(RAND(),'VAR Historical Approach'!K$4,'VAR Historical Approach'!K$5)</f>
        <v>-1.9840889394292877E-2</v>
      </c>
    </row>
    <row r="1088" spans="2:7" x14ac:dyDescent="0.3">
      <c r="B1088" s="102">
        <v>44600.645833333336</v>
      </c>
      <c r="C1088" s="108">
        <v>2443.65</v>
      </c>
      <c r="D1088" s="261">
        <f t="shared" si="19"/>
        <v>1.4299352482151867E-2</v>
      </c>
      <c r="E1088" s="261">
        <v>-9.4659210632951837E-3</v>
      </c>
      <c r="F1088">
        <v>1086</v>
      </c>
      <c r="G1088" s="259">
        <f ca="1">_xlfn.NORM.INV(RAND(),'VAR Historical Approach'!K$4,'VAR Historical Approach'!K$5)</f>
        <v>-8.9244877523423308E-3</v>
      </c>
    </row>
    <row r="1089" spans="2:7" x14ac:dyDescent="0.3">
      <c r="B1089" s="102">
        <v>44599.645833333336</v>
      </c>
      <c r="C1089" s="108">
        <v>2409.1999999999998</v>
      </c>
      <c r="D1089" s="261">
        <f t="shared" si="19"/>
        <v>-2.5069299718754535E-2</v>
      </c>
      <c r="E1089" s="261">
        <v>-9.5021051411796169E-3</v>
      </c>
      <c r="F1089">
        <v>1087</v>
      </c>
      <c r="G1089" s="259">
        <f ca="1">_xlfn.NORM.INV(RAND(),'VAR Historical Approach'!K$4,'VAR Historical Approach'!K$5)</f>
        <v>1.6963149212183642E-2</v>
      </c>
    </row>
    <row r="1090" spans="2:7" x14ac:dyDescent="0.3">
      <c r="B1090" s="102">
        <v>44596.645833333336</v>
      </c>
      <c r="C1090" s="108">
        <v>2471.15</v>
      </c>
      <c r="D1090" s="261">
        <f t="shared" si="19"/>
        <v>-1.5353845532231874E-3</v>
      </c>
      <c r="E1090" s="261">
        <v>-9.5029239766082386E-3</v>
      </c>
      <c r="F1090">
        <v>1088</v>
      </c>
      <c r="G1090" s="259">
        <f ca="1">_xlfn.NORM.INV(RAND(),'VAR Historical Approach'!K$4,'VAR Historical Approach'!K$5)</f>
        <v>8.4415962235480976E-3</v>
      </c>
    </row>
    <row r="1091" spans="2:7" x14ac:dyDescent="0.3">
      <c r="B1091" s="102">
        <v>44595.645833333336</v>
      </c>
      <c r="C1091" s="108">
        <v>2474.9499999999998</v>
      </c>
      <c r="D1091" s="261">
        <f t="shared" ref="D1091:D1154" si="20">(C1091-C1092)/C1092</f>
        <v>4.4439935064934325E-3</v>
      </c>
      <c r="E1091" s="261">
        <v>-9.5205286398797693E-3</v>
      </c>
      <c r="F1091">
        <v>1089</v>
      </c>
      <c r="G1091" s="259">
        <f ca="1">_xlfn.NORM.INV(RAND(),'VAR Historical Approach'!K$4,'VAR Historical Approach'!K$5)</f>
        <v>-1.8796287764061548E-2</v>
      </c>
    </row>
    <row r="1092" spans="2:7" x14ac:dyDescent="0.3">
      <c r="B1092" s="102">
        <v>44594.645833333336</v>
      </c>
      <c r="C1092" s="108">
        <v>2464</v>
      </c>
      <c r="D1092" s="261">
        <f t="shared" si="20"/>
        <v>1.324122049510643E-2</v>
      </c>
      <c r="E1092" s="261">
        <v>-9.5438908001331951E-3</v>
      </c>
      <c r="F1092">
        <v>1090</v>
      </c>
      <c r="G1092" s="259">
        <f ca="1">_xlfn.NORM.INV(RAND(),'VAR Historical Approach'!K$4,'VAR Historical Approach'!K$5)</f>
        <v>1.345355387563975E-2</v>
      </c>
    </row>
    <row r="1093" spans="2:7" x14ac:dyDescent="0.3">
      <c r="B1093" s="102">
        <v>44593.645833333336</v>
      </c>
      <c r="C1093" s="108">
        <v>2431.8000000000002</v>
      </c>
      <c r="D1093" s="261">
        <f t="shared" si="20"/>
        <v>3.0292759394992159E-2</v>
      </c>
      <c r="E1093" s="261">
        <v>-9.6190493475380688E-3</v>
      </c>
      <c r="F1093">
        <v>1091</v>
      </c>
      <c r="G1093" s="259">
        <f ca="1">_xlfn.NORM.INV(RAND(),'VAR Historical Approach'!K$4,'VAR Historical Approach'!K$5)</f>
        <v>1.6740587440139967E-2</v>
      </c>
    </row>
    <row r="1094" spans="2:7" x14ac:dyDescent="0.3">
      <c r="B1094" s="102">
        <v>44592.645833333336</v>
      </c>
      <c r="C1094" s="108">
        <v>2360.3000000000002</v>
      </c>
      <c r="D1094" s="261">
        <f t="shared" si="20"/>
        <v>1.9303852133356485E-2</v>
      </c>
      <c r="E1094" s="261">
        <v>-9.6820748504251788E-3</v>
      </c>
      <c r="F1094">
        <v>1092</v>
      </c>
      <c r="G1094" s="259">
        <f ca="1">_xlfn.NORM.INV(RAND(),'VAR Historical Approach'!K$4,'VAR Historical Approach'!K$5)</f>
        <v>2.9192796910680004E-2</v>
      </c>
    </row>
    <row r="1095" spans="2:7" x14ac:dyDescent="0.3">
      <c r="B1095" s="102">
        <v>44589.645833333336</v>
      </c>
      <c r="C1095" s="108">
        <v>2315.6</v>
      </c>
      <c r="D1095" s="261">
        <f t="shared" si="20"/>
        <v>2.40254539945011E-3</v>
      </c>
      <c r="E1095" s="261">
        <v>-9.7045076447754095E-3</v>
      </c>
      <c r="F1095">
        <v>1093</v>
      </c>
      <c r="G1095" s="259">
        <f ca="1">_xlfn.NORM.INV(RAND(),'VAR Historical Approach'!K$4,'VAR Historical Approach'!K$5)</f>
        <v>-7.8366518927099893E-3</v>
      </c>
    </row>
    <row r="1096" spans="2:7" x14ac:dyDescent="0.3">
      <c r="B1096" s="102">
        <v>44588.645833333336</v>
      </c>
      <c r="C1096" s="108">
        <v>2310.0500000000002</v>
      </c>
      <c r="D1096" s="261">
        <f t="shared" si="20"/>
        <v>-2.7961287607826558E-2</v>
      </c>
      <c r="E1096" s="261">
        <v>-9.7171577806248518E-3</v>
      </c>
      <c r="F1096">
        <v>1094</v>
      </c>
      <c r="G1096" s="259">
        <f ca="1">_xlfn.NORM.INV(RAND(),'VAR Historical Approach'!K$4,'VAR Historical Approach'!K$5)</f>
        <v>-8.6971992758378344E-3</v>
      </c>
    </row>
    <row r="1097" spans="2:7" x14ac:dyDescent="0.3">
      <c r="B1097" s="102">
        <v>44586.645833333336</v>
      </c>
      <c r="C1097" s="108">
        <v>2376.5</v>
      </c>
      <c r="D1097" s="261">
        <f t="shared" si="20"/>
        <v>-1.1048459249703577E-2</v>
      </c>
      <c r="E1097" s="261">
        <v>-9.8368019164545312E-3</v>
      </c>
      <c r="F1097">
        <v>1095</v>
      </c>
      <c r="G1097" s="259">
        <f ca="1">_xlfn.NORM.INV(RAND(),'VAR Historical Approach'!K$4,'VAR Historical Approach'!K$5)</f>
        <v>-3.5236597510701646E-3</v>
      </c>
    </row>
    <row r="1098" spans="2:7" x14ac:dyDescent="0.3">
      <c r="B1098" s="102">
        <v>44585.645833333336</v>
      </c>
      <c r="C1098" s="108">
        <v>2403.0500000000002</v>
      </c>
      <c r="D1098" s="261">
        <f t="shared" si="20"/>
        <v>-4.9482823408421139E-2</v>
      </c>
      <c r="E1098" s="261">
        <v>-9.8430154466085766E-3</v>
      </c>
      <c r="F1098">
        <v>1096</v>
      </c>
      <c r="G1098" s="259">
        <f ca="1">_xlfn.NORM.INV(RAND(),'VAR Historical Approach'!K$4,'VAR Historical Approach'!K$5)</f>
        <v>1.0471595003460137E-2</v>
      </c>
    </row>
    <row r="1099" spans="2:7" x14ac:dyDescent="0.3">
      <c r="B1099" s="102">
        <v>44582.645833333336</v>
      </c>
      <c r="C1099" s="108">
        <v>2528.15</v>
      </c>
      <c r="D1099" s="261">
        <f t="shared" si="20"/>
        <v>-1.4097414499083605E-2</v>
      </c>
      <c r="E1099" s="261">
        <v>-9.9076015218573146E-3</v>
      </c>
      <c r="F1099">
        <v>1097</v>
      </c>
      <c r="G1099" s="259">
        <f ca="1">_xlfn.NORM.INV(RAND(),'VAR Historical Approach'!K$4,'VAR Historical Approach'!K$5)</f>
        <v>3.6352695391569698E-2</v>
      </c>
    </row>
    <row r="1100" spans="2:7" x14ac:dyDescent="0.3">
      <c r="B1100" s="102">
        <v>44581.645833333336</v>
      </c>
      <c r="C1100" s="108">
        <v>2564.3000000000002</v>
      </c>
      <c r="D1100" s="261">
        <f t="shared" si="20"/>
        <v>-9.5021051411796169E-3</v>
      </c>
      <c r="E1100" s="261">
        <v>-9.9457370103322139E-3</v>
      </c>
      <c r="F1100">
        <v>1098</v>
      </c>
      <c r="G1100" s="259">
        <f ca="1">_xlfn.NORM.INV(RAND(),'VAR Historical Approach'!K$4,'VAR Historical Approach'!K$5)</f>
        <v>-1.0336781583276227E-2</v>
      </c>
    </row>
    <row r="1101" spans="2:7" x14ac:dyDescent="0.3">
      <c r="B1101" s="102">
        <v>44580.645833333336</v>
      </c>
      <c r="C1101" s="108">
        <v>2588.9</v>
      </c>
      <c r="D1101" s="261">
        <f t="shared" si="20"/>
        <v>-4.4989617780511488E-3</v>
      </c>
      <c r="E1101" s="261">
        <v>-9.9811844816772369E-3</v>
      </c>
      <c r="F1101">
        <v>1099</v>
      </c>
      <c r="G1101" s="259">
        <f ca="1">_xlfn.NORM.INV(RAND(),'VAR Historical Approach'!K$4,'VAR Historical Approach'!K$5)</f>
        <v>-3.0985394306176049E-2</v>
      </c>
    </row>
    <row r="1102" spans="2:7" x14ac:dyDescent="0.3">
      <c r="B1102" s="102">
        <v>44579.645833333336</v>
      </c>
      <c r="C1102" s="108">
        <v>2600.6</v>
      </c>
      <c r="D1102" s="261">
        <f t="shared" si="20"/>
        <v>1.1741833650939259E-3</v>
      </c>
      <c r="E1102" s="261">
        <v>-1.0053582279180271E-2</v>
      </c>
      <c r="F1102">
        <v>1100</v>
      </c>
      <c r="G1102" s="259">
        <f ca="1">_xlfn.NORM.INV(RAND(),'VAR Historical Approach'!K$4,'VAR Historical Approach'!K$5)</f>
        <v>8.8093341388783466E-3</v>
      </c>
    </row>
    <row r="1103" spans="2:7" x14ac:dyDescent="0.3">
      <c r="B1103" s="102">
        <v>44578.645833333336</v>
      </c>
      <c r="C1103" s="108">
        <v>2597.5500000000002</v>
      </c>
      <c r="D1103" s="261">
        <f t="shared" si="20"/>
        <v>1.8513161700897433E-3</v>
      </c>
      <c r="E1103" s="261">
        <v>-1.0054419962835057E-2</v>
      </c>
      <c r="F1103">
        <v>1101</v>
      </c>
      <c r="G1103" s="259">
        <f ca="1">_xlfn.NORM.INV(RAND(),'VAR Historical Approach'!K$4,'VAR Historical Approach'!K$5)</f>
        <v>3.2860709937087666E-2</v>
      </c>
    </row>
    <row r="1104" spans="2:7" x14ac:dyDescent="0.3">
      <c r="B1104" s="102">
        <v>44575.645833333336</v>
      </c>
      <c r="C1104" s="108">
        <v>2592.75</v>
      </c>
      <c r="D1104" s="261">
        <f t="shared" si="20"/>
        <v>-1.0117400019089434E-2</v>
      </c>
      <c r="E1104" s="261">
        <v>-1.005527460896149E-2</v>
      </c>
      <c r="F1104">
        <v>1102</v>
      </c>
      <c r="G1104" s="259">
        <f ca="1">_xlfn.NORM.INV(RAND(),'VAR Historical Approach'!K$4,'VAR Historical Approach'!K$5)</f>
        <v>-1.2034358384011099E-2</v>
      </c>
    </row>
    <row r="1105" spans="2:7" x14ac:dyDescent="0.3">
      <c r="B1105" s="102">
        <v>44574.645833333336</v>
      </c>
      <c r="C1105" s="108">
        <v>2619.25</v>
      </c>
      <c r="D1105" s="261">
        <f t="shared" si="20"/>
        <v>2.4110679500182483E-3</v>
      </c>
      <c r="E1105" s="261">
        <v>-1.0117400019089434E-2</v>
      </c>
      <c r="F1105">
        <v>1103</v>
      </c>
      <c r="G1105" s="259">
        <f ca="1">_xlfn.NORM.INV(RAND(),'VAR Historical Approach'!K$4,'VAR Historical Approach'!K$5)</f>
        <v>-1.2454644211546172E-2</v>
      </c>
    </row>
    <row r="1106" spans="2:7" x14ac:dyDescent="0.3">
      <c r="B1106" s="102">
        <v>44573.645833333336</v>
      </c>
      <c r="C1106" s="108">
        <v>2612.9499999999998</v>
      </c>
      <c r="D1106" s="261">
        <f t="shared" si="20"/>
        <v>-1.5226035012342922E-2</v>
      </c>
      <c r="E1106" s="261">
        <v>-1.016355561974208E-2</v>
      </c>
      <c r="F1106">
        <v>1104</v>
      </c>
      <c r="G1106" s="259">
        <f ca="1">_xlfn.NORM.INV(RAND(),'VAR Historical Approach'!K$4,'VAR Historical Approach'!K$5)</f>
        <v>-4.0893750566272282E-3</v>
      </c>
    </row>
    <row r="1107" spans="2:7" x14ac:dyDescent="0.3">
      <c r="B1107" s="102">
        <v>44572.645833333336</v>
      </c>
      <c r="C1107" s="108">
        <v>2653.35</v>
      </c>
      <c r="D1107" s="261">
        <f t="shared" si="20"/>
        <v>-1.5616180620884631E-3</v>
      </c>
      <c r="E1107" s="261">
        <v>-1.020225878803528E-2</v>
      </c>
      <c r="F1107">
        <v>1105</v>
      </c>
      <c r="G1107" s="259">
        <f ca="1">_xlfn.NORM.INV(RAND(),'VAR Historical Approach'!K$4,'VAR Historical Approach'!K$5)</f>
        <v>9.030034921889235E-4</v>
      </c>
    </row>
    <row r="1108" spans="2:7" x14ac:dyDescent="0.3">
      <c r="B1108" s="102">
        <v>44571.645833333336</v>
      </c>
      <c r="C1108" s="108">
        <v>2657.5</v>
      </c>
      <c r="D1108" s="261">
        <f t="shared" si="20"/>
        <v>3.296148015703354E-2</v>
      </c>
      <c r="E1108" s="261">
        <v>-1.0225523656561552E-2</v>
      </c>
      <c r="F1108">
        <v>1106</v>
      </c>
      <c r="G1108" s="259">
        <f ca="1">_xlfn.NORM.INV(RAND(),'VAR Historical Approach'!K$4,'VAR Historical Approach'!K$5)</f>
        <v>1.0698849869452085E-2</v>
      </c>
    </row>
    <row r="1109" spans="2:7" x14ac:dyDescent="0.3">
      <c r="B1109" s="102">
        <v>44568.645833333336</v>
      </c>
      <c r="C1109" s="108">
        <v>2572.6999999999998</v>
      </c>
      <c r="D1109" s="261">
        <f t="shared" si="20"/>
        <v>-8.9371701529335767E-3</v>
      </c>
      <c r="E1109" s="261">
        <v>-1.0253048380752566E-2</v>
      </c>
      <c r="F1109">
        <v>1107</v>
      </c>
      <c r="G1109" s="259">
        <f ca="1">_xlfn.NORM.INV(RAND(),'VAR Historical Approach'!K$4,'VAR Historical Approach'!K$5)</f>
        <v>-2.807417940720152E-2</v>
      </c>
    </row>
    <row r="1110" spans="2:7" x14ac:dyDescent="0.3">
      <c r="B1110" s="102">
        <v>44567.645833333336</v>
      </c>
      <c r="C1110" s="108">
        <v>2595.9</v>
      </c>
      <c r="D1110" s="261">
        <f t="shared" si="20"/>
        <v>7.6664790481920696E-3</v>
      </c>
      <c r="E1110" s="261">
        <v>-1.0255134477706805E-2</v>
      </c>
      <c r="F1110">
        <v>1108</v>
      </c>
      <c r="G1110" s="259">
        <f ca="1">_xlfn.NORM.INV(RAND(),'VAR Historical Approach'!K$4,'VAR Historical Approach'!K$5)</f>
        <v>-1.509143574627927E-2</v>
      </c>
    </row>
    <row r="1111" spans="2:7" x14ac:dyDescent="0.3">
      <c r="B1111" s="102">
        <v>44566.645833333336</v>
      </c>
      <c r="C1111" s="108">
        <v>2576.15</v>
      </c>
      <c r="D1111" s="261">
        <f t="shared" si="20"/>
        <v>-2.6519550909794459E-3</v>
      </c>
      <c r="E1111" s="261">
        <v>-1.0302894786631975E-2</v>
      </c>
      <c r="F1111">
        <v>1109</v>
      </c>
      <c r="G1111" s="259">
        <f ca="1">_xlfn.NORM.INV(RAND(),'VAR Historical Approach'!K$4,'VAR Historical Approach'!K$5)</f>
        <v>1.1326253177456223E-3</v>
      </c>
    </row>
    <row r="1112" spans="2:7" x14ac:dyDescent="0.3">
      <c r="B1112" s="102">
        <v>44565.645833333336</v>
      </c>
      <c r="C1112" s="108">
        <v>2583</v>
      </c>
      <c r="D1112" s="261">
        <f t="shared" si="20"/>
        <v>2.3436416585771773E-2</v>
      </c>
      <c r="E1112" s="261">
        <v>-1.0425750440865876E-2</v>
      </c>
      <c r="F1112">
        <v>1110</v>
      </c>
      <c r="G1112" s="259">
        <f ca="1">_xlfn.NORM.INV(RAND(),'VAR Historical Approach'!K$4,'VAR Historical Approach'!K$5)</f>
        <v>-1.0848216050855624E-2</v>
      </c>
    </row>
    <row r="1113" spans="2:7" x14ac:dyDescent="0.3">
      <c r="B1113" s="102">
        <v>44564.645833333336</v>
      </c>
      <c r="C1113" s="108">
        <v>2523.85</v>
      </c>
      <c r="D1113" s="261">
        <f t="shared" si="20"/>
        <v>5.7484934982549084E-4</v>
      </c>
      <c r="E1113" s="261">
        <v>-1.0434197239986537E-2</v>
      </c>
      <c r="F1113">
        <v>1111</v>
      </c>
      <c r="G1113" s="259">
        <f ca="1">_xlfn.NORM.INV(RAND(),'VAR Historical Approach'!K$4,'VAR Historical Approach'!K$5)</f>
        <v>-2.6051987788023201E-4</v>
      </c>
    </row>
    <row r="1114" spans="2:7" x14ac:dyDescent="0.3">
      <c r="B1114" s="102">
        <v>44561.645833333336</v>
      </c>
      <c r="C1114" s="108">
        <v>2522.4</v>
      </c>
      <c r="D1114" s="261">
        <f t="shared" si="20"/>
        <v>3.4915685389570385E-2</v>
      </c>
      <c r="E1114" s="261">
        <v>-1.0458744950605963E-2</v>
      </c>
      <c r="F1114">
        <v>1112</v>
      </c>
      <c r="G1114" s="259">
        <f ca="1">_xlfn.NORM.INV(RAND(),'VAR Historical Approach'!K$4,'VAR Historical Approach'!K$5)</f>
        <v>3.2035448332797596E-2</v>
      </c>
    </row>
    <row r="1115" spans="2:7" x14ac:dyDescent="0.3">
      <c r="B1115" s="102">
        <v>44560.645833333336</v>
      </c>
      <c r="C1115" s="108">
        <v>2437.3000000000002</v>
      </c>
      <c r="D1115" s="261">
        <f t="shared" si="20"/>
        <v>1.4632724850654659E-2</v>
      </c>
      <c r="E1115" s="261">
        <v>-1.0470499116235977E-2</v>
      </c>
      <c r="F1115">
        <v>1113</v>
      </c>
      <c r="G1115" s="259">
        <f ca="1">_xlfn.NORM.INV(RAND(),'VAR Historical Approach'!K$4,'VAR Historical Approach'!K$5)</f>
        <v>1.5246409996651229E-2</v>
      </c>
    </row>
    <row r="1116" spans="2:7" x14ac:dyDescent="0.3">
      <c r="B1116" s="102">
        <v>44559.645833333336</v>
      </c>
      <c r="C1116" s="108">
        <v>2402.15</v>
      </c>
      <c r="D1116" s="261">
        <f t="shared" si="20"/>
        <v>9.3703384667101642E-3</v>
      </c>
      <c r="E1116" s="261">
        <v>-1.052596626377999E-2</v>
      </c>
      <c r="F1116">
        <v>1114</v>
      </c>
      <c r="G1116" s="259">
        <f ca="1">_xlfn.NORM.INV(RAND(),'VAR Historical Approach'!K$4,'VAR Historical Approach'!K$5)</f>
        <v>-1.8129176113303842E-2</v>
      </c>
    </row>
    <row r="1117" spans="2:7" x14ac:dyDescent="0.3">
      <c r="B1117" s="102">
        <v>44558.645833333336</v>
      </c>
      <c r="C1117" s="108">
        <v>2379.85</v>
      </c>
      <c r="D1117" s="261">
        <f t="shared" si="20"/>
        <v>2.0825290610388934E-2</v>
      </c>
      <c r="E1117" s="261">
        <v>-1.053041173180275E-2</v>
      </c>
      <c r="F1117">
        <v>1115</v>
      </c>
      <c r="G1117" s="259">
        <f ca="1">_xlfn.NORM.INV(RAND(),'VAR Historical Approach'!K$4,'VAR Historical Approach'!K$5)</f>
        <v>1.8445991007719487E-3</v>
      </c>
    </row>
    <row r="1118" spans="2:7" x14ac:dyDescent="0.3">
      <c r="B1118" s="102">
        <v>44557.645833333336</v>
      </c>
      <c r="C1118" s="108">
        <v>2331.3000000000002</v>
      </c>
      <c r="D1118" s="261">
        <f t="shared" si="20"/>
        <v>5.1089697988748904E-3</v>
      </c>
      <c r="E1118" s="261">
        <v>-1.0535659715653551E-2</v>
      </c>
      <c r="F1118">
        <v>1116</v>
      </c>
      <c r="G1118" s="259">
        <f ca="1">_xlfn.NORM.INV(RAND(),'VAR Historical Approach'!K$4,'VAR Historical Approach'!K$5)</f>
        <v>-6.2348014168264777E-3</v>
      </c>
    </row>
    <row r="1119" spans="2:7" x14ac:dyDescent="0.3">
      <c r="B1119" s="102">
        <v>44554.645833333336</v>
      </c>
      <c r="C1119" s="108">
        <v>2319.4499999999998</v>
      </c>
      <c r="D1119" s="261">
        <f t="shared" si="20"/>
        <v>-4.4851710373836956E-3</v>
      </c>
      <c r="E1119" s="261">
        <v>-1.0582603096391327E-2</v>
      </c>
      <c r="F1119">
        <v>1117</v>
      </c>
      <c r="G1119" s="259">
        <f ca="1">_xlfn.NORM.INV(RAND(),'VAR Historical Approach'!K$4,'VAR Historical Approach'!K$5)</f>
        <v>1.9281663448940816E-2</v>
      </c>
    </row>
    <row r="1120" spans="2:7" x14ac:dyDescent="0.3">
      <c r="B1120" s="102">
        <v>44553.645833333336</v>
      </c>
      <c r="C1120" s="108">
        <v>2329.9</v>
      </c>
      <c r="D1120" s="261">
        <f t="shared" si="20"/>
        <v>1.3110120665289745E-2</v>
      </c>
      <c r="E1120" s="261">
        <v>-1.0597234893676793E-2</v>
      </c>
      <c r="F1120">
        <v>1118</v>
      </c>
      <c r="G1120" s="259">
        <f ca="1">_xlfn.NORM.INV(RAND(),'VAR Historical Approach'!K$4,'VAR Historical Approach'!K$5)</f>
        <v>8.6123403851632154E-4</v>
      </c>
    </row>
    <row r="1121" spans="2:7" x14ac:dyDescent="0.3">
      <c r="B1121" s="102">
        <v>44552.645833333336</v>
      </c>
      <c r="C1121" s="108">
        <v>2299.75</v>
      </c>
      <c r="D1121" s="261">
        <f t="shared" si="20"/>
        <v>5.2892706489191567E-3</v>
      </c>
      <c r="E1121" s="261">
        <v>-1.0672660224489271E-2</v>
      </c>
      <c r="F1121">
        <v>1119</v>
      </c>
      <c r="G1121" s="259">
        <f ca="1">_xlfn.NORM.INV(RAND(),'VAR Historical Approach'!K$4,'VAR Historical Approach'!K$5)</f>
        <v>1.0885916427324645E-2</v>
      </c>
    </row>
    <row r="1122" spans="2:7" x14ac:dyDescent="0.3">
      <c r="B1122" s="102">
        <v>44551.645833333336</v>
      </c>
      <c r="C1122" s="108">
        <v>2287.65</v>
      </c>
      <c r="D1122" s="261">
        <f t="shared" si="20"/>
        <v>2.1568758791613719E-2</v>
      </c>
      <c r="E1122" s="261">
        <v>-1.0688328345446772E-2</v>
      </c>
      <c r="F1122">
        <v>1120</v>
      </c>
      <c r="G1122" s="259">
        <f ca="1">_xlfn.NORM.INV(RAND(),'VAR Historical Approach'!K$4,'VAR Historical Approach'!K$5)</f>
        <v>6.4666531652039566E-3</v>
      </c>
    </row>
    <row r="1123" spans="2:7" x14ac:dyDescent="0.3">
      <c r="B1123" s="102">
        <v>44550.645833333336</v>
      </c>
      <c r="C1123" s="108">
        <v>2239.35</v>
      </c>
      <c r="D1123" s="261">
        <f t="shared" si="20"/>
        <v>-1.8001227854762401E-2</v>
      </c>
      <c r="E1123" s="261">
        <v>-1.0707112680933608E-2</v>
      </c>
      <c r="F1123">
        <v>1121</v>
      </c>
      <c r="G1123" s="259">
        <f ca="1">_xlfn.NORM.INV(RAND(),'VAR Historical Approach'!K$4,'VAR Historical Approach'!K$5)</f>
        <v>-1.9040422401430438E-3</v>
      </c>
    </row>
    <row r="1124" spans="2:7" x14ac:dyDescent="0.3">
      <c r="B1124" s="102">
        <v>44547.645833333336</v>
      </c>
      <c r="C1124" s="108">
        <v>2280.4</v>
      </c>
      <c r="D1124" s="261">
        <f t="shared" si="20"/>
        <v>-3.260154841446597E-2</v>
      </c>
      <c r="E1124" s="261">
        <v>-1.0707706478354348E-2</v>
      </c>
      <c r="F1124">
        <v>1122</v>
      </c>
      <c r="G1124" s="259">
        <f ca="1">_xlfn.NORM.INV(RAND(),'VAR Historical Approach'!K$4,'VAR Historical Approach'!K$5)</f>
        <v>1.0681672453715706E-3</v>
      </c>
    </row>
    <row r="1125" spans="2:7" x14ac:dyDescent="0.3">
      <c r="B1125" s="102">
        <v>44546.645833333336</v>
      </c>
      <c r="C1125" s="108">
        <v>2357.25</v>
      </c>
      <c r="D1125" s="261">
        <f t="shared" si="20"/>
        <v>1.4678346210963523E-2</v>
      </c>
      <c r="E1125" s="261">
        <v>-1.0722253671206361E-2</v>
      </c>
      <c r="F1125">
        <v>1123</v>
      </c>
      <c r="G1125" s="259">
        <f ca="1">_xlfn.NORM.INV(RAND(),'VAR Historical Approach'!K$4,'VAR Historical Approach'!K$5)</f>
        <v>-7.3828448716119202E-3</v>
      </c>
    </row>
    <row r="1126" spans="2:7" x14ac:dyDescent="0.3">
      <c r="B1126" s="102">
        <v>44545.645833333336</v>
      </c>
      <c r="C1126" s="108">
        <v>2323.15</v>
      </c>
      <c r="D1126" s="261">
        <f t="shared" si="20"/>
        <v>-1.3461579293797829E-2</v>
      </c>
      <c r="E1126" s="261">
        <v>-1.072422452996666E-2</v>
      </c>
      <c r="F1126">
        <v>1124</v>
      </c>
      <c r="G1126" s="259">
        <f ca="1">_xlfn.NORM.INV(RAND(),'VAR Historical Approach'!K$4,'VAR Historical Approach'!K$5)</f>
        <v>-2.1113962534384453E-2</v>
      </c>
    </row>
    <row r="1127" spans="2:7" x14ac:dyDescent="0.3">
      <c r="B1127" s="102">
        <v>44544.645833333336</v>
      </c>
      <c r="C1127" s="108">
        <v>2354.85</v>
      </c>
      <c r="D1127" s="261">
        <f t="shared" si="20"/>
        <v>1.8506700701977916E-3</v>
      </c>
      <c r="E1127" s="261">
        <v>-1.0727912849532862E-2</v>
      </c>
      <c r="F1127">
        <v>1125</v>
      </c>
      <c r="G1127" s="259">
        <f ca="1">_xlfn.NORM.INV(RAND(),'VAR Historical Approach'!K$4,'VAR Historical Approach'!K$5)</f>
        <v>-5.6064964620233613E-3</v>
      </c>
    </row>
    <row r="1128" spans="2:7" x14ac:dyDescent="0.3">
      <c r="B1128" s="102">
        <v>44543.645833333336</v>
      </c>
      <c r="C1128" s="108">
        <v>2350.5</v>
      </c>
      <c r="D1128" s="261">
        <f t="shared" si="20"/>
        <v>4.7662812319661839E-3</v>
      </c>
      <c r="E1128" s="261">
        <v>-1.075702282950009E-2</v>
      </c>
      <c r="F1128">
        <v>1126</v>
      </c>
      <c r="G1128" s="259">
        <f ca="1">_xlfn.NORM.INV(RAND(),'VAR Historical Approach'!K$4,'VAR Historical Approach'!K$5)</f>
        <v>1.5398712077508613E-2</v>
      </c>
    </row>
    <row r="1129" spans="2:7" x14ac:dyDescent="0.3">
      <c r="B1129" s="102">
        <v>44540.645833333336</v>
      </c>
      <c r="C1129" s="108">
        <v>2339.35</v>
      </c>
      <c r="D1129" s="261">
        <f t="shared" si="20"/>
        <v>-1.4242673240208238E-2</v>
      </c>
      <c r="E1129" s="261">
        <v>-1.0773854244928598E-2</v>
      </c>
      <c r="F1129">
        <v>1127</v>
      </c>
      <c r="G1129" s="259">
        <f ca="1">_xlfn.NORM.INV(RAND(),'VAR Historical Approach'!K$4,'VAR Historical Approach'!K$5)</f>
        <v>3.0790260329851871E-2</v>
      </c>
    </row>
    <row r="1130" spans="2:7" x14ac:dyDescent="0.3">
      <c r="B1130" s="102">
        <v>44539.645833333336</v>
      </c>
      <c r="C1130" s="108">
        <v>2373.15</v>
      </c>
      <c r="D1130" s="261">
        <f t="shared" si="20"/>
        <v>-1.3468853276797442E-2</v>
      </c>
      <c r="E1130" s="261">
        <v>-1.0790933204726273E-2</v>
      </c>
      <c r="F1130">
        <v>1128</v>
      </c>
      <c r="G1130" s="259">
        <f ca="1">_xlfn.NORM.INV(RAND(),'VAR Historical Approach'!K$4,'VAR Historical Approach'!K$5)</f>
        <v>2.3974419767394967E-2</v>
      </c>
    </row>
    <row r="1131" spans="2:7" x14ac:dyDescent="0.3">
      <c r="B1131" s="102">
        <v>44538.645833333336</v>
      </c>
      <c r="C1131" s="108">
        <v>2405.5500000000002</v>
      </c>
      <c r="D1131" s="261">
        <f t="shared" si="20"/>
        <v>1.050177479994119E-2</v>
      </c>
      <c r="E1131" s="261">
        <v>-1.0820134859651874E-2</v>
      </c>
      <c r="F1131">
        <v>1129</v>
      </c>
      <c r="G1131" s="259">
        <f ca="1">_xlfn.NORM.INV(RAND(),'VAR Historical Approach'!K$4,'VAR Historical Approach'!K$5)</f>
        <v>-6.8919682367069284E-3</v>
      </c>
    </row>
    <row r="1132" spans="2:7" x14ac:dyDescent="0.3">
      <c r="B1132" s="102">
        <v>44537.645833333336</v>
      </c>
      <c r="C1132" s="108">
        <v>2380.5500000000002</v>
      </c>
      <c r="D1132" s="261">
        <f t="shared" si="20"/>
        <v>2.3760375005375648E-2</v>
      </c>
      <c r="E1132" s="261">
        <v>-1.0869565217391304E-2</v>
      </c>
      <c r="F1132">
        <v>1130</v>
      </c>
      <c r="G1132" s="259">
        <f ca="1">_xlfn.NORM.INV(RAND(),'VAR Historical Approach'!K$4,'VAR Historical Approach'!K$5)</f>
        <v>-6.0103926953968684E-3</v>
      </c>
    </row>
    <row r="1133" spans="2:7" x14ac:dyDescent="0.3">
      <c r="B1133" s="102">
        <v>44536.645833333336</v>
      </c>
      <c r="C1133" s="108">
        <v>2325.3000000000002</v>
      </c>
      <c r="D1133" s="261">
        <f t="shared" si="20"/>
        <v>-1.8550174105729584E-2</v>
      </c>
      <c r="E1133" s="261">
        <v>-1.0947016440428328E-2</v>
      </c>
      <c r="F1133">
        <v>1131</v>
      </c>
      <c r="G1133" s="259">
        <f ca="1">_xlfn.NORM.INV(RAND(),'VAR Historical Approach'!K$4,'VAR Historical Approach'!K$5)</f>
        <v>1.2058305848076593E-2</v>
      </c>
    </row>
    <row r="1134" spans="2:7" x14ac:dyDescent="0.3">
      <c r="B1134" s="102">
        <v>44533.645833333336</v>
      </c>
      <c r="C1134" s="108">
        <v>2369.25</v>
      </c>
      <c r="D1134" s="261">
        <f t="shared" si="20"/>
        <v>-7.2281583909490884E-3</v>
      </c>
      <c r="E1134" s="261">
        <v>-1.1003541194887249E-2</v>
      </c>
      <c r="F1134">
        <v>1132</v>
      </c>
      <c r="G1134" s="259">
        <f ca="1">_xlfn.NORM.INV(RAND(),'VAR Historical Approach'!K$4,'VAR Historical Approach'!K$5)</f>
        <v>-1.2424547114007465E-3</v>
      </c>
    </row>
    <row r="1135" spans="2:7" x14ac:dyDescent="0.3">
      <c r="B1135" s="102">
        <v>44532.645833333336</v>
      </c>
      <c r="C1135" s="108">
        <v>2386.5</v>
      </c>
      <c r="D1135" s="261">
        <f t="shared" si="20"/>
        <v>1.1143123464113289E-2</v>
      </c>
      <c r="E1135" s="261">
        <v>-1.1031978773914259E-2</v>
      </c>
      <c r="F1135">
        <v>1133</v>
      </c>
      <c r="G1135" s="259">
        <f ca="1">_xlfn.NORM.INV(RAND(),'VAR Historical Approach'!K$4,'VAR Historical Approach'!K$5)</f>
        <v>2.4513621919709826E-4</v>
      </c>
    </row>
    <row r="1136" spans="2:7" x14ac:dyDescent="0.3">
      <c r="B1136" s="102">
        <v>44531.645833333336</v>
      </c>
      <c r="C1136" s="108">
        <v>2360.1999999999998</v>
      </c>
      <c r="D1136" s="261">
        <f t="shared" si="20"/>
        <v>-6.440749315933564E-3</v>
      </c>
      <c r="E1136" s="261">
        <v>-1.1048459249703577E-2</v>
      </c>
      <c r="F1136">
        <v>1134</v>
      </c>
      <c r="G1136" s="259">
        <f ca="1">_xlfn.NORM.INV(RAND(),'VAR Historical Approach'!K$4,'VAR Historical Approach'!K$5)</f>
        <v>8.5751112303181654E-3</v>
      </c>
    </row>
    <row r="1137" spans="2:7" x14ac:dyDescent="0.3">
      <c r="B1137" s="102">
        <v>44530.645833333336</v>
      </c>
      <c r="C1137" s="108">
        <v>2375.5</v>
      </c>
      <c r="D1137" s="261">
        <f t="shared" si="20"/>
        <v>2.2072110833835378E-2</v>
      </c>
      <c r="E1137" s="261">
        <v>-1.1108496116733306E-2</v>
      </c>
      <c r="F1137">
        <v>1135</v>
      </c>
      <c r="G1137" s="259">
        <f ca="1">_xlfn.NORM.INV(RAND(),'VAR Historical Approach'!K$4,'VAR Historical Approach'!K$5)</f>
        <v>1.0826094894032494E-2</v>
      </c>
    </row>
    <row r="1138" spans="2:7" x14ac:dyDescent="0.3">
      <c r="B1138" s="102">
        <v>44529.645833333336</v>
      </c>
      <c r="C1138" s="108">
        <v>2324.1999999999998</v>
      </c>
      <c r="D1138" s="261">
        <f t="shared" si="20"/>
        <v>1.3916154081053804E-2</v>
      </c>
      <c r="E1138" s="261">
        <v>-1.1161543770239471E-2</v>
      </c>
      <c r="F1138">
        <v>1136</v>
      </c>
      <c r="G1138" s="259">
        <f ca="1">_xlfn.NORM.INV(RAND(),'VAR Historical Approach'!K$4,'VAR Historical Approach'!K$5)</f>
        <v>2.8614164683332992E-2</v>
      </c>
    </row>
    <row r="1139" spans="2:7" x14ac:dyDescent="0.3">
      <c r="B1139" s="102">
        <v>44526.645833333336</v>
      </c>
      <c r="C1139" s="108">
        <v>2292.3000000000002</v>
      </c>
      <c r="D1139" s="261">
        <f t="shared" si="20"/>
        <v>-4.3998665443323044E-2</v>
      </c>
      <c r="E1139" s="261">
        <v>-1.1196911196911109E-2</v>
      </c>
      <c r="F1139">
        <v>1137</v>
      </c>
      <c r="G1139" s="259">
        <f ca="1">_xlfn.NORM.INV(RAND(),'VAR Historical Approach'!K$4,'VAR Historical Approach'!K$5)</f>
        <v>-2.0953126567088774E-2</v>
      </c>
    </row>
    <row r="1140" spans="2:7" x14ac:dyDescent="0.3">
      <c r="B1140" s="102">
        <v>44525.645833333336</v>
      </c>
      <c r="C1140" s="108">
        <v>2397.8000000000002</v>
      </c>
      <c r="D1140" s="261">
        <f t="shared" si="20"/>
        <v>9.2387987457121755E-3</v>
      </c>
      <c r="E1140" s="261">
        <v>-1.1440829460135801E-2</v>
      </c>
      <c r="F1140">
        <v>1138</v>
      </c>
      <c r="G1140" s="259">
        <f ca="1">_xlfn.NORM.INV(RAND(),'VAR Historical Approach'!K$4,'VAR Historical Approach'!K$5)</f>
        <v>3.0433766813884901E-2</v>
      </c>
    </row>
    <row r="1141" spans="2:7" x14ac:dyDescent="0.3">
      <c r="B1141" s="102">
        <v>44524.645833333336</v>
      </c>
      <c r="C1141" s="108">
        <v>2375.85</v>
      </c>
      <c r="D1141" s="261">
        <f t="shared" si="20"/>
        <v>-4.9629350420906772E-3</v>
      </c>
      <c r="E1141" s="261">
        <v>-1.1450720478148895E-2</v>
      </c>
      <c r="F1141">
        <v>1139</v>
      </c>
      <c r="G1141" s="259">
        <f ca="1">_xlfn.NORM.INV(RAND(),'VAR Historical Approach'!K$4,'VAR Historical Approach'!K$5)</f>
        <v>2.8435585446291829E-2</v>
      </c>
    </row>
    <row r="1142" spans="2:7" x14ac:dyDescent="0.3">
      <c r="B1142" s="102">
        <v>44523.645833333336</v>
      </c>
      <c r="C1142" s="108">
        <v>2387.6999999999998</v>
      </c>
      <c r="D1142" s="261">
        <f t="shared" si="20"/>
        <v>-1.5054572826497569E-3</v>
      </c>
      <c r="E1142" s="261">
        <v>-1.1485928651091406E-2</v>
      </c>
      <c r="F1142">
        <v>1140</v>
      </c>
      <c r="G1142" s="259">
        <f ca="1">_xlfn.NORM.INV(RAND(),'VAR Historical Approach'!K$4,'VAR Historical Approach'!K$5)</f>
        <v>1.1631427556385408E-2</v>
      </c>
    </row>
    <row r="1143" spans="2:7" x14ac:dyDescent="0.3">
      <c r="B1143" s="102">
        <v>44522.645833333336</v>
      </c>
      <c r="C1143" s="108">
        <v>2391.3000000000002</v>
      </c>
      <c r="D1143" s="261">
        <f t="shared" si="20"/>
        <v>-3.5065773545315003E-2</v>
      </c>
      <c r="E1143" s="261">
        <v>-1.156762874929267E-2</v>
      </c>
      <c r="F1143">
        <v>1141</v>
      </c>
      <c r="G1143" s="259">
        <f ca="1">_xlfn.NORM.INV(RAND(),'VAR Historical Approach'!K$4,'VAR Historical Approach'!K$5)</f>
        <v>1.7945643328407895E-2</v>
      </c>
    </row>
    <row r="1144" spans="2:7" x14ac:dyDescent="0.3">
      <c r="B1144" s="102">
        <v>44518.645833333336</v>
      </c>
      <c r="C1144" s="108">
        <v>2478.1999999999998</v>
      </c>
      <c r="D1144" s="261">
        <f t="shared" si="20"/>
        <v>-8.4622001720447686E-3</v>
      </c>
      <c r="E1144" s="261">
        <v>-1.1568311612241861E-2</v>
      </c>
      <c r="F1144">
        <v>1142</v>
      </c>
      <c r="G1144" s="259">
        <f ca="1">_xlfn.NORM.INV(RAND(),'VAR Historical Approach'!K$4,'VAR Historical Approach'!K$5)</f>
        <v>3.0111797960871885E-2</v>
      </c>
    </row>
    <row r="1145" spans="2:7" x14ac:dyDescent="0.3">
      <c r="B1145" s="102">
        <v>44517.645833333336</v>
      </c>
      <c r="C1145" s="108">
        <v>2499.35</v>
      </c>
      <c r="D1145" s="261">
        <f t="shared" si="20"/>
        <v>-1.2797472104275735E-2</v>
      </c>
      <c r="E1145" s="261">
        <v>-1.1589428323503917E-2</v>
      </c>
      <c r="F1145">
        <v>1143</v>
      </c>
      <c r="G1145" s="259">
        <f ca="1">_xlfn.NORM.INV(RAND(),'VAR Historical Approach'!K$4,'VAR Historical Approach'!K$5)</f>
        <v>2.6808354265507237E-2</v>
      </c>
    </row>
    <row r="1146" spans="2:7" x14ac:dyDescent="0.3">
      <c r="B1146" s="102">
        <v>44516.645833333336</v>
      </c>
      <c r="C1146" s="108">
        <v>2531.75</v>
      </c>
      <c r="D1146" s="261">
        <f t="shared" si="20"/>
        <v>-3.0125226431440854E-3</v>
      </c>
      <c r="E1146" s="261">
        <v>-1.1643214463329778E-2</v>
      </c>
      <c r="F1146">
        <v>1144</v>
      </c>
      <c r="G1146" s="259">
        <f ca="1">_xlfn.NORM.INV(RAND(),'VAR Historical Approach'!K$4,'VAR Historical Approach'!K$5)</f>
        <v>-3.0098486149658116E-3</v>
      </c>
    </row>
    <row r="1147" spans="2:7" x14ac:dyDescent="0.3">
      <c r="B1147" s="102">
        <v>44515.645833333336</v>
      </c>
      <c r="C1147" s="108">
        <v>2539.4</v>
      </c>
      <c r="D1147" s="261">
        <f t="shared" si="20"/>
        <v>-3.9377830281515672E-5</v>
      </c>
      <c r="E1147" s="261">
        <v>-1.1730662214802408E-2</v>
      </c>
      <c r="F1147">
        <v>1145</v>
      </c>
      <c r="G1147" s="259">
        <f ca="1">_xlfn.NORM.INV(RAND(),'VAR Historical Approach'!K$4,'VAR Historical Approach'!K$5)</f>
        <v>1.1629391580155041E-2</v>
      </c>
    </row>
    <row r="1148" spans="2:7" x14ac:dyDescent="0.3">
      <c r="B1148" s="102">
        <v>44512.645833333336</v>
      </c>
      <c r="C1148" s="108">
        <v>2539.5</v>
      </c>
      <c r="D1148" s="261">
        <f t="shared" si="20"/>
        <v>4.5093152960721848E-3</v>
      </c>
      <c r="E1148" s="261">
        <v>-1.174510620574753E-2</v>
      </c>
      <c r="F1148">
        <v>1146</v>
      </c>
      <c r="G1148" s="259">
        <f ca="1">_xlfn.NORM.INV(RAND(),'VAR Historical Approach'!K$4,'VAR Historical Approach'!K$5)</f>
        <v>2.1885899562228004E-2</v>
      </c>
    </row>
    <row r="1149" spans="2:7" x14ac:dyDescent="0.3">
      <c r="B1149" s="102">
        <v>44511.645833333336</v>
      </c>
      <c r="C1149" s="108">
        <v>2528.1</v>
      </c>
      <c r="D1149" s="261">
        <f t="shared" si="20"/>
        <v>1.7507848345810192E-2</v>
      </c>
      <c r="E1149" s="261">
        <v>-1.1758973526067831E-2</v>
      </c>
      <c r="F1149">
        <v>1147</v>
      </c>
      <c r="G1149" s="259">
        <f ca="1">_xlfn.NORM.INV(RAND(),'VAR Historical Approach'!K$4,'VAR Historical Approach'!K$5)</f>
        <v>1.2910060021265572E-2</v>
      </c>
    </row>
    <row r="1150" spans="2:7" x14ac:dyDescent="0.3">
      <c r="B1150" s="102">
        <v>44510.645833333336</v>
      </c>
      <c r="C1150" s="108">
        <v>2484.6</v>
      </c>
      <c r="D1150" s="261">
        <f t="shared" si="20"/>
        <v>-1.0947016440428328E-2</v>
      </c>
      <c r="E1150" s="261">
        <v>-1.1776176183830594E-2</v>
      </c>
      <c r="F1150">
        <v>1148</v>
      </c>
      <c r="G1150" s="259">
        <f ca="1">_xlfn.NORM.INV(RAND(),'VAR Historical Approach'!K$4,'VAR Historical Approach'!K$5)</f>
        <v>-5.8532077937068477E-3</v>
      </c>
    </row>
    <row r="1151" spans="2:7" x14ac:dyDescent="0.3">
      <c r="B1151" s="102">
        <v>44509.645833333336</v>
      </c>
      <c r="C1151" s="108">
        <v>2512.1</v>
      </c>
      <c r="D1151" s="261">
        <f t="shared" si="20"/>
        <v>-9.7171577806248518E-3</v>
      </c>
      <c r="E1151" s="261">
        <v>-1.18369285035952E-2</v>
      </c>
      <c r="F1151">
        <v>1149</v>
      </c>
      <c r="G1151" s="259">
        <f ca="1">_xlfn.NORM.INV(RAND(),'VAR Historical Approach'!K$4,'VAR Historical Approach'!K$5)</f>
        <v>6.3900157844384237E-3</v>
      </c>
    </row>
    <row r="1152" spans="2:7" x14ac:dyDescent="0.3">
      <c r="B1152" s="102">
        <v>44508.645833333336</v>
      </c>
      <c r="C1152" s="108">
        <v>2536.75</v>
      </c>
      <c r="D1152" s="261">
        <f t="shared" si="20"/>
        <v>4.317878071347795E-2</v>
      </c>
      <c r="E1152" s="261">
        <v>-1.1862731252648058E-2</v>
      </c>
      <c r="F1152">
        <v>1150</v>
      </c>
      <c r="G1152" s="259">
        <f ca="1">_xlfn.NORM.INV(RAND(),'VAR Historical Approach'!K$4,'VAR Historical Approach'!K$5)</f>
        <v>3.0337674998103366E-2</v>
      </c>
    </row>
    <row r="1153" spans="2:7" x14ac:dyDescent="0.3">
      <c r="B1153" s="102">
        <v>44504.802083333336</v>
      </c>
      <c r="C1153" s="108">
        <v>2431.75</v>
      </c>
      <c r="D1153" s="261">
        <f t="shared" si="20"/>
        <v>5.7073140470233806E-3</v>
      </c>
      <c r="E1153" s="261">
        <v>-1.1950637673181108E-2</v>
      </c>
      <c r="F1153">
        <v>1151</v>
      </c>
      <c r="G1153" s="259">
        <f ca="1">_xlfn.NORM.INV(RAND(),'VAR Historical Approach'!K$4,'VAR Historical Approach'!K$5)</f>
        <v>-7.5020799844863874E-3</v>
      </c>
    </row>
    <row r="1154" spans="2:7" x14ac:dyDescent="0.3">
      <c r="B1154" s="102">
        <v>44503.645833333336</v>
      </c>
      <c r="C1154" s="108">
        <v>2417.9499999999998</v>
      </c>
      <c r="D1154" s="261">
        <f t="shared" si="20"/>
        <v>-1.4670225554717906E-2</v>
      </c>
      <c r="E1154" s="261">
        <v>-1.1984709164169759E-2</v>
      </c>
      <c r="F1154">
        <v>1152</v>
      </c>
      <c r="G1154" s="259">
        <f ca="1">_xlfn.NORM.INV(RAND(),'VAR Historical Approach'!K$4,'VAR Historical Approach'!K$5)</f>
        <v>8.204977707015039E-3</v>
      </c>
    </row>
    <row r="1155" spans="2:7" x14ac:dyDescent="0.3">
      <c r="B1155" s="102">
        <v>44502.645833333336</v>
      </c>
      <c r="C1155" s="108">
        <v>2453.9499999999998</v>
      </c>
      <c r="D1155" s="261">
        <f t="shared" ref="D1155:D1218" si="21">(C1155-C1156)/C1156</f>
        <v>1.980218592860393E-2</v>
      </c>
      <c r="E1155" s="261">
        <v>-1.201667620371131E-2</v>
      </c>
      <c r="F1155">
        <v>1153</v>
      </c>
      <c r="G1155" s="259">
        <f ca="1">_xlfn.NORM.INV(RAND(),'VAR Historical Approach'!K$4,'VAR Historical Approach'!K$5)</f>
        <v>2.839865960336806E-2</v>
      </c>
    </row>
    <row r="1156" spans="2:7" x14ac:dyDescent="0.3">
      <c r="B1156" s="102">
        <v>44501.645833333336</v>
      </c>
      <c r="C1156" s="108">
        <v>2406.3000000000002</v>
      </c>
      <c r="D1156" s="261">
        <f t="shared" si="21"/>
        <v>9.5445868557403873E-3</v>
      </c>
      <c r="E1156" s="261">
        <v>-1.2035376079429273E-2</v>
      </c>
      <c r="F1156">
        <v>1154</v>
      </c>
      <c r="G1156" s="259">
        <f ca="1">_xlfn.NORM.INV(RAND(),'VAR Historical Approach'!K$4,'VAR Historical Approach'!K$5)</f>
        <v>-7.986531279352534E-3</v>
      </c>
    </row>
    <row r="1157" spans="2:7" x14ac:dyDescent="0.3">
      <c r="B1157" s="102">
        <v>44498.645833333336</v>
      </c>
      <c r="C1157" s="108">
        <v>2383.5500000000002</v>
      </c>
      <c r="D1157" s="261">
        <f t="shared" si="21"/>
        <v>3.5366187398690992E-3</v>
      </c>
      <c r="E1157" s="261">
        <v>-1.2100297693982407E-2</v>
      </c>
      <c r="F1157">
        <v>1155</v>
      </c>
      <c r="G1157" s="259">
        <f ca="1">_xlfn.NORM.INV(RAND(),'VAR Historical Approach'!K$4,'VAR Historical Approach'!K$5)</f>
        <v>1.6392683762541022E-2</v>
      </c>
    </row>
    <row r="1158" spans="2:7" x14ac:dyDescent="0.3">
      <c r="B1158" s="102">
        <v>44497.645833333336</v>
      </c>
      <c r="C1158" s="108">
        <v>2375.15</v>
      </c>
      <c r="D1158" s="261">
        <f t="shared" si="21"/>
        <v>-3.4531116621275483E-2</v>
      </c>
      <c r="E1158" s="261">
        <v>-1.2141714525476669E-2</v>
      </c>
      <c r="F1158">
        <v>1156</v>
      </c>
      <c r="G1158" s="259">
        <f ca="1">_xlfn.NORM.INV(RAND(),'VAR Historical Approach'!K$4,'VAR Historical Approach'!K$5)</f>
        <v>8.9756282199038185E-3</v>
      </c>
    </row>
    <row r="1159" spans="2:7" x14ac:dyDescent="0.3">
      <c r="B1159" s="102">
        <v>44496.645833333336</v>
      </c>
      <c r="C1159" s="108">
        <v>2460.1</v>
      </c>
      <c r="D1159" s="261">
        <f t="shared" si="21"/>
        <v>2.1794480089621792E-3</v>
      </c>
      <c r="E1159" s="261">
        <v>-1.2197333069607214E-2</v>
      </c>
      <c r="F1159">
        <v>1157</v>
      </c>
      <c r="G1159" s="259">
        <f ca="1">_xlfn.NORM.INV(RAND(),'VAR Historical Approach'!K$4,'VAR Historical Approach'!K$5)</f>
        <v>-1.2209281540351143E-2</v>
      </c>
    </row>
    <row r="1160" spans="2:7" x14ac:dyDescent="0.3">
      <c r="B1160" s="102">
        <v>44495.645833333336</v>
      </c>
      <c r="C1160" s="108">
        <v>2454.75</v>
      </c>
      <c r="D1160" s="261">
        <f t="shared" si="21"/>
        <v>3.1776054473236198E-2</v>
      </c>
      <c r="E1160" s="261">
        <v>-1.2205506670451241E-2</v>
      </c>
      <c r="F1160">
        <v>1158</v>
      </c>
      <c r="G1160" s="259">
        <f ca="1">_xlfn.NORM.INV(RAND(),'VAR Historical Approach'!K$4,'VAR Historical Approach'!K$5)</f>
        <v>-2.0108908443286375E-2</v>
      </c>
    </row>
    <row r="1161" spans="2:7" x14ac:dyDescent="0.3">
      <c r="B1161" s="102">
        <v>44494.645833333336</v>
      </c>
      <c r="C1161" s="108">
        <v>2379.15</v>
      </c>
      <c r="D1161" s="261">
        <f t="shared" si="21"/>
        <v>-1.3619402985074589E-2</v>
      </c>
      <c r="E1161" s="261">
        <v>-1.2223291626564005E-2</v>
      </c>
      <c r="F1161">
        <v>1159</v>
      </c>
      <c r="G1161" s="259">
        <f ca="1">_xlfn.NORM.INV(RAND(),'VAR Historical Approach'!K$4,'VAR Historical Approach'!K$5)</f>
        <v>-1.8207726032906789E-2</v>
      </c>
    </row>
    <row r="1162" spans="2:7" x14ac:dyDescent="0.3">
      <c r="B1162" s="102">
        <v>44491.645833333336</v>
      </c>
      <c r="C1162" s="108">
        <v>2412</v>
      </c>
      <c r="D1162" s="261">
        <f t="shared" si="21"/>
        <v>6.8038569102976927E-3</v>
      </c>
      <c r="E1162" s="261">
        <v>-1.2297851254561098E-2</v>
      </c>
      <c r="F1162">
        <v>1160</v>
      </c>
      <c r="G1162" s="259">
        <f ca="1">_xlfn.NORM.INV(RAND(),'VAR Historical Approach'!K$4,'VAR Historical Approach'!K$5)</f>
        <v>1.303549710960151E-2</v>
      </c>
    </row>
    <row r="1163" spans="2:7" x14ac:dyDescent="0.3">
      <c r="B1163" s="102">
        <v>44490.645833333336</v>
      </c>
      <c r="C1163" s="108">
        <v>2395.6999999999998</v>
      </c>
      <c r="D1163" s="261">
        <f t="shared" si="21"/>
        <v>-6.5107406485859966E-3</v>
      </c>
      <c r="E1163" s="261">
        <v>-1.2343861199047873E-2</v>
      </c>
      <c r="F1163">
        <v>1161</v>
      </c>
      <c r="G1163" s="259">
        <f ca="1">_xlfn.NORM.INV(RAND(),'VAR Historical Approach'!K$4,'VAR Historical Approach'!K$5)</f>
        <v>-1.0773062746232966E-2</v>
      </c>
    </row>
    <row r="1164" spans="2:7" x14ac:dyDescent="0.3">
      <c r="B1164" s="102">
        <v>44489.645833333336</v>
      </c>
      <c r="C1164" s="108">
        <v>2411.4</v>
      </c>
      <c r="D1164" s="261">
        <f t="shared" si="21"/>
        <v>-2.9578655076663043E-2</v>
      </c>
      <c r="E1164" s="261">
        <v>-1.237311550243266E-2</v>
      </c>
      <c r="F1164">
        <v>1162</v>
      </c>
      <c r="G1164" s="259">
        <f ca="1">_xlfn.NORM.INV(RAND(),'VAR Historical Approach'!K$4,'VAR Historical Approach'!K$5)</f>
        <v>2.5808794760662453E-2</v>
      </c>
    </row>
    <row r="1165" spans="2:7" x14ac:dyDescent="0.3">
      <c r="B1165" s="102">
        <v>44488.645833333336</v>
      </c>
      <c r="C1165" s="108">
        <v>2484.9</v>
      </c>
      <c r="D1165" s="261">
        <f t="shared" si="21"/>
        <v>-4.0134425216316473E-2</v>
      </c>
      <c r="E1165" s="261">
        <v>-1.2478729438457065E-2</v>
      </c>
      <c r="F1165">
        <v>1163</v>
      </c>
      <c r="G1165" s="259">
        <f ca="1">_xlfn.NORM.INV(RAND(),'VAR Historical Approach'!K$4,'VAR Historical Approach'!K$5)</f>
        <v>2.6474129270645731E-2</v>
      </c>
    </row>
    <row r="1166" spans="2:7" x14ac:dyDescent="0.3">
      <c r="B1166" s="102">
        <v>44487.645833333336</v>
      </c>
      <c r="C1166" s="108">
        <v>2588.8000000000002</v>
      </c>
      <c r="D1166" s="261">
        <f t="shared" si="21"/>
        <v>9.6526978803065464E-3</v>
      </c>
      <c r="E1166" s="261">
        <v>-1.2513412625247362E-2</v>
      </c>
      <c r="F1166">
        <v>1164</v>
      </c>
      <c r="G1166" s="259">
        <f ca="1">_xlfn.NORM.INV(RAND(),'VAR Historical Approach'!K$4,'VAR Historical Approach'!K$5)</f>
        <v>1.63700591192029E-2</v>
      </c>
    </row>
    <row r="1167" spans="2:7" x14ac:dyDescent="0.3">
      <c r="B1167" s="102">
        <v>44483.645833333336</v>
      </c>
      <c r="C1167" s="108">
        <v>2564.0500000000002</v>
      </c>
      <c r="D1167" s="261">
        <f t="shared" si="21"/>
        <v>1.0582531924956789E-2</v>
      </c>
      <c r="E1167" s="261">
        <v>-1.2545263403807924E-2</v>
      </c>
      <c r="F1167">
        <v>1165</v>
      </c>
      <c r="G1167" s="259">
        <f ca="1">_xlfn.NORM.INV(RAND(),'VAR Historical Approach'!K$4,'VAR Historical Approach'!K$5)</f>
        <v>1.6683461305911404E-2</v>
      </c>
    </row>
    <row r="1168" spans="2:7" x14ac:dyDescent="0.3">
      <c r="B1168" s="102">
        <v>44482.645833333336</v>
      </c>
      <c r="C1168" s="108">
        <v>2537.1999999999998</v>
      </c>
      <c r="D1168" s="261">
        <f t="shared" si="21"/>
        <v>1.7892963170986084E-2</v>
      </c>
      <c r="E1168" s="261">
        <v>-1.2552465382654062E-2</v>
      </c>
      <c r="F1168">
        <v>1166</v>
      </c>
      <c r="G1168" s="259">
        <f ca="1">_xlfn.NORM.INV(RAND(),'VAR Historical Approach'!K$4,'VAR Historical Approach'!K$5)</f>
        <v>-2.2861295572783366E-2</v>
      </c>
    </row>
    <row r="1169" spans="2:7" x14ac:dyDescent="0.3">
      <c r="B1169" s="102">
        <v>44481.645833333336</v>
      </c>
      <c r="C1169" s="108">
        <v>2492.6</v>
      </c>
      <c r="D1169" s="261">
        <f t="shared" si="21"/>
        <v>5.5113443955299615E-2</v>
      </c>
      <c r="E1169" s="261">
        <v>-1.2559450915615403E-2</v>
      </c>
      <c r="F1169">
        <v>1167</v>
      </c>
      <c r="G1169" s="259">
        <f ca="1">_xlfn.NORM.INV(RAND(),'VAR Historical Approach'!K$4,'VAR Historical Approach'!K$5)</f>
        <v>-8.2202338454362769E-3</v>
      </c>
    </row>
    <row r="1170" spans="2:7" x14ac:dyDescent="0.3">
      <c r="B1170" s="102">
        <v>44480.645833333336</v>
      </c>
      <c r="C1170" s="108">
        <v>2362.4</v>
      </c>
      <c r="D1170" s="261">
        <f t="shared" si="21"/>
        <v>1.7810194215928561E-3</v>
      </c>
      <c r="E1170" s="261">
        <v>-1.2562573121847371E-2</v>
      </c>
      <c r="F1170">
        <v>1168</v>
      </c>
      <c r="G1170" s="259">
        <f ca="1">_xlfn.NORM.INV(RAND(),'VAR Historical Approach'!K$4,'VAR Historical Approach'!K$5)</f>
        <v>-1.7065500608702832E-2</v>
      </c>
    </row>
    <row r="1171" spans="2:7" x14ac:dyDescent="0.3">
      <c r="B1171" s="102">
        <v>44477.645833333336</v>
      </c>
      <c r="C1171" s="108">
        <v>2358.1999999999998</v>
      </c>
      <c r="D1171" s="261">
        <f t="shared" si="21"/>
        <v>-7.2199886332540856E-3</v>
      </c>
      <c r="E1171" s="261">
        <v>-1.2580714336772207E-2</v>
      </c>
      <c r="F1171">
        <v>1169</v>
      </c>
      <c r="G1171" s="259">
        <f ca="1">_xlfn.NORM.INV(RAND(),'VAR Historical Approach'!K$4,'VAR Historical Approach'!K$5)</f>
        <v>2.0824940551437545E-2</v>
      </c>
    </row>
    <row r="1172" spans="2:7" x14ac:dyDescent="0.3">
      <c r="B1172" s="102">
        <v>44476.645833333336</v>
      </c>
      <c r="C1172" s="108">
        <v>2375.35</v>
      </c>
      <c r="D1172" s="261">
        <f t="shared" si="21"/>
        <v>0.10602286219821656</v>
      </c>
      <c r="E1172" s="261">
        <v>-1.2589500383101294E-2</v>
      </c>
      <c r="F1172">
        <v>1170</v>
      </c>
      <c r="G1172" s="259">
        <f ca="1">_xlfn.NORM.INV(RAND(),'VAR Historical Approach'!K$4,'VAR Historical Approach'!K$5)</f>
        <v>9.9259534827373791E-3</v>
      </c>
    </row>
    <row r="1173" spans="2:7" x14ac:dyDescent="0.3">
      <c r="B1173" s="102">
        <v>44475.645833333336</v>
      </c>
      <c r="C1173" s="108">
        <v>2147.65</v>
      </c>
      <c r="D1173" s="261">
        <f t="shared" si="21"/>
        <v>-2.0523111303673635E-2</v>
      </c>
      <c r="E1173" s="261">
        <v>-1.2765314600800664E-2</v>
      </c>
      <c r="F1173">
        <v>1171</v>
      </c>
      <c r="G1173" s="259">
        <f ca="1">_xlfn.NORM.INV(RAND(),'VAR Historical Approach'!K$4,'VAR Historical Approach'!K$5)</f>
        <v>1.352812638544902E-2</v>
      </c>
    </row>
    <row r="1174" spans="2:7" x14ac:dyDescent="0.3">
      <c r="B1174" s="102">
        <v>44474.645833333336</v>
      </c>
      <c r="C1174" s="108">
        <v>2192.65</v>
      </c>
      <c r="D1174" s="261">
        <f t="shared" si="21"/>
        <v>1.7329374101053174E-2</v>
      </c>
      <c r="E1174" s="261">
        <v>-1.2797472104275735E-2</v>
      </c>
      <c r="F1174">
        <v>1172</v>
      </c>
      <c r="G1174" s="259">
        <f ca="1">_xlfn.NORM.INV(RAND(),'VAR Historical Approach'!K$4,'VAR Historical Approach'!K$5)</f>
        <v>3.8735042173916232E-3</v>
      </c>
    </row>
    <row r="1175" spans="2:7" x14ac:dyDescent="0.3">
      <c r="B1175" s="102">
        <v>44473.645833333336</v>
      </c>
      <c r="C1175" s="108">
        <v>2155.3000000000002</v>
      </c>
      <c r="D1175" s="261">
        <f t="shared" si="21"/>
        <v>-3.905257076834116E-3</v>
      </c>
      <c r="E1175" s="261">
        <v>-1.2814964416233936E-2</v>
      </c>
      <c r="F1175">
        <v>1173</v>
      </c>
      <c r="G1175" s="259">
        <f ca="1">_xlfn.NORM.INV(RAND(),'VAR Historical Approach'!K$4,'VAR Historical Approach'!K$5)</f>
        <v>-2.7075158614124347E-2</v>
      </c>
    </row>
    <row r="1176" spans="2:7" x14ac:dyDescent="0.3">
      <c r="B1176" s="102">
        <v>44470.645833333336</v>
      </c>
      <c r="C1176" s="108">
        <v>2163.75</v>
      </c>
      <c r="D1176" s="261">
        <f t="shared" si="21"/>
        <v>8.7887688785072556E-4</v>
      </c>
      <c r="E1176" s="261">
        <v>-1.2820324114278907E-2</v>
      </c>
      <c r="F1176">
        <v>1174</v>
      </c>
      <c r="G1176" s="259">
        <f ca="1">_xlfn.NORM.INV(RAND(),'VAR Historical Approach'!K$4,'VAR Historical Approach'!K$5)</f>
        <v>2.0398247033238111E-3</v>
      </c>
    </row>
    <row r="1177" spans="2:7" x14ac:dyDescent="0.3">
      <c r="B1177" s="102">
        <v>44469.645833333336</v>
      </c>
      <c r="C1177" s="108">
        <v>2161.85</v>
      </c>
      <c r="D1177" s="261">
        <f t="shared" si="21"/>
        <v>6.6821885913852892E-3</v>
      </c>
      <c r="E1177" s="261">
        <v>-1.3009417113167611E-2</v>
      </c>
      <c r="F1177">
        <v>1175</v>
      </c>
      <c r="G1177" s="259">
        <f ca="1">_xlfn.NORM.INV(RAND(),'VAR Historical Approach'!K$4,'VAR Historical Approach'!K$5)</f>
        <v>9.2144045934217512E-4</v>
      </c>
    </row>
    <row r="1178" spans="2:7" x14ac:dyDescent="0.3">
      <c r="B1178" s="102">
        <v>44468.645833333336</v>
      </c>
      <c r="C1178" s="108">
        <v>2147.5</v>
      </c>
      <c r="D1178" s="261">
        <f t="shared" si="21"/>
        <v>8.5474099469308295E-3</v>
      </c>
      <c r="E1178" s="261">
        <v>-1.3100584123982757E-2</v>
      </c>
      <c r="F1178">
        <v>1176</v>
      </c>
      <c r="G1178" s="259">
        <f ca="1">_xlfn.NORM.INV(RAND(),'VAR Historical Approach'!K$4,'VAR Historical Approach'!K$5)</f>
        <v>1.2731148181688032E-2</v>
      </c>
    </row>
    <row r="1179" spans="2:7" x14ac:dyDescent="0.3">
      <c r="B1179" s="102">
        <v>44467.645833333336</v>
      </c>
      <c r="C1179" s="108">
        <v>2129.3000000000002</v>
      </c>
      <c r="D1179" s="261">
        <f t="shared" si="21"/>
        <v>1.8681975840210589E-2</v>
      </c>
      <c r="E1179" s="261">
        <v>-1.3145994152661801E-2</v>
      </c>
      <c r="F1179">
        <v>1177</v>
      </c>
      <c r="G1179" s="259">
        <f ca="1">_xlfn.NORM.INV(RAND(),'VAR Historical Approach'!K$4,'VAR Historical Approach'!K$5)</f>
        <v>-2.2356591358688869E-2</v>
      </c>
    </row>
    <row r="1180" spans="2:7" x14ac:dyDescent="0.3">
      <c r="B1180" s="102">
        <v>44466.645833333336</v>
      </c>
      <c r="C1180" s="108">
        <v>2090.25</v>
      </c>
      <c r="D1180" s="261">
        <f t="shared" si="21"/>
        <v>-1.2661856753787045E-3</v>
      </c>
      <c r="E1180" s="261">
        <v>-1.3217793183131096E-2</v>
      </c>
      <c r="F1180">
        <v>1178</v>
      </c>
      <c r="G1180" s="259">
        <f ca="1">_xlfn.NORM.INV(RAND(),'VAR Historical Approach'!K$4,'VAR Historical Approach'!K$5)</f>
        <v>2.4136455433738137E-3</v>
      </c>
    </row>
    <row r="1181" spans="2:7" x14ac:dyDescent="0.3">
      <c r="B1181" s="102">
        <v>44463.645833333336</v>
      </c>
      <c r="C1181" s="108">
        <v>2092.9</v>
      </c>
      <c r="D1181" s="261">
        <f t="shared" si="21"/>
        <v>-5.7718343982328642E-3</v>
      </c>
      <c r="E1181" s="261">
        <v>-1.3224749173453126E-2</v>
      </c>
      <c r="F1181">
        <v>1179</v>
      </c>
      <c r="G1181" s="259">
        <f ca="1">_xlfn.NORM.INV(RAND(),'VAR Historical Approach'!K$4,'VAR Historical Approach'!K$5)</f>
        <v>3.4155925766598729E-3</v>
      </c>
    </row>
    <row r="1182" spans="2:7" x14ac:dyDescent="0.3">
      <c r="B1182" s="102">
        <v>44462.645833333336</v>
      </c>
      <c r="C1182" s="108">
        <v>2105.0500000000002</v>
      </c>
      <c r="D1182" s="261">
        <f t="shared" si="21"/>
        <v>1.1532639773191416E-2</v>
      </c>
      <c r="E1182" s="261">
        <v>-1.3242599723683877E-2</v>
      </c>
      <c r="F1182">
        <v>1180</v>
      </c>
      <c r="G1182" s="259">
        <f ca="1">_xlfn.NORM.INV(RAND(),'VAR Historical Approach'!K$4,'VAR Historical Approach'!K$5)</f>
        <v>3.325348268809817E-3</v>
      </c>
    </row>
    <row r="1183" spans="2:7" x14ac:dyDescent="0.3">
      <c r="B1183" s="102">
        <v>44461.645833333336</v>
      </c>
      <c r="C1183" s="108">
        <v>2081.0500000000002</v>
      </c>
      <c r="D1183" s="261">
        <f t="shared" si="21"/>
        <v>-2.3012201260875554E-3</v>
      </c>
      <c r="E1183" s="261">
        <v>-1.337669411425459E-2</v>
      </c>
      <c r="F1183">
        <v>1181</v>
      </c>
      <c r="G1183" s="259">
        <f ca="1">_xlfn.NORM.INV(RAND(),'VAR Historical Approach'!K$4,'VAR Historical Approach'!K$5)</f>
        <v>8.4333542956516148E-3</v>
      </c>
    </row>
    <row r="1184" spans="2:7" x14ac:dyDescent="0.3">
      <c r="B1184" s="102">
        <v>44460.645833333336</v>
      </c>
      <c r="C1184" s="108">
        <v>2085.85</v>
      </c>
      <c r="D1184" s="261">
        <f t="shared" si="21"/>
        <v>4.0917515103376899E-3</v>
      </c>
      <c r="E1184" s="261">
        <v>-1.342108659181835E-2</v>
      </c>
      <c r="F1184">
        <v>1182</v>
      </c>
      <c r="G1184" s="259">
        <f ca="1">_xlfn.NORM.INV(RAND(),'VAR Historical Approach'!K$4,'VAR Historical Approach'!K$5)</f>
        <v>1.3706031127941635E-2</v>
      </c>
    </row>
    <row r="1185" spans="2:7" x14ac:dyDescent="0.3">
      <c r="B1185" s="102">
        <v>44459.645833333336</v>
      </c>
      <c r="C1185" s="108">
        <v>2077.35</v>
      </c>
      <c r="D1185" s="261">
        <f t="shared" si="21"/>
        <v>-8.7087230387478537E-3</v>
      </c>
      <c r="E1185" s="261">
        <v>-1.3444783512449734E-2</v>
      </c>
      <c r="F1185">
        <v>1183</v>
      </c>
      <c r="G1185" s="259">
        <f ca="1">_xlfn.NORM.INV(RAND(),'VAR Historical Approach'!K$4,'VAR Historical Approach'!K$5)</f>
        <v>-1.7800994119378594E-2</v>
      </c>
    </row>
    <row r="1186" spans="2:7" x14ac:dyDescent="0.3">
      <c r="B1186" s="102">
        <v>44456.645833333336</v>
      </c>
      <c r="C1186" s="108">
        <v>2095.6</v>
      </c>
      <c r="D1186" s="261">
        <f t="shared" si="21"/>
        <v>-6.2123583250343391E-3</v>
      </c>
      <c r="E1186" s="261">
        <v>-1.3461579293797829E-2</v>
      </c>
      <c r="F1186">
        <v>1184</v>
      </c>
      <c r="G1186" s="259">
        <f ca="1">_xlfn.NORM.INV(RAND(),'VAR Historical Approach'!K$4,'VAR Historical Approach'!K$5)</f>
        <v>7.3665410234452977E-4</v>
      </c>
    </row>
    <row r="1187" spans="2:7" x14ac:dyDescent="0.3">
      <c r="B1187" s="102">
        <v>44455.645833333336</v>
      </c>
      <c r="C1187" s="108">
        <v>2108.6999999999998</v>
      </c>
      <c r="D1187" s="261">
        <f t="shared" si="21"/>
        <v>-5.2598061183574737E-3</v>
      </c>
      <c r="E1187" s="261">
        <v>-1.3468853276797442E-2</v>
      </c>
      <c r="F1187">
        <v>1185</v>
      </c>
      <c r="G1187" s="259">
        <f ca="1">_xlfn.NORM.INV(RAND(),'VAR Historical Approach'!K$4,'VAR Historical Approach'!K$5)</f>
        <v>1.7656205436882358E-2</v>
      </c>
    </row>
    <row r="1188" spans="2:7" x14ac:dyDescent="0.3">
      <c r="B1188" s="102">
        <v>44454.645833333336</v>
      </c>
      <c r="C1188" s="108">
        <v>2119.85</v>
      </c>
      <c r="D1188" s="261">
        <f t="shared" si="21"/>
        <v>3.1205915260008803E-2</v>
      </c>
      <c r="E1188" s="261">
        <v>-1.3619402985074589E-2</v>
      </c>
      <c r="F1188">
        <v>1186</v>
      </c>
      <c r="G1188" s="259">
        <f ca="1">_xlfn.NORM.INV(RAND(),'VAR Historical Approach'!K$4,'VAR Historical Approach'!K$5)</f>
        <v>1.6839674244648738E-2</v>
      </c>
    </row>
    <row r="1189" spans="2:7" x14ac:dyDescent="0.3">
      <c r="B1189" s="102">
        <v>44453.645833333336</v>
      </c>
      <c r="C1189" s="108">
        <v>2055.6999999999998</v>
      </c>
      <c r="D1189" s="261">
        <f t="shared" si="21"/>
        <v>1.2335951542609374E-2</v>
      </c>
      <c r="E1189" s="261">
        <v>-1.3647475505765151E-2</v>
      </c>
      <c r="F1189">
        <v>1187</v>
      </c>
      <c r="G1189" s="259">
        <f ca="1">_xlfn.NORM.INV(RAND(),'VAR Historical Approach'!K$4,'VAR Historical Approach'!K$5)</f>
        <v>1.934909126476813E-2</v>
      </c>
    </row>
    <row r="1190" spans="2:7" x14ac:dyDescent="0.3">
      <c r="B1190" s="102">
        <v>44452.645833333336</v>
      </c>
      <c r="C1190" s="108">
        <v>2030.65</v>
      </c>
      <c r="D1190" s="261">
        <f t="shared" si="21"/>
        <v>-1.7942289731110769E-3</v>
      </c>
      <c r="E1190" s="261">
        <v>-1.3657497094149686E-2</v>
      </c>
      <c r="F1190">
        <v>1188</v>
      </c>
      <c r="G1190" s="259">
        <f ca="1">_xlfn.NORM.INV(RAND(),'VAR Historical Approach'!K$4,'VAR Historical Approach'!K$5)</f>
        <v>7.6174041222996283E-3</v>
      </c>
    </row>
    <row r="1191" spans="2:7" x14ac:dyDescent="0.3">
      <c r="B1191" s="102">
        <v>44448.645833333336</v>
      </c>
      <c r="C1191" s="108">
        <v>2034.3</v>
      </c>
      <c r="D1191" s="261">
        <f t="shared" si="21"/>
        <v>-1.053041173180275E-2</v>
      </c>
      <c r="E1191" s="261">
        <v>-1.3675566092842723E-2</v>
      </c>
      <c r="F1191">
        <v>1189</v>
      </c>
      <c r="G1191" s="259">
        <f ca="1">_xlfn.NORM.INV(RAND(),'VAR Historical Approach'!K$4,'VAR Historical Approach'!K$5)</f>
        <v>1.3961148098249962E-2</v>
      </c>
    </row>
    <row r="1192" spans="2:7" x14ac:dyDescent="0.3">
      <c r="B1192" s="102">
        <v>44447.645833333336</v>
      </c>
      <c r="C1192" s="108">
        <v>2055.9499999999998</v>
      </c>
      <c r="D1192" s="261">
        <f t="shared" si="21"/>
        <v>1.0841240965632394E-2</v>
      </c>
      <c r="E1192" s="261">
        <v>-1.3719214413439613E-2</v>
      </c>
      <c r="F1192">
        <v>1190</v>
      </c>
      <c r="G1192" s="259">
        <f ca="1">_xlfn.NORM.INV(RAND(),'VAR Historical Approach'!K$4,'VAR Historical Approach'!K$5)</f>
        <v>1.0298949769153045E-2</v>
      </c>
    </row>
    <row r="1193" spans="2:7" x14ac:dyDescent="0.3">
      <c r="B1193" s="102">
        <v>44446.645833333336</v>
      </c>
      <c r="C1193" s="108">
        <v>2033.9</v>
      </c>
      <c r="D1193" s="261">
        <f t="shared" si="21"/>
        <v>6.5572959196298214E-3</v>
      </c>
      <c r="E1193" s="261">
        <v>-1.3789198206332984E-2</v>
      </c>
      <c r="F1193">
        <v>1191</v>
      </c>
      <c r="G1193" s="259">
        <f ca="1">_xlfn.NORM.INV(RAND(),'VAR Historical Approach'!K$4,'VAR Historical Approach'!K$5)</f>
        <v>-1.0211024911903951E-2</v>
      </c>
    </row>
    <row r="1194" spans="2:7" x14ac:dyDescent="0.3">
      <c r="B1194" s="102">
        <v>44445.645833333336</v>
      </c>
      <c r="C1194" s="108">
        <v>2020.65</v>
      </c>
      <c r="D1194" s="261">
        <f t="shared" si="21"/>
        <v>6.6854850690840212E-4</v>
      </c>
      <c r="E1194" s="261">
        <v>-1.3901444384178032E-2</v>
      </c>
      <c r="F1194">
        <v>1192</v>
      </c>
      <c r="G1194" s="259">
        <f ca="1">_xlfn.NORM.INV(RAND(),'VAR Historical Approach'!K$4,'VAR Historical Approach'!K$5)</f>
        <v>-1.7576333378432979E-2</v>
      </c>
    </row>
    <row r="1195" spans="2:7" x14ac:dyDescent="0.3">
      <c r="B1195" s="102">
        <v>44442.645833333336</v>
      </c>
      <c r="C1195" s="108">
        <v>2019.3</v>
      </c>
      <c r="D1195" s="261">
        <f t="shared" si="21"/>
        <v>2.6536525850236414E-2</v>
      </c>
      <c r="E1195" s="261">
        <v>-1.3948006024490835E-2</v>
      </c>
      <c r="F1195">
        <v>1193</v>
      </c>
      <c r="G1195" s="259">
        <f ca="1">_xlfn.NORM.INV(RAND(),'VAR Historical Approach'!K$4,'VAR Historical Approach'!K$5)</f>
        <v>-1.3571570482913145E-2</v>
      </c>
    </row>
    <row r="1196" spans="2:7" x14ac:dyDescent="0.3">
      <c r="B1196" s="102">
        <v>44441.645833333336</v>
      </c>
      <c r="C1196" s="108">
        <v>1967.1</v>
      </c>
      <c r="D1196" s="261">
        <f t="shared" si="21"/>
        <v>1.4282767866350323E-2</v>
      </c>
      <c r="E1196" s="261">
        <v>-1.4097414499083605E-2</v>
      </c>
      <c r="F1196">
        <v>1194</v>
      </c>
      <c r="G1196" s="259">
        <f ca="1">_xlfn.NORM.INV(RAND(),'VAR Historical Approach'!K$4,'VAR Historical Approach'!K$5)</f>
        <v>2.9202995865571402E-2</v>
      </c>
    </row>
    <row r="1197" spans="2:7" x14ac:dyDescent="0.3">
      <c r="B1197" s="102">
        <v>44440.645833333336</v>
      </c>
      <c r="C1197" s="108">
        <v>1939.4</v>
      </c>
      <c r="D1197" s="261">
        <f t="shared" si="21"/>
        <v>9.2631140716070894E-3</v>
      </c>
      <c r="E1197" s="261">
        <v>-1.4144840870540284E-2</v>
      </c>
      <c r="F1197">
        <v>1195</v>
      </c>
      <c r="G1197" s="259">
        <f ca="1">_xlfn.NORM.INV(RAND(),'VAR Historical Approach'!K$4,'VAR Historical Approach'!K$5)</f>
        <v>2.2132269385103355E-2</v>
      </c>
    </row>
    <row r="1198" spans="2:7" x14ac:dyDescent="0.3">
      <c r="B1198" s="102">
        <v>44439.645833333336</v>
      </c>
      <c r="C1198" s="108">
        <v>1921.6</v>
      </c>
      <c r="D1198" s="261">
        <f t="shared" si="21"/>
        <v>2.2971066570842909E-2</v>
      </c>
      <c r="E1198" s="261">
        <v>-1.4221419386442906E-2</v>
      </c>
      <c r="F1198">
        <v>1196</v>
      </c>
      <c r="G1198" s="259">
        <f ca="1">_xlfn.NORM.INV(RAND(),'VAR Historical Approach'!K$4,'VAR Historical Approach'!K$5)</f>
        <v>1.8553826788443445E-2</v>
      </c>
    </row>
    <row r="1199" spans="2:7" x14ac:dyDescent="0.3">
      <c r="B1199" s="102">
        <v>44438.645833333336</v>
      </c>
      <c r="C1199" s="108">
        <v>1878.45</v>
      </c>
      <c r="D1199" s="261">
        <f t="shared" si="21"/>
        <v>3.0671312172505606E-2</v>
      </c>
      <c r="E1199" s="261">
        <v>-1.4240117849251135E-2</v>
      </c>
      <c r="F1199">
        <v>1197</v>
      </c>
      <c r="G1199" s="259">
        <f ca="1">_xlfn.NORM.INV(RAND(),'VAR Historical Approach'!K$4,'VAR Historical Approach'!K$5)</f>
        <v>-1.1670889176393529E-2</v>
      </c>
    </row>
    <row r="1200" spans="2:7" x14ac:dyDescent="0.3">
      <c r="B1200" s="102">
        <v>44435.645833333336</v>
      </c>
      <c r="C1200" s="108">
        <v>1822.55</v>
      </c>
      <c r="D1200" s="261">
        <f t="shared" si="21"/>
        <v>3.9661773211777593E-3</v>
      </c>
      <c r="E1200" s="261">
        <v>-1.4242673240208238E-2</v>
      </c>
      <c r="F1200">
        <v>1198</v>
      </c>
      <c r="G1200" s="259">
        <f ca="1">_xlfn.NORM.INV(RAND(),'VAR Historical Approach'!K$4,'VAR Historical Approach'!K$5)</f>
        <v>-6.0369972670707185E-3</v>
      </c>
    </row>
    <row r="1201" spans="2:7" x14ac:dyDescent="0.3">
      <c r="B1201" s="102">
        <v>44434.645833333336</v>
      </c>
      <c r="C1201" s="108">
        <v>1815.35</v>
      </c>
      <c r="D1201" s="261">
        <f t="shared" si="21"/>
        <v>-4.0051573258717702E-3</v>
      </c>
      <c r="E1201" s="261">
        <v>-1.4309410046295195E-2</v>
      </c>
      <c r="F1201">
        <v>1199</v>
      </c>
      <c r="G1201" s="259">
        <f ca="1">_xlfn.NORM.INV(RAND(),'VAR Historical Approach'!K$4,'VAR Historical Approach'!K$5)</f>
        <v>8.5409167616194888E-3</v>
      </c>
    </row>
    <row r="1202" spans="2:7" x14ac:dyDescent="0.3">
      <c r="B1202" s="102">
        <v>44433.645833333336</v>
      </c>
      <c r="C1202" s="108">
        <v>1822.65</v>
      </c>
      <c r="D1202" s="261">
        <f t="shared" si="21"/>
        <v>-2.5112323491655875E-2</v>
      </c>
      <c r="E1202" s="261">
        <v>-1.4342419449871307E-2</v>
      </c>
      <c r="F1202">
        <v>1200</v>
      </c>
      <c r="G1202" s="259">
        <f ca="1">_xlfn.NORM.INV(RAND(),'VAR Historical Approach'!K$4,'VAR Historical Approach'!K$5)</f>
        <v>4.5533411471693333E-4</v>
      </c>
    </row>
    <row r="1203" spans="2:7" x14ac:dyDescent="0.3">
      <c r="B1203" s="102">
        <v>44432.645833333336</v>
      </c>
      <c r="C1203" s="108">
        <v>1869.6</v>
      </c>
      <c r="D1203" s="261">
        <f t="shared" si="21"/>
        <v>-4.0099446627636539E-4</v>
      </c>
      <c r="E1203" s="261">
        <v>-1.4583795782463889E-2</v>
      </c>
      <c r="F1203">
        <v>1201</v>
      </c>
      <c r="G1203" s="259">
        <f ca="1">_xlfn.NORM.INV(RAND(),'VAR Historical Approach'!K$4,'VAR Historical Approach'!K$5)</f>
        <v>2.3292558564912663E-2</v>
      </c>
    </row>
    <row r="1204" spans="2:7" x14ac:dyDescent="0.3">
      <c r="B1204" s="102">
        <v>44431.645833333336</v>
      </c>
      <c r="C1204" s="108">
        <v>1870.35</v>
      </c>
      <c r="D1204" s="261">
        <f t="shared" si="21"/>
        <v>-3.4367007672634516E-3</v>
      </c>
      <c r="E1204" s="261">
        <v>-1.4670225554717906E-2</v>
      </c>
      <c r="F1204">
        <v>1202</v>
      </c>
      <c r="G1204" s="259">
        <f ca="1">_xlfn.NORM.INV(RAND(),'VAR Historical Approach'!K$4,'VAR Historical Approach'!K$5)</f>
        <v>2.1680959249745515E-3</v>
      </c>
    </row>
    <row r="1205" spans="2:7" x14ac:dyDescent="0.3">
      <c r="B1205" s="102">
        <v>44428.645833333336</v>
      </c>
      <c r="C1205" s="108">
        <v>1876.8</v>
      </c>
      <c r="D1205" s="261">
        <f t="shared" si="21"/>
        <v>-1.86140509493166E-3</v>
      </c>
      <c r="E1205" s="261">
        <v>-1.4679264407761433E-2</v>
      </c>
      <c r="F1205">
        <v>1203</v>
      </c>
      <c r="G1205" s="259">
        <f ca="1">_xlfn.NORM.INV(RAND(),'VAR Historical Approach'!K$4,'VAR Historical Approach'!K$5)</f>
        <v>1.6055317511509133E-2</v>
      </c>
    </row>
    <row r="1206" spans="2:7" x14ac:dyDescent="0.3">
      <c r="B1206" s="102">
        <v>44426.645833333336</v>
      </c>
      <c r="C1206" s="108">
        <v>1880.3</v>
      </c>
      <c r="D1206" s="261">
        <f t="shared" si="21"/>
        <v>3.1209154685373892E-3</v>
      </c>
      <c r="E1206" s="261">
        <v>-1.4710494055934062E-2</v>
      </c>
      <c r="F1206">
        <v>1204</v>
      </c>
      <c r="G1206" s="259">
        <f ca="1">_xlfn.NORM.INV(RAND(),'VAR Historical Approach'!K$4,'VAR Historical Approach'!K$5)</f>
        <v>1.4917143343485009E-2</v>
      </c>
    </row>
    <row r="1207" spans="2:7" x14ac:dyDescent="0.3">
      <c r="B1207" s="102">
        <v>44425.645833333336</v>
      </c>
      <c r="C1207" s="108">
        <v>1874.45</v>
      </c>
      <c r="D1207" s="261">
        <f t="shared" si="21"/>
        <v>2.0275419116046158E-2</v>
      </c>
      <c r="E1207" s="261">
        <v>-1.4725311020587913E-2</v>
      </c>
      <c r="F1207">
        <v>1205</v>
      </c>
      <c r="G1207" s="259">
        <f ca="1">_xlfn.NORM.INV(RAND(),'VAR Historical Approach'!K$4,'VAR Historical Approach'!K$5)</f>
        <v>7.614896529253806E-4</v>
      </c>
    </row>
    <row r="1208" spans="2:7" x14ac:dyDescent="0.3">
      <c r="B1208" s="102">
        <v>44424.645833333336</v>
      </c>
      <c r="C1208" s="108">
        <v>1837.2</v>
      </c>
      <c r="D1208" s="261">
        <f t="shared" si="21"/>
        <v>-3.8086947059146059E-4</v>
      </c>
      <c r="E1208" s="261">
        <v>-1.4727517930484806E-2</v>
      </c>
      <c r="F1208">
        <v>1206</v>
      </c>
      <c r="G1208" s="259">
        <f ca="1">_xlfn.NORM.INV(RAND(),'VAR Historical Approach'!K$4,'VAR Historical Approach'!K$5)</f>
        <v>-1.4296271696253316E-2</v>
      </c>
    </row>
    <row r="1209" spans="2:7" x14ac:dyDescent="0.3">
      <c r="B1209" s="102">
        <v>44421.645833333336</v>
      </c>
      <c r="C1209" s="108">
        <v>1837.9</v>
      </c>
      <c r="D1209" s="261">
        <f t="shared" si="21"/>
        <v>7.8416319368283527E-3</v>
      </c>
      <c r="E1209" s="261">
        <v>-1.4782822430562838E-2</v>
      </c>
      <c r="F1209">
        <v>1207</v>
      </c>
      <c r="G1209" s="259">
        <f ca="1">_xlfn.NORM.INV(RAND(),'VAR Historical Approach'!K$4,'VAR Historical Approach'!K$5)</f>
        <v>-6.9657590741047095E-3</v>
      </c>
    </row>
    <row r="1210" spans="2:7" x14ac:dyDescent="0.3">
      <c r="B1210" s="102">
        <v>44420.645833333336</v>
      </c>
      <c r="C1210" s="108">
        <v>1823.6</v>
      </c>
      <c r="D1210" s="261">
        <f t="shared" si="21"/>
        <v>1.9112551693304915E-2</v>
      </c>
      <c r="E1210" s="261">
        <v>-1.4855854089037045E-2</v>
      </c>
      <c r="F1210">
        <v>1208</v>
      </c>
      <c r="G1210" s="259">
        <f ca="1">_xlfn.NORM.INV(RAND(),'VAR Historical Approach'!K$4,'VAR Historical Approach'!K$5)</f>
        <v>5.3894496152694397E-3</v>
      </c>
    </row>
    <row r="1211" spans="2:7" x14ac:dyDescent="0.3">
      <c r="B1211" s="102">
        <v>44419.645833333336</v>
      </c>
      <c r="C1211" s="108">
        <v>1789.4</v>
      </c>
      <c r="D1211" s="261">
        <f t="shared" si="21"/>
        <v>-5.4468652734548434E-3</v>
      </c>
      <c r="E1211" s="261">
        <v>-1.5154654432440379E-2</v>
      </c>
      <c r="F1211">
        <v>1209</v>
      </c>
      <c r="G1211" s="259">
        <f ca="1">_xlfn.NORM.INV(RAND(),'VAR Historical Approach'!K$4,'VAR Historical Approach'!K$5)</f>
        <v>-3.4480749885925062E-3</v>
      </c>
    </row>
    <row r="1212" spans="2:7" x14ac:dyDescent="0.3">
      <c r="B1212" s="102">
        <v>44418.645833333336</v>
      </c>
      <c r="C1212" s="108">
        <v>1799.2</v>
      </c>
      <c r="D1212" s="261">
        <f t="shared" si="21"/>
        <v>2.779090125890255E-5</v>
      </c>
      <c r="E1212" s="261">
        <v>-1.5161299379509786E-2</v>
      </c>
      <c r="F1212">
        <v>1210</v>
      </c>
      <c r="G1212" s="259">
        <f ca="1">_xlfn.NORM.INV(RAND(),'VAR Historical Approach'!K$4,'VAR Historical Approach'!K$5)</f>
        <v>9.1173588408727524E-3</v>
      </c>
    </row>
    <row r="1213" spans="2:7" x14ac:dyDescent="0.3">
      <c r="B1213" s="102">
        <v>44417.645833333336</v>
      </c>
      <c r="C1213" s="108">
        <v>1799.15</v>
      </c>
      <c r="D1213" s="261">
        <f t="shared" si="21"/>
        <v>6.3767305271990437E-3</v>
      </c>
      <c r="E1213" s="261">
        <v>-1.5216181109667866E-2</v>
      </c>
      <c r="F1213">
        <v>1211</v>
      </c>
      <c r="G1213" s="259">
        <f ca="1">_xlfn.NORM.INV(RAND(),'VAR Historical Approach'!K$4,'VAR Historical Approach'!K$5)</f>
        <v>3.0075729265785114E-3</v>
      </c>
    </row>
    <row r="1214" spans="2:7" x14ac:dyDescent="0.3">
      <c r="B1214" s="102">
        <v>44414.645833333336</v>
      </c>
      <c r="C1214" s="108">
        <v>1787.75</v>
      </c>
      <c r="D1214" s="261">
        <f t="shared" si="21"/>
        <v>-6.419163007836356E-3</v>
      </c>
      <c r="E1214" s="261">
        <v>-1.5225114188356304E-2</v>
      </c>
      <c r="F1214">
        <v>1212</v>
      </c>
      <c r="G1214" s="259">
        <f ca="1">_xlfn.NORM.INV(RAND(),'VAR Historical Approach'!K$4,'VAR Historical Approach'!K$5)</f>
        <v>-1.886755392120459E-2</v>
      </c>
    </row>
    <row r="1215" spans="2:7" x14ac:dyDescent="0.3">
      <c r="B1215" s="102">
        <v>44413.645833333336</v>
      </c>
      <c r="C1215" s="108">
        <v>1799.3</v>
      </c>
      <c r="D1215" s="261">
        <f t="shared" si="21"/>
        <v>-1.6670371193596052E-4</v>
      </c>
      <c r="E1215" s="261">
        <v>-1.5226035012342922E-2</v>
      </c>
      <c r="F1215">
        <v>1213</v>
      </c>
      <c r="G1215" s="259">
        <f ca="1">_xlfn.NORM.INV(RAND(),'VAR Historical Approach'!K$4,'VAR Historical Approach'!K$5)</f>
        <v>-2.544372051358406E-2</v>
      </c>
    </row>
    <row r="1216" spans="2:7" x14ac:dyDescent="0.3">
      <c r="B1216" s="102">
        <v>44412.645833333336</v>
      </c>
      <c r="C1216" s="108">
        <v>1799.6</v>
      </c>
      <c r="D1216" s="261">
        <f t="shared" si="21"/>
        <v>-2.2062819258776293E-2</v>
      </c>
      <c r="E1216" s="261">
        <v>-1.5237194382184276E-2</v>
      </c>
      <c r="F1216">
        <v>1214</v>
      </c>
      <c r="G1216" s="259">
        <f ca="1">_xlfn.NORM.INV(RAND(),'VAR Historical Approach'!K$4,'VAR Historical Approach'!K$5)</f>
        <v>-1.3327949487453019E-2</v>
      </c>
    </row>
    <row r="1217" spans="2:7" x14ac:dyDescent="0.3">
      <c r="B1217" s="102">
        <v>44411.645833333336</v>
      </c>
      <c r="C1217" s="108">
        <v>1840.2</v>
      </c>
      <c r="D1217" s="261">
        <f t="shared" si="21"/>
        <v>3.8751375913747901E-2</v>
      </c>
      <c r="E1217" s="261">
        <v>-1.5298789251869652E-2</v>
      </c>
      <c r="F1217">
        <v>1215</v>
      </c>
      <c r="G1217" s="259">
        <f ca="1">_xlfn.NORM.INV(RAND(),'VAR Historical Approach'!K$4,'VAR Historical Approach'!K$5)</f>
        <v>2.9807685356738951E-2</v>
      </c>
    </row>
    <row r="1218" spans="2:7" x14ac:dyDescent="0.3">
      <c r="B1218" s="102">
        <v>44410.645833333336</v>
      </c>
      <c r="C1218" s="108">
        <v>1771.55</v>
      </c>
      <c r="D1218" s="261">
        <f t="shared" si="21"/>
        <v>3.3244874748476275E-2</v>
      </c>
      <c r="E1218" s="261">
        <v>-1.530798462760594E-2</v>
      </c>
      <c r="F1218">
        <v>1216</v>
      </c>
      <c r="G1218" s="259">
        <f ca="1">_xlfn.NORM.INV(RAND(),'VAR Historical Approach'!K$4,'VAR Historical Approach'!K$5)</f>
        <v>-4.0050931323722318E-2</v>
      </c>
    </row>
    <row r="1219" spans="2:7" x14ac:dyDescent="0.3">
      <c r="B1219" s="102">
        <v>44407.645833333336</v>
      </c>
      <c r="C1219" s="108">
        <v>1714.55</v>
      </c>
      <c r="D1219" s="261">
        <f t="shared" ref="D1219:D1282" si="22">(C1219-C1220)/C1220</f>
        <v>-1.4144840870540284E-2</v>
      </c>
      <c r="E1219" s="261">
        <v>-1.536878216123495E-2</v>
      </c>
      <c r="F1219">
        <v>1217</v>
      </c>
      <c r="G1219" s="259">
        <f ca="1">_xlfn.NORM.INV(RAND(),'VAR Historical Approach'!K$4,'VAR Historical Approach'!K$5)</f>
        <v>5.9133232417487918E-3</v>
      </c>
    </row>
    <row r="1220" spans="2:7" x14ac:dyDescent="0.3">
      <c r="B1220" s="102">
        <v>44406.645833333336</v>
      </c>
      <c r="C1220" s="108">
        <v>1739.15</v>
      </c>
      <c r="D1220" s="261">
        <f t="shared" si="22"/>
        <v>9.0510864204694595E-3</v>
      </c>
      <c r="E1220" s="261">
        <v>-1.5370960584177154E-2</v>
      </c>
      <c r="F1220">
        <v>1218</v>
      </c>
      <c r="G1220" s="259">
        <f ca="1">_xlfn.NORM.INV(RAND(),'VAR Historical Approach'!K$4,'VAR Historical Approach'!K$5)</f>
        <v>3.1713968553460856E-2</v>
      </c>
    </row>
    <row r="1221" spans="2:7" x14ac:dyDescent="0.3">
      <c r="B1221" s="102">
        <v>44405.645833333336</v>
      </c>
      <c r="C1221" s="108">
        <v>1723.55</v>
      </c>
      <c r="D1221" s="261">
        <f t="shared" si="22"/>
        <v>-3.1809375090367542E-3</v>
      </c>
      <c r="E1221" s="261">
        <v>-1.5432171041847305E-2</v>
      </c>
      <c r="F1221">
        <v>1219</v>
      </c>
      <c r="G1221" s="259">
        <f ca="1">_xlfn.NORM.INV(RAND(),'VAR Historical Approach'!K$4,'VAR Historical Approach'!K$5)</f>
        <v>1.771642172154108E-2</v>
      </c>
    </row>
    <row r="1222" spans="2:7" x14ac:dyDescent="0.3">
      <c r="B1222" s="102">
        <v>44404.645833333336</v>
      </c>
      <c r="C1222" s="108">
        <v>1729.05</v>
      </c>
      <c r="D1222" s="261">
        <f t="shared" si="22"/>
        <v>3.5986882201004414E-3</v>
      </c>
      <c r="E1222" s="261">
        <v>-1.5529672767609498E-2</v>
      </c>
      <c r="F1222">
        <v>1220</v>
      </c>
      <c r="G1222" s="259">
        <f ca="1">_xlfn.NORM.INV(RAND(),'VAR Historical Approach'!K$4,'VAR Historical Approach'!K$5)</f>
        <v>1.4486778105004736E-2</v>
      </c>
    </row>
    <row r="1223" spans="2:7" x14ac:dyDescent="0.3">
      <c r="B1223" s="102">
        <v>44403.645833333336</v>
      </c>
      <c r="C1223" s="108">
        <v>1722.85</v>
      </c>
      <c r="D1223" s="261">
        <f t="shared" si="22"/>
        <v>1.2875157999941128E-2</v>
      </c>
      <c r="E1223" s="261">
        <v>-1.5607472752703933E-2</v>
      </c>
      <c r="F1223">
        <v>1221</v>
      </c>
      <c r="G1223" s="259">
        <f ca="1">_xlfn.NORM.INV(RAND(),'VAR Historical Approach'!K$4,'VAR Historical Approach'!K$5)</f>
        <v>-1.1662182675785965E-2</v>
      </c>
    </row>
    <row r="1224" spans="2:7" x14ac:dyDescent="0.3">
      <c r="B1224" s="102">
        <v>44400.645833333336</v>
      </c>
      <c r="C1224" s="108">
        <v>1700.95</v>
      </c>
      <c r="D1224" s="261">
        <f t="shared" si="22"/>
        <v>-4.7010430439251038E-4</v>
      </c>
      <c r="E1224" s="261">
        <v>-1.5615480809311515E-2</v>
      </c>
      <c r="F1224">
        <v>1222</v>
      </c>
      <c r="G1224" s="259">
        <f ca="1">_xlfn.NORM.INV(RAND(),'VAR Historical Approach'!K$4,'VAR Historical Approach'!K$5)</f>
        <v>1.9113313857462857E-4</v>
      </c>
    </row>
    <row r="1225" spans="2:7" x14ac:dyDescent="0.3">
      <c r="B1225" s="102">
        <v>44399.645833333336</v>
      </c>
      <c r="C1225" s="108">
        <v>1701.75</v>
      </c>
      <c r="D1225" s="261">
        <f t="shared" si="22"/>
        <v>1.8158430058633424E-2</v>
      </c>
      <c r="E1225" s="261">
        <v>-1.5668439501994414E-2</v>
      </c>
      <c r="F1225">
        <v>1223</v>
      </c>
      <c r="G1225" s="259">
        <f ca="1">_xlfn.NORM.INV(RAND(),'VAR Historical Approach'!K$4,'VAR Historical Approach'!K$5)</f>
        <v>7.7667721990344234E-3</v>
      </c>
    </row>
    <row r="1226" spans="2:7" x14ac:dyDescent="0.3">
      <c r="B1226" s="102">
        <v>44397.645833333336</v>
      </c>
      <c r="C1226" s="108">
        <v>1671.4</v>
      </c>
      <c r="D1226" s="261">
        <f t="shared" si="22"/>
        <v>-5.3262713125240687E-3</v>
      </c>
      <c r="E1226" s="261">
        <v>-1.5719997809059562E-2</v>
      </c>
      <c r="F1226">
        <v>1224</v>
      </c>
      <c r="G1226" s="259">
        <f ca="1">_xlfn.NORM.INV(RAND(),'VAR Historical Approach'!K$4,'VAR Historical Approach'!K$5)</f>
        <v>-1.1527827286908397E-2</v>
      </c>
    </row>
    <row r="1227" spans="2:7" x14ac:dyDescent="0.3">
      <c r="B1227" s="102">
        <v>44396.645833333336</v>
      </c>
      <c r="C1227" s="108">
        <v>1680.35</v>
      </c>
      <c r="D1227" s="261">
        <f t="shared" si="22"/>
        <v>-8.8477305571121011E-3</v>
      </c>
      <c r="E1227" s="261">
        <v>-1.5796567170095498E-2</v>
      </c>
      <c r="F1227">
        <v>1225</v>
      </c>
      <c r="G1227" s="259">
        <f ca="1">_xlfn.NORM.INV(RAND(),'VAR Historical Approach'!K$4,'VAR Historical Approach'!K$5)</f>
        <v>1.0997708200049781E-2</v>
      </c>
    </row>
    <row r="1228" spans="2:7" x14ac:dyDescent="0.3">
      <c r="B1228" s="102">
        <v>44393.645833333336</v>
      </c>
      <c r="C1228" s="108">
        <v>1695.35</v>
      </c>
      <c r="D1228" s="261">
        <f t="shared" si="22"/>
        <v>-3.6437365931063122E-3</v>
      </c>
      <c r="E1228" s="261">
        <v>-1.5914745786582835E-2</v>
      </c>
      <c r="F1228">
        <v>1226</v>
      </c>
      <c r="G1228" s="259">
        <f ca="1">_xlfn.NORM.INV(RAND(),'VAR Historical Approach'!K$4,'VAR Historical Approach'!K$5)</f>
        <v>-2.196061581525267E-2</v>
      </c>
    </row>
    <row r="1229" spans="2:7" x14ac:dyDescent="0.3">
      <c r="B1229" s="102">
        <v>44392.645833333336</v>
      </c>
      <c r="C1229" s="108">
        <v>1701.55</v>
      </c>
      <c r="D1229" s="261">
        <f t="shared" si="22"/>
        <v>-5.1451457304060311E-3</v>
      </c>
      <c r="E1229" s="261">
        <v>-1.6109071407945104E-2</v>
      </c>
      <c r="F1229">
        <v>1227</v>
      </c>
      <c r="G1229" s="259">
        <f ca="1">_xlfn.NORM.INV(RAND(),'VAR Historical Approach'!K$4,'VAR Historical Approach'!K$5)</f>
        <v>-1.938927354844714E-2</v>
      </c>
    </row>
    <row r="1230" spans="2:7" x14ac:dyDescent="0.3">
      <c r="B1230" s="102">
        <v>44391.645833333336</v>
      </c>
      <c r="C1230" s="108">
        <v>1710.35</v>
      </c>
      <c r="D1230" s="261">
        <f t="shared" si="22"/>
        <v>-8.0614760040597887E-3</v>
      </c>
      <c r="E1230" s="261">
        <v>-1.6113218807280866E-2</v>
      </c>
      <c r="F1230">
        <v>1228</v>
      </c>
      <c r="G1230" s="259">
        <f ca="1">_xlfn.NORM.INV(RAND(),'VAR Historical Approach'!K$4,'VAR Historical Approach'!K$5)</f>
        <v>3.4000872573003042E-2</v>
      </c>
    </row>
    <row r="1231" spans="2:7" x14ac:dyDescent="0.3">
      <c r="B1231" s="102">
        <v>44390.645833333336</v>
      </c>
      <c r="C1231" s="108">
        <v>1724.25</v>
      </c>
      <c r="D1231" s="261">
        <f t="shared" si="22"/>
        <v>2.5583626479053936E-3</v>
      </c>
      <c r="E1231" s="261">
        <v>-1.618840401220633E-2</v>
      </c>
      <c r="F1231">
        <v>1229</v>
      </c>
      <c r="G1231" s="259">
        <f ca="1">_xlfn.NORM.INV(RAND(),'VAR Historical Approach'!K$4,'VAR Historical Approach'!K$5)</f>
        <v>-2.3360357119303677E-3</v>
      </c>
    </row>
    <row r="1232" spans="2:7" x14ac:dyDescent="0.3">
      <c r="B1232" s="102">
        <v>44389.645833333336</v>
      </c>
      <c r="C1232" s="108">
        <v>1719.85</v>
      </c>
      <c r="D1232" s="261">
        <f t="shared" si="22"/>
        <v>-4.3589445542252704E-4</v>
      </c>
      <c r="E1232" s="261">
        <v>-1.6208937781052243E-2</v>
      </c>
      <c r="F1232">
        <v>1230</v>
      </c>
      <c r="G1232" s="259">
        <f ca="1">_xlfn.NORM.INV(RAND(),'VAR Historical Approach'!K$4,'VAR Historical Approach'!K$5)</f>
        <v>-1.5822484009612389E-2</v>
      </c>
    </row>
    <row r="1233" spans="2:7" x14ac:dyDescent="0.3">
      <c r="B1233" s="102">
        <v>44386.645833333336</v>
      </c>
      <c r="C1233" s="108">
        <v>1720.6</v>
      </c>
      <c r="D1233" s="261">
        <f t="shared" si="22"/>
        <v>-3.3307266776725461E-3</v>
      </c>
      <c r="E1233" s="261">
        <v>-1.6236180060915612E-2</v>
      </c>
      <c r="F1233">
        <v>1231</v>
      </c>
      <c r="G1233" s="259">
        <f ca="1">_xlfn.NORM.INV(RAND(),'VAR Historical Approach'!K$4,'VAR Historical Approach'!K$5)</f>
        <v>1.115235126617586E-2</v>
      </c>
    </row>
    <row r="1234" spans="2:7" x14ac:dyDescent="0.3">
      <c r="B1234" s="102">
        <v>44385.645833333336</v>
      </c>
      <c r="C1234" s="108">
        <v>1726.35</v>
      </c>
      <c r="D1234" s="261">
        <f t="shared" si="22"/>
        <v>-5.2105948762488983E-4</v>
      </c>
      <c r="E1234" s="261">
        <v>-1.6278749483542188E-2</v>
      </c>
      <c r="F1234">
        <v>1232</v>
      </c>
      <c r="G1234" s="259">
        <f ca="1">_xlfn.NORM.INV(RAND(),'VAR Historical Approach'!K$4,'VAR Historical Approach'!K$5)</f>
        <v>2.0007416249255103E-2</v>
      </c>
    </row>
    <row r="1235" spans="2:7" x14ac:dyDescent="0.3">
      <c r="B1235" s="102">
        <v>44384.645833333336</v>
      </c>
      <c r="C1235" s="108">
        <v>1727.25</v>
      </c>
      <c r="D1235" s="261">
        <f t="shared" si="22"/>
        <v>-2.0166780122532309E-2</v>
      </c>
      <c r="E1235" s="261">
        <v>-1.6382923258938382E-2</v>
      </c>
      <c r="F1235">
        <v>1233</v>
      </c>
      <c r="G1235" s="259">
        <f ca="1">_xlfn.NORM.INV(RAND(),'VAR Historical Approach'!K$4,'VAR Historical Approach'!K$5)</f>
        <v>4.0069935046587804E-3</v>
      </c>
    </row>
    <row r="1236" spans="2:7" x14ac:dyDescent="0.3">
      <c r="B1236" s="102">
        <v>44383.645833333336</v>
      </c>
      <c r="C1236" s="108">
        <v>1762.8</v>
      </c>
      <c r="D1236" s="261">
        <f t="shared" si="22"/>
        <v>7.371849819989635E-3</v>
      </c>
      <c r="E1236" s="261">
        <v>-1.641860242042505E-2</v>
      </c>
      <c r="F1236">
        <v>1234</v>
      </c>
      <c r="G1236" s="259">
        <f ca="1">_xlfn.NORM.INV(RAND(),'VAR Historical Approach'!K$4,'VAR Historical Approach'!K$5)</f>
        <v>4.1194869602586238E-3</v>
      </c>
    </row>
    <row r="1237" spans="2:7" x14ac:dyDescent="0.3">
      <c r="B1237" s="102">
        <v>44382.645833333336</v>
      </c>
      <c r="C1237" s="108">
        <v>1749.9</v>
      </c>
      <c r="D1237" s="261">
        <f t="shared" si="22"/>
        <v>-2.7639264852542581E-3</v>
      </c>
      <c r="E1237" s="261">
        <v>-1.6459305339554108E-2</v>
      </c>
      <c r="F1237">
        <v>1235</v>
      </c>
      <c r="G1237" s="259">
        <f ca="1">_xlfn.NORM.INV(RAND(),'VAR Historical Approach'!K$4,'VAR Historical Approach'!K$5)</f>
        <v>6.1834773119547742E-3</v>
      </c>
    </row>
    <row r="1238" spans="2:7" x14ac:dyDescent="0.3">
      <c r="B1238" s="102">
        <v>44379.645833333336</v>
      </c>
      <c r="C1238" s="108">
        <v>1754.75</v>
      </c>
      <c r="D1238" s="261">
        <f t="shared" si="22"/>
        <v>8.3031661207837986E-3</v>
      </c>
      <c r="E1238" s="261">
        <v>-1.6469313520625282E-2</v>
      </c>
      <c r="F1238">
        <v>1236</v>
      </c>
      <c r="G1238" s="259">
        <f ca="1">_xlfn.NORM.INV(RAND(),'VAR Historical Approach'!K$4,'VAR Historical Approach'!K$5)</f>
        <v>3.3243993925801E-3</v>
      </c>
    </row>
    <row r="1239" spans="2:7" x14ac:dyDescent="0.3">
      <c r="B1239" s="102">
        <v>44378.645833333336</v>
      </c>
      <c r="C1239" s="108">
        <v>1740.3</v>
      </c>
      <c r="D1239" s="261">
        <f t="shared" si="22"/>
        <v>4.5021645021644761E-3</v>
      </c>
      <c r="E1239" s="261">
        <v>-1.6553654593277276E-2</v>
      </c>
      <c r="F1239">
        <v>1237</v>
      </c>
      <c r="G1239" s="259">
        <f ca="1">_xlfn.NORM.INV(RAND(),'VAR Historical Approach'!K$4,'VAR Historical Approach'!K$5)</f>
        <v>5.0395664342792416E-3</v>
      </c>
    </row>
    <row r="1240" spans="2:7" x14ac:dyDescent="0.3">
      <c r="B1240" s="102">
        <v>44377.645833333336</v>
      </c>
      <c r="C1240" s="108">
        <v>1732.5</v>
      </c>
      <c r="D1240" s="261">
        <f t="shared" si="22"/>
        <v>5.1975051975057225E-4</v>
      </c>
      <c r="E1240" s="261">
        <v>-1.6676311221000602E-2</v>
      </c>
      <c r="F1240">
        <v>1238</v>
      </c>
      <c r="G1240" s="259">
        <f ca="1">_xlfn.NORM.INV(RAND(),'VAR Historical Approach'!K$4,'VAR Historical Approach'!K$5)</f>
        <v>7.203735682188679E-3</v>
      </c>
    </row>
    <row r="1241" spans="2:7" x14ac:dyDescent="0.3">
      <c r="B1241" s="102">
        <v>44376.645833333336</v>
      </c>
      <c r="C1241" s="108">
        <v>1731.6</v>
      </c>
      <c r="D1241" s="261">
        <f t="shared" si="22"/>
        <v>2.0543387054772458E-3</v>
      </c>
      <c r="E1241" s="261">
        <v>-1.6697099184910455E-2</v>
      </c>
      <c r="F1241">
        <v>1239</v>
      </c>
      <c r="G1241" s="259">
        <f ca="1">_xlfn.NORM.INV(RAND(),'VAR Historical Approach'!K$4,'VAR Historical Approach'!K$5)</f>
        <v>-1.2435472572082081E-2</v>
      </c>
    </row>
    <row r="1242" spans="2:7" x14ac:dyDescent="0.3">
      <c r="B1242" s="102">
        <v>44375.645833333336</v>
      </c>
      <c r="C1242" s="108">
        <v>1728.05</v>
      </c>
      <c r="D1242" s="261">
        <f t="shared" si="22"/>
        <v>-1.4710494055934062E-2</v>
      </c>
      <c r="E1242" s="261">
        <v>-1.6706344812313118E-2</v>
      </c>
      <c r="F1242">
        <v>1240</v>
      </c>
      <c r="G1242" s="259">
        <f ca="1">_xlfn.NORM.INV(RAND(),'VAR Historical Approach'!K$4,'VAR Historical Approach'!K$5)</f>
        <v>-1.6073254535074844E-2</v>
      </c>
    </row>
    <row r="1243" spans="2:7" x14ac:dyDescent="0.3">
      <c r="B1243" s="102">
        <v>44372.645833333336</v>
      </c>
      <c r="C1243" s="108">
        <v>1753.85</v>
      </c>
      <c r="D1243" s="261">
        <f t="shared" si="22"/>
        <v>-1.5161299379509786E-2</v>
      </c>
      <c r="E1243" s="261">
        <v>-1.6713901605987937E-2</v>
      </c>
      <c r="F1243">
        <v>1241</v>
      </c>
      <c r="G1243" s="259">
        <f ca="1">_xlfn.NORM.INV(RAND(),'VAR Historical Approach'!K$4,'VAR Historical Approach'!K$5)</f>
        <v>2.1778606770964028E-2</v>
      </c>
    </row>
    <row r="1244" spans="2:7" x14ac:dyDescent="0.3">
      <c r="B1244" s="102">
        <v>44371.645833333336</v>
      </c>
      <c r="C1244" s="108">
        <v>1780.85</v>
      </c>
      <c r="D1244" s="261">
        <f t="shared" si="22"/>
        <v>-9.5368993857117366E-4</v>
      </c>
      <c r="E1244" s="261">
        <v>-1.7018539095853637E-2</v>
      </c>
      <c r="F1244">
        <v>1242</v>
      </c>
      <c r="G1244" s="259">
        <f ca="1">_xlfn.NORM.INV(RAND(),'VAR Historical Approach'!K$4,'VAR Historical Approach'!K$5)</f>
        <v>3.1653401320884743E-3</v>
      </c>
    </row>
    <row r="1245" spans="2:7" x14ac:dyDescent="0.3">
      <c r="B1245" s="102">
        <v>44370.645833333336</v>
      </c>
      <c r="C1245" s="108">
        <v>1782.55</v>
      </c>
      <c r="D1245" s="261">
        <f t="shared" si="22"/>
        <v>1.4541832669322683E-2</v>
      </c>
      <c r="E1245" s="261">
        <v>-1.7065289752707463E-2</v>
      </c>
      <c r="F1245">
        <v>1243</v>
      </c>
      <c r="G1245" s="259">
        <f ca="1">_xlfn.NORM.INV(RAND(),'VAR Historical Approach'!K$4,'VAR Historical Approach'!K$5)</f>
        <v>-2.8211755310931239E-3</v>
      </c>
    </row>
    <row r="1246" spans="2:7" x14ac:dyDescent="0.3">
      <c r="B1246" s="102">
        <v>44369.645833333336</v>
      </c>
      <c r="C1246" s="108">
        <v>1757</v>
      </c>
      <c r="D1246" s="261">
        <f t="shared" si="22"/>
        <v>8.1188857331383028E-3</v>
      </c>
      <c r="E1246" s="261">
        <v>-1.7201608119686226E-2</v>
      </c>
      <c r="F1246">
        <v>1244</v>
      </c>
      <c r="G1246" s="259">
        <f ca="1">_xlfn.NORM.INV(RAND(),'VAR Historical Approach'!K$4,'VAR Historical Approach'!K$5)</f>
        <v>6.9583877729891778E-3</v>
      </c>
    </row>
    <row r="1247" spans="2:7" x14ac:dyDescent="0.3">
      <c r="B1247" s="102">
        <v>44368.645833333336</v>
      </c>
      <c r="C1247" s="108">
        <v>1742.85</v>
      </c>
      <c r="D1247" s="261">
        <f t="shared" si="22"/>
        <v>1.8436276514930145E-2</v>
      </c>
      <c r="E1247" s="261">
        <v>-1.74996139791034E-2</v>
      </c>
      <c r="F1247">
        <v>1245</v>
      </c>
      <c r="G1247" s="259">
        <f ca="1">_xlfn.NORM.INV(RAND(),'VAR Historical Approach'!K$4,'VAR Historical Approach'!K$5)</f>
        <v>-2.3909390782422589E-3</v>
      </c>
    </row>
    <row r="1248" spans="2:7" x14ac:dyDescent="0.3">
      <c r="B1248" s="102">
        <v>44365.645833333336</v>
      </c>
      <c r="C1248" s="108">
        <v>1711.3</v>
      </c>
      <c r="D1248" s="261">
        <f t="shared" si="22"/>
        <v>-5.8431693350553007E-5</v>
      </c>
      <c r="E1248" s="261">
        <v>-1.7554125219426567E-2</v>
      </c>
      <c r="F1248">
        <v>1246</v>
      </c>
      <c r="G1248" s="259">
        <f ca="1">_xlfn.NORM.INV(RAND(),'VAR Historical Approach'!K$4,'VAR Historical Approach'!K$5)</f>
        <v>-2.7424037807363211E-5</v>
      </c>
    </row>
    <row r="1249" spans="2:7" x14ac:dyDescent="0.3">
      <c r="B1249" s="102">
        <v>44364.645833333336</v>
      </c>
      <c r="C1249" s="108">
        <v>1711.4</v>
      </c>
      <c r="D1249" s="261">
        <f t="shared" si="22"/>
        <v>-2.0700311962447617E-3</v>
      </c>
      <c r="E1249" s="261">
        <v>-1.7637129164322096E-2</v>
      </c>
      <c r="F1249">
        <v>1247</v>
      </c>
      <c r="G1249" s="259">
        <f ca="1">_xlfn.NORM.INV(RAND(),'VAR Historical Approach'!K$4,'VAR Historical Approach'!K$5)</f>
        <v>9.719062720675466E-3</v>
      </c>
    </row>
    <row r="1250" spans="2:7" x14ac:dyDescent="0.3">
      <c r="B1250" s="102">
        <v>44363.645833333336</v>
      </c>
      <c r="C1250" s="108">
        <v>1714.95</v>
      </c>
      <c r="D1250" s="261">
        <f t="shared" si="22"/>
        <v>-4.9030985261692269E-3</v>
      </c>
      <c r="E1250" s="261">
        <v>-1.7686954208963202E-2</v>
      </c>
      <c r="F1250">
        <v>1248</v>
      </c>
      <c r="G1250" s="259">
        <f ca="1">_xlfn.NORM.INV(RAND(),'VAR Historical Approach'!K$4,'VAR Historical Approach'!K$5)</f>
        <v>1.6448835956259761E-2</v>
      </c>
    </row>
    <row r="1251" spans="2:7" x14ac:dyDescent="0.3">
      <c r="B1251" s="102">
        <v>44362.645833333336</v>
      </c>
      <c r="C1251" s="108">
        <v>1723.4</v>
      </c>
      <c r="D1251" s="261">
        <f t="shared" si="22"/>
        <v>-6.5713626931057549E-3</v>
      </c>
      <c r="E1251" s="261">
        <v>-1.7689365921216307E-2</v>
      </c>
      <c r="F1251">
        <v>1249</v>
      </c>
      <c r="G1251" s="259">
        <f ca="1">_xlfn.NORM.INV(RAND(),'VAR Historical Approach'!K$4,'VAR Historical Approach'!K$5)</f>
        <v>-1.117921725378529E-2</v>
      </c>
    </row>
    <row r="1252" spans="2:7" x14ac:dyDescent="0.3">
      <c r="B1252" s="102">
        <v>44361.645833333336</v>
      </c>
      <c r="C1252" s="108">
        <v>1734.8</v>
      </c>
      <c r="D1252" s="261">
        <f t="shared" si="22"/>
        <v>3.6738117966964093E-3</v>
      </c>
      <c r="E1252" s="261">
        <v>-1.7810952627300272E-2</v>
      </c>
      <c r="F1252">
        <v>1250</v>
      </c>
      <c r="G1252" s="259">
        <f ca="1">_xlfn.NORM.INV(RAND(),'VAR Historical Approach'!K$4,'VAR Historical Approach'!K$5)</f>
        <v>-5.1618987119818813E-3</v>
      </c>
    </row>
    <row r="1253" spans="2:7" x14ac:dyDescent="0.3">
      <c r="B1253" s="102">
        <v>44358.645833333336</v>
      </c>
      <c r="C1253" s="108">
        <v>1728.45</v>
      </c>
      <c r="D1253" s="261">
        <f t="shared" si="22"/>
        <v>-5.8666206539556807E-3</v>
      </c>
      <c r="E1253" s="261">
        <v>-1.7825201039025736E-2</v>
      </c>
      <c r="F1253">
        <v>1251</v>
      </c>
      <c r="G1253" s="259">
        <f ca="1">_xlfn.NORM.INV(RAND(),'VAR Historical Approach'!K$4,'VAR Historical Approach'!K$5)</f>
        <v>6.1091907040603287E-3</v>
      </c>
    </row>
    <row r="1254" spans="2:7" x14ac:dyDescent="0.3">
      <c r="B1254" s="102">
        <v>44357.645833333336</v>
      </c>
      <c r="C1254" s="108">
        <v>1738.65</v>
      </c>
      <c r="D1254" s="261">
        <f t="shared" si="22"/>
        <v>4.5644951610573975E-3</v>
      </c>
      <c r="E1254" s="261">
        <v>-1.8001227854762401E-2</v>
      </c>
      <c r="F1254">
        <v>1252</v>
      </c>
      <c r="G1254" s="259">
        <f ca="1">_xlfn.NORM.INV(RAND(),'VAR Historical Approach'!K$4,'VAR Historical Approach'!K$5)</f>
        <v>1.9617016001890815E-2</v>
      </c>
    </row>
    <row r="1255" spans="2:7" x14ac:dyDescent="0.3">
      <c r="B1255" s="102">
        <v>44356.645833333336</v>
      </c>
      <c r="C1255" s="108">
        <v>1730.75</v>
      </c>
      <c r="D1255" s="261">
        <f t="shared" si="22"/>
        <v>1.0656934306569343E-2</v>
      </c>
      <c r="E1255" s="261">
        <v>-1.8118538233186612E-2</v>
      </c>
      <c r="F1255">
        <v>1253</v>
      </c>
      <c r="G1255" s="259">
        <f ca="1">_xlfn.NORM.INV(RAND(),'VAR Historical Approach'!K$4,'VAR Historical Approach'!K$5)</f>
        <v>2.1976786074779514E-4</v>
      </c>
    </row>
    <row r="1256" spans="2:7" x14ac:dyDescent="0.3">
      <c r="B1256" s="102">
        <v>44355.645833333336</v>
      </c>
      <c r="C1256" s="108">
        <v>1712.5</v>
      </c>
      <c r="D1256" s="261">
        <f t="shared" si="22"/>
        <v>1.626016260162607E-2</v>
      </c>
      <c r="E1256" s="261">
        <v>-1.8311934329614817E-2</v>
      </c>
      <c r="F1256">
        <v>1254</v>
      </c>
      <c r="G1256" s="259">
        <f ca="1">_xlfn.NORM.INV(RAND(),'VAR Historical Approach'!K$4,'VAR Historical Approach'!K$5)</f>
        <v>7.3714574110501085E-3</v>
      </c>
    </row>
    <row r="1257" spans="2:7" x14ac:dyDescent="0.3">
      <c r="B1257" s="102">
        <v>44354.645833333336</v>
      </c>
      <c r="C1257" s="108">
        <v>1685.1</v>
      </c>
      <c r="D1257" s="261">
        <f t="shared" si="22"/>
        <v>3.3343256921702347E-3</v>
      </c>
      <c r="E1257" s="261">
        <v>-1.8458157846548286E-2</v>
      </c>
      <c r="F1257">
        <v>1255</v>
      </c>
      <c r="G1257" s="259">
        <f ca="1">_xlfn.NORM.INV(RAND(),'VAR Historical Approach'!K$4,'VAR Historical Approach'!K$5)</f>
        <v>-1.4423494185917618E-3</v>
      </c>
    </row>
    <row r="1258" spans="2:7" x14ac:dyDescent="0.3">
      <c r="B1258" s="102">
        <v>44351.645833333336</v>
      </c>
      <c r="C1258" s="108">
        <v>1679.5</v>
      </c>
      <c r="D1258" s="261">
        <f t="shared" si="22"/>
        <v>-6.9181646168401398E-3</v>
      </c>
      <c r="E1258" s="261">
        <v>-1.8550174105729584E-2</v>
      </c>
      <c r="F1258">
        <v>1256</v>
      </c>
      <c r="G1258" s="259">
        <f ca="1">_xlfn.NORM.INV(RAND(),'VAR Historical Approach'!K$4,'VAR Historical Approach'!K$5)</f>
        <v>6.7447196555400638E-6</v>
      </c>
    </row>
    <row r="1259" spans="2:7" x14ac:dyDescent="0.3">
      <c r="B1259" s="102">
        <v>44350.645833333336</v>
      </c>
      <c r="C1259" s="108">
        <v>1691.2</v>
      </c>
      <c r="D1259" s="261">
        <f t="shared" si="22"/>
        <v>6.6532130920098381E-2</v>
      </c>
      <c r="E1259" s="261">
        <v>-1.855210861852815E-2</v>
      </c>
      <c r="F1259">
        <v>1257</v>
      </c>
      <c r="G1259" s="259">
        <f ca="1">_xlfn.NORM.INV(RAND(),'VAR Historical Approach'!K$4,'VAR Historical Approach'!K$5)</f>
        <v>-1.0848789006150353E-3</v>
      </c>
    </row>
    <row r="1260" spans="2:7" x14ac:dyDescent="0.3">
      <c r="B1260" s="102">
        <v>44349.645833333336</v>
      </c>
      <c r="C1260" s="108">
        <v>1585.7</v>
      </c>
      <c r="D1260" s="261">
        <f t="shared" si="22"/>
        <v>-3.5817519165514925E-3</v>
      </c>
      <c r="E1260" s="261">
        <v>-1.8601937215544363E-2</v>
      </c>
      <c r="F1260">
        <v>1258</v>
      </c>
      <c r="G1260" s="259">
        <f ca="1">_xlfn.NORM.INV(RAND(),'VAR Historical Approach'!K$4,'VAR Historical Approach'!K$5)</f>
        <v>8.5376009472199858E-3</v>
      </c>
    </row>
    <row r="1261" spans="2:7" x14ac:dyDescent="0.3">
      <c r="B1261" s="102">
        <v>44348.645833333336</v>
      </c>
      <c r="C1261" s="108">
        <v>1591.4</v>
      </c>
      <c r="D1261" s="261">
        <f t="shared" si="22"/>
        <v>-3.0383711824588312E-3</v>
      </c>
      <c r="E1261" s="261">
        <v>-1.8619115099984207E-2</v>
      </c>
      <c r="F1261">
        <v>1259</v>
      </c>
      <c r="G1261" s="259">
        <f ca="1">_xlfn.NORM.INV(RAND(),'VAR Historical Approach'!K$4,'VAR Historical Approach'!K$5)</f>
        <v>-1.4108449321491951E-2</v>
      </c>
    </row>
    <row r="1262" spans="2:7" x14ac:dyDescent="0.3">
      <c r="B1262" s="102">
        <v>44347.645833333336</v>
      </c>
      <c r="C1262" s="108">
        <v>1596.25</v>
      </c>
      <c r="D1262" s="261">
        <f t="shared" si="22"/>
        <v>1.2206721623335448E-2</v>
      </c>
      <c r="E1262" s="261">
        <v>-1.8761983018351198E-2</v>
      </c>
      <c r="F1262">
        <v>1260</v>
      </c>
      <c r="G1262" s="259">
        <f ca="1">_xlfn.NORM.INV(RAND(),'VAR Historical Approach'!K$4,'VAR Historical Approach'!K$5)</f>
        <v>8.1410454921344074E-4</v>
      </c>
    </row>
    <row r="1263" spans="2:7" x14ac:dyDescent="0.3">
      <c r="B1263" s="102">
        <v>44344.645833333336</v>
      </c>
      <c r="C1263" s="108">
        <v>1577</v>
      </c>
      <c r="D1263" s="261">
        <f t="shared" si="22"/>
        <v>-1.0820134859651874E-2</v>
      </c>
      <c r="E1263" s="261">
        <v>-1.8811197334741753E-2</v>
      </c>
      <c r="F1263">
        <v>1261</v>
      </c>
      <c r="G1263" s="259">
        <f ca="1">_xlfn.NORM.INV(RAND(),'VAR Historical Approach'!K$4,'VAR Historical Approach'!K$5)</f>
        <v>-1.6983710308542026E-3</v>
      </c>
    </row>
    <row r="1264" spans="2:7" x14ac:dyDescent="0.3">
      <c r="B1264" s="102">
        <v>44343.645833333336</v>
      </c>
      <c r="C1264" s="108">
        <v>1594.25</v>
      </c>
      <c r="D1264" s="261">
        <f t="shared" si="22"/>
        <v>7.1385703907261471E-3</v>
      </c>
      <c r="E1264" s="261">
        <v>-1.8909504514111081E-2</v>
      </c>
      <c r="F1264">
        <v>1262</v>
      </c>
      <c r="G1264" s="259">
        <f ca="1">_xlfn.NORM.INV(RAND(),'VAR Historical Approach'!K$4,'VAR Historical Approach'!K$5)</f>
        <v>-1.1340179395109711E-2</v>
      </c>
    </row>
    <row r="1265" spans="2:7" x14ac:dyDescent="0.3">
      <c r="B1265" s="102">
        <v>44342.645833333336</v>
      </c>
      <c r="C1265" s="108">
        <v>1582.95</v>
      </c>
      <c r="D1265" s="261">
        <f t="shared" si="22"/>
        <v>8.7945703087658634E-3</v>
      </c>
      <c r="E1265" s="261">
        <v>-1.8921349811785931E-2</v>
      </c>
      <c r="F1265">
        <v>1263</v>
      </c>
      <c r="G1265" s="259">
        <f ca="1">_xlfn.NORM.INV(RAND(),'VAR Historical Approach'!K$4,'VAR Historical Approach'!K$5)</f>
        <v>-1.0145200410886249E-2</v>
      </c>
    </row>
    <row r="1266" spans="2:7" x14ac:dyDescent="0.3">
      <c r="B1266" s="102">
        <v>44341.645833333336</v>
      </c>
      <c r="C1266" s="108">
        <v>1569.15</v>
      </c>
      <c r="D1266" s="261">
        <f t="shared" si="22"/>
        <v>3.1826401446654669E-2</v>
      </c>
      <c r="E1266" s="261">
        <v>-1.8958499546997434E-2</v>
      </c>
      <c r="F1266">
        <v>1264</v>
      </c>
      <c r="G1266" s="259">
        <f ca="1">_xlfn.NORM.INV(RAND(),'VAR Historical Approach'!K$4,'VAR Historical Approach'!K$5)</f>
        <v>-1.0184859076207142E-2</v>
      </c>
    </row>
    <row r="1267" spans="2:7" x14ac:dyDescent="0.3">
      <c r="B1267" s="102">
        <v>44340.645833333336</v>
      </c>
      <c r="C1267" s="108">
        <v>1520.75</v>
      </c>
      <c r="D1267" s="261">
        <f t="shared" si="22"/>
        <v>-1.1440829460135801E-2</v>
      </c>
      <c r="E1267" s="261">
        <v>-1.920596744396804E-2</v>
      </c>
      <c r="F1267">
        <v>1265</v>
      </c>
      <c r="G1267" s="259">
        <f ca="1">_xlfn.NORM.INV(RAND(),'VAR Historical Approach'!K$4,'VAR Historical Approach'!K$5)</f>
        <v>-7.7233248466688697E-3</v>
      </c>
    </row>
    <row r="1268" spans="2:7" x14ac:dyDescent="0.3">
      <c r="B1268" s="102">
        <v>44337.645833333336</v>
      </c>
      <c r="C1268" s="108">
        <v>1538.35</v>
      </c>
      <c r="D1268" s="261">
        <f t="shared" si="22"/>
        <v>4.5711300486498841E-3</v>
      </c>
      <c r="E1268" s="261">
        <v>-1.9235660689304337E-2</v>
      </c>
      <c r="F1268">
        <v>1266</v>
      </c>
      <c r="G1268" s="259">
        <f ca="1">_xlfn.NORM.INV(RAND(),'VAR Historical Approach'!K$4,'VAR Historical Approach'!K$5)</f>
        <v>1.0862920897248924E-2</v>
      </c>
    </row>
    <row r="1269" spans="2:7" x14ac:dyDescent="0.3">
      <c r="B1269" s="102">
        <v>44336.645833333336</v>
      </c>
      <c r="C1269" s="108">
        <v>1531.35</v>
      </c>
      <c r="D1269" s="261">
        <f t="shared" si="22"/>
        <v>6.7054531111329042E-3</v>
      </c>
      <c r="E1269" s="261">
        <v>-1.9319102945149932E-2</v>
      </c>
      <c r="F1269">
        <v>1267</v>
      </c>
      <c r="G1269" s="259">
        <f ca="1">_xlfn.NORM.INV(RAND(),'VAR Historical Approach'!K$4,'VAR Historical Approach'!K$5)</f>
        <v>2.4997848249761812E-4</v>
      </c>
    </row>
    <row r="1270" spans="2:7" x14ac:dyDescent="0.3">
      <c r="B1270" s="102">
        <v>44335.645833333336</v>
      </c>
      <c r="C1270" s="108">
        <v>1521.15</v>
      </c>
      <c r="D1270" s="261">
        <f t="shared" si="22"/>
        <v>-1.1758973526067831E-2</v>
      </c>
      <c r="E1270" s="261">
        <v>-1.9490060501296484E-2</v>
      </c>
      <c r="F1270">
        <v>1268</v>
      </c>
      <c r="G1270" s="259">
        <f ca="1">_xlfn.NORM.INV(RAND(),'VAR Historical Approach'!K$4,'VAR Historical Approach'!K$5)</f>
        <v>-1.9527984727738843E-2</v>
      </c>
    </row>
    <row r="1271" spans="2:7" x14ac:dyDescent="0.3">
      <c r="B1271" s="102">
        <v>44334.645833333336</v>
      </c>
      <c r="C1271" s="108">
        <v>1539.25</v>
      </c>
      <c r="D1271" s="261">
        <f t="shared" si="22"/>
        <v>4.8321187768167302E-2</v>
      </c>
      <c r="E1271" s="261">
        <v>-1.9592653561860438E-2</v>
      </c>
      <c r="F1271">
        <v>1269</v>
      </c>
      <c r="G1271" s="259">
        <f ca="1">_xlfn.NORM.INV(RAND(),'VAR Historical Approach'!K$4,'VAR Historical Approach'!K$5)</f>
        <v>2.279019535865397E-2</v>
      </c>
    </row>
    <row r="1272" spans="2:7" x14ac:dyDescent="0.3">
      <c r="B1272" s="102">
        <v>44333.645833333336</v>
      </c>
      <c r="C1272" s="108">
        <v>1468.3</v>
      </c>
      <c r="D1272" s="261">
        <f t="shared" si="22"/>
        <v>8.5517051894082804E-3</v>
      </c>
      <c r="E1272" s="261">
        <v>-1.9904889941208304E-2</v>
      </c>
      <c r="F1272">
        <v>1270</v>
      </c>
      <c r="G1272" s="259">
        <f ca="1">_xlfn.NORM.INV(RAND(),'VAR Historical Approach'!K$4,'VAR Historical Approach'!K$5)</f>
        <v>-2.2773762679220284E-2</v>
      </c>
    </row>
    <row r="1273" spans="2:7" x14ac:dyDescent="0.3">
      <c r="B1273" s="102">
        <v>44330.645833333336</v>
      </c>
      <c r="C1273" s="108">
        <v>1455.85</v>
      </c>
      <c r="D1273" s="261">
        <f t="shared" si="22"/>
        <v>6.1857795800533591E-4</v>
      </c>
      <c r="E1273" s="261">
        <v>-1.9979016786570769E-2</v>
      </c>
      <c r="F1273">
        <v>1271</v>
      </c>
      <c r="G1273" s="259">
        <f ca="1">_xlfn.NORM.INV(RAND(),'VAR Historical Approach'!K$4,'VAR Historical Approach'!K$5)</f>
        <v>4.4898878283194084E-3</v>
      </c>
    </row>
    <row r="1274" spans="2:7" x14ac:dyDescent="0.3">
      <c r="B1274" s="102">
        <v>44328.645833333336</v>
      </c>
      <c r="C1274" s="108">
        <v>1454.95</v>
      </c>
      <c r="D1274" s="261">
        <f t="shared" si="22"/>
        <v>1.3725831736631281E-2</v>
      </c>
      <c r="E1274" s="261">
        <v>-2.0003935200367286E-2</v>
      </c>
      <c r="F1274">
        <v>1272</v>
      </c>
      <c r="G1274" s="259">
        <f ca="1">_xlfn.NORM.INV(RAND(),'VAR Historical Approach'!K$4,'VAR Historical Approach'!K$5)</f>
        <v>-7.0701507818678464E-3</v>
      </c>
    </row>
    <row r="1275" spans="2:7" x14ac:dyDescent="0.3">
      <c r="B1275" s="102">
        <v>44327.645833333336</v>
      </c>
      <c r="C1275" s="108">
        <v>1435.25</v>
      </c>
      <c r="D1275" s="261">
        <f t="shared" si="22"/>
        <v>-1.3675566092842723E-2</v>
      </c>
      <c r="E1275" s="261">
        <v>-2.0119681477642308E-2</v>
      </c>
      <c r="F1275">
        <v>1273</v>
      </c>
      <c r="G1275" s="259">
        <f ca="1">_xlfn.NORM.INV(RAND(),'VAR Historical Approach'!K$4,'VAR Historical Approach'!K$5)</f>
        <v>-5.3407041289129575E-3</v>
      </c>
    </row>
    <row r="1276" spans="2:7" x14ac:dyDescent="0.3">
      <c r="B1276" s="102">
        <v>44326.645833333336</v>
      </c>
      <c r="C1276" s="108">
        <v>1455.15</v>
      </c>
      <c r="D1276" s="261">
        <f t="shared" si="22"/>
        <v>5.9799516073280956E-3</v>
      </c>
      <c r="E1276" s="261">
        <v>-2.0134802000655511E-2</v>
      </c>
      <c r="F1276">
        <v>1274</v>
      </c>
      <c r="G1276" s="259">
        <f ca="1">_xlfn.NORM.INV(RAND(),'VAR Historical Approach'!K$4,'VAR Historical Approach'!K$5)</f>
        <v>1.1035230667267536E-2</v>
      </c>
    </row>
    <row r="1277" spans="2:7" x14ac:dyDescent="0.3">
      <c r="B1277" s="102">
        <v>44323.645833333336</v>
      </c>
      <c r="C1277" s="108">
        <v>1446.5</v>
      </c>
      <c r="D1277" s="261">
        <f t="shared" si="22"/>
        <v>1.4538908889503662E-3</v>
      </c>
      <c r="E1277" s="261">
        <v>-2.0157098301952229E-2</v>
      </c>
      <c r="F1277">
        <v>1275</v>
      </c>
      <c r="G1277" s="259">
        <f ca="1">_xlfn.NORM.INV(RAND(),'VAR Historical Approach'!K$4,'VAR Historical Approach'!K$5)</f>
        <v>1.6520004986835465E-2</v>
      </c>
    </row>
    <row r="1278" spans="2:7" x14ac:dyDescent="0.3">
      <c r="B1278" s="102">
        <v>44322.645833333336</v>
      </c>
      <c r="C1278" s="108">
        <v>1444.4</v>
      </c>
      <c r="D1278" s="261">
        <f t="shared" si="22"/>
        <v>1.1201344161299356E-2</v>
      </c>
      <c r="E1278" s="261">
        <v>-2.0166780122532309E-2</v>
      </c>
      <c r="F1278">
        <v>1276</v>
      </c>
      <c r="G1278" s="259">
        <f ca="1">_xlfn.NORM.INV(RAND(),'VAR Historical Approach'!K$4,'VAR Historical Approach'!K$5)</f>
        <v>1.3786751120527395E-2</v>
      </c>
    </row>
    <row r="1279" spans="2:7" x14ac:dyDescent="0.3">
      <c r="B1279" s="102">
        <v>44321.645833333336</v>
      </c>
      <c r="C1279" s="108">
        <v>1428.4</v>
      </c>
      <c r="D1279" s="261">
        <f t="shared" si="22"/>
        <v>1.8176634115047399E-2</v>
      </c>
      <c r="E1279" s="261">
        <v>-2.0523111303673635E-2</v>
      </c>
      <c r="F1279">
        <v>1277</v>
      </c>
      <c r="G1279" s="259">
        <f ca="1">_xlfn.NORM.INV(RAND(),'VAR Historical Approach'!K$4,'VAR Historical Approach'!K$5)</f>
        <v>1.6138418304922544E-2</v>
      </c>
    </row>
    <row r="1280" spans="2:7" x14ac:dyDescent="0.3">
      <c r="B1280" s="102">
        <v>44320.645833333336</v>
      </c>
      <c r="C1280" s="108">
        <v>1402.9</v>
      </c>
      <c r="D1280" s="261">
        <f t="shared" si="22"/>
        <v>-1.4782822430562838E-2</v>
      </c>
      <c r="E1280" s="261">
        <v>-2.0550306875387874E-2</v>
      </c>
      <c r="F1280">
        <v>1278</v>
      </c>
      <c r="G1280" s="259">
        <f ca="1">_xlfn.NORM.INV(RAND(),'VAR Historical Approach'!K$4,'VAR Historical Approach'!K$5)</f>
        <v>-6.5121242812264312E-3</v>
      </c>
    </row>
    <row r="1281" spans="2:7" x14ac:dyDescent="0.3">
      <c r="B1281" s="102">
        <v>44319.645833333336</v>
      </c>
      <c r="C1281" s="108">
        <v>1423.95</v>
      </c>
      <c r="D1281" s="261">
        <f t="shared" si="22"/>
        <v>-4.5385981966278979E-2</v>
      </c>
      <c r="E1281" s="261">
        <v>-2.0745494571098061E-2</v>
      </c>
      <c r="F1281">
        <v>1279</v>
      </c>
      <c r="G1281" s="259">
        <f ca="1">_xlfn.NORM.INV(RAND(),'VAR Historical Approach'!K$4,'VAR Historical Approach'!K$5)</f>
        <v>-1.4780858531435201E-2</v>
      </c>
    </row>
    <row r="1282" spans="2:7" x14ac:dyDescent="0.3">
      <c r="B1282" s="102">
        <v>44316.645833333336</v>
      </c>
      <c r="C1282" s="108">
        <v>1491.65</v>
      </c>
      <c r="D1282" s="261">
        <f t="shared" si="22"/>
        <v>-1.0054419962835057E-2</v>
      </c>
      <c r="E1282" s="261">
        <v>-2.0768216908303556E-2</v>
      </c>
      <c r="F1282">
        <v>1280</v>
      </c>
      <c r="G1282" s="259">
        <f ca="1">_xlfn.NORM.INV(RAND(),'VAR Historical Approach'!K$4,'VAR Historical Approach'!K$5)</f>
        <v>-3.3661471582775111E-2</v>
      </c>
    </row>
    <row r="1283" spans="2:7" x14ac:dyDescent="0.3">
      <c r="B1283" s="102">
        <v>44315.645833333336</v>
      </c>
      <c r="C1283" s="108">
        <v>1506.8</v>
      </c>
      <c r="D1283" s="261">
        <f t="shared" ref="D1283:D1346" si="23">(C1283-C1284)/C1284</f>
        <v>-1.3586506279616626E-3</v>
      </c>
      <c r="E1283" s="261">
        <v>-2.0871100085869669E-2</v>
      </c>
      <c r="F1283">
        <v>1281</v>
      </c>
      <c r="G1283" s="259">
        <f ca="1">_xlfn.NORM.INV(RAND(),'VAR Historical Approach'!K$4,'VAR Historical Approach'!K$5)</f>
        <v>1.1180289820426133E-3</v>
      </c>
    </row>
    <row r="1284" spans="2:7" x14ac:dyDescent="0.3">
      <c r="B1284" s="102">
        <v>44314.645833333336</v>
      </c>
      <c r="C1284" s="108">
        <v>1508.85</v>
      </c>
      <c r="D1284" s="261">
        <f t="shared" si="23"/>
        <v>9.1967092502173772E-3</v>
      </c>
      <c r="E1284" s="261">
        <v>-2.0871665133394637E-2</v>
      </c>
      <c r="F1284">
        <v>1282</v>
      </c>
      <c r="G1284" s="259">
        <f ca="1">_xlfn.NORM.INV(RAND(),'VAR Historical Approach'!K$4,'VAR Historical Approach'!K$5)</f>
        <v>-1.6051199732619589E-2</v>
      </c>
    </row>
    <row r="1285" spans="2:7" x14ac:dyDescent="0.3">
      <c r="B1285" s="102">
        <v>44313.645833333336</v>
      </c>
      <c r="C1285" s="108">
        <v>1495.1</v>
      </c>
      <c r="D1285" s="261">
        <f t="shared" si="23"/>
        <v>1.0305098489711796E-2</v>
      </c>
      <c r="E1285" s="261">
        <v>-2.094962114914152E-2</v>
      </c>
      <c r="F1285">
        <v>1283</v>
      </c>
      <c r="G1285" s="259">
        <f ca="1">_xlfn.NORM.INV(RAND(),'VAR Historical Approach'!K$4,'VAR Historical Approach'!K$5)</f>
        <v>-3.6507930932953611E-2</v>
      </c>
    </row>
    <row r="1286" spans="2:7" x14ac:dyDescent="0.3">
      <c r="B1286" s="102">
        <v>44312.645833333336</v>
      </c>
      <c r="C1286" s="108">
        <v>1479.85</v>
      </c>
      <c r="D1286" s="261">
        <f t="shared" si="23"/>
        <v>1.2590235724793775E-2</v>
      </c>
      <c r="E1286" s="261">
        <v>-2.1001282521069951E-2</v>
      </c>
      <c r="F1286">
        <v>1284</v>
      </c>
      <c r="G1286" s="259">
        <f ca="1">_xlfn.NORM.INV(RAND(),'VAR Historical Approach'!K$4,'VAR Historical Approach'!K$5)</f>
        <v>1.262032924275968E-2</v>
      </c>
    </row>
    <row r="1287" spans="2:7" x14ac:dyDescent="0.3">
      <c r="B1287" s="102">
        <v>44309.645833333336</v>
      </c>
      <c r="C1287" s="108">
        <v>1461.45</v>
      </c>
      <c r="D1287" s="261">
        <f t="shared" si="23"/>
        <v>-1.3100584123982757E-2</v>
      </c>
      <c r="E1287" s="261">
        <v>-2.1015977058582623E-2</v>
      </c>
      <c r="F1287">
        <v>1285</v>
      </c>
      <c r="G1287" s="259">
        <f ca="1">_xlfn.NORM.INV(RAND(),'VAR Historical Approach'!K$4,'VAR Historical Approach'!K$5)</f>
        <v>-6.3316225806305994E-3</v>
      </c>
    </row>
    <row r="1288" spans="2:7" x14ac:dyDescent="0.3">
      <c r="B1288" s="102">
        <v>44308.645833333336</v>
      </c>
      <c r="C1288" s="108">
        <v>1480.85</v>
      </c>
      <c r="D1288" s="261">
        <f t="shared" si="23"/>
        <v>-2.7611793289119561E-2</v>
      </c>
      <c r="E1288" s="261">
        <v>-2.1059059926716764E-2</v>
      </c>
      <c r="F1288">
        <v>1286</v>
      </c>
      <c r="G1288" s="259">
        <f ca="1">_xlfn.NORM.INV(RAND(),'VAR Historical Approach'!K$4,'VAR Historical Approach'!K$5)</f>
        <v>-8.4765069084882395E-3</v>
      </c>
    </row>
    <row r="1289" spans="2:7" x14ac:dyDescent="0.3">
      <c r="B1289" s="102">
        <v>44306.645833333336</v>
      </c>
      <c r="C1289" s="108">
        <v>1522.9</v>
      </c>
      <c r="D1289" s="261">
        <f t="shared" si="23"/>
        <v>2.7655231447949202E-3</v>
      </c>
      <c r="E1289" s="261">
        <v>-2.1748113051622452E-2</v>
      </c>
      <c r="F1289">
        <v>1287</v>
      </c>
      <c r="G1289" s="259">
        <f ca="1">_xlfn.NORM.INV(RAND(),'VAR Historical Approach'!K$4,'VAR Historical Approach'!K$5)</f>
        <v>-1.2509513831727605E-2</v>
      </c>
    </row>
    <row r="1290" spans="2:7" x14ac:dyDescent="0.3">
      <c r="B1290" s="102">
        <v>44305.645833333336</v>
      </c>
      <c r="C1290" s="108">
        <v>1518.7</v>
      </c>
      <c r="D1290" s="261">
        <f t="shared" si="23"/>
        <v>-1.9592653561860438E-2</v>
      </c>
      <c r="E1290" s="261">
        <v>-2.1884450103453766E-2</v>
      </c>
      <c r="F1290">
        <v>1288</v>
      </c>
      <c r="G1290" s="259">
        <f ca="1">_xlfn.NORM.INV(RAND(),'VAR Historical Approach'!K$4,'VAR Historical Approach'!K$5)</f>
        <v>3.223824363098237E-2</v>
      </c>
    </row>
    <row r="1291" spans="2:7" x14ac:dyDescent="0.3">
      <c r="B1291" s="102">
        <v>44302.645833333336</v>
      </c>
      <c r="C1291" s="108">
        <v>1549.05</v>
      </c>
      <c r="D1291" s="261">
        <f t="shared" si="23"/>
        <v>6.8246075850638592E-3</v>
      </c>
      <c r="E1291" s="261">
        <v>-2.1917431912722673E-2</v>
      </c>
      <c r="F1291">
        <v>1289</v>
      </c>
      <c r="G1291" s="259">
        <f ca="1">_xlfn.NORM.INV(RAND(),'VAR Historical Approach'!K$4,'VAR Historical Approach'!K$5)</f>
        <v>-9.3565173489165033E-3</v>
      </c>
    </row>
    <row r="1292" spans="2:7" x14ac:dyDescent="0.3">
      <c r="B1292" s="102">
        <v>44301.645833333336</v>
      </c>
      <c r="C1292" s="108">
        <v>1538.55</v>
      </c>
      <c r="D1292" s="261">
        <f t="shared" si="23"/>
        <v>5.1940415523324488E-3</v>
      </c>
      <c r="E1292" s="261">
        <v>-2.2029372496662192E-2</v>
      </c>
      <c r="F1292">
        <v>1290</v>
      </c>
      <c r="G1292" s="259">
        <f ca="1">_xlfn.NORM.INV(RAND(),'VAR Historical Approach'!K$4,'VAR Historical Approach'!K$5)</f>
        <v>1.7350577499907656E-2</v>
      </c>
    </row>
    <row r="1293" spans="2:7" x14ac:dyDescent="0.3">
      <c r="B1293" s="102">
        <v>44299.645833333336</v>
      </c>
      <c r="C1293" s="108">
        <v>1530.6</v>
      </c>
      <c r="D1293" s="261">
        <f t="shared" si="23"/>
        <v>1.3340395246449643E-2</v>
      </c>
      <c r="E1293" s="261">
        <v>-2.2062819258776293E-2</v>
      </c>
      <c r="F1293">
        <v>1291</v>
      </c>
      <c r="G1293" s="259">
        <f ca="1">_xlfn.NORM.INV(RAND(),'VAR Historical Approach'!K$4,'VAR Historical Approach'!K$5)</f>
        <v>1.7026764519756252E-2</v>
      </c>
    </row>
    <row r="1294" spans="2:7" x14ac:dyDescent="0.3">
      <c r="B1294" s="102">
        <v>44298.645833333336</v>
      </c>
      <c r="C1294" s="108">
        <v>1510.45</v>
      </c>
      <c r="D1294" s="261">
        <f t="shared" si="23"/>
        <v>-5.1224874371859269E-2</v>
      </c>
      <c r="E1294" s="261">
        <v>-2.2568692555699852E-2</v>
      </c>
      <c r="F1294">
        <v>1292</v>
      </c>
      <c r="G1294" s="259">
        <f ca="1">_xlfn.NORM.INV(RAND(),'VAR Historical Approach'!K$4,'VAR Historical Approach'!K$5)</f>
        <v>-2.8965961797608655E-2</v>
      </c>
    </row>
    <row r="1295" spans="2:7" x14ac:dyDescent="0.3">
      <c r="B1295" s="102">
        <v>44295.645833333336</v>
      </c>
      <c r="C1295" s="108">
        <v>1592</v>
      </c>
      <c r="D1295" s="261">
        <f t="shared" si="23"/>
        <v>1.3173805129510626E-2</v>
      </c>
      <c r="E1295" s="261">
        <v>-2.259226343608222E-2</v>
      </c>
      <c r="F1295">
        <v>1293</v>
      </c>
      <c r="G1295" s="259">
        <f ca="1">_xlfn.NORM.INV(RAND(),'VAR Historical Approach'!K$4,'VAR Historical Approach'!K$5)</f>
        <v>1.2921846100374381E-2</v>
      </c>
    </row>
    <row r="1296" spans="2:7" x14ac:dyDescent="0.3">
      <c r="B1296" s="102">
        <v>44294.645833333336</v>
      </c>
      <c r="C1296" s="108">
        <v>1571.3</v>
      </c>
      <c r="D1296" s="261">
        <f t="shared" si="23"/>
        <v>3.7778218083349878E-2</v>
      </c>
      <c r="E1296" s="261">
        <v>-2.295969520753963E-2</v>
      </c>
      <c r="F1296">
        <v>1294</v>
      </c>
      <c r="G1296" s="259">
        <f ca="1">_xlfn.NORM.INV(RAND(),'VAR Historical Approach'!K$4,'VAR Historical Approach'!K$5)</f>
        <v>-4.9242464154913594E-3</v>
      </c>
    </row>
    <row r="1297" spans="2:7" x14ac:dyDescent="0.3">
      <c r="B1297" s="102">
        <v>44293.645833333336</v>
      </c>
      <c r="C1297" s="108">
        <v>1514.1</v>
      </c>
      <c r="D1297" s="261">
        <f t="shared" si="23"/>
        <v>-7.4729596853491259E-3</v>
      </c>
      <c r="E1297" s="261">
        <v>-2.3401122298722384E-2</v>
      </c>
      <c r="F1297">
        <v>1295</v>
      </c>
      <c r="G1297" s="259">
        <f ca="1">_xlfn.NORM.INV(RAND(),'VAR Historical Approach'!K$4,'VAR Historical Approach'!K$5)</f>
        <v>1.225434490094837E-2</v>
      </c>
    </row>
    <row r="1298" spans="2:7" x14ac:dyDescent="0.3">
      <c r="B1298" s="102">
        <v>44292.645833333336</v>
      </c>
      <c r="C1298" s="108">
        <v>1525.5</v>
      </c>
      <c r="D1298" s="261">
        <f t="shared" si="23"/>
        <v>-6.1889250814332244E-3</v>
      </c>
      <c r="E1298" s="261">
        <v>-2.3530916298996216E-2</v>
      </c>
      <c r="F1298">
        <v>1296</v>
      </c>
      <c r="G1298" s="259">
        <f ca="1">_xlfn.NORM.INV(RAND(),'VAR Historical Approach'!K$4,'VAR Historical Approach'!K$5)</f>
        <v>-8.959244220757917E-3</v>
      </c>
    </row>
    <row r="1299" spans="2:7" x14ac:dyDescent="0.3">
      <c r="B1299" s="102">
        <v>44291.645833333336</v>
      </c>
      <c r="C1299" s="108">
        <v>1535</v>
      </c>
      <c r="D1299" s="261">
        <f t="shared" si="23"/>
        <v>-1.5615480809311515E-2</v>
      </c>
      <c r="E1299" s="261">
        <v>-2.3541114058355437E-2</v>
      </c>
      <c r="F1299">
        <v>1297</v>
      </c>
      <c r="G1299" s="259">
        <f ca="1">_xlfn.NORM.INV(RAND(),'VAR Historical Approach'!K$4,'VAR Historical Approach'!K$5)</f>
        <v>2.2410123349892023E-3</v>
      </c>
    </row>
    <row r="1300" spans="2:7" x14ac:dyDescent="0.3">
      <c r="B1300" s="102">
        <v>44287.645833333336</v>
      </c>
      <c r="C1300" s="108">
        <v>1559.35</v>
      </c>
      <c r="D1300" s="261">
        <f t="shared" si="23"/>
        <v>8.3437630371294537E-4</v>
      </c>
      <c r="E1300" s="261">
        <v>-2.3560110426199817E-2</v>
      </c>
      <c r="F1300">
        <v>1298</v>
      </c>
      <c r="G1300" s="259">
        <f ca="1">_xlfn.NORM.INV(RAND(),'VAR Historical Approach'!K$4,'VAR Historical Approach'!K$5)</f>
        <v>-2.4197566697322984E-2</v>
      </c>
    </row>
    <row r="1301" spans="2:7" x14ac:dyDescent="0.3">
      <c r="B1301" s="102">
        <v>44286.645833333336</v>
      </c>
      <c r="C1301" s="108">
        <v>1558.05</v>
      </c>
      <c r="D1301" s="261">
        <f t="shared" si="23"/>
        <v>3.7688442211054689E-3</v>
      </c>
      <c r="E1301" s="261">
        <v>-2.3596582859923092E-2</v>
      </c>
      <c r="F1301">
        <v>1299</v>
      </c>
      <c r="G1301" s="259">
        <f ca="1">_xlfn.NORM.INV(RAND(),'VAR Historical Approach'!K$4,'VAR Historical Approach'!K$5)</f>
        <v>3.197480917039304E-2</v>
      </c>
    </row>
    <row r="1302" spans="2:7" x14ac:dyDescent="0.3">
      <c r="B1302" s="102">
        <v>44285.645833333336</v>
      </c>
      <c r="C1302" s="108">
        <v>1552.2</v>
      </c>
      <c r="D1302" s="261">
        <f t="shared" si="23"/>
        <v>3.0779958163163753E-2</v>
      </c>
      <c r="E1302" s="261">
        <v>-2.3798217416715405E-2</v>
      </c>
      <c r="F1302">
        <v>1300</v>
      </c>
      <c r="G1302" s="259">
        <f ca="1">_xlfn.NORM.INV(RAND(),'VAR Historical Approach'!K$4,'VAR Historical Approach'!K$5)</f>
        <v>-1.8924555858526516E-2</v>
      </c>
    </row>
    <row r="1303" spans="2:7" x14ac:dyDescent="0.3">
      <c r="B1303" s="102">
        <v>44281.645833333336</v>
      </c>
      <c r="C1303" s="108">
        <v>1505.85</v>
      </c>
      <c r="D1303" s="261">
        <f t="shared" si="23"/>
        <v>3.7908812075679775E-2</v>
      </c>
      <c r="E1303" s="261">
        <v>-2.4091261221575861E-2</v>
      </c>
      <c r="F1303">
        <v>1301</v>
      </c>
      <c r="G1303" s="259">
        <f ca="1">_xlfn.NORM.INV(RAND(),'VAR Historical Approach'!K$4,'VAR Historical Approach'!K$5)</f>
        <v>-3.0647756999028206E-2</v>
      </c>
    </row>
    <row r="1304" spans="2:7" x14ac:dyDescent="0.3">
      <c r="B1304" s="102">
        <v>44280.645833333336</v>
      </c>
      <c r="C1304" s="108">
        <v>1450.85</v>
      </c>
      <c r="D1304" s="261">
        <f t="shared" si="23"/>
        <v>-2.5064677619863709E-2</v>
      </c>
      <c r="E1304" s="261">
        <v>-2.4337551254353919E-2</v>
      </c>
      <c r="F1304">
        <v>1302</v>
      </c>
      <c r="G1304" s="259">
        <f ca="1">_xlfn.NORM.INV(RAND(),'VAR Historical Approach'!K$4,'VAR Historical Approach'!K$5)</f>
        <v>-8.2640168051685073E-3</v>
      </c>
    </row>
    <row r="1305" spans="2:7" x14ac:dyDescent="0.3">
      <c r="B1305" s="102">
        <v>44279.645833333336</v>
      </c>
      <c r="C1305" s="108">
        <v>1488.15</v>
      </c>
      <c r="D1305" s="261">
        <f t="shared" si="23"/>
        <v>-4.8149262714413475E-3</v>
      </c>
      <c r="E1305" s="261">
        <v>-2.4597767328791251E-2</v>
      </c>
      <c r="F1305">
        <v>1303</v>
      </c>
      <c r="G1305" s="259">
        <f ca="1">_xlfn.NORM.INV(RAND(),'VAR Historical Approach'!K$4,'VAR Historical Approach'!K$5)</f>
        <v>1.7556856228950462E-2</v>
      </c>
    </row>
    <row r="1306" spans="2:7" x14ac:dyDescent="0.3">
      <c r="B1306" s="102">
        <v>44278.645833333336</v>
      </c>
      <c r="C1306" s="108">
        <v>1495.35</v>
      </c>
      <c r="D1306" s="261">
        <f t="shared" si="23"/>
        <v>2.4001917414229922E-2</v>
      </c>
      <c r="E1306" s="261">
        <v>-2.476287993101952E-2</v>
      </c>
      <c r="F1306">
        <v>1304</v>
      </c>
      <c r="G1306" s="259">
        <f ca="1">_xlfn.NORM.INV(RAND(),'VAR Historical Approach'!K$4,'VAR Historical Approach'!K$5)</f>
        <v>1.352549213464611E-2</v>
      </c>
    </row>
    <row r="1307" spans="2:7" x14ac:dyDescent="0.3">
      <c r="B1307" s="102">
        <v>44277.645833333336</v>
      </c>
      <c r="C1307" s="108">
        <v>1460.3</v>
      </c>
      <c r="D1307" s="261">
        <f t="shared" si="23"/>
        <v>-3.5142788904432704E-3</v>
      </c>
      <c r="E1307" s="261">
        <v>-2.4895236354616875E-2</v>
      </c>
      <c r="F1307">
        <v>1305</v>
      </c>
      <c r="G1307" s="259">
        <f ca="1">_xlfn.NORM.INV(RAND(),'VAR Historical Approach'!K$4,'VAR Historical Approach'!K$5)</f>
        <v>2.1448970664632718E-2</v>
      </c>
    </row>
    <row r="1308" spans="2:7" x14ac:dyDescent="0.3">
      <c r="B1308" s="102">
        <v>44274.645833333336</v>
      </c>
      <c r="C1308" s="108">
        <v>1465.45</v>
      </c>
      <c r="D1308" s="261">
        <f t="shared" si="23"/>
        <v>-1.8730418199155428E-3</v>
      </c>
      <c r="E1308" s="261">
        <v>-2.4940016648440463E-2</v>
      </c>
      <c r="F1308">
        <v>1306</v>
      </c>
      <c r="G1308" s="259">
        <f ca="1">_xlfn.NORM.INV(RAND(),'VAR Historical Approach'!K$4,'VAR Historical Approach'!K$5)</f>
        <v>-3.0499245333856367E-2</v>
      </c>
    </row>
    <row r="1309" spans="2:7" x14ac:dyDescent="0.3">
      <c r="B1309" s="102">
        <v>44273.645833333336</v>
      </c>
      <c r="C1309" s="108">
        <v>1468.2</v>
      </c>
      <c r="D1309" s="261">
        <f t="shared" si="23"/>
        <v>-2.9540592849138631E-3</v>
      </c>
      <c r="E1309" s="261">
        <v>-2.4954149638251502E-2</v>
      </c>
      <c r="F1309">
        <v>1307</v>
      </c>
      <c r="G1309" s="259">
        <f ca="1">_xlfn.NORM.INV(RAND(),'VAR Historical Approach'!K$4,'VAR Historical Approach'!K$5)</f>
        <v>-1.9800966683457738E-2</v>
      </c>
    </row>
    <row r="1310" spans="2:7" x14ac:dyDescent="0.3">
      <c r="B1310" s="102">
        <v>44272.645833333336</v>
      </c>
      <c r="C1310" s="108">
        <v>1472.55</v>
      </c>
      <c r="D1310" s="261">
        <f t="shared" si="23"/>
        <v>-1.8921349811785931E-2</v>
      </c>
      <c r="E1310" s="261">
        <v>-2.5064677619863709E-2</v>
      </c>
      <c r="F1310">
        <v>1308</v>
      </c>
      <c r="G1310" s="259">
        <f ca="1">_xlfn.NORM.INV(RAND(),'VAR Historical Approach'!K$4,'VAR Historical Approach'!K$5)</f>
        <v>-2.9850713248941285E-2</v>
      </c>
    </row>
    <row r="1311" spans="2:7" x14ac:dyDescent="0.3">
      <c r="B1311" s="102">
        <v>44271.645833333336</v>
      </c>
      <c r="C1311" s="108">
        <v>1500.95</v>
      </c>
      <c r="D1311" s="261">
        <f t="shared" si="23"/>
        <v>5.863825224500737E-3</v>
      </c>
      <c r="E1311" s="261">
        <v>-2.5069299718754535E-2</v>
      </c>
      <c r="F1311">
        <v>1309</v>
      </c>
      <c r="G1311" s="259">
        <f ca="1">_xlfn.NORM.INV(RAND(),'VAR Historical Approach'!K$4,'VAR Historical Approach'!K$5)</f>
        <v>-2.5168098966279678E-2</v>
      </c>
    </row>
    <row r="1312" spans="2:7" x14ac:dyDescent="0.3">
      <c r="B1312" s="102">
        <v>44270.645833333336</v>
      </c>
      <c r="C1312" s="108">
        <v>1492.2</v>
      </c>
      <c r="D1312" s="261">
        <f t="shared" si="23"/>
        <v>6.5430016863406715E-3</v>
      </c>
      <c r="E1312" s="261">
        <v>-2.5101648972215975E-2</v>
      </c>
      <c r="F1312">
        <v>1310</v>
      </c>
      <c r="G1312" s="259">
        <f ca="1">_xlfn.NORM.INV(RAND(),'VAR Historical Approach'!K$4,'VAR Historical Approach'!K$5)</f>
        <v>-3.5641296114780176E-3</v>
      </c>
    </row>
    <row r="1313" spans="2:7" x14ac:dyDescent="0.3">
      <c r="B1313" s="102">
        <v>44267.645833333336</v>
      </c>
      <c r="C1313" s="108">
        <v>1482.5</v>
      </c>
      <c r="D1313" s="261">
        <f t="shared" si="23"/>
        <v>7.6465590484282074E-3</v>
      </c>
      <c r="E1313" s="261">
        <v>-2.5112323491655875E-2</v>
      </c>
      <c r="F1313">
        <v>1311</v>
      </c>
      <c r="G1313" s="259">
        <f ca="1">_xlfn.NORM.INV(RAND(),'VAR Historical Approach'!K$4,'VAR Historical Approach'!K$5)</f>
        <v>-2.0346559903972397E-3</v>
      </c>
    </row>
    <row r="1314" spans="2:7" x14ac:dyDescent="0.3">
      <c r="B1314" s="102">
        <v>44265.645833333336</v>
      </c>
      <c r="C1314" s="108">
        <v>1471.25</v>
      </c>
      <c r="D1314" s="261">
        <f t="shared" si="23"/>
        <v>9.8496808291577385E-3</v>
      </c>
      <c r="E1314" s="261">
        <v>-2.5208672723913871E-2</v>
      </c>
      <c r="F1314">
        <v>1312</v>
      </c>
      <c r="G1314" s="259">
        <f ca="1">_xlfn.NORM.INV(RAND(),'VAR Historical Approach'!K$4,'VAR Historical Approach'!K$5)</f>
        <v>2.6195360188574026E-3</v>
      </c>
    </row>
    <row r="1315" spans="2:7" x14ac:dyDescent="0.3">
      <c r="B1315" s="102">
        <v>44264.645833333336</v>
      </c>
      <c r="C1315" s="108">
        <v>1456.9</v>
      </c>
      <c r="D1315" s="261">
        <f t="shared" si="23"/>
        <v>1.0296893770385512E-4</v>
      </c>
      <c r="E1315" s="261">
        <v>-2.5291334948655906E-2</v>
      </c>
      <c r="F1315">
        <v>1313</v>
      </c>
      <c r="G1315" s="259">
        <f ca="1">_xlfn.NORM.INV(RAND(),'VAR Historical Approach'!K$4,'VAR Historical Approach'!K$5)</f>
        <v>2.6506392094735045E-4</v>
      </c>
    </row>
    <row r="1316" spans="2:7" x14ac:dyDescent="0.3">
      <c r="B1316" s="102">
        <v>44263.645833333336</v>
      </c>
      <c r="C1316" s="108">
        <v>1456.75</v>
      </c>
      <c r="D1316" s="261">
        <f t="shared" si="23"/>
        <v>-1.18369285035952E-2</v>
      </c>
      <c r="E1316" s="261">
        <v>-2.5955855747195732E-2</v>
      </c>
      <c r="F1316">
        <v>1314</v>
      </c>
      <c r="G1316" s="259">
        <f ca="1">_xlfn.NORM.INV(RAND(),'VAR Historical Approach'!K$4,'VAR Historical Approach'!K$5)</f>
        <v>2.1379805828620941E-2</v>
      </c>
    </row>
    <row r="1317" spans="2:7" x14ac:dyDescent="0.3">
      <c r="B1317" s="102">
        <v>44260.645833333336</v>
      </c>
      <c r="C1317" s="108">
        <v>1474.2</v>
      </c>
      <c r="D1317" s="261">
        <f t="shared" si="23"/>
        <v>2.5161509690581744E-3</v>
      </c>
      <c r="E1317" s="261">
        <v>-2.639805488016676E-2</v>
      </c>
      <c r="F1317">
        <v>1315</v>
      </c>
      <c r="G1317" s="259">
        <f ca="1">_xlfn.NORM.INV(RAND(),'VAR Historical Approach'!K$4,'VAR Historical Approach'!K$5)</f>
        <v>1.7705956086722919E-2</v>
      </c>
    </row>
    <row r="1318" spans="2:7" x14ac:dyDescent="0.3">
      <c r="B1318" s="102">
        <v>44259.645833333336</v>
      </c>
      <c r="C1318" s="108">
        <v>1470.5</v>
      </c>
      <c r="D1318" s="261">
        <f t="shared" si="23"/>
        <v>-2.7804150278040889E-3</v>
      </c>
      <c r="E1318" s="261">
        <v>-2.6433110949505144E-2</v>
      </c>
      <c r="F1318">
        <v>1316</v>
      </c>
      <c r="G1318" s="259">
        <f ca="1">_xlfn.NORM.INV(RAND(),'VAR Historical Approach'!K$4,'VAR Historical Approach'!K$5)</f>
        <v>7.8524911782588674E-3</v>
      </c>
    </row>
    <row r="1319" spans="2:7" x14ac:dyDescent="0.3">
      <c r="B1319" s="102">
        <v>44258.645833333336</v>
      </c>
      <c r="C1319" s="108">
        <v>1474.6</v>
      </c>
      <c r="D1319" s="261">
        <f t="shared" si="23"/>
        <v>2.3451041702068571E-3</v>
      </c>
      <c r="E1319" s="261">
        <v>-2.6579925650557622E-2</v>
      </c>
      <c r="F1319">
        <v>1317</v>
      </c>
      <c r="G1319" s="259">
        <f ca="1">_xlfn.NORM.INV(RAND(),'VAR Historical Approach'!K$4,'VAR Historical Approach'!K$5)</f>
        <v>-4.8880561515371838E-3</v>
      </c>
    </row>
    <row r="1320" spans="2:7" x14ac:dyDescent="0.3">
      <c r="B1320" s="102">
        <v>44257.645833333336</v>
      </c>
      <c r="C1320" s="108">
        <v>1471.15</v>
      </c>
      <c r="D1320" s="261">
        <f t="shared" si="23"/>
        <v>1.3084047791206142E-2</v>
      </c>
      <c r="E1320" s="261">
        <v>-2.6718673817649953E-2</v>
      </c>
      <c r="F1320">
        <v>1318</v>
      </c>
      <c r="G1320" s="259">
        <f ca="1">_xlfn.NORM.INV(RAND(),'VAR Historical Approach'!K$4,'VAR Historical Approach'!K$5)</f>
        <v>-1.7966912663682083E-2</v>
      </c>
    </row>
    <row r="1321" spans="2:7" x14ac:dyDescent="0.3">
      <c r="B1321" s="102">
        <v>44256.645833333336</v>
      </c>
      <c r="C1321" s="108">
        <v>1452.15</v>
      </c>
      <c r="D1321" s="261">
        <f t="shared" si="23"/>
        <v>3.216291136541332E-2</v>
      </c>
      <c r="E1321" s="261">
        <v>-2.6748235543373192E-2</v>
      </c>
      <c r="F1321">
        <v>1319</v>
      </c>
      <c r="G1321" s="259">
        <f ca="1">_xlfn.NORM.INV(RAND(),'VAR Historical Approach'!K$4,'VAR Historical Approach'!K$5)</f>
        <v>7.343251072336424E-4</v>
      </c>
    </row>
    <row r="1322" spans="2:7" x14ac:dyDescent="0.3">
      <c r="B1322" s="102">
        <v>44253.645833333336</v>
      </c>
      <c r="C1322" s="108">
        <v>1406.9</v>
      </c>
      <c r="D1322" s="261">
        <f t="shared" si="23"/>
        <v>-1.920596744396804E-2</v>
      </c>
      <c r="E1322" s="261">
        <v>-2.730680552723614E-2</v>
      </c>
      <c r="F1322">
        <v>1320</v>
      </c>
      <c r="G1322" s="259">
        <f ca="1">_xlfn.NORM.INV(RAND(),'VAR Historical Approach'!K$4,'VAR Historical Approach'!K$5)</f>
        <v>-1.5479039263673352E-2</v>
      </c>
    </row>
    <row r="1323" spans="2:7" x14ac:dyDescent="0.3">
      <c r="B1323" s="102">
        <v>44252.645833333336</v>
      </c>
      <c r="C1323" s="108">
        <v>1434.45</v>
      </c>
      <c r="D1323" s="261">
        <f t="shared" si="23"/>
        <v>-1.1984709164169759E-2</v>
      </c>
      <c r="E1323" s="261">
        <v>-2.7611793289119561E-2</v>
      </c>
      <c r="F1323">
        <v>1321</v>
      </c>
      <c r="G1323" s="259">
        <f ca="1">_xlfn.NORM.INV(RAND(),'VAR Historical Approach'!K$4,'VAR Historical Approach'!K$5)</f>
        <v>4.0084914096919957E-2</v>
      </c>
    </row>
    <row r="1324" spans="2:7" x14ac:dyDescent="0.3">
      <c r="B1324" s="102">
        <v>44251.645833333336</v>
      </c>
      <c r="C1324" s="108">
        <v>1451.85</v>
      </c>
      <c r="D1324" s="261">
        <f t="shared" si="23"/>
        <v>1.952178645412728E-2</v>
      </c>
      <c r="E1324" s="261">
        <v>-2.7961287607826558E-2</v>
      </c>
      <c r="F1324">
        <v>1322</v>
      </c>
      <c r="G1324" s="259">
        <f ca="1">_xlfn.NORM.INV(RAND(),'VAR Historical Approach'!K$4,'VAR Historical Approach'!K$5)</f>
        <v>-2.2612120524205373E-2</v>
      </c>
    </row>
    <row r="1325" spans="2:7" x14ac:dyDescent="0.3">
      <c r="B1325" s="102">
        <v>44250.645833333336</v>
      </c>
      <c r="C1325" s="108">
        <v>1424.05</v>
      </c>
      <c r="D1325" s="261">
        <f t="shared" si="23"/>
        <v>1.3378402419498277E-2</v>
      </c>
      <c r="E1325" s="261">
        <v>-2.8365402303079323E-2</v>
      </c>
      <c r="F1325">
        <v>1323</v>
      </c>
      <c r="G1325" s="259">
        <f ca="1">_xlfn.NORM.INV(RAND(),'VAR Historical Approach'!K$4,'VAR Historical Approach'!K$5)</f>
        <v>3.1784963855239899E-2</v>
      </c>
    </row>
    <row r="1326" spans="2:7" x14ac:dyDescent="0.3">
      <c r="B1326" s="102">
        <v>44249.645833333336</v>
      </c>
      <c r="C1326" s="108">
        <v>1405.25</v>
      </c>
      <c r="D1326" s="261">
        <f t="shared" si="23"/>
        <v>-1.4240117849251135E-2</v>
      </c>
      <c r="E1326" s="261">
        <v>-2.8425017519271303E-2</v>
      </c>
      <c r="F1326">
        <v>1324</v>
      </c>
      <c r="G1326" s="259">
        <f ca="1">_xlfn.NORM.INV(RAND(),'VAR Historical Approach'!K$4,'VAR Historical Approach'!K$5)</f>
        <v>6.8597502336317168E-3</v>
      </c>
    </row>
    <row r="1327" spans="2:7" x14ac:dyDescent="0.3">
      <c r="B1327" s="102">
        <v>44246.645833333336</v>
      </c>
      <c r="C1327" s="108">
        <v>1425.55</v>
      </c>
      <c r="D1327" s="261">
        <f t="shared" si="23"/>
        <v>-5.1988834612700947E-3</v>
      </c>
      <c r="E1327" s="261">
        <v>-2.9147343584736654E-2</v>
      </c>
      <c r="F1327">
        <v>1325</v>
      </c>
      <c r="G1327" s="259">
        <f ca="1">_xlfn.NORM.INV(RAND(),'VAR Historical Approach'!K$4,'VAR Historical Approach'!K$5)</f>
        <v>-4.1984101829952618E-3</v>
      </c>
    </row>
    <row r="1328" spans="2:7" x14ac:dyDescent="0.3">
      <c r="B1328" s="102">
        <v>44245.645833333336</v>
      </c>
      <c r="C1328" s="108">
        <v>1433</v>
      </c>
      <c r="D1328" s="261">
        <f t="shared" si="23"/>
        <v>-1.8761983018351198E-2</v>
      </c>
      <c r="E1328" s="261">
        <v>-2.9578655076663043E-2</v>
      </c>
      <c r="F1328">
        <v>1326</v>
      </c>
      <c r="G1328" s="259">
        <f ca="1">_xlfn.NORM.INV(RAND(),'VAR Historical Approach'!K$4,'VAR Historical Approach'!K$5)</f>
        <v>-2.1426069295843383E-3</v>
      </c>
    </row>
    <row r="1329" spans="2:7" x14ac:dyDescent="0.3">
      <c r="B1329" s="102">
        <v>44244.645833333336</v>
      </c>
      <c r="C1329" s="108">
        <v>1460.4</v>
      </c>
      <c r="D1329" s="261">
        <f t="shared" si="23"/>
        <v>-7.7793253388591353E-3</v>
      </c>
      <c r="E1329" s="261">
        <v>-2.9685632487422446E-2</v>
      </c>
      <c r="F1329">
        <v>1327</v>
      </c>
      <c r="G1329" s="259">
        <f ca="1">_xlfn.NORM.INV(RAND(),'VAR Historical Approach'!K$4,'VAR Historical Approach'!K$5)</f>
        <v>3.3392322896188931E-2</v>
      </c>
    </row>
    <row r="1330" spans="2:7" x14ac:dyDescent="0.3">
      <c r="B1330" s="102">
        <v>44243.645833333336</v>
      </c>
      <c r="C1330" s="108">
        <v>1471.85</v>
      </c>
      <c r="D1330" s="261">
        <f t="shared" si="23"/>
        <v>-8.6883313689173867E-3</v>
      </c>
      <c r="E1330" s="261">
        <v>-3.1281032770605594E-2</v>
      </c>
      <c r="F1330">
        <v>1328</v>
      </c>
      <c r="G1330" s="259">
        <f ca="1">_xlfn.NORM.INV(RAND(),'VAR Historical Approach'!K$4,'VAR Historical Approach'!K$5)</f>
        <v>1.6833410286163038E-2</v>
      </c>
    </row>
    <row r="1331" spans="2:7" x14ac:dyDescent="0.3">
      <c r="B1331" s="102">
        <v>44242.645833333336</v>
      </c>
      <c r="C1331" s="108">
        <v>1484.75</v>
      </c>
      <c r="D1331" s="261">
        <f t="shared" si="23"/>
        <v>-6.3244545576228387E-3</v>
      </c>
      <c r="E1331" s="261">
        <v>-3.1313613231552108E-2</v>
      </c>
      <c r="F1331">
        <v>1329</v>
      </c>
      <c r="G1331" s="259">
        <f ca="1">_xlfn.NORM.INV(RAND(),'VAR Historical Approach'!K$4,'VAR Historical Approach'!K$5)</f>
        <v>9.6891892065466875E-4</v>
      </c>
    </row>
    <row r="1332" spans="2:7" x14ac:dyDescent="0.3">
      <c r="B1332" s="102">
        <v>44239.645833333336</v>
      </c>
      <c r="C1332" s="108">
        <v>1494.2</v>
      </c>
      <c r="D1332" s="261">
        <f t="shared" si="23"/>
        <v>-2.0003935200367286E-2</v>
      </c>
      <c r="E1332" s="261">
        <v>-3.2111584427878412E-2</v>
      </c>
      <c r="F1332">
        <v>1330</v>
      </c>
      <c r="G1332" s="259">
        <f ca="1">_xlfn.NORM.INV(RAND(),'VAR Historical Approach'!K$4,'VAR Historical Approach'!K$5)</f>
        <v>1.4408605102863783E-2</v>
      </c>
    </row>
    <row r="1333" spans="2:7" x14ac:dyDescent="0.3">
      <c r="B1333" s="102">
        <v>44238.645833333336</v>
      </c>
      <c r="C1333" s="108">
        <v>1524.7</v>
      </c>
      <c r="D1333" s="261">
        <f t="shared" si="23"/>
        <v>-2.4597767328791251E-2</v>
      </c>
      <c r="E1333" s="261">
        <v>-3.2164721166906267E-2</v>
      </c>
      <c r="F1333">
        <v>1331</v>
      </c>
      <c r="G1333" s="259">
        <f ca="1">_xlfn.NORM.INV(RAND(),'VAR Historical Approach'!K$4,'VAR Historical Approach'!K$5)</f>
        <v>1.1292636675020121E-2</v>
      </c>
    </row>
    <row r="1334" spans="2:7" x14ac:dyDescent="0.3">
      <c r="B1334" s="102">
        <v>44237.645833333336</v>
      </c>
      <c r="C1334" s="108">
        <v>1563.15</v>
      </c>
      <c r="D1334" s="261">
        <f t="shared" si="23"/>
        <v>2.0834668889031347E-3</v>
      </c>
      <c r="E1334" s="261">
        <v>-3.260154841446597E-2</v>
      </c>
      <c r="F1334">
        <v>1332</v>
      </c>
      <c r="G1334" s="259">
        <f ca="1">_xlfn.NORM.INV(RAND(),'VAR Historical Approach'!K$4,'VAR Historical Approach'!K$5)</f>
        <v>-4.5617871618039074E-3</v>
      </c>
    </row>
    <row r="1335" spans="2:7" x14ac:dyDescent="0.3">
      <c r="B1335" s="102">
        <v>44236.645833333336</v>
      </c>
      <c r="C1335" s="108">
        <v>1559.9</v>
      </c>
      <c r="D1335" s="261">
        <f t="shared" si="23"/>
        <v>1.1805150158915511E-2</v>
      </c>
      <c r="E1335" s="261">
        <v>-3.2837174562526772E-2</v>
      </c>
      <c r="F1335">
        <v>1333</v>
      </c>
      <c r="G1335" s="259">
        <f ca="1">_xlfn.NORM.INV(RAND(),'VAR Historical Approach'!K$4,'VAR Historical Approach'!K$5)</f>
        <v>-1.6166098427216599E-2</v>
      </c>
    </row>
    <row r="1336" spans="2:7" x14ac:dyDescent="0.3">
      <c r="B1336" s="102">
        <v>44235.645833333336</v>
      </c>
      <c r="C1336" s="108">
        <v>1541.7</v>
      </c>
      <c r="D1336" s="261">
        <f t="shared" si="23"/>
        <v>2.1365397992646327E-2</v>
      </c>
      <c r="E1336" s="261">
        <v>-3.3133108423160314E-2</v>
      </c>
      <c r="F1336">
        <v>1334</v>
      </c>
      <c r="G1336" s="259">
        <f ca="1">_xlfn.NORM.INV(RAND(),'VAR Historical Approach'!K$4,'VAR Historical Approach'!K$5)</f>
        <v>-8.9219061861652814E-3</v>
      </c>
    </row>
    <row r="1337" spans="2:7" x14ac:dyDescent="0.3">
      <c r="B1337" s="102">
        <v>44232.645833333336</v>
      </c>
      <c r="C1337" s="108">
        <v>1509.45</v>
      </c>
      <c r="D1337" s="261">
        <f t="shared" si="23"/>
        <v>-2.7418076109935676E-3</v>
      </c>
      <c r="E1337" s="261">
        <v>-3.3853594196526733E-2</v>
      </c>
      <c r="F1337">
        <v>1335</v>
      </c>
      <c r="G1337" s="259">
        <f ca="1">_xlfn.NORM.INV(RAND(),'VAR Historical Approach'!K$4,'VAR Historical Approach'!K$5)</f>
        <v>-1.6892250043093925E-2</v>
      </c>
    </row>
    <row r="1338" spans="2:7" x14ac:dyDescent="0.3">
      <c r="B1338" s="102">
        <v>44231.645833333336</v>
      </c>
      <c r="C1338" s="108">
        <v>1513.6</v>
      </c>
      <c r="D1338" s="261">
        <f t="shared" si="23"/>
        <v>-7.5730256040390659E-3</v>
      </c>
      <c r="E1338" s="261">
        <v>-3.4531116621275483E-2</v>
      </c>
      <c r="F1338">
        <v>1336</v>
      </c>
      <c r="G1338" s="259">
        <f ca="1">_xlfn.NORM.INV(RAND(),'VAR Historical Approach'!K$4,'VAR Historical Approach'!K$5)</f>
        <v>7.1872783821857744E-3</v>
      </c>
    </row>
    <row r="1339" spans="2:7" x14ac:dyDescent="0.3">
      <c r="B1339" s="102">
        <v>44230.645833333336</v>
      </c>
      <c r="C1339" s="108">
        <v>1525.15</v>
      </c>
      <c r="D1339" s="261">
        <f t="shared" si="23"/>
        <v>2.6725907974014636E-2</v>
      </c>
      <c r="E1339" s="261">
        <v>-3.4609326012816029E-2</v>
      </c>
      <c r="F1339">
        <v>1337</v>
      </c>
      <c r="G1339" s="259">
        <f ca="1">_xlfn.NORM.INV(RAND(),'VAR Historical Approach'!K$4,'VAR Historical Approach'!K$5)</f>
        <v>-5.2671271937925175E-3</v>
      </c>
    </row>
    <row r="1340" spans="2:7" x14ac:dyDescent="0.3">
      <c r="B1340" s="102">
        <v>44229.645833333336</v>
      </c>
      <c r="C1340" s="108">
        <v>1485.45</v>
      </c>
      <c r="D1340" s="261">
        <f t="shared" si="23"/>
        <v>-1.0722253671206361E-2</v>
      </c>
      <c r="E1340" s="261">
        <v>-3.5065773545315003E-2</v>
      </c>
      <c r="F1340">
        <v>1338</v>
      </c>
      <c r="G1340" s="259">
        <f ca="1">_xlfn.NORM.INV(RAND(),'VAR Historical Approach'!K$4,'VAR Historical Approach'!K$5)</f>
        <v>1.8577015527209709E-2</v>
      </c>
    </row>
    <row r="1341" spans="2:7" x14ac:dyDescent="0.3">
      <c r="B1341" s="102">
        <v>44228.645833333336</v>
      </c>
      <c r="C1341" s="108">
        <v>1501.55</v>
      </c>
      <c r="D1341" s="261">
        <f t="shared" si="23"/>
        <v>5.7206224037175249E-2</v>
      </c>
      <c r="E1341" s="261">
        <v>-3.5288381164669848E-2</v>
      </c>
      <c r="F1341">
        <v>1339</v>
      </c>
      <c r="G1341" s="259">
        <f ca="1">_xlfn.NORM.INV(RAND(),'VAR Historical Approach'!K$4,'VAR Historical Approach'!K$5)</f>
        <v>1.4534925855051492E-2</v>
      </c>
    </row>
    <row r="1342" spans="2:7" x14ac:dyDescent="0.3">
      <c r="B1342" s="102">
        <v>44225.645833333336</v>
      </c>
      <c r="C1342" s="108">
        <v>1420.3</v>
      </c>
      <c r="D1342" s="261">
        <f t="shared" si="23"/>
        <v>-2.0550306875387874E-2</v>
      </c>
      <c r="E1342" s="261">
        <v>-3.5411459099152089E-2</v>
      </c>
      <c r="F1342">
        <v>1340</v>
      </c>
      <c r="G1342" s="259">
        <f ca="1">_xlfn.NORM.INV(RAND(),'VAR Historical Approach'!K$4,'VAR Historical Approach'!K$5)</f>
        <v>-2.8104859890213142E-3</v>
      </c>
    </row>
    <row r="1343" spans="2:7" x14ac:dyDescent="0.3">
      <c r="B1343" s="102">
        <v>44224.645833333336</v>
      </c>
      <c r="C1343" s="108">
        <v>1450.1</v>
      </c>
      <c r="D1343" s="261">
        <f t="shared" si="23"/>
        <v>6.5246060942596397E-3</v>
      </c>
      <c r="E1343" s="261">
        <v>-3.5701406419040717E-2</v>
      </c>
      <c r="F1343">
        <v>1341</v>
      </c>
      <c r="G1343" s="259">
        <f ca="1">_xlfn.NORM.INV(RAND(),'VAR Historical Approach'!K$4,'VAR Historical Approach'!K$5)</f>
        <v>5.793504789039337E-3</v>
      </c>
    </row>
    <row r="1344" spans="2:7" x14ac:dyDescent="0.3">
      <c r="B1344" s="102">
        <v>44223.645833333336</v>
      </c>
      <c r="C1344" s="108">
        <v>1440.7</v>
      </c>
      <c r="D1344" s="261">
        <f t="shared" si="23"/>
        <v>-3.9437277061039347E-2</v>
      </c>
      <c r="E1344" s="261">
        <v>-3.5738063534335215E-2</v>
      </c>
      <c r="F1344">
        <v>1342</v>
      </c>
      <c r="G1344" s="259">
        <f ca="1">_xlfn.NORM.INV(RAND(),'VAR Historical Approach'!K$4,'VAR Historical Approach'!K$5)</f>
        <v>2.9760030049618056E-2</v>
      </c>
    </row>
    <row r="1345" spans="2:7" x14ac:dyDescent="0.3">
      <c r="B1345" s="102">
        <v>44221.645833333336</v>
      </c>
      <c r="C1345" s="108">
        <v>1499.85</v>
      </c>
      <c r="D1345" s="261">
        <f t="shared" si="23"/>
        <v>5.800697424892612E-3</v>
      </c>
      <c r="E1345" s="261">
        <v>-3.6127553943097156E-2</v>
      </c>
      <c r="F1345">
        <v>1343</v>
      </c>
      <c r="G1345" s="259">
        <f ca="1">_xlfn.NORM.INV(RAND(),'VAR Historical Approach'!K$4,'VAR Historical Approach'!K$5)</f>
        <v>-7.9549196916387096E-4</v>
      </c>
    </row>
    <row r="1346" spans="2:7" x14ac:dyDescent="0.3">
      <c r="B1346" s="102">
        <v>44218.645833333336</v>
      </c>
      <c r="C1346" s="108">
        <v>1491.2</v>
      </c>
      <c r="D1346" s="261">
        <f t="shared" si="23"/>
        <v>-1.7201608119686226E-2</v>
      </c>
      <c r="E1346" s="261">
        <v>-3.9437277061039347E-2</v>
      </c>
      <c r="F1346">
        <v>1344</v>
      </c>
      <c r="G1346" s="259">
        <f ca="1">_xlfn.NORM.INV(RAND(),'VAR Historical Approach'!K$4,'VAR Historical Approach'!K$5)</f>
        <v>2.8795014500707577E-2</v>
      </c>
    </row>
    <row r="1347" spans="2:7" x14ac:dyDescent="0.3">
      <c r="B1347" s="102">
        <v>44217.645833333336</v>
      </c>
      <c r="C1347" s="108">
        <v>1517.3</v>
      </c>
      <c r="D1347" s="261">
        <f t="shared" ref="D1347:D1360" si="24">(C1347-C1348)/C1348</f>
        <v>-9.1425586103310915E-3</v>
      </c>
      <c r="E1347" s="261">
        <v>-4.0134425216316473E-2</v>
      </c>
      <c r="F1347">
        <v>1345</v>
      </c>
      <c r="G1347" s="259">
        <f ca="1">_xlfn.NORM.INV(RAND(),'VAR Historical Approach'!K$4,'VAR Historical Approach'!K$5)</f>
        <v>-4.0056856135943844E-4</v>
      </c>
    </row>
    <row r="1348" spans="2:7" x14ac:dyDescent="0.3">
      <c r="B1348" s="102">
        <v>44216.645833333336</v>
      </c>
      <c r="C1348" s="108">
        <v>1531.3</v>
      </c>
      <c r="D1348" s="261">
        <f t="shared" si="24"/>
        <v>7.5004934535165884E-3</v>
      </c>
      <c r="E1348" s="261">
        <v>-4.0476838951624877E-2</v>
      </c>
      <c r="F1348">
        <v>1346</v>
      </c>
      <c r="G1348" s="259">
        <f ca="1">_xlfn.NORM.INV(RAND(),'VAR Historical Approach'!K$4,'VAR Historical Approach'!K$5)</f>
        <v>-2.0469846212846091E-2</v>
      </c>
    </row>
    <row r="1349" spans="2:7" x14ac:dyDescent="0.3">
      <c r="B1349" s="102">
        <v>44215.645833333336</v>
      </c>
      <c r="C1349" s="108">
        <v>1519.9</v>
      </c>
      <c r="D1349" s="261">
        <f t="shared" si="24"/>
        <v>1.0874264241295692E-2</v>
      </c>
      <c r="E1349" s="261">
        <v>-4.3998665443323044E-2</v>
      </c>
      <c r="F1349">
        <v>1347</v>
      </c>
      <c r="G1349" s="259">
        <f ca="1">_xlfn.NORM.INV(RAND(),'VAR Historical Approach'!K$4,'VAR Historical Approach'!K$5)</f>
        <v>-1.6106669433313247E-2</v>
      </c>
    </row>
    <row r="1350" spans="2:7" x14ac:dyDescent="0.3">
      <c r="B1350" s="102">
        <v>44214.645833333336</v>
      </c>
      <c r="C1350" s="108">
        <v>1503.55</v>
      </c>
      <c r="D1350" s="261">
        <f t="shared" si="24"/>
        <v>1.7803350820781827E-2</v>
      </c>
      <c r="E1350" s="261">
        <v>-4.4461122103204381E-2</v>
      </c>
      <c r="F1350">
        <v>1348</v>
      </c>
      <c r="G1350" s="259">
        <f ca="1">_xlfn.NORM.INV(RAND(),'VAR Historical Approach'!K$4,'VAR Historical Approach'!K$5)</f>
        <v>-4.9673969691527555E-4</v>
      </c>
    </row>
    <row r="1351" spans="2:7" x14ac:dyDescent="0.3">
      <c r="B1351" s="102">
        <v>44211.645833333336</v>
      </c>
      <c r="C1351" s="108">
        <v>1477.25</v>
      </c>
      <c r="D1351" s="261">
        <f t="shared" si="24"/>
        <v>-8.5237759656364605E-3</v>
      </c>
      <c r="E1351" s="261">
        <v>-4.5251465979957155E-2</v>
      </c>
      <c r="F1351">
        <v>1349</v>
      </c>
      <c r="G1351" s="259">
        <f ca="1">_xlfn.NORM.INV(RAND(),'VAR Historical Approach'!K$4,'VAR Historical Approach'!K$5)</f>
        <v>6.6256201140838219E-3</v>
      </c>
    </row>
    <row r="1352" spans="2:7" x14ac:dyDescent="0.3">
      <c r="B1352" s="102">
        <v>44210.645833333336</v>
      </c>
      <c r="C1352" s="108">
        <v>1489.95</v>
      </c>
      <c r="D1352" s="261">
        <f t="shared" si="24"/>
        <v>-1.052596626377999E-2</v>
      </c>
      <c r="E1352" s="261">
        <v>-4.5385981966278979E-2</v>
      </c>
      <c r="F1352">
        <v>1350</v>
      </c>
      <c r="G1352" s="259">
        <f ca="1">_xlfn.NORM.INV(RAND(),'VAR Historical Approach'!K$4,'VAR Historical Approach'!K$5)</f>
        <v>-3.6580360830409655E-3</v>
      </c>
    </row>
    <row r="1353" spans="2:7" x14ac:dyDescent="0.3">
      <c r="B1353" s="102">
        <v>44209.645833333336</v>
      </c>
      <c r="C1353" s="108">
        <v>1505.8</v>
      </c>
      <c r="D1353" s="261">
        <f t="shared" si="24"/>
        <v>-1.3948006024490835E-2</v>
      </c>
      <c r="E1353" s="261">
        <v>-4.9482823408421139E-2</v>
      </c>
      <c r="F1353">
        <v>1351</v>
      </c>
      <c r="G1353" s="259">
        <f ca="1">_xlfn.NORM.INV(RAND(),'VAR Historical Approach'!K$4,'VAR Historical Approach'!K$5)</f>
        <v>-3.6099120174232051E-2</v>
      </c>
    </row>
    <row r="1354" spans="2:7" x14ac:dyDescent="0.3">
      <c r="B1354" s="102">
        <v>44208.645833333336</v>
      </c>
      <c r="C1354" s="108">
        <v>1527.1</v>
      </c>
      <c r="D1354" s="261">
        <f t="shared" si="24"/>
        <v>-2.3530916298996216E-2</v>
      </c>
      <c r="E1354" s="261">
        <v>-5.1224874371859269E-2</v>
      </c>
      <c r="F1354">
        <v>1352</v>
      </c>
      <c r="G1354" s="259">
        <f ca="1">_xlfn.NORM.INV(RAND(),'VAR Historical Approach'!K$4,'VAR Historical Approach'!K$5)</f>
        <v>-1.4430262430274482E-2</v>
      </c>
    </row>
    <row r="1355" spans="2:7" x14ac:dyDescent="0.3">
      <c r="B1355" s="102">
        <v>44207.645833333336</v>
      </c>
      <c r="C1355" s="108">
        <v>1563.9</v>
      </c>
      <c r="D1355" s="261">
        <f t="shared" si="24"/>
        <v>9.8798915149168175E-3</v>
      </c>
      <c r="E1355" s="261">
        <v>-5.1762649315334565E-2</v>
      </c>
      <c r="F1355">
        <v>1353</v>
      </c>
      <c r="G1355" s="259">
        <f ca="1">_xlfn.NORM.INV(RAND(),'VAR Historical Approach'!K$4,'VAR Historical Approach'!K$5)</f>
        <v>-1.485310246328011E-2</v>
      </c>
    </row>
    <row r="1356" spans="2:7" x14ac:dyDescent="0.3">
      <c r="B1356" s="102">
        <v>44204.645833333336</v>
      </c>
      <c r="C1356" s="108">
        <v>1548.6</v>
      </c>
      <c r="D1356" s="261">
        <f t="shared" si="24"/>
        <v>4.0522579181119719E-3</v>
      </c>
      <c r="E1356" s="261">
        <v>-6.0409034668478023E-2</v>
      </c>
      <c r="F1356">
        <v>1354</v>
      </c>
      <c r="G1356" s="259">
        <f ca="1">_xlfn.NORM.INV(RAND(),'VAR Historical Approach'!K$4,'VAR Historical Approach'!K$5)</f>
        <v>1.2046599035509628E-2</v>
      </c>
    </row>
    <row r="1357" spans="2:7" x14ac:dyDescent="0.3">
      <c r="B1357" s="102">
        <v>44203.645833333336</v>
      </c>
      <c r="C1357" s="108">
        <v>1542.35</v>
      </c>
      <c r="D1357" s="261">
        <f t="shared" si="24"/>
        <v>-1.9235660689304337E-2</v>
      </c>
      <c r="E1357" s="261">
        <v>-6.1318567414964061E-2</v>
      </c>
      <c r="F1357">
        <v>1355</v>
      </c>
      <c r="G1357" s="259">
        <f ca="1">_xlfn.NORM.INV(RAND(),'VAR Historical Approach'!K$4,'VAR Historical Approach'!K$5)</f>
        <v>-1.874107084247208E-2</v>
      </c>
    </row>
    <row r="1358" spans="2:7" x14ac:dyDescent="0.3">
      <c r="B1358" s="102">
        <v>44202.645833333336</v>
      </c>
      <c r="C1358" s="108">
        <v>1572.6</v>
      </c>
      <c r="D1358" s="261">
        <f t="shared" si="24"/>
        <v>1.0503198701421836E-3</v>
      </c>
      <c r="E1358" s="261">
        <v>-6.172989821263343E-2</v>
      </c>
      <c r="F1358">
        <v>1356</v>
      </c>
      <c r="G1358" s="259">
        <f ca="1">_xlfn.NORM.INV(RAND(),'VAR Historical Approach'!K$4,'VAR Historical Approach'!K$5)</f>
        <v>5.1855103612748216E-3</v>
      </c>
    </row>
    <row r="1359" spans="2:7" x14ac:dyDescent="0.3">
      <c r="B1359" s="102">
        <v>44201.645833333336</v>
      </c>
      <c r="C1359" s="108">
        <v>1570.95</v>
      </c>
      <c r="D1359" s="261">
        <f t="shared" si="24"/>
        <v>1.2927977303501162E-2</v>
      </c>
      <c r="E1359" s="261">
        <v>-6.7287646928365405E-2</v>
      </c>
      <c r="F1359">
        <v>1357</v>
      </c>
      <c r="G1359" s="259">
        <f ca="1">_xlfn.NORM.INV(RAND(),'VAR Historical Approach'!K$4,'VAR Historical Approach'!K$5)</f>
        <v>2.7201790241975495E-2</v>
      </c>
    </row>
    <row r="1360" spans="2:7" x14ac:dyDescent="0.3">
      <c r="B1360" s="102">
        <v>44200.645833333336</v>
      </c>
      <c r="C1360" s="108">
        <v>1550.9</v>
      </c>
      <c r="D1360" s="261">
        <f t="shared" si="24"/>
        <v>-4.9403310663414723E-3</v>
      </c>
      <c r="E1360" s="261">
        <v>-7.1804521916296438E-2</v>
      </c>
      <c r="F1360">
        <v>1358</v>
      </c>
      <c r="G1360" s="259">
        <f ca="1">_xlfn.NORM.INV(RAND(),'VAR Historical Approach'!K$4,'VAR Historical Approach'!K$5)</f>
        <v>-8.2769052491210443E-3</v>
      </c>
    </row>
    <row r="1361" spans="2:7" x14ac:dyDescent="0.3">
      <c r="B1361" s="105">
        <v>44197.645833333336</v>
      </c>
      <c r="C1361" s="109">
        <v>1558.6</v>
      </c>
      <c r="D1361" s="262" t="e">
        <f>(C1361-C1372)/C1372</f>
        <v>#DIV/0!</v>
      </c>
      <c r="E1361" s="262"/>
      <c r="F1361" s="106"/>
      <c r="G1361" s="131"/>
    </row>
  </sheetData>
  <mergeCells count="1">
    <mergeCell ref="I2:M2"/>
  </mergeCells>
  <pageMargins left="0.7" right="0.7" top="0.75" bottom="0.75" header="0.3" footer="0.3"/>
  <pageSetup scale="54" orientation="portrait" r:id="rId1"/>
  <rowBreaks count="1" manualBreakCount="1">
    <brk id="85" max="1638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9751F-6615-4C70-B8EE-9EE84C9490E9}">
  <sheetPr>
    <tabColor rgb="FF33CCCC"/>
  </sheetPr>
  <dimension ref="B2:J110"/>
  <sheetViews>
    <sheetView showGridLines="0" zoomScale="66" zoomScaleNormal="66" workbookViewId="0">
      <selection activeCell="C3" sqref="C3"/>
    </sheetView>
  </sheetViews>
  <sheetFormatPr defaultRowHeight="14.4" x14ac:dyDescent="0.3"/>
  <cols>
    <col min="1" max="1" width="1.88671875" customWidth="1"/>
    <col min="2" max="2" width="25.33203125" customWidth="1"/>
    <col min="3" max="10" width="10.33203125" customWidth="1"/>
    <col min="13" max="13" width="5" customWidth="1"/>
  </cols>
  <sheetData>
    <row r="2" spans="2:10" x14ac:dyDescent="0.3">
      <c r="B2" s="291"/>
      <c r="C2" s="291"/>
      <c r="D2" s="291"/>
      <c r="E2" s="291"/>
      <c r="F2" s="291"/>
      <c r="G2" s="291"/>
      <c r="H2" s="291"/>
      <c r="I2" s="291"/>
      <c r="J2" s="291"/>
    </row>
    <row r="3" spans="2:10" ht="25.8" x14ac:dyDescent="0.5">
      <c r="B3" s="292" t="str">
        <f>'Data Sheet'!B1</f>
        <v>TITAN COMPANY LTD</v>
      </c>
    </row>
    <row r="4" spans="2:10" x14ac:dyDescent="0.3">
      <c r="B4" t="s">
        <v>447</v>
      </c>
    </row>
    <row r="5" spans="2:10" ht="21" x14ac:dyDescent="0.4">
      <c r="B5" s="293" t="str">
        <f>CONCATENATE("INR "&amp;'Data Sheet'!B9)</f>
        <v>INR 406996.69</v>
      </c>
    </row>
    <row r="6" spans="2:10" x14ac:dyDescent="0.3">
      <c r="B6" t="s">
        <v>448</v>
      </c>
    </row>
    <row r="7" spans="2:10" ht="6.6" customHeight="1" thickBot="1" x14ac:dyDescent="0.35">
      <c r="B7" s="62"/>
      <c r="C7" s="62"/>
      <c r="D7" s="62"/>
      <c r="E7" s="62"/>
      <c r="F7" s="62"/>
      <c r="G7" s="62"/>
      <c r="H7" s="62"/>
      <c r="I7" s="62"/>
      <c r="J7" s="62"/>
    </row>
    <row r="8" spans="2:10" ht="17.399999999999999" x14ac:dyDescent="0.35">
      <c r="B8" s="294" t="s">
        <v>433</v>
      </c>
    </row>
    <row r="9" spans="2:10" s="295" customFormat="1" ht="14.4" customHeight="1" x14ac:dyDescent="0.3">
      <c r="B9" s="385" t="s">
        <v>449</v>
      </c>
      <c r="C9" s="385"/>
      <c r="D9" s="385"/>
      <c r="E9" s="385"/>
      <c r="F9" s="385"/>
      <c r="G9" s="385"/>
      <c r="H9" s="385"/>
      <c r="I9" s="385"/>
      <c r="J9" s="385"/>
    </row>
    <row r="10" spans="2:10" s="295" customFormat="1" x14ac:dyDescent="0.3">
      <c r="B10" s="385"/>
      <c r="C10" s="385"/>
      <c r="D10" s="385"/>
      <c r="E10" s="385"/>
      <c r="F10" s="385"/>
      <c r="G10" s="385"/>
      <c r="H10" s="385"/>
      <c r="I10" s="385"/>
      <c r="J10" s="385"/>
    </row>
    <row r="11" spans="2:10" s="295" customFormat="1" x14ac:dyDescent="0.3">
      <c r="B11" s="385"/>
      <c r="C11" s="385"/>
      <c r="D11" s="385"/>
      <c r="E11" s="385"/>
      <c r="F11" s="385"/>
      <c r="G11" s="385"/>
      <c r="H11" s="385"/>
      <c r="I11" s="385"/>
      <c r="J11" s="385"/>
    </row>
    <row r="12" spans="2:10" s="295" customFormat="1" ht="14.4" customHeight="1" x14ac:dyDescent="0.3">
      <c r="B12" s="385"/>
      <c r="C12" s="385"/>
      <c r="D12" s="385"/>
      <c r="E12" s="385"/>
      <c r="F12" s="385"/>
      <c r="G12" s="385"/>
      <c r="H12" s="385"/>
      <c r="I12" s="385"/>
      <c r="J12" s="385"/>
    </row>
    <row r="13" spans="2:10" ht="17.399999999999999" x14ac:dyDescent="0.35">
      <c r="B13" s="294" t="s">
        <v>434</v>
      </c>
    </row>
    <row r="37" spans="2:10" ht="17.399999999999999" x14ac:dyDescent="0.35">
      <c r="B37" s="289"/>
    </row>
    <row r="45" spans="2:10" ht="13.2" customHeight="1" x14ac:dyDescent="0.3"/>
    <row r="48" spans="2:10" ht="10.199999999999999" customHeight="1" x14ac:dyDescent="0.3">
      <c r="B48" s="72"/>
      <c r="C48" s="72"/>
      <c r="D48" s="72"/>
      <c r="E48" s="72"/>
      <c r="F48" s="72"/>
      <c r="G48" s="72"/>
      <c r="H48" s="72"/>
      <c r="I48" s="72"/>
      <c r="J48" s="72"/>
    </row>
    <row r="50" spans="2:10" ht="10.199999999999999" customHeight="1" x14ac:dyDescent="0.3">
      <c r="B50" s="72"/>
      <c r="C50" s="72"/>
      <c r="D50" s="72"/>
      <c r="E50" s="72"/>
      <c r="F50" s="72"/>
      <c r="G50" s="72"/>
      <c r="H50" s="72"/>
      <c r="I50" s="72"/>
      <c r="J50" s="72"/>
    </row>
    <row r="51" spans="2:10" ht="21" x14ac:dyDescent="0.3">
      <c r="B51" s="296" t="s">
        <v>435</v>
      </c>
    </row>
    <row r="52" spans="2:10" ht="7.2" customHeight="1" x14ac:dyDescent="0.3"/>
    <row r="53" spans="2:10" x14ac:dyDescent="0.3">
      <c r="B53" s="374" t="s">
        <v>436</v>
      </c>
      <c r="C53" s="374"/>
      <c r="D53" s="374"/>
      <c r="E53" s="374"/>
      <c r="F53" s="374"/>
      <c r="G53" s="374"/>
      <c r="H53" s="374"/>
      <c r="I53" s="374"/>
      <c r="J53" s="374"/>
    </row>
    <row r="54" spans="2:10" x14ac:dyDescent="0.3">
      <c r="C54" s="290"/>
      <c r="D54" s="290">
        <f>HistoricalFS!F5</f>
        <v>43921</v>
      </c>
      <c r="E54" s="290">
        <f>HistoricalFS!G5</f>
        <v>44286</v>
      </c>
      <c r="F54" s="290">
        <f>HistoricalFS!H5</f>
        <v>44651</v>
      </c>
      <c r="G54" s="290">
        <f>HistoricalFS!I5</f>
        <v>45016</v>
      </c>
      <c r="H54" s="290">
        <f>HistoricalFS!J5</f>
        <v>45382</v>
      </c>
      <c r="I54" s="290">
        <f>HistoricalFS!K5</f>
        <v>45747</v>
      </c>
      <c r="J54" s="290">
        <f>HistoricalFS!L5</f>
        <v>46112</v>
      </c>
    </row>
    <row r="55" spans="2:10" x14ac:dyDescent="0.3">
      <c r="B55" t="s">
        <v>24</v>
      </c>
      <c r="C55" s="80"/>
      <c r="D55" s="80">
        <f>HistoricalFS!F42</f>
        <v>1493</v>
      </c>
      <c r="E55" s="80">
        <f>HistoricalFS!G42</f>
        <v>974</v>
      </c>
      <c r="F55" s="80">
        <f>HistoricalFS!H42</f>
        <v>2198</v>
      </c>
      <c r="G55" s="80">
        <f>HistoricalFS!I42</f>
        <v>3274</v>
      </c>
      <c r="H55" s="80">
        <f>HistoricalFS!J42</f>
        <v>3496</v>
      </c>
      <c r="I55" s="80">
        <f>HistoricalFS!K42</f>
        <v>3337</v>
      </c>
      <c r="J55" s="80">
        <f>HistoricalFS!L42</f>
        <v>5073</v>
      </c>
    </row>
    <row r="56" spans="2:10" x14ac:dyDescent="0.3">
      <c r="B56" t="s">
        <v>437</v>
      </c>
      <c r="C56" s="80"/>
      <c r="D56" s="80">
        <f>(('Data Sheet'!E57+'Data Sheet'!E58)+('Data Sheet'!D57+'Data Sheet'!D58))/2</f>
        <v>6369.5749999999998</v>
      </c>
      <c r="E56" s="80">
        <f>(('Data Sheet'!F57+'Data Sheet'!F58)+('Data Sheet'!E57+'Data Sheet'!E58))/2</f>
        <v>7083</v>
      </c>
      <c r="F56" s="80">
        <f>(('Data Sheet'!G57+'Data Sheet'!G58)+('Data Sheet'!F57+'Data Sheet'!F58))/2</f>
        <v>8400</v>
      </c>
      <c r="G56" s="80">
        <f>(('Data Sheet'!H57+'Data Sheet'!H58)+('Data Sheet'!G57+'Data Sheet'!G58))/2</f>
        <v>10577</v>
      </c>
      <c r="H56" s="80">
        <f>(('Data Sheet'!I57+'Data Sheet'!I58)+('Data Sheet'!H57+'Data Sheet'!H58))/2</f>
        <v>10622</v>
      </c>
      <c r="I56" s="80">
        <f>(('Data Sheet'!J57+'Data Sheet'!J58)+('Data Sheet'!I57+'Data Sheet'!I58))/2</f>
        <v>10508.5</v>
      </c>
      <c r="J56">
        <f>(('Data Sheet'!K57+'Data Sheet'!K58)+('Data Sheet'!J57+'Data Sheet'!J58))/2</f>
        <v>13663.5</v>
      </c>
    </row>
    <row r="57" spans="2:10" x14ac:dyDescent="0.3">
      <c r="B57" s="241" t="s">
        <v>436</v>
      </c>
      <c r="C57" s="297"/>
      <c r="D57" s="297">
        <f>D55/D56</f>
        <v>0.23439554444370309</v>
      </c>
      <c r="E57" s="297">
        <f t="shared" ref="E57:I57" si="0">E55/E56</f>
        <v>0.1375123535225187</v>
      </c>
      <c r="F57" s="297">
        <f t="shared" si="0"/>
        <v>0.26166666666666666</v>
      </c>
      <c r="G57" s="297">
        <f t="shared" si="0"/>
        <v>0.30953956698496737</v>
      </c>
      <c r="H57" s="297">
        <f t="shared" si="0"/>
        <v>0.32912822443984185</v>
      </c>
      <c r="I57" s="297">
        <f t="shared" si="0"/>
        <v>0.31755245753437694</v>
      </c>
      <c r="J57" s="297">
        <f>J55/J56</f>
        <v>0.37128115051048416</v>
      </c>
    </row>
    <row r="59" spans="2:10" x14ac:dyDescent="0.3">
      <c r="B59" s="374" t="s">
        <v>438</v>
      </c>
      <c r="C59" s="374"/>
      <c r="D59" s="374"/>
      <c r="E59" s="374"/>
      <c r="F59" s="374"/>
      <c r="G59" s="374"/>
      <c r="H59" s="374"/>
      <c r="I59" s="374"/>
      <c r="J59" s="374"/>
    </row>
    <row r="60" spans="2:10" x14ac:dyDescent="0.3">
      <c r="C60" s="290"/>
      <c r="D60" s="290">
        <f>D54</f>
        <v>43921</v>
      </c>
      <c r="E60" s="290">
        <f t="shared" ref="E60:J60" si="1">E54</f>
        <v>44286</v>
      </c>
      <c r="F60" s="290">
        <f t="shared" si="1"/>
        <v>44651</v>
      </c>
      <c r="G60" s="290">
        <f t="shared" si="1"/>
        <v>45016</v>
      </c>
      <c r="H60" s="290">
        <f t="shared" si="1"/>
        <v>45382</v>
      </c>
      <c r="I60" s="290">
        <f t="shared" si="1"/>
        <v>45747</v>
      </c>
      <c r="J60" s="290">
        <f t="shared" si="1"/>
        <v>46112</v>
      </c>
    </row>
    <row r="61" spans="2:10" x14ac:dyDescent="0.3">
      <c r="B61" t="s">
        <v>24</v>
      </c>
      <c r="C61" s="80"/>
      <c r="D61" s="80">
        <f>D55</f>
        <v>1493</v>
      </c>
      <c r="E61" s="80">
        <f t="shared" ref="E61:J61" si="2">E55</f>
        <v>974</v>
      </c>
      <c r="F61" s="80">
        <f t="shared" si="2"/>
        <v>2198</v>
      </c>
      <c r="G61" s="80">
        <f t="shared" si="2"/>
        <v>3274</v>
      </c>
      <c r="H61" s="80">
        <f t="shared" si="2"/>
        <v>3496</v>
      </c>
      <c r="I61" s="80">
        <f t="shared" si="2"/>
        <v>3337</v>
      </c>
      <c r="J61" s="80">
        <f t="shared" si="2"/>
        <v>5073</v>
      </c>
    </row>
    <row r="62" spans="2:10" x14ac:dyDescent="0.3">
      <c r="B62" t="s">
        <v>386</v>
      </c>
      <c r="C62" s="80"/>
      <c r="D62" s="80">
        <f>HistoricalFS!F9</f>
        <v>21052</v>
      </c>
      <c r="E62" s="80">
        <f>HistoricalFS!G9</f>
        <v>21644</v>
      </c>
      <c r="F62" s="80">
        <f>HistoricalFS!H9</f>
        <v>28799</v>
      </c>
      <c r="G62" s="80">
        <f>HistoricalFS!I9</f>
        <v>40575</v>
      </c>
      <c r="H62" s="80">
        <f>HistoricalFS!J9</f>
        <v>51084</v>
      </c>
      <c r="I62" s="80">
        <f>HistoricalFS!K9</f>
        <v>60456</v>
      </c>
      <c r="J62" s="80">
        <f>HistoricalFS!L9</f>
        <v>87584</v>
      </c>
    </row>
    <row r="63" spans="2:10" x14ac:dyDescent="0.3">
      <c r="B63" s="241" t="s">
        <v>439</v>
      </c>
      <c r="C63" s="297"/>
      <c r="D63" s="297">
        <f>D61/D62</f>
        <v>7.0919627588827666E-2</v>
      </c>
      <c r="E63" s="297">
        <f t="shared" ref="E63:J63" si="3">E61/E62</f>
        <v>4.5000924043614859E-2</v>
      </c>
      <c r="F63" s="297">
        <f t="shared" si="3"/>
        <v>7.632209451717073E-2</v>
      </c>
      <c r="G63" s="297">
        <f t="shared" si="3"/>
        <v>8.0690080098582875E-2</v>
      </c>
      <c r="H63" s="297">
        <f t="shared" si="3"/>
        <v>6.8436300994440535E-2</v>
      </c>
      <c r="I63" s="297">
        <f t="shared" si="3"/>
        <v>5.5197168188434564E-2</v>
      </c>
      <c r="J63" s="297">
        <f t="shared" si="3"/>
        <v>5.792153818048959E-2</v>
      </c>
    </row>
    <row r="65" spans="2:10" x14ac:dyDescent="0.3">
      <c r="B65" t="s">
        <v>386</v>
      </c>
      <c r="C65" s="80"/>
      <c r="D65" s="80">
        <f>D62</f>
        <v>21052</v>
      </c>
      <c r="E65" s="80">
        <f t="shared" ref="E65:J65" si="4">E62</f>
        <v>21644</v>
      </c>
      <c r="F65" s="80">
        <f t="shared" si="4"/>
        <v>28799</v>
      </c>
      <c r="G65" s="80">
        <f t="shared" si="4"/>
        <v>40575</v>
      </c>
      <c r="H65" s="80">
        <f t="shared" si="4"/>
        <v>51084</v>
      </c>
      <c r="I65" s="80">
        <f t="shared" si="4"/>
        <v>60456</v>
      </c>
      <c r="J65" s="80">
        <f t="shared" si="4"/>
        <v>87584</v>
      </c>
    </row>
    <row r="66" spans="2:10" x14ac:dyDescent="0.3">
      <c r="B66" t="s">
        <v>440</v>
      </c>
      <c r="C66" s="80"/>
      <c r="D66" s="80">
        <f>('Data Sheet'!D66+'Data Sheet'!E66)/2</f>
        <v>12626.92</v>
      </c>
      <c r="E66" s="80">
        <f>('Data Sheet'!E66+'Data Sheet'!F66)/2</f>
        <v>14994</v>
      </c>
      <c r="F66" s="80">
        <f>('Data Sheet'!F66+'Data Sheet'!G66)/2</f>
        <v>18816</v>
      </c>
      <c r="G66" s="80">
        <f>('Data Sheet'!G66+'Data Sheet'!H66)/2</f>
        <v>24104</v>
      </c>
      <c r="H66" s="80">
        <f>('Data Sheet'!H66+'Data Sheet'!I66)/2</f>
        <v>29283.5</v>
      </c>
      <c r="I66" s="80">
        <f>('Data Sheet'!I66+'Data Sheet'!J66)/2</f>
        <v>36096</v>
      </c>
      <c r="J66">
        <f>('Data Sheet'!J66+'Data Sheet'!K66)/2</f>
        <v>50603</v>
      </c>
    </row>
    <row r="67" spans="2:10" x14ac:dyDescent="0.3">
      <c r="B67" s="241" t="s">
        <v>441</v>
      </c>
      <c r="C67" s="298"/>
      <c r="D67" s="298">
        <f>D65/D66</f>
        <v>1.6672315972541205</v>
      </c>
      <c r="E67" s="298">
        <f t="shared" ref="E67:J67" si="5">E65/E66</f>
        <v>1.4435107376283847</v>
      </c>
      <c r="F67" s="298">
        <f t="shared" si="5"/>
        <v>1.5305590986394557</v>
      </c>
      <c r="G67" s="298">
        <f t="shared" si="5"/>
        <v>1.6833305675406571</v>
      </c>
      <c r="H67" s="298">
        <f t="shared" si="5"/>
        <v>1.7444636057848277</v>
      </c>
      <c r="I67" s="298">
        <f t="shared" si="5"/>
        <v>1.6748670212765957</v>
      </c>
      <c r="J67" s="298">
        <f t="shared" si="5"/>
        <v>1.7308064739244708</v>
      </c>
    </row>
    <row r="68" spans="2:10" x14ac:dyDescent="0.3">
      <c r="B68" t="s">
        <v>440</v>
      </c>
      <c r="C68" s="80"/>
      <c r="D68" s="80">
        <f>D66</f>
        <v>12626.92</v>
      </c>
      <c r="E68" s="80">
        <f t="shared" ref="E68:J68" si="6">E66</f>
        <v>14994</v>
      </c>
      <c r="F68" s="80">
        <f t="shared" si="6"/>
        <v>18816</v>
      </c>
      <c r="G68" s="80">
        <f t="shared" si="6"/>
        <v>24104</v>
      </c>
      <c r="H68" s="80">
        <f t="shared" si="6"/>
        <v>29283.5</v>
      </c>
      <c r="I68" s="80">
        <f t="shared" si="6"/>
        <v>36096</v>
      </c>
      <c r="J68" s="80">
        <f t="shared" si="6"/>
        <v>50603</v>
      </c>
    </row>
    <row r="69" spans="2:10" x14ac:dyDescent="0.3">
      <c r="B69" t="s">
        <v>437</v>
      </c>
      <c r="C69" s="80"/>
      <c r="D69" s="80">
        <f>D56</f>
        <v>6369.5749999999998</v>
      </c>
      <c r="E69" s="80">
        <f t="shared" ref="E69:J69" si="7">E56</f>
        <v>7083</v>
      </c>
      <c r="F69" s="80">
        <f t="shared" si="7"/>
        <v>8400</v>
      </c>
      <c r="G69" s="80">
        <f t="shared" si="7"/>
        <v>10577</v>
      </c>
      <c r="H69" s="80">
        <f t="shared" si="7"/>
        <v>10622</v>
      </c>
      <c r="I69" s="80">
        <f t="shared" si="7"/>
        <v>10508.5</v>
      </c>
      <c r="J69" s="80">
        <f t="shared" si="7"/>
        <v>13663.5</v>
      </c>
    </row>
    <row r="70" spans="2:10" x14ac:dyDescent="0.3">
      <c r="B70" s="241" t="s">
        <v>442</v>
      </c>
      <c r="C70" s="298"/>
      <c r="D70" s="298">
        <f>D68/D69</f>
        <v>1.9823803000985152</v>
      </c>
      <c r="E70" s="298">
        <f t="shared" ref="E70:J70" si="8">E68/E69</f>
        <v>2.1168996188055909</v>
      </c>
      <c r="F70" s="298">
        <f t="shared" si="8"/>
        <v>2.2400000000000002</v>
      </c>
      <c r="G70" s="298">
        <f t="shared" si="8"/>
        <v>2.278907062494091</v>
      </c>
      <c r="H70" s="298">
        <f t="shared" si="8"/>
        <v>2.7568725287139899</v>
      </c>
      <c r="I70" s="298">
        <f t="shared" si="8"/>
        <v>3.4349336251605842</v>
      </c>
      <c r="J70" s="298">
        <f t="shared" si="8"/>
        <v>3.7035166684963587</v>
      </c>
    </row>
    <row r="72" spans="2:10" x14ac:dyDescent="0.3">
      <c r="B72" s="241" t="s">
        <v>443</v>
      </c>
      <c r="C72" s="297"/>
      <c r="D72" s="297">
        <f>D70*D67*D63</f>
        <v>0.23439554444370306</v>
      </c>
      <c r="E72" s="297">
        <f t="shared" ref="E72:J72" si="9">E70*E67*E63</f>
        <v>0.13751235352251873</v>
      </c>
      <c r="F72" s="297">
        <f t="shared" si="9"/>
        <v>0.26166666666666666</v>
      </c>
      <c r="G72" s="297">
        <f t="shared" si="9"/>
        <v>0.30953956698496743</v>
      </c>
      <c r="H72" s="297">
        <f t="shared" si="9"/>
        <v>0.32912822443984191</v>
      </c>
      <c r="I72" s="297">
        <f t="shared" si="9"/>
        <v>0.31755245753437689</v>
      </c>
      <c r="J72" s="297">
        <f t="shared" si="9"/>
        <v>0.37128115051048416</v>
      </c>
    </row>
    <row r="74" spans="2:10" x14ac:dyDescent="0.3">
      <c r="B74" s="374" t="s">
        <v>444</v>
      </c>
      <c r="C74" s="374"/>
      <c r="D74" s="374"/>
      <c r="E74" s="374"/>
      <c r="F74" s="374"/>
      <c r="G74" s="374"/>
      <c r="H74" s="374"/>
      <c r="I74" s="374"/>
      <c r="J74" s="374"/>
    </row>
    <row r="75" spans="2:10" x14ac:dyDescent="0.3">
      <c r="C75" s="290"/>
      <c r="D75" s="290">
        <f>D60</f>
        <v>43921</v>
      </c>
      <c r="E75" s="290">
        <f t="shared" ref="E75:J75" si="10">E60</f>
        <v>44286</v>
      </c>
      <c r="F75" s="290">
        <f t="shared" si="10"/>
        <v>44651</v>
      </c>
      <c r="G75" s="290">
        <f t="shared" si="10"/>
        <v>45016</v>
      </c>
      <c r="H75" s="290">
        <f t="shared" si="10"/>
        <v>45382</v>
      </c>
      <c r="I75" s="290">
        <f t="shared" si="10"/>
        <v>45747</v>
      </c>
      <c r="J75" s="290">
        <f t="shared" si="10"/>
        <v>46112</v>
      </c>
    </row>
    <row r="76" spans="2:10" x14ac:dyDescent="0.3">
      <c r="B76" t="s">
        <v>24</v>
      </c>
      <c r="C76" s="80"/>
      <c r="D76" s="80">
        <f>D61</f>
        <v>1493</v>
      </c>
      <c r="E76" s="80">
        <f t="shared" ref="E76:J76" si="11">E61</f>
        <v>974</v>
      </c>
      <c r="F76" s="80">
        <f t="shared" si="11"/>
        <v>2198</v>
      </c>
      <c r="G76" s="80">
        <f t="shared" si="11"/>
        <v>3274</v>
      </c>
      <c r="H76" s="80">
        <f t="shared" si="11"/>
        <v>3496</v>
      </c>
      <c r="I76" s="80">
        <f t="shared" si="11"/>
        <v>3337</v>
      </c>
      <c r="J76" s="80">
        <f t="shared" si="11"/>
        <v>5073</v>
      </c>
    </row>
    <row r="77" spans="2:10" x14ac:dyDescent="0.3">
      <c r="B77" t="s">
        <v>440</v>
      </c>
      <c r="C77" s="80"/>
      <c r="D77" s="80">
        <f>D66</f>
        <v>12626.92</v>
      </c>
      <c r="E77" s="80">
        <f t="shared" ref="E77:J77" si="12">E66</f>
        <v>14994</v>
      </c>
      <c r="F77" s="80">
        <f t="shared" si="12"/>
        <v>18816</v>
      </c>
      <c r="G77" s="80">
        <f t="shared" si="12"/>
        <v>24104</v>
      </c>
      <c r="H77" s="80">
        <f t="shared" si="12"/>
        <v>29283.5</v>
      </c>
      <c r="I77" s="80">
        <f t="shared" si="12"/>
        <v>36096</v>
      </c>
      <c r="J77" s="80">
        <f t="shared" si="12"/>
        <v>50603</v>
      </c>
    </row>
    <row r="78" spans="2:10" x14ac:dyDescent="0.3">
      <c r="B78" s="241" t="s">
        <v>444</v>
      </c>
      <c r="C78" s="297"/>
      <c r="D78" s="297">
        <f>D76/D77</f>
        <v>0.11823944398158855</v>
      </c>
      <c r="E78" s="297">
        <f t="shared" ref="E78:J78" si="13">E76/E77</f>
        <v>6.4959317060157395E-2</v>
      </c>
      <c r="F78" s="297">
        <f t="shared" si="13"/>
        <v>0.11681547619047619</v>
      </c>
      <c r="G78" s="297">
        <f t="shared" si="13"/>
        <v>0.13582807832724858</v>
      </c>
      <c r="H78" s="297">
        <f t="shared" si="13"/>
        <v>0.11938463639933751</v>
      </c>
      <c r="I78" s="297">
        <f t="shared" si="13"/>
        <v>9.2447916666666671E-2</v>
      </c>
      <c r="J78" s="297">
        <f t="shared" si="13"/>
        <v>0.1002509732624548</v>
      </c>
    </row>
    <row r="80" spans="2:10" x14ac:dyDescent="0.3">
      <c r="B80" s="374" t="s">
        <v>445</v>
      </c>
      <c r="C80" s="374"/>
      <c r="D80" s="374"/>
      <c r="E80" s="374"/>
      <c r="F80" s="374"/>
      <c r="G80" s="374"/>
      <c r="H80" s="374"/>
      <c r="I80" s="374"/>
      <c r="J80" s="374"/>
    </row>
    <row r="81" spans="2:10" x14ac:dyDescent="0.3">
      <c r="C81" s="290"/>
      <c r="D81" s="290">
        <f>D75</f>
        <v>43921</v>
      </c>
      <c r="E81" s="290">
        <f t="shared" ref="E81:J81" si="14">E75</f>
        <v>44286</v>
      </c>
      <c r="F81" s="290">
        <f t="shared" si="14"/>
        <v>44651</v>
      </c>
      <c r="G81" s="290">
        <f t="shared" si="14"/>
        <v>45016</v>
      </c>
      <c r="H81" s="290">
        <f t="shared" si="14"/>
        <v>45382</v>
      </c>
      <c r="I81" s="290">
        <f t="shared" si="14"/>
        <v>45747</v>
      </c>
      <c r="J81" s="290">
        <f t="shared" si="14"/>
        <v>46112</v>
      </c>
    </row>
    <row r="82" spans="2:10" x14ac:dyDescent="0.3">
      <c r="B82" t="s">
        <v>24</v>
      </c>
      <c r="C82" s="80"/>
      <c r="D82" s="80">
        <f>D76</f>
        <v>1493</v>
      </c>
      <c r="E82" s="80">
        <f t="shared" ref="E82:J82" si="15">E76</f>
        <v>974</v>
      </c>
      <c r="F82" s="80">
        <f t="shared" si="15"/>
        <v>2198</v>
      </c>
      <c r="G82" s="80">
        <f t="shared" si="15"/>
        <v>3274</v>
      </c>
      <c r="H82" s="80">
        <f t="shared" si="15"/>
        <v>3496</v>
      </c>
      <c r="I82" s="80">
        <f t="shared" si="15"/>
        <v>3337</v>
      </c>
      <c r="J82" s="80">
        <f t="shared" si="15"/>
        <v>5073</v>
      </c>
    </row>
    <row r="83" spans="2:10" x14ac:dyDescent="0.3">
      <c r="B83" t="s">
        <v>386</v>
      </c>
      <c r="C83" s="80"/>
      <c r="D83" s="80">
        <f>D65</f>
        <v>21052</v>
      </c>
      <c r="E83" s="80">
        <f t="shared" ref="E83:J83" si="16">E65</f>
        <v>21644</v>
      </c>
      <c r="F83" s="80">
        <f t="shared" si="16"/>
        <v>28799</v>
      </c>
      <c r="G83" s="80">
        <f t="shared" si="16"/>
        <v>40575</v>
      </c>
      <c r="H83" s="80">
        <f t="shared" si="16"/>
        <v>51084</v>
      </c>
      <c r="I83" s="80">
        <f t="shared" si="16"/>
        <v>60456</v>
      </c>
      <c r="J83" s="80">
        <f t="shared" si="16"/>
        <v>87584</v>
      </c>
    </row>
    <row r="84" spans="2:10" x14ac:dyDescent="0.3">
      <c r="B84" s="241" t="s">
        <v>439</v>
      </c>
      <c r="C84" s="297"/>
      <c r="D84" s="297">
        <f t="shared" ref="D84:J84" si="17">D82/D83</f>
        <v>7.0919627588827666E-2</v>
      </c>
      <c r="E84" s="297">
        <f t="shared" si="17"/>
        <v>4.5000924043614859E-2</v>
      </c>
      <c r="F84" s="297">
        <f t="shared" si="17"/>
        <v>7.632209451717073E-2</v>
      </c>
      <c r="G84" s="297">
        <f t="shared" si="17"/>
        <v>8.0690080098582875E-2</v>
      </c>
      <c r="H84" s="297">
        <f t="shared" si="17"/>
        <v>6.8436300994440535E-2</v>
      </c>
      <c r="I84" s="297">
        <f t="shared" si="17"/>
        <v>5.5197168188434564E-2</v>
      </c>
      <c r="J84" s="297">
        <f t="shared" si="17"/>
        <v>5.792153818048959E-2</v>
      </c>
    </row>
    <row r="85" spans="2:10" x14ac:dyDescent="0.3">
      <c r="B85" t="s">
        <v>386</v>
      </c>
      <c r="C85" s="80"/>
      <c r="D85" s="80">
        <f>D83</f>
        <v>21052</v>
      </c>
      <c r="E85" s="80">
        <f t="shared" ref="E85:J85" si="18">E83</f>
        <v>21644</v>
      </c>
      <c r="F85" s="80">
        <f t="shared" si="18"/>
        <v>28799</v>
      </c>
      <c r="G85" s="80">
        <f t="shared" si="18"/>
        <v>40575</v>
      </c>
      <c r="H85" s="80">
        <f t="shared" si="18"/>
        <v>51084</v>
      </c>
      <c r="I85" s="80">
        <f t="shared" si="18"/>
        <v>60456</v>
      </c>
      <c r="J85" s="80">
        <f t="shared" si="18"/>
        <v>87584</v>
      </c>
    </row>
    <row r="86" spans="2:10" x14ac:dyDescent="0.3">
      <c r="B86" t="s">
        <v>440</v>
      </c>
      <c r="C86" s="80"/>
      <c r="D86" s="80">
        <f>D77</f>
        <v>12626.92</v>
      </c>
      <c r="E86" s="80">
        <f t="shared" ref="E86:J86" si="19">E77</f>
        <v>14994</v>
      </c>
      <c r="F86" s="80">
        <f t="shared" si="19"/>
        <v>18816</v>
      </c>
      <c r="G86" s="80">
        <f t="shared" si="19"/>
        <v>24104</v>
      </c>
      <c r="H86" s="80">
        <f t="shared" si="19"/>
        <v>29283.5</v>
      </c>
      <c r="I86" s="80">
        <f t="shared" si="19"/>
        <v>36096</v>
      </c>
      <c r="J86" s="80">
        <f t="shared" si="19"/>
        <v>50603</v>
      </c>
    </row>
    <row r="87" spans="2:10" x14ac:dyDescent="0.3">
      <c r="B87" s="241" t="s">
        <v>441</v>
      </c>
      <c r="C87" s="298"/>
      <c r="D87" s="298">
        <f t="shared" ref="D87:I87" si="20">D85/D86</f>
        <v>1.6672315972541205</v>
      </c>
      <c r="E87" s="298">
        <f t="shared" si="20"/>
        <v>1.4435107376283847</v>
      </c>
      <c r="F87" s="298">
        <f t="shared" si="20"/>
        <v>1.5305590986394557</v>
      </c>
      <c r="G87" s="298">
        <f t="shared" si="20"/>
        <v>1.6833305675406571</v>
      </c>
      <c r="H87" s="298">
        <f t="shared" si="20"/>
        <v>1.7444636057848277</v>
      </c>
      <c r="I87" s="298">
        <f t="shared" si="20"/>
        <v>1.6748670212765957</v>
      </c>
      <c r="J87" s="298">
        <f>J85/J86</f>
        <v>1.7308064739244708</v>
      </c>
    </row>
    <row r="89" spans="2:10" x14ac:dyDescent="0.3">
      <c r="B89" s="241" t="s">
        <v>446</v>
      </c>
      <c r="C89" s="297"/>
      <c r="D89" s="297">
        <f>D87*D84</f>
        <v>0.11823944398158855</v>
      </c>
      <c r="E89" s="297">
        <f t="shared" ref="E89:J89" si="21">E87*E84</f>
        <v>6.4959317060157395E-2</v>
      </c>
      <c r="F89" s="297">
        <f t="shared" si="21"/>
        <v>0.11681547619047618</v>
      </c>
      <c r="G89" s="297">
        <f t="shared" si="21"/>
        <v>0.13582807832724861</v>
      </c>
      <c r="H89" s="297">
        <f t="shared" si="21"/>
        <v>0.11938463639933752</v>
      </c>
      <c r="I89" s="297">
        <f t="shared" si="21"/>
        <v>9.2447916666666671E-2</v>
      </c>
      <c r="J89" s="297">
        <f t="shared" si="21"/>
        <v>0.1002509732624548</v>
      </c>
    </row>
    <row r="101" spans="2:10" ht="10.199999999999999" customHeight="1" x14ac:dyDescent="0.3"/>
    <row r="110" spans="2:10" ht="10.199999999999999" customHeight="1" x14ac:dyDescent="0.3">
      <c r="B110" s="72"/>
      <c r="C110" s="72"/>
      <c r="D110" s="72"/>
      <c r="E110" s="72"/>
      <c r="F110" s="72"/>
      <c r="G110" s="72"/>
      <c r="H110" s="72"/>
      <c r="I110" s="72"/>
      <c r="J110" s="72"/>
    </row>
  </sheetData>
  <mergeCells count="5">
    <mergeCell ref="B59:J59"/>
    <mergeCell ref="B74:J74"/>
    <mergeCell ref="B80:J80"/>
    <mergeCell ref="B9:J12"/>
    <mergeCell ref="B53:J53"/>
  </mergeCells>
  <pageMargins left="0.7" right="0.7" top="0.75" bottom="0.75" header="0.3" footer="0.3"/>
  <pageSetup paperSize="9" scale="79" orientation="portrait" r:id="rId1"/>
  <rowBreaks count="1" manualBreakCount="1">
    <brk id="49"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D4709-B4DA-477F-8143-315754A33785}">
  <sheetPr>
    <tabColor rgb="FF00D6D1"/>
  </sheetPr>
  <dimension ref="B2:I91"/>
  <sheetViews>
    <sheetView showGridLines="0" topLeftCell="A2" zoomScale="66" zoomScaleNormal="66" workbookViewId="0">
      <selection activeCell="K16" sqref="K16"/>
    </sheetView>
  </sheetViews>
  <sheetFormatPr defaultRowHeight="14.4" x14ac:dyDescent="0.3"/>
  <cols>
    <col min="1" max="1" width="1.88671875" customWidth="1"/>
    <col min="2" max="2" width="30.21875" customWidth="1"/>
    <col min="3" max="9" width="13.109375" customWidth="1"/>
    <col min="13" max="13" width="5" customWidth="1"/>
  </cols>
  <sheetData>
    <row r="2" spans="2:9" ht="10.199999999999999" customHeight="1" x14ac:dyDescent="0.3">
      <c r="B2" s="291"/>
      <c r="C2" s="291"/>
      <c r="D2" s="291"/>
      <c r="E2" s="291"/>
      <c r="F2" s="291"/>
      <c r="G2" s="291"/>
      <c r="H2" s="291"/>
      <c r="I2" s="291"/>
    </row>
    <row r="3" spans="2:9" ht="25.8" x14ac:dyDescent="0.5">
      <c r="B3" s="292" t="str">
        <f>'Data Sheet'!B1</f>
        <v>TITAN COMPANY LTD</v>
      </c>
    </row>
    <row r="4" spans="2:9" x14ac:dyDescent="0.3">
      <c r="B4" t="s">
        <v>447</v>
      </c>
    </row>
    <row r="5" spans="2:9" ht="21" x14ac:dyDescent="0.4">
      <c r="B5" s="293" t="str">
        <f>CONCATENATE("INR "&amp;'Data Sheet'!B9)</f>
        <v>INR 406996.69</v>
      </c>
    </row>
    <row r="6" spans="2:9" x14ac:dyDescent="0.3">
      <c r="B6" t="s">
        <v>448</v>
      </c>
    </row>
    <row r="7" spans="2:9" ht="4.8" customHeight="1" thickBot="1" x14ac:dyDescent="0.35">
      <c r="B7" s="62"/>
      <c r="C7" s="62"/>
      <c r="D7" s="62"/>
      <c r="E7" s="62"/>
      <c r="F7" s="62"/>
      <c r="G7" s="62"/>
      <c r="H7" s="62"/>
      <c r="I7" s="62"/>
    </row>
    <row r="8" spans="2:9" ht="25.8" x14ac:dyDescent="0.5">
      <c r="B8" s="386" t="s">
        <v>450</v>
      </c>
      <c r="C8" s="386"/>
      <c r="D8" s="386"/>
      <c r="E8" s="386"/>
      <c r="F8" s="386"/>
      <c r="G8" s="386"/>
      <c r="H8" s="386"/>
      <c r="I8" s="386"/>
    </row>
    <row r="9" spans="2:9" ht="14.4" customHeight="1" x14ac:dyDescent="0.3">
      <c r="B9" s="385" t="s">
        <v>468</v>
      </c>
      <c r="C9" s="385"/>
      <c r="D9" s="385"/>
      <c r="E9" s="385"/>
      <c r="F9" s="385"/>
      <c r="G9" s="385"/>
      <c r="H9" s="385"/>
      <c r="I9" s="385"/>
    </row>
    <row r="10" spans="2:9" x14ac:dyDescent="0.3">
      <c r="B10" s="385"/>
      <c r="C10" s="385"/>
      <c r="D10" s="385"/>
      <c r="E10" s="385"/>
      <c r="F10" s="385"/>
      <c r="G10" s="385"/>
      <c r="H10" s="385"/>
      <c r="I10" s="385"/>
    </row>
    <row r="11" spans="2:9" x14ac:dyDescent="0.3">
      <c r="B11" s="385"/>
      <c r="C11" s="385"/>
      <c r="D11" s="385"/>
      <c r="E11" s="385"/>
      <c r="F11" s="385"/>
      <c r="G11" s="385"/>
      <c r="H11" s="385"/>
      <c r="I11" s="385"/>
    </row>
    <row r="12" spans="2:9" x14ac:dyDescent="0.3">
      <c r="B12" s="385"/>
      <c r="C12" s="385"/>
      <c r="D12" s="385"/>
      <c r="E12" s="385"/>
      <c r="F12" s="385"/>
      <c r="G12" s="385"/>
      <c r="H12" s="385"/>
      <c r="I12" s="385"/>
    </row>
    <row r="13" spans="2:9" ht="17.399999999999999" x14ac:dyDescent="0.35">
      <c r="B13" s="294" t="s">
        <v>434</v>
      </c>
    </row>
    <row r="37" spans="2:9" ht="17.399999999999999" x14ac:dyDescent="0.35">
      <c r="B37" s="289"/>
    </row>
    <row r="48" spans="2:9" x14ac:dyDescent="0.3">
      <c r="B48" s="72"/>
      <c r="C48" s="72"/>
      <c r="D48" s="72"/>
      <c r="E48" s="72"/>
      <c r="F48" s="72"/>
      <c r="G48" s="72"/>
      <c r="H48" s="72"/>
      <c r="I48" s="72"/>
    </row>
    <row r="49" spans="2:9" x14ac:dyDescent="0.3">
      <c r="B49" s="72"/>
      <c r="C49" s="72"/>
      <c r="D49" s="72"/>
      <c r="E49" s="72"/>
      <c r="F49" s="72"/>
      <c r="G49" s="72"/>
      <c r="H49" s="72"/>
      <c r="I49" s="72"/>
    </row>
    <row r="51" spans="2:9" ht="29.4" x14ac:dyDescent="0.3">
      <c r="B51" s="299" t="s">
        <v>451</v>
      </c>
    </row>
    <row r="53" spans="2:9" x14ac:dyDescent="0.3">
      <c r="B53" s="374" t="s">
        <v>452</v>
      </c>
      <c r="C53" s="374"/>
      <c r="D53" s="374"/>
      <c r="E53" s="374"/>
      <c r="F53" s="374"/>
      <c r="G53" s="374"/>
      <c r="H53" s="374"/>
      <c r="I53" s="374"/>
    </row>
    <row r="54" spans="2:9" x14ac:dyDescent="0.3">
      <c r="C54" s="290">
        <f>HistoricalFS!F5</f>
        <v>43921</v>
      </c>
      <c r="D54" s="290">
        <f>HistoricalFS!G5</f>
        <v>44286</v>
      </c>
      <c r="E54" s="290">
        <f>HistoricalFS!H5</f>
        <v>44651</v>
      </c>
      <c r="F54" s="290">
        <f>HistoricalFS!I5</f>
        <v>45016</v>
      </c>
      <c r="G54" s="290">
        <f>HistoricalFS!J5</f>
        <v>45382</v>
      </c>
      <c r="H54" s="290">
        <f>HistoricalFS!K5</f>
        <v>45747</v>
      </c>
      <c r="I54" s="290">
        <f>HistoricalFS!L5</f>
        <v>46112</v>
      </c>
    </row>
    <row r="55" spans="2:9" x14ac:dyDescent="0.3">
      <c r="B55" t="s">
        <v>453</v>
      </c>
      <c r="C55" s="80">
        <f>'Data Sheet'!E65-'Data Sheet'!E60</f>
        <v>7422</v>
      </c>
      <c r="D55" s="80">
        <f>'Data Sheet'!F65-'Data Sheet'!F60</f>
        <v>7756</v>
      </c>
      <c r="E55" s="80">
        <f>'Data Sheet'!G65-'Data Sheet'!G60</f>
        <v>13655</v>
      </c>
      <c r="F55" s="80">
        <f>'Data Sheet'!H65-'Data Sheet'!H60</f>
        <v>15561</v>
      </c>
      <c r="G55" s="80">
        <f>'Data Sheet'!I65-'Data Sheet'!I60</f>
        <v>18770</v>
      </c>
      <c r="H55" s="80">
        <f>'Data Sheet'!J65-'Data Sheet'!J60</f>
        <v>26246</v>
      </c>
      <c r="I55" s="80">
        <f>'Data Sheet'!K65-'Data Sheet'!K60</f>
        <v>35777</v>
      </c>
    </row>
    <row r="56" spans="2:9" x14ac:dyDescent="0.3">
      <c r="B56" t="s">
        <v>47</v>
      </c>
      <c r="C56" s="80">
        <f>'Data Sheet'!E66</f>
        <v>13544</v>
      </c>
      <c r="D56" s="80">
        <f>'Data Sheet'!F66</f>
        <v>16444</v>
      </c>
      <c r="E56" s="80">
        <f>'Data Sheet'!G66</f>
        <v>21188</v>
      </c>
      <c r="F56" s="80">
        <f>'Data Sheet'!H66</f>
        <v>27020</v>
      </c>
      <c r="G56" s="80">
        <f>'Data Sheet'!I66</f>
        <v>31547</v>
      </c>
      <c r="H56" s="80">
        <f>'Data Sheet'!J66</f>
        <v>40645</v>
      </c>
      <c r="I56" s="80">
        <f>'Data Sheet'!K66</f>
        <v>60561</v>
      </c>
    </row>
    <row r="57" spans="2:9" x14ac:dyDescent="0.3">
      <c r="B57" s="241" t="s">
        <v>454</v>
      </c>
      <c r="C57" s="297">
        <f>C55/C56</f>
        <v>0.54799173065564089</v>
      </c>
      <c r="D57" s="297">
        <f t="shared" ref="D57:H57" si="0">D55/D56</f>
        <v>0.47166139625395281</v>
      </c>
      <c r="E57" s="297">
        <f t="shared" si="0"/>
        <v>0.64446856711346046</v>
      </c>
      <c r="F57" s="297">
        <f t="shared" si="0"/>
        <v>0.57590673575129536</v>
      </c>
      <c r="G57" s="297">
        <f t="shared" si="0"/>
        <v>0.59498526008812247</v>
      </c>
      <c r="H57" s="297">
        <f t="shared" si="0"/>
        <v>0.64573748308525036</v>
      </c>
      <c r="I57" s="297">
        <f>I55/I56</f>
        <v>0.59075972985915026</v>
      </c>
    </row>
    <row r="59" spans="2:9" x14ac:dyDescent="0.3">
      <c r="B59" s="374" t="s">
        <v>455</v>
      </c>
      <c r="C59" s="374"/>
      <c r="D59" s="374"/>
      <c r="E59" s="374"/>
      <c r="F59" s="374"/>
      <c r="G59" s="374"/>
      <c r="H59" s="374"/>
      <c r="I59" s="374"/>
    </row>
    <row r="60" spans="2:9" x14ac:dyDescent="0.3">
      <c r="C60" s="290">
        <f>C54</f>
        <v>43921</v>
      </c>
      <c r="D60" s="290">
        <f t="shared" ref="D60:I60" si="1">D54</f>
        <v>44286</v>
      </c>
      <c r="E60" s="290">
        <f t="shared" si="1"/>
        <v>44651</v>
      </c>
      <c r="F60" s="290">
        <f t="shared" si="1"/>
        <v>45016</v>
      </c>
      <c r="G60" s="290">
        <f t="shared" si="1"/>
        <v>45382</v>
      </c>
      <c r="H60" s="290">
        <f t="shared" si="1"/>
        <v>45747</v>
      </c>
      <c r="I60" s="290">
        <f t="shared" si="1"/>
        <v>46112</v>
      </c>
    </row>
    <row r="61" spans="2:9" x14ac:dyDescent="0.3">
      <c r="B61" t="s">
        <v>31</v>
      </c>
      <c r="C61" s="301">
        <f>HistoricalFS!F9*HistoricalFS!F53</f>
        <v>16032.233087742801</v>
      </c>
      <c r="D61" s="301">
        <f>HistoricalFS!G9*HistoricalFS!G53</f>
        <v>13733.051334702259</v>
      </c>
      <c r="E61" s="301">
        <f>HistoricalFS!H9*HistoricalFS!H53</f>
        <v>20053.17083712466</v>
      </c>
      <c r="F61" s="301">
        <f>HistoricalFS!I9*HistoricalFS!I53</f>
        <v>29545.143555284052</v>
      </c>
      <c r="G61" s="301">
        <f>HistoricalFS!J9*HistoricalFS!J53</f>
        <v>36778.726544622426</v>
      </c>
      <c r="H61" s="301">
        <f>HistoricalFS!K9*HistoricalFS!K53</f>
        <v>42719.582858855261</v>
      </c>
      <c r="I61" s="301">
        <f>HistoricalFS!L9*HistoricalFS!L53</f>
        <v>64535.578947368427</v>
      </c>
    </row>
    <row r="62" spans="2:9" x14ac:dyDescent="0.3">
      <c r="B62" t="s">
        <v>47</v>
      </c>
      <c r="C62" s="80">
        <f>C56</f>
        <v>13544</v>
      </c>
      <c r="D62" s="80">
        <f t="shared" ref="D62:H62" si="2">D56</f>
        <v>16444</v>
      </c>
      <c r="E62" s="80">
        <f t="shared" si="2"/>
        <v>21188</v>
      </c>
      <c r="F62" s="80">
        <f t="shared" si="2"/>
        <v>27020</v>
      </c>
      <c r="G62" s="80">
        <f t="shared" si="2"/>
        <v>31547</v>
      </c>
      <c r="H62" s="80">
        <f t="shared" si="2"/>
        <v>40645</v>
      </c>
      <c r="I62" s="80">
        <f>I56</f>
        <v>60561</v>
      </c>
    </row>
    <row r="63" spans="2:9" x14ac:dyDescent="0.3">
      <c r="B63" s="241" t="s">
        <v>456</v>
      </c>
      <c r="C63" s="297">
        <f>C61/C62</f>
        <v>1.1837147879313941</v>
      </c>
      <c r="D63" s="297">
        <f t="shared" ref="D63:H63" si="3">D61/D62</f>
        <v>0.83514055793616271</v>
      </c>
      <c r="E63" s="297">
        <f t="shared" si="3"/>
        <v>0.9464400055278771</v>
      </c>
      <c r="F63" s="297">
        <f t="shared" si="3"/>
        <v>1.0934546097440434</v>
      </c>
      <c r="G63" s="297">
        <f t="shared" si="3"/>
        <v>1.1658391144838629</v>
      </c>
      <c r="H63" s="297">
        <f t="shared" si="3"/>
        <v>1.0510415268509106</v>
      </c>
      <c r="I63" s="297">
        <f>I61/I62</f>
        <v>1.0656293480518555</v>
      </c>
    </row>
    <row r="65" spans="2:9" x14ac:dyDescent="0.3">
      <c r="B65" s="374" t="s">
        <v>457</v>
      </c>
      <c r="C65" s="374"/>
      <c r="D65" s="374"/>
      <c r="E65" s="374"/>
      <c r="F65" s="374"/>
      <c r="G65" s="374"/>
      <c r="H65" s="374"/>
      <c r="I65" s="374"/>
    </row>
    <row r="66" spans="2:9" x14ac:dyDescent="0.3">
      <c r="C66" s="290">
        <f>C60</f>
        <v>43921</v>
      </c>
      <c r="D66" s="290">
        <f t="shared" ref="D66:I66" si="4">D60</f>
        <v>44286</v>
      </c>
      <c r="E66" s="290">
        <f t="shared" si="4"/>
        <v>44651</v>
      </c>
      <c r="F66" s="290">
        <f t="shared" si="4"/>
        <v>45016</v>
      </c>
      <c r="G66" s="290">
        <f t="shared" si="4"/>
        <v>45382</v>
      </c>
      <c r="H66" s="290">
        <f t="shared" si="4"/>
        <v>45747</v>
      </c>
      <c r="I66" s="290">
        <f t="shared" si="4"/>
        <v>46112</v>
      </c>
    </row>
    <row r="67" spans="2:9" x14ac:dyDescent="0.3">
      <c r="B67" t="s">
        <v>16</v>
      </c>
      <c r="C67" s="80">
        <f>HistoricalFS!F30</f>
        <v>2268</v>
      </c>
      <c r="D67" s="80">
        <f>HistoricalFS!G30</f>
        <v>1530</v>
      </c>
      <c r="E67" s="80">
        <f>HistoricalFS!H30</f>
        <v>3122</v>
      </c>
      <c r="F67" s="80">
        <f>HistoricalFS!I30</f>
        <v>4747</v>
      </c>
      <c r="G67" s="80">
        <f>HistoricalFS!J30</f>
        <v>5242</v>
      </c>
      <c r="H67" s="80">
        <f>HistoricalFS!K30</f>
        <v>5488</v>
      </c>
      <c r="I67" s="80">
        <f>HistoricalFS!L30</f>
        <v>7981</v>
      </c>
    </row>
    <row r="68" spans="2:9" x14ac:dyDescent="0.3">
      <c r="B68" t="s">
        <v>47</v>
      </c>
      <c r="C68" s="80">
        <f>C62</f>
        <v>13544</v>
      </c>
      <c r="D68" s="80">
        <f t="shared" ref="D68:I68" si="5">D62</f>
        <v>16444</v>
      </c>
      <c r="E68" s="80">
        <f t="shared" si="5"/>
        <v>21188</v>
      </c>
      <c r="F68" s="80">
        <f t="shared" si="5"/>
        <v>27020</v>
      </c>
      <c r="G68" s="80">
        <f t="shared" si="5"/>
        <v>31547</v>
      </c>
      <c r="H68" s="80">
        <f t="shared" si="5"/>
        <v>40645</v>
      </c>
      <c r="I68" s="80">
        <f t="shared" si="5"/>
        <v>60561</v>
      </c>
    </row>
    <row r="69" spans="2:9" x14ac:dyDescent="0.3">
      <c r="B69" s="241" t="s">
        <v>458</v>
      </c>
      <c r="C69" s="297">
        <f t="shared" ref="C69:H69" si="6">C67/C68</f>
        <v>0.1674542232722977</v>
      </c>
      <c r="D69" s="297">
        <f t="shared" si="6"/>
        <v>9.3043055217708587E-2</v>
      </c>
      <c r="E69" s="297">
        <f t="shared" si="6"/>
        <v>0.14734755521993581</v>
      </c>
      <c r="F69" s="297">
        <f t="shared" si="6"/>
        <v>0.17568467801628423</v>
      </c>
      <c r="G69" s="297">
        <f t="shared" si="6"/>
        <v>0.16616477002567598</v>
      </c>
      <c r="H69" s="297">
        <f t="shared" si="6"/>
        <v>0.13502275802681757</v>
      </c>
      <c r="I69" s="297">
        <f>I67/I68</f>
        <v>0.13178448176219018</v>
      </c>
    </row>
    <row r="71" spans="2:9" x14ac:dyDescent="0.3">
      <c r="B71" s="374" t="s">
        <v>459</v>
      </c>
      <c r="C71" s="374"/>
      <c r="D71" s="374"/>
      <c r="E71" s="374"/>
      <c r="F71" s="374"/>
      <c r="G71" s="374"/>
      <c r="H71" s="374"/>
      <c r="I71" s="374"/>
    </row>
    <row r="72" spans="2:9" x14ac:dyDescent="0.3">
      <c r="C72" s="290">
        <f>C66</f>
        <v>43921</v>
      </c>
      <c r="D72" s="290">
        <f t="shared" ref="D72:I72" si="7">D66</f>
        <v>44286</v>
      </c>
      <c r="E72" s="290">
        <f t="shared" si="7"/>
        <v>44651</v>
      </c>
      <c r="F72" s="290">
        <f t="shared" si="7"/>
        <v>45016</v>
      </c>
      <c r="G72" s="290">
        <f t="shared" si="7"/>
        <v>45382</v>
      </c>
      <c r="H72" s="290">
        <f t="shared" si="7"/>
        <v>45747</v>
      </c>
      <c r="I72" s="290">
        <f t="shared" si="7"/>
        <v>46112</v>
      </c>
    </row>
    <row r="73" spans="2:9" x14ac:dyDescent="0.3">
      <c r="B73" t="s">
        <v>460</v>
      </c>
      <c r="C73" s="80">
        <f>'Data Sheet'!E93*'Data Sheet'!E95</f>
        <v>82893.885999999999</v>
      </c>
      <c r="D73" s="80">
        <f>'Data Sheet'!F93*'Data Sheet'!F95</f>
        <v>138323.679</v>
      </c>
      <c r="E73" s="80">
        <f>'Data Sheet'!G93*'Data Sheet'!G95</f>
        <v>225159.397</v>
      </c>
      <c r="F73" s="80">
        <f>'Data Sheet'!H93*'Data Sheet'!H95</f>
        <v>223272.82200000001</v>
      </c>
      <c r="G73" s="80">
        <f>'Data Sheet'!I93*'Data Sheet'!I95</f>
        <v>337523.804</v>
      </c>
      <c r="H73" s="80">
        <f>'Data Sheet'!J93*'Data Sheet'!J95</f>
        <v>271964.21299999999</v>
      </c>
      <c r="I73" s="80">
        <f>'Data Sheet'!K93*'Data Sheet'!K95</f>
        <v>407003.03199999995</v>
      </c>
    </row>
    <row r="74" spans="2:9" x14ac:dyDescent="0.3">
      <c r="B74" t="s">
        <v>461</v>
      </c>
      <c r="C74" s="80">
        <f>'Data Sheet'!E59</f>
        <v>3562</v>
      </c>
      <c r="D74" s="80">
        <f>'Data Sheet'!F59</f>
        <v>5638</v>
      </c>
      <c r="E74" s="80">
        <f>'Data Sheet'!G59</f>
        <v>7275</v>
      </c>
      <c r="F74" s="80">
        <f>'Data Sheet'!H59</f>
        <v>9367</v>
      </c>
      <c r="G74" s="80">
        <f>'Data Sheet'!I59</f>
        <v>15528</v>
      </c>
      <c r="H74" s="80">
        <f>'Data Sheet'!J59</f>
        <v>20777</v>
      </c>
      <c r="I74" s="80">
        <f>'Data Sheet'!K59</f>
        <v>30621</v>
      </c>
    </row>
    <row r="75" spans="2:9" x14ac:dyDescent="0.3">
      <c r="B75" s="241" t="s">
        <v>462</v>
      </c>
      <c r="C75" s="297">
        <f>C73/C74</f>
        <v>23.271725435148792</v>
      </c>
      <c r="D75" s="297">
        <f t="shared" ref="D75:H75" si="8">D73/D74</f>
        <v>24.534175062078752</v>
      </c>
      <c r="E75" s="297">
        <f t="shared" si="8"/>
        <v>30.949745292096221</v>
      </c>
      <c r="F75" s="297">
        <f t="shared" si="8"/>
        <v>23.836107825344296</v>
      </c>
      <c r="G75" s="297">
        <f t="shared" si="8"/>
        <v>21.736463420917055</v>
      </c>
      <c r="H75" s="297">
        <f t="shared" si="8"/>
        <v>13.089676709823362</v>
      </c>
      <c r="I75" s="297">
        <f>I73/I74</f>
        <v>13.291630972208614</v>
      </c>
    </row>
    <row r="77" spans="2:9" x14ac:dyDescent="0.3">
      <c r="B77" s="374" t="s">
        <v>463</v>
      </c>
      <c r="C77" s="374"/>
      <c r="D77" s="374"/>
      <c r="E77" s="374"/>
      <c r="F77" s="374"/>
      <c r="G77" s="374"/>
      <c r="H77" s="374"/>
      <c r="I77" s="374"/>
    </row>
    <row r="78" spans="2:9" x14ac:dyDescent="0.3">
      <c r="C78" s="290">
        <f t="shared" ref="C78:I78" si="9">C54</f>
        <v>43921</v>
      </c>
      <c r="D78" s="290">
        <f t="shared" si="9"/>
        <v>44286</v>
      </c>
      <c r="E78" s="290">
        <f t="shared" si="9"/>
        <v>44651</v>
      </c>
      <c r="F78" s="290">
        <f t="shared" si="9"/>
        <v>45016</v>
      </c>
      <c r="G78" s="290">
        <f t="shared" si="9"/>
        <v>45382</v>
      </c>
      <c r="H78" s="290">
        <f t="shared" si="9"/>
        <v>45747</v>
      </c>
      <c r="I78" s="290">
        <f t="shared" si="9"/>
        <v>46112</v>
      </c>
    </row>
    <row r="79" spans="2:9" x14ac:dyDescent="0.3">
      <c r="B79" t="s">
        <v>2</v>
      </c>
      <c r="C79" s="80">
        <f>HistoricalFS!F9</f>
        <v>21052</v>
      </c>
      <c r="D79" s="80">
        <f>HistoricalFS!G9</f>
        <v>21644</v>
      </c>
      <c r="E79" s="80">
        <f>HistoricalFS!H9</f>
        <v>28799</v>
      </c>
      <c r="F79" s="80">
        <f>HistoricalFS!I9</f>
        <v>40575</v>
      </c>
      <c r="G79" s="80">
        <f>HistoricalFS!J9</f>
        <v>51084</v>
      </c>
      <c r="H79" s="80">
        <f>HistoricalFS!K9</f>
        <v>60456</v>
      </c>
      <c r="I79" s="80">
        <f>HistoricalFS!L9</f>
        <v>87584</v>
      </c>
    </row>
    <row r="80" spans="2:9" x14ac:dyDescent="0.3">
      <c r="B80" t="s">
        <v>47</v>
      </c>
      <c r="C80" s="80">
        <f>C68</f>
        <v>13544</v>
      </c>
      <c r="D80" s="80">
        <f t="shared" ref="D80:I80" si="10">D68</f>
        <v>16444</v>
      </c>
      <c r="E80" s="80">
        <f t="shared" si="10"/>
        <v>21188</v>
      </c>
      <c r="F80" s="80">
        <f t="shared" si="10"/>
        <v>27020</v>
      </c>
      <c r="G80" s="80">
        <f t="shared" si="10"/>
        <v>31547</v>
      </c>
      <c r="H80" s="80">
        <f t="shared" si="10"/>
        <v>40645</v>
      </c>
      <c r="I80" s="80">
        <f t="shared" si="10"/>
        <v>60561</v>
      </c>
    </row>
    <row r="81" spans="2:9" x14ac:dyDescent="0.3">
      <c r="B81" s="241" t="s">
        <v>464</v>
      </c>
      <c r="C81" s="297">
        <f>C79/C80</f>
        <v>1.554341405788541</v>
      </c>
      <c r="D81" s="297">
        <f t="shared" ref="D81:H81" si="11">D79/D80</f>
        <v>1.3162247628314279</v>
      </c>
      <c r="E81" s="297">
        <f t="shared" si="11"/>
        <v>1.3592127619407213</v>
      </c>
      <c r="F81" s="297">
        <f t="shared" si="11"/>
        <v>1.5016654330125834</v>
      </c>
      <c r="G81" s="297">
        <f t="shared" si="11"/>
        <v>1.619298190002219</v>
      </c>
      <c r="H81" s="297">
        <f t="shared" si="11"/>
        <v>1.4874154262516914</v>
      </c>
      <c r="I81" s="297">
        <f>I79/I80</f>
        <v>1.4462112580703754</v>
      </c>
    </row>
    <row r="83" spans="2:9" x14ac:dyDescent="0.3">
      <c r="B83" s="374" t="s">
        <v>465</v>
      </c>
      <c r="C83" s="374"/>
      <c r="D83" s="374"/>
      <c r="E83" s="374"/>
      <c r="F83" s="374"/>
      <c r="G83" s="374"/>
      <c r="H83" s="374"/>
      <c r="I83" s="374"/>
    </row>
    <row r="84" spans="2:9" x14ac:dyDescent="0.3">
      <c r="C84" s="290">
        <f>C78</f>
        <v>43921</v>
      </c>
      <c r="D84" s="290">
        <f t="shared" ref="D84:I84" si="12">D78</f>
        <v>44286</v>
      </c>
      <c r="E84" s="290">
        <f t="shared" si="12"/>
        <v>44651</v>
      </c>
      <c r="F84" s="290">
        <f t="shared" si="12"/>
        <v>45016</v>
      </c>
      <c r="G84" s="290">
        <f t="shared" si="12"/>
        <v>45382</v>
      </c>
      <c r="H84" s="290">
        <f t="shared" si="12"/>
        <v>45747</v>
      </c>
      <c r="I84" s="290">
        <f t="shared" si="12"/>
        <v>46112</v>
      </c>
    </row>
    <row r="85" spans="2:9" x14ac:dyDescent="0.3">
      <c r="B85" s="79" t="s">
        <v>466</v>
      </c>
      <c r="C85" s="81">
        <f>(C57*1.2)+(C63*1.4)+(C69*3.3)+(C75*0.6)+(C81*1)</f>
        <v>18.384766383567118</v>
      </c>
      <c r="D85" s="81">
        <f t="shared" ref="D85:I85" si="13">(D57*1.2)+(D63*1.4)+(D69*3.3)+(D75*0.6)+(D81*1)</f>
        <v>18.078962338912486</v>
      </c>
      <c r="E85" s="81">
        <f t="shared" si="13"/>
        <v>22.51368515769942</v>
      </c>
      <c r="F85" s="81">
        <f t="shared" si="13"/>
        <v>18.605014102216114</v>
      </c>
      <c r="G85" s="81">
        <f t="shared" si="13"/>
        <v>17.555677056020336</v>
      </c>
      <c r="H85" s="81">
        <f t="shared" si="13"/>
        <v>12.033139670927781</v>
      </c>
      <c r="I85" s="81">
        <f t="shared" si="13"/>
        <v>12.056871394314349</v>
      </c>
    </row>
    <row r="86" spans="2:9" x14ac:dyDescent="0.3">
      <c r="B86" s="300" t="s">
        <v>467</v>
      </c>
      <c r="C86" s="303" t="str">
        <f>IF(C85&lt;1.81,"Distressed",IF(C85&gt;3,"Strong","Grey Zone"))</f>
        <v>Strong</v>
      </c>
      <c r="D86" s="303" t="str">
        <f t="shared" ref="D86:I86" si="14">IF(D85&lt;1.81,"Distressed",IF(D85&gt;3,"Strong","Grey Zone"))</f>
        <v>Strong</v>
      </c>
      <c r="E86" s="303" t="str">
        <f t="shared" si="14"/>
        <v>Strong</v>
      </c>
      <c r="F86" s="303" t="str">
        <f t="shared" si="14"/>
        <v>Strong</v>
      </c>
      <c r="G86" s="303" t="str">
        <f t="shared" si="14"/>
        <v>Strong</v>
      </c>
      <c r="H86" s="303" t="str">
        <f t="shared" si="14"/>
        <v>Strong</v>
      </c>
      <c r="I86" s="303" t="str">
        <f t="shared" si="14"/>
        <v>Strong</v>
      </c>
    </row>
    <row r="91" spans="2:9" ht="10.8" customHeight="1" x14ac:dyDescent="0.3">
      <c r="B91" s="72"/>
      <c r="C91" s="72"/>
      <c r="D91" s="72"/>
      <c r="E91" s="72"/>
      <c r="F91" s="72"/>
      <c r="G91" s="72"/>
      <c r="H91" s="72"/>
      <c r="I91" s="72"/>
    </row>
  </sheetData>
  <mergeCells count="8">
    <mergeCell ref="B77:I77"/>
    <mergeCell ref="B83:I83"/>
    <mergeCell ref="B9:I12"/>
    <mergeCell ref="B8:I8"/>
    <mergeCell ref="B53:I53"/>
    <mergeCell ref="B59:I59"/>
    <mergeCell ref="B65:I65"/>
    <mergeCell ref="B71:I71"/>
  </mergeCells>
  <pageMargins left="0.7" right="0.7" top="0.75" bottom="0.75" header="0.3" footer="0.3"/>
  <pageSetup scale="72" orientation="portrait" r:id="rId1"/>
  <rowBreaks count="1" manualBreakCount="1">
    <brk id="48" max="8"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AD997-E06F-4B09-9178-061DA0A467EE}">
  <sheetPr>
    <tabColor rgb="FFFF0000"/>
  </sheetPr>
  <dimension ref="B2:N82"/>
  <sheetViews>
    <sheetView showGridLines="0" tabSelected="1" zoomScale="82" workbookViewId="0">
      <selection activeCell="Q24" sqref="Q24"/>
    </sheetView>
  </sheetViews>
  <sheetFormatPr defaultRowHeight="14.4" x14ac:dyDescent="0.3"/>
  <cols>
    <col min="1" max="1" width="1.88671875" customWidth="1"/>
    <col min="2" max="2" width="26.5546875" bestFit="1" customWidth="1"/>
    <col min="3" max="6" width="9" bestFit="1" customWidth="1"/>
    <col min="7" max="14" width="9.44140625" bestFit="1" customWidth="1"/>
  </cols>
  <sheetData>
    <row r="2" spans="2:14" x14ac:dyDescent="0.3">
      <c r="B2" s="124" t="s">
        <v>135</v>
      </c>
      <c r="C2" s="159">
        <v>42064</v>
      </c>
      <c r="D2" s="159">
        <v>42430</v>
      </c>
      <c r="E2" s="159">
        <v>42795</v>
      </c>
      <c r="F2" s="159">
        <v>43160</v>
      </c>
      <c r="G2" s="159">
        <v>43525</v>
      </c>
      <c r="H2" s="159">
        <v>43891</v>
      </c>
      <c r="I2" s="159">
        <v>44256</v>
      </c>
      <c r="J2" s="159">
        <v>44621</v>
      </c>
      <c r="K2" s="159">
        <v>44986</v>
      </c>
      <c r="L2" s="159">
        <v>45352</v>
      </c>
      <c r="M2" s="159">
        <v>45717</v>
      </c>
      <c r="N2" s="159">
        <v>46082</v>
      </c>
    </row>
    <row r="3" spans="2:14" x14ac:dyDescent="0.3">
      <c r="C3" s="154"/>
      <c r="D3" s="154"/>
      <c r="E3" s="154"/>
      <c r="F3" s="154"/>
      <c r="G3" s="154"/>
      <c r="H3" s="154"/>
      <c r="I3" s="154"/>
      <c r="J3" s="154"/>
      <c r="K3" s="154"/>
      <c r="L3" s="154"/>
      <c r="M3" s="154"/>
      <c r="N3" s="154"/>
    </row>
    <row r="4" spans="2:14" x14ac:dyDescent="0.3">
      <c r="B4" s="160" t="s">
        <v>302</v>
      </c>
      <c r="C4" s="164">
        <v>89</v>
      </c>
      <c r="D4" s="164">
        <v>89</v>
      </c>
      <c r="E4" s="164">
        <v>89</v>
      </c>
      <c r="F4" s="164">
        <v>89</v>
      </c>
      <c r="G4" s="164">
        <v>89</v>
      </c>
      <c r="H4" s="164">
        <v>89</v>
      </c>
      <c r="I4" s="164">
        <v>89</v>
      </c>
      <c r="J4" s="164">
        <v>89</v>
      </c>
      <c r="K4" s="164">
        <v>89</v>
      </c>
      <c r="L4" s="164">
        <v>89</v>
      </c>
      <c r="M4" s="164">
        <v>89</v>
      </c>
      <c r="N4" s="164">
        <v>89</v>
      </c>
    </row>
    <row r="5" spans="2:14" x14ac:dyDescent="0.3">
      <c r="B5" s="160" t="s">
        <v>33</v>
      </c>
      <c r="C5" s="164">
        <v>2995</v>
      </c>
      <c r="D5" s="164">
        <v>3418</v>
      </c>
      <c r="E5" s="164">
        <v>4144</v>
      </c>
      <c r="F5" s="164">
        <v>5001</v>
      </c>
      <c r="G5" s="164">
        <v>5981</v>
      </c>
      <c r="H5" s="164">
        <v>6580</v>
      </c>
      <c r="I5" s="164">
        <v>7408</v>
      </c>
      <c r="J5" s="164">
        <v>9214</v>
      </c>
      <c r="K5" s="164">
        <v>11762</v>
      </c>
      <c r="L5" s="164">
        <v>9304</v>
      </c>
      <c r="M5" s="164">
        <v>11535</v>
      </c>
      <c r="N5" s="164">
        <v>15614</v>
      </c>
    </row>
    <row r="6" spans="2:14" x14ac:dyDescent="0.3">
      <c r="B6" s="160" t="s">
        <v>303</v>
      </c>
      <c r="C6" s="164"/>
      <c r="D6" s="164"/>
      <c r="E6" s="164"/>
      <c r="F6" s="164"/>
      <c r="G6" s="164"/>
      <c r="H6" s="164"/>
      <c r="I6" s="164"/>
      <c r="J6" s="164"/>
      <c r="K6" s="164"/>
      <c r="L6" s="164"/>
      <c r="M6" s="164"/>
      <c r="N6" s="164"/>
    </row>
    <row r="7" spans="2:14" x14ac:dyDescent="0.3">
      <c r="B7" s="161" t="s">
        <v>304</v>
      </c>
      <c r="C7" s="164">
        <v>0</v>
      </c>
      <c r="D7" s="164">
        <v>0</v>
      </c>
      <c r="E7" s="164">
        <v>0</v>
      </c>
      <c r="F7" s="164">
        <v>0</v>
      </c>
      <c r="G7" s="164">
        <v>32</v>
      </c>
      <c r="H7" s="164">
        <v>17</v>
      </c>
      <c r="I7" s="164">
        <v>9</v>
      </c>
      <c r="J7" s="164">
        <v>2</v>
      </c>
      <c r="K7" s="164">
        <v>0</v>
      </c>
      <c r="L7" s="164">
        <v>3302</v>
      </c>
      <c r="M7" s="164">
        <v>595</v>
      </c>
      <c r="N7" s="164">
        <v>93</v>
      </c>
    </row>
    <row r="8" spans="2:14" x14ac:dyDescent="0.3">
      <c r="B8" s="161" t="s">
        <v>305</v>
      </c>
      <c r="C8" s="164">
        <v>100</v>
      </c>
      <c r="D8" s="164">
        <v>113</v>
      </c>
      <c r="E8" s="164">
        <v>1882</v>
      </c>
      <c r="F8" s="164">
        <v>1691</v>
      </c>
      <c r="G8" s="164">
        <v>2353</v>
      </c>
      <c r="H8" s="164">
        <v>2291</v>
      </c>
      <c r="I8" s="164">
        <v>4367</v>
      </c>
      <c r="J8" s="164">
        <v>5914</v>
      </c>
      <c r="K8" s="164">
        <v>7494</v>
      </c>
      <c r="L8" s="164">
        <v>9877</v>
      </c>
      <c r="M8" s="164">
        <v>17501</v>
      </c>
      <c r="N8" s="164">
        <v>27355</v>
      </c>
    </row>
    <row r="9" spans="2:14" x14ac:dyDescent="0.3">
      <c r="B9" s="161" t="s">
        <v>306</v>
      </c>
      <c r="C9" s="164">
        <v>0</v>
      </c>
      <c r="D9" s="164">
        <v>0</v>
      </c>
      <c r="E9" s="164">
        <v>0</v>
      </c>
      <c r="F9" s="164">
        <v>0</v>
      </c>
      <c r="G9" s="164">
        <v>0</v>
      </c>
      <c r="H9" s="164">
        <v>1243</v>
      </c>
      <c r="I9" s="164">
        <v>1256</v>
      </c>
      <c r="J9" s="164">
        <v>1359</v>
      </c>
      <c r="K9" s="164">
        <v>1873</v>
      </c>
      <c r="L9" s="164">
        <v>2349</v>
      </c>
      <c r="M9" s="164">
        <v>2681</v>
      </c>
      <c r="N9" s="164">
        <v>3173</v>
      </c>
    </row>
    <row r="10" spans="2:14" x14ac:dyDescent="0.3">
      <c r="B10" s="161" t="s">
        <v>307</v>
      </c>
      <c r="C10" s="164">
        <v>0</v>
      </c>
      <c r="D10" s="164">
        <v>0</v>
      </c>
      <c r="E10" s="164">
        <v>0</v>
      </c>
      <c r="F10" s="164">
        <v>0</v>
      </c>
      <c r="G10" s="164">
        <v>8</v>
      </c>
      <c r="H10" s="164">
        <v>11</v>
      </c>
      <c r="I10" s="164">
        <v>6</v>
      </c>
      <c r="J10" s="164">
        <v>0</v>
      </c>
      <c r="K10" s="164">
        <v>0</v>
      </c>
      <c r="L10" s="164">
        <v>0</v>
      </c>
      <c r="M10" s="164">
        <v>0</v>
      </c>
      <c r="N10" s="164">
        <v>0</v>
      </c>
    </row>
    <row r="11" spans="2:14" x14ac:dyDescent="0.3">
      <c r="B11" s="160" t="s">
        <v>308</v>
      </c>
      <c r="C11" s="164"/>
      <c r="D11" s="164"/>
      <c r="E11" s="164"/>
      <c r="F11" s="164"/>
      <c r="G11" s="164"/>
      <c r="H11" s="164"/>
      <c r="I11" s="164"/>
      <c r="J11" s="164"/>
      <c r="K11" s="164"/>
      <c r="L11" s="164"/>
      <c r="M11" s="164"/>
      <c r="N11" s="164"/>
    </row>
    <row r="12" spans="2:14" x14ac:dyDescent="0.3">
      <c r="B12" s="161" t="s">
        <v>309</v>
      </c>
      <c r="C12" s="164">
        <v>0</v>
      </c>
      <c r="D12" s="164">
        <v>0</v>
      </c>
      <c r="E12" s="164">
        <v>26</v>
      </c>
      <c r="F12" s="164">
        <v>-2</v>
      </c>
      <c r="G12" s="164">
        <v>14</v>
      </c>
      <c r="H12" s="164">
        <v>4</v>
      </c>
      <c r="I12" s="164">
        <v>5</v>
      </c>
      <c r="J12" s="164">
        <v>30</v>
      </c>
      <c r="K12" s="164">
        <v>53</v>
      </c>
      <c r="L12" s="164">
        <v>0</v>
      </c>
      <c r="M12" s="164">
        <v>0</v>
      </c>
      <c r="N12" s="164">
        <v>0</v>
      </c>
    </row>
    <row r="13" spans="2:14" x14ac:dyDescent="0.3">
      <c r="B13" s="161" t="s">
        <v>35</v>
      </c>
      <c r="C13" s="164">
        <v>1940</v>
      </c>
      <c r="D13" s="164">
        <v>1655</v>
      </c>
      <c r="E13" s="164">
        <v>783</v>
      </c>
      <c r="F13" s="164">
        <v>878</v>
      </c>
      <c r="G13" s="164">
        <v>906</v>
      </c>
      <c r="H13" s="164">
        <v>596</v>
      </c>
      <c r="I13" s="164">
        <v>789</v>
      </c>
      <c r="J13" s="164">
        <v>1294</v>
      </c>
      <c r="K13" s="164">
        <v>1214</v>
      </c>
      <c r="L13" s="164">
        <v>1410</v>
      </c>
      <c r="M13" s="164">
        <v>1963</v>
      </c>
      <c r="N13" s="164">
        <v>2864</v>
      </c>
    </row>
    <row r="14" spans="2:14" x14ac:dyDescent="0.3">
      <c r="B14" s="161" t="s">
        <v>310</v>
      </c>
      <c r="C14" s="164">
        <v>160</v>
      </c>
      <c r="D14" s="164">
        <v>710</v>
      </c>
      <c r="E14" s="164">
        <v>943</v>
      </c>
      <c r="F14" s="164">
        <v>233</v>
      </c>
      <c r="G14" s="164">
        <v>290</v>
      </c>
      <c r="H14" s="164">
        <v>386</v>
      </c>
      <c r="I14" s="164">
        <v>479</v>
      </c>
      <c r="J14" s="164">
        <v>532</v>
      </c>
      <c r="K14" s="164">
        <v>718</v>
      </c>
      <c r="L14" s="164">
        <v>1085</v>
      </c>
      <c r="M14" s="164">
        <v>2140</v>
      </c>
      <c r="N14" s="164">
        <v>4745</v>
      </c>
    </row>
    <row r="15" spans="2:14" ht="15" thickBot="1" x14ac:dyDescent="0.35">
      <c r="B15" t="s">
        <v>311</v>
      </c>
      <c r="C15" s="10">
        <v>585</v>
      </c>
      <c r="D15" s="10">
        <v>358</v>
      </c>
      <c r="E15" s="10">
        <v>541</v>
      </c>
      <c r="F15" s="10">
        <v>1631</v>
      </c>
      <c r="G15" s="10">
        <v>2037</v>
      </c>
      <c r="H15" s="10">
        <v>2327</v>
      </c>
      <c r="I15" s="10">
        <v>2036</v>
      </c>
      <c r="J15" s="10">
        <v>2754</v>
      </c>
      <c r="K15" s="10">
        <v>3817</v>
      </c>
      <c r="L15" s="10">
        <v>4131</v>
      </c>
      <c r="M15" s="10">
        <v>4141</v>
      </c>
      <c r="N15" s="10">
        <v>6628</v>
      </c>
    </row>
    <row r="16" spans="2:14" ht="15" thickBot="1" x14ac:dyDescent="0.35">
      <c r="B16" s="163" t="s">
        <v>37</v>
      </c>
      <c r="C16" s="171">
        <v>5868</v>
      </c>
      <c r="D16" s="171">
        <v>6342</v>
      </c>
      <c r="E16" s="171">
        <v>8408</v>
      </c>
      <c r="F16" s="171">
        <v>9521</v>
      </c>
      <c r="G16" s="171">
        <v>11710</v>
      </c>
      <c r="H16" s="171">
        <v>13544</v>
      </c>
      <c r="I16" s="171">
        <v>16444</v>
      </c>
      <c r="J16" s="171">
        <v>21188</v>
      </c>
      <c r="K16" s="171">
        <v>27020</v>
      </c>
      <c r="L16" s="171">
        <v>31547</v>
      </c>
      <c r="M16" s="171">
        <v>40645</v>
      </c>
      <c r="N16" s="171">
        <v>60561</v>
      </c>
    </row>
    <row r="17" spans="2:14" ht="15" thickTop="1" x14ac:dyDescent="0.3">
      <c r="B17" s="79"/>
      <c r="C17" s="10"/>
      <c r="D17" s="10"/>
      <c r="E17" s="10"/>
      <c r="F17" s="10"/>
      <c r="G17" s="10"/>
      <c r="H17" s="10"/>
      <c r="I17" s="10"/>
      <c r="J17" s="10"/>
      <c r="K17" s="10"/>
      <c r="L17" s="10"/>
      <c r="M17" s="10"/>
      <c r="N17" s="10"/>
    </row>
    <row r="18" spans="2:14" x14ac:dyDescent="0.3">
      <c r="B18" s="160" t="s">
        <v>312</v>
      </c>
      <c r="C18" s="164"/>
      <c r="D18" s="164"/>
      <c r="E18" s="164"/>
      <c r="F18" s="164"/>
      <c r="G18" s="164"/>
      <c r="H18" s="164"/>
      <c r="I18" s="164"/>
      <c r="J18" s="164"/>
      <c r="K18" s="164"/>
      <c r="L18" s="164"/>
      <c r="M18" s="164"/>
      <c r="N18" s="164"/>
    </row>
    <row r="19" spans="2:14" x14ac:dyDescent="0.3">
      <c r="B19" s="161" t="s">
        <v>313</v>
      </c>
      <c r="C19" s="164">
        <v>104</v>
      </c>
      <c r="D19" s="164">
        <v>85</v>
      </c>
      <c r="E19" s="164">
        <v>85</v>
      </c>
      <c r="F19" s="164">
        <v>85</v>
      </c>
      <c r="G19" s="164">
        <v>85</v>
      </c>
      <c r="H19" s="164">
        <v>108</v>
      </c>
      <c r="I19" s="164">
        <v>108</v>
      </c>
      <c r="J19" s="164">
        <v>136</v>
      </c>
      <c r="K19" s="164">
        <v>144</v>
      </c>
      <c r="L19" s="164">
        <v>163</v>
      </c>
      <c r="M19" s="164">
        <v>163</v>
      </c>
      <c r="N19" s="164">
        <v>440</v>
      </c>
    </row>
    <row r="20" spans="2:14" x14ac:dyDescent="0.3">
      <c r="B20" s="161" t="s">
        <v>314</v>
      </c>
      <c r="C20" s="164">
        <v>156</v>
      </c>
      <c r="D20" s="164">
        <v>137</v>
      </c>
      <c r="E20" s="164">
        <v>198</v>
      </c>
      <c r="F20" s="164">
        <v>341</v>
      </c>
      <c r="G20" s="164">
        <v>386</v>
      </c>
      <c r="H20" s="164">
        <v>1473</v>
      </c>
      <c r="I20" s="164">
        <v>1617</v>
      </c>
      <c r="J20" s="164">
        <v>1853</v>
      </c>
      <c r="K20" s="164">
        <v>2403</v>
      </c>
      <c r="L20" s="164">
        <v>3546</v>
      </c>
      <c r="M20" s="164">
        <v>4177</v>
      </c>
      <c r="N20" s="164">
        <v>5239</v>
      </c>
    </row>
    <row r="21" spans="2:14" x14ac:dyDescent="0.3">
      <c r="B21" s="161" t="s">
        <v>315</v>
      </c>
      <c r="C21" s="164">
        <v>719</v>
      </c>
      <c r="D21" s="164">
        <v>445</v>
      </c>
      <c r="E21" s="164">
        <v>473</v>
      </c>
      <c r="F21" s="164">
        <v>563</v>
      </c>
      <c r="G21" s="164">
        <v>630</v>
      </c>
      <c r="H21" s="164">
        <v>724</v>
      </c>
      <c r="I21" s="164">
        <v>739</v>
      </c>
      <c r="J21" s="164">
        <v>768</v>
      </c>
      <c r="K21" s="164">
        <v>838</v>
      </c>
      <c r="L21" s="164">
        <v>899</v>
      </c>
      <c r="M21" s="164">
        <v>1012</v>
      </c>
      <c r="N21" s="164">
        <v>1197</v>
      </c>
    </row>
    <row r="22" spans="2:14" x14ac:dyDescent="0.3">
      <c r="B22" s="161" t="s">
        <v>316</v>
      </c>
      <c r="C22" s="164">
        <v>24</v>
      </c>
      <c r="D22" s="164">
        <v>18</v>
      </c>
      <c r="E22" s="164">
        <v>24</v>
      </c>
      <c r="F22" s="164">
        <v>34</v>
      </c>
      <c r="G22" s="164">
        <v>50</v>
      </c>
      <c r="H22" s="164">
        <v>70</v>
      </c>
      <c r="I22" s="164">
        <v>76</v>
      </c>
      <c r="J22" s="164">
        <v>96</v>
      </c>
      <c r="K22" s="164">
        <v>130</v>
      </c>
      <c r="L22" s="164">
        <v>110</v>
      </c>
      <c r="M22" s="164">
        <v>127</v>
      </c>
      <c r="N22" s="164">
        <v>176</v>
      </c>
    </row>
    <row r="23" spans="2:14" x14ac:dyDescent="0.3">
      <c r="B23" s="161" t="s">
        <v>317</v>
      </c>
      <c r="C23" s="164">
        <v>0</v>
      </c>
      <c r="D23" s="164">
        <v>0</v>
      </c>
      <c r="E23" s="164">
        <v>46</v>
      </c>
      <c r="F23" s="164">
        <v>72</v>
      </c>
      <c r="G23" s="164">
        <v>92</v>
      </c>
      <c r="H23" s="164">
        <v>119</v>
      </c>
      <c r="I23" s="164">
        <v>142</v>
      </c>
      <c r="J23" s="164">
        <v>159</v>
      </c>
      <c r="K23" s="164">
        <v>204</v>
      </c>
      <c r="L23" s="164">
        <v>212</v>
      </c>
      <c r="M23" s="164">
        <v>228</v>
      </c>
      <c r="N23" s="164">
        <v>264</v>
      </c>
    </row>
    <row r="24" spans="2:14" x14ac:dyDescent="0.3">
      <c r="B24" s="161" t="s">
        <v>318</v>
      </c>
      <c r="C24" s="164">
        <v>189</v>
      </c>
      <c r="D24" s="164">
        <v>107</v>
      </c>
      <c r="E24" s="164">
        <v>138</v>
      </c>
      <c r="F24" s="164">
        <v>203</v>
      </c>
      <c r="G24" s="164">
        <v>251</v>
      </c>
      <c r="H24" s="164">
        <v>313</v>
      </c>
      <c r="I24" s="164">
        <v>309</v>
      </c>
      <c r="J24" s="164">
        <v>321</v>
      </c>
      <c r="K24" s="164">
        <v>376</v>
      </c>
      <c r="L24" s="164">
        <v>173</v>
      </c>
      <c r="M24" s="164">
        <v>193</v>
      </c>
      <c r="N24" s="164">
        <v>379</v>
      </c>
    </row>
    <row r="25" spans="2:14" x14ac:dyDescent="0.3">
      <c r="B25" s="161" t="s">
        <v>319</v>
      </c>
      <c r="C25" s="164">
        <v>17</v>
      </c>
      <c r="D25" s="164">
        <v>11</v>
      </c>
      <c r="E25" s="164">
        <v>10</v>
      </c>
      <c r="F25" s="164">
        <v>16</v>
      </c>
      <c r="G25" s="164">
        <v>22</v>
      </c>
      <c r="H25" s="164">
        <v>28</v>
      </c>
      <c r="I25" s="164">
        <v>30</v>
      </c>
      <c r="J25" s="164">
        <v>38</v>
      </c>
      <c r="K25" s="164">
        <v>40</v>
      </c>
      <c r="L25" s="164">
        <v>50</v>
      </c>
      <c r="M25" s="164">
        <v>57</v>
      </c>
      <c r="N25" s="164">
        <v>68</v>
      </c>
    </row>
    <row r="26" spans="2:14" x14ac:dyDescent="0.3">
      <c r="B26" s="161" t="s">
        <v>320</v>
      </c>
      <c r="C26" s="164">
        <v>0</v>
      </c>
      <c r="D26" s="164">
        <v>13</v>
      </c>
      <c r="E26" s="164">
        <v>318</v>
      </c>
      <c r="F26" s="164">
        <v>319</v>
      </c>
      <c r="G26" s="164">
        <v>319</v>
      </c>
      <c r="H26" s="164">
        <v>333</v>
      </c>
      <c r="I26" s="164">
        <v>320</v>
      </c>
      <c r="J26" s="164">
        <v>320</v>
      </c>
      <c r="K26" s="164">
        <v>320</v>
      </c>
      <c r="L26" s="164">
        <v>320</v>
      </c>
      <c r="M26" s="164">
        <v>320</v>
      </c>
      <c r="N26" s="164">
        <v>1782</v>
      </c>
    </row>
    <row r="27" spans="2:14" ht="15" thickBot="1" x14ac:dyDescent="0.35">
      <c r="B27" t="s">
        <v>321</v>
      </c>
      <c r="C27" s="10">
        <v>73</v>
      </c>
      <c r="D27" s="10">
        <v>20</v>
      </c>
      <c r="E27" s="10">
        <v>26</v>
      </c>
      <c r="F27" s="10">
        <v>69</v>
      </c>
      <c r="G27" s="10">
        <v>96</v>
      </c>
      <c r="H27" s="10">
        <v>135</v>
      </c>
      <c r="I27" s="10">
        <v>158</v>
      </c>
      <c r="J27" s="10">
        <v>157</v>
      </c>
      <c r="K27" s="10">
        <v>205</v>
      </c>
      <c r="L27" s="10">
        <v>305</v>
      </c>
      <c r="M27" s="10">
        <v>369</v>
      </c>
      <c r="N27" s="10">
        <v>540</v>
      </c>
    </row>
    <row r="28" spans="2:14" x14ac:dyDescent="0.3">
      <c r="B28" s="167" t="s">
        <v>322</v>
      </c>
      <c r="C28" s="168">
        <v>1282</v>
      </c>
      <c r="D28" s="168">
        <v>836</v>
      </c>
      <c r="E28" s="168">
        <v>1318</v>
      </c>
      <c r="F28" s="168">
        <v>1704</v>
      </c>
      <c r="G28" s="168">
        <v>1931</v>
      </c>
      <c r="H28" s="168">
        <v>3303</v>
      </c>
      <c r="I28" s="168">
        <v>3499</v>
      </c>
      <c r="J28" s="168">
        <v>3848</v>
      </c>
      <c r="K28" s="168">
        <v>4660</v>
      </c>
      <c r="L28" s="168">
        <v>5778</v>
      </c>
      <c r="M28" s="168">
        <v>6646</v>
      </c>
      <c r="N28" s="168">
        <v>10085</v>
      </c>
    </row>
    <row r="29" spans="2:14" ht="15" thickBot="1" x14ac:dyDescent="0.35">
      <c r="B29" s="169" t="s">
        <v>323</v>
      </c>
      <c r="C29" s="170">
        <v>583</v>
      </c>
      <c r="D29" s="170">
        <v>66</v>
      </c>
      <c r="E29" s="170">
        <v>130</v>
      </c>
      <c r="F29" s="170">
        <v>230</v>
      </c>
      <c r="G29" s="170">
        <v>365</v>
      </c>
      <c r="H29" s="170">
        <v>670</v>
      </c>
      <c r="I29" s="170">
        <v>976</v>
      </c>
      <c r="J29" s="170">
        <v>1304</v>
      </c>
      <c r="K29" s="170">
        <v>1662</v>
      </c>
      <c r="L29" s="170">
        <v>2069</v>
      </c>
      <c r="M29" s="170">
        <v>2584</v>
      </c>
      <c r="N29" s="170">
        <v>3207</v>
      </c>
    </row>
    <row r="30" spans="2:14" x14ac:dyDescent="0.3">
      <c r="B30" s="79" t="s">
        <v>193</v>
      </c>
      <c r="C30" s="10">
        <f>C28-C29</f>
        <v>699</v>
      </c>
      <c r="D30" s="10">
        <f t="shared" ref="D30:N30" si="0">D28-D29</f>
        <v>770</v>
      </c>
      <c r="E30" s="10">
        <f t="shared" si="0"/>
        <v>1188</v>
      </c>
      <c r="F30" s="10">
        <f t="shared" si="0"/>
        <v>1474</v>
      </c>
      <c r="G30" s="10">
        <f t="shared" si="0"/>
        <v>1566</v>
      </c>
      <c r="H30" s="10">
        <f t="shared" si="0"/>
        <v>2633</v>
      </c>
      <c r="I30" s="10">
        <f t="shared" si="0"/>
        <v>2523</v>
      </c>
      <c r="J30" s="10">
        <f t="shared" si="0"/>
        <v>2544</v>
      </c>
      <c r="K30" s="10">
        <f t="shared" si="0"/>
        <v>2998</v>
      </c>
      <c r="L30" s="10">
        <f t="shared" si="0"/>
        <v>3709</v>
      </c>
      <c r="M30" s="10">
        <f t="shared" si="0"/>
        <v>4062</v>
      </c>
      <c r="N30" s="10">
        <f t="shared" si="0"/>
        <v>6878</v>
      </c>
    </row>
    <row r="31" spans="2:14" x14ac:dyDescent="0.3">
      <c r="B31" s="79"/>
      <c r="C31" s="10"/>
      <c r="D31" s="10"/>
      <c r="E31" s="10"/>
      <c r="F31" s="10"/>
      <c r="G31" s="10"/>
      <c r="H31" s="10"/>
      <c r="I31" s="10"/>
      <c r="J31" s="10"/>
      <c r="K31" s="10"/>
      <c r="L31" s="10"/>
      <c r="M31" s="10"/>
      <c r="N31" s="10"/>
    </row>
    <row r="32" spans="2:14" x14ac:dyDescent="0.3">
      <c r="B32" s="165" t="s">
        <v>324</v>
      </c>
      <c r="C32" s="164">
        <v>55</v>
      </c>
      <c r="D32" s="164">
        <v>107</v>
      </c>
      <c r="E32" s="164">
        <v>152</v>
      </c>
      <c r="F32" s="164">
        <v>43</v>
      </c>
      <c r="G32" s="164">
        <v>32</v>
      </c>
      <c r="H32" s="164">
        <v>18</v>
      </c>
      <c r="I32" s="164">
        <v>32</v>
      </c>
      <c r="J32" s="164">
        <v>85</v>
      </c>
      <c r="K32" s="164">
        <v>144</v>
      </c>
      <c r="L32" s="164">
        <v>97</v>
      </c>
      <c r="M32" s="164">
        <v>105</v>
      </c>
      <c r="N32" s="164">
        <v>163</v>
      </c>
    </row>
    <row r="33" spans="2:14" x14ac:dyDescent="0.3">
      <c r="B33" s="161" t="s">
        <v>40</v>
      </c>
      <c r="C33" s="164">
        <v>3</v>
      </c>
      <c r="D33" s="164">
        <v>30</v>
      </c>
      <c r="E33" s="164">
        <v>431</v>
      </c>
      <c r="F33" s="164">
        <v>36</v>
      </c>
      <c r="G33" s="164">
        <v>108</v>
      </c>
      <c r="H33" s="164">
        <v>158</v>
      </c>
      <c r="I33" s="164">
        <v>2824</v>
      </c>
      <c r="J33" s="164">
        <v>294</v>
      </c>
      <c r="K33" s="164">
        <v>2515</v>
      </c>
      <c r="L33" s="164">
        <v>2345</v>
      </c>
      <c r="M33" s="164">
        <v>1988</v>
      </c>
      <c r="N33" s="164">
        <v>3506</v>
      </c>
    </row>
    <row r="34" spans="2:14" x14ac:dyDescent="0.3">
      <c r="C34" s="10"/>
      <c r="D34" s="10"/>
      <c r="E34" s="10"/>
      <c r="F34" s="10"/>
      <c r="G34" s="10"/>
      <c r="H34" s="10"/>
      <c r="I34" s="10"/>
      <c r="J34" s="10"/>
      <c r="K34" s="10"/>
      <c r="L34" s="10"/>
      <c r="M34" s="10"/>
      <c r="N34" s="10"/>
    </row>
    <row r="35" spans="2:14" x14ac:dyDescent="0.3">
      <c r="B35" s="160" t="s">
        <v>325</v>
      </c>
      <c r="C35" s="164"/>
      <c r="D35" s="164"/>
      <c r="E35" s="164"/>
      <c r="F35" s="164"/>
      <c r="G35" s="164"/>
      <c r="H35" s="164"/>
      <c r="I35" s="164"/>
      <c r="J35" s="164"/>
      <c r="K35" s="164"/>
      <c r="L35" s="164"/>
      <c r="M35" s="164"/>
      <c r="N35" s="164"/>
    </row>
    <row r="36" spans="2:14" x14ac:dyDescent="0.3">
      <c r="B36" s="161" t="s">
        <v>326</v>
      </c>
      <c r="C36" s="164">
        <v>4049</v>
      </c>
      <c r="D36" s="164">
        <v>4447</v>
      </c>
      <c r="E36" s="164">
        <v>4926</v>
      </c>
      <c r="F36" s="164">
        <v>5925</v>
      </c>
      <c r="G36" s="164">
        <v>7039</v>
      </c>
      <c r="H36" s="164">
        <v>8103</v>
      </c>
      <c r="I36" s="164">
        <v>8408</v>
      </c>
      <c r="J36" s="164">
        <v>13609</v>
      </c>
      <c r="K36" s="164">
        <v>16584</v>
      </c>
      <c r="L36" s="164">
        <v>19051</v>
      </c>
      <c r="M36" s="164">
        <v>28184</v>
      </c>
      <c r="N36" s="164">
        <v>42743</v>
      </c>
    </row>
    <row r="37" spans="2:14" x14ac:dyDescent="0.3">
      <c r="B37" s="161" t="s">
        <v>330</v>
      </c>
      <c r="C37" s="164">
        <v>190</v>
      </c>
      <c r="D37" s="164">
        <v>192</v>
      </c>
      <c r="E37" s="164">
        <v>208</v>
      </c>
      <c r="F37" s="164">
        <v>296</v>
      </c>
      <c r="G37" s="164">
        <v>420</v>
      </c>
      <c r="H37" s="164">
        <v>312</v>
      </c>
      <c r="I37" s="164">
        <v>366</v>
      </c>
      <c r="J37" s="164">
        <v>565</v>
      </c>
      <c r="K37" s="164">
        <v>674</v>
      </c>
      <c r="L37" s="164">
        <v>1018</v>
      </c>
      <c r="M37" s="164">
        <v>1068</v>
      </c>
      <c r="N37" s="164">
        <v>916</v>
      </c>
    </row>
    <row r="38" spans="2:14" x14ac:dyDescent="0.3">
      <c r="B38" s="161" t="s">
        <v>327</v>
      </c>
      <c r="C38" s="164">
        <v>214</v>
      </c>
      <c r="D38" s="164">
        <v>116</v>
      </c>
      <c r="E38" s="164">
        <v>779</v>
      </c>
      <c r="F38" s="164">
        <v>618</v>
      </c>
      <c r="G38" s="164">
        <v>1066</v>
      </c>
      <c r="H38" s="164">
        <v>381</v>
      </c>
      <c r="I38" s="164">
        <v>560</v>
      </c>
      <c r="J38" s="164">
        <v>1573</v>
      </c>
      <c r="K38" s="164">
        <v>1343</v>
      </c>
      <c r="L38" s="164">
        <v>1526</v>
      </c>
      <c r="M38" s="164">
        <v>1584</v>
      </c>
      <c r="N38" s="164">
        <v>1917</v>
      </c>
    </row>
    <row r="39" spans="2:14" x14ac:dyDescent="0.3">
      <c r="B39" s="161" t="s">
        <v>328</v>
      </c>
      <c r="C39" s="164">
        <v>47</v>
      </c>
      <c r="D39" s="164">
        <v>87</v>
      </c>
      <c r="E39" s="164">
        <v>122</v>
      </c>
      <c r="F39" s="164">
        <v>141</v>
      </c>
      <c r="G39" s="164">
        <v>25</v>
      </c>
      <c r="H39" s="164">
        <v>142</v>
      </c>
      <c r="I39" s="164">
        <v>109</v>
      </c>
      <c r="J39" s="164">
        <v>29</v>
      </c>
      <c r="K39" s="164">
        <v>167</v>
      </c>
      <c r="L39" s="164">
        <v>151</v>
      </c>
      <c r="M39" s="164">
        <v>324</v>
      </c>
      <c r="N39" s="164">
        <v>399</v>
      </c>
    </row>
    <row r="40" spans="2:14" ht="15" thickBot="1" x14ac:dyDescent="0.35">
      <c r="B40" t="s">
        <v>329</v>
      </c>
      <c r="C40" s="10">
        <v>611</v>
      </c>
      <c r="D40" s="10">
        <v>591</v>
      </c>
      <c r="E40" s="10">
        <v>602</v>
      </c>
      <c r="F40" s="10">
        <v>988</v>
      </c>
      <c r="G40" s="10">
        <v>1452</v>
      </c>
      <c r="H40" s="10">
        <v>1797</v>
      </c>
      <c r="I40" s="10">
        <v>1622</v>
      </c>
      <c r="J40" s="10">
        <v>2489</v>
      </c>
      <c r="K40" s="10">
        <v>2595</v>
      </c>
      <c r="L40" s="10">
        <v>3650</v>
      </c>
      <c r="M40" s="10">
        <v>3330</v>
      </c>
      <c r="N40" s="10">
        <v>4039</v>
      </c>
    </row>
    <row r="41" spans="2:14" ht="15" thickBot="1" x14ac:dyDescent="0.35">
      <c r="B41" s="163" t="s">
        <v>47</v>
      </c>
      <c r="C41" s="171">
        <f>SUM(C36:C40,C32:C33,C30)</f>
        <v>5868</v>
      </c>
      <c r="D41" s="171">
        <f t="shared" ref="D41:N41" si="1">SUM(D36:D40,D32:D33,D30)</f>
        <v>6340</v>
      </c>
      <c r="E41" s="171">
        <f t="shared" si="1"/>
        <v>8408</v>
      </c>
      <c r="F41" s="171">
        <f t="shared" si="1"/>
        <v>9521</v>
      </c>
      <c r="G41" s="171">
        <f t="shared" si="1"/>
        <v>11708</v>
      </c>
      <c r="H41" s="171">
        <f t="shared" si="1"/>
        <v>13544</v>
      </c>
      <c r="I41" s="171">
        <f t="shared" si="1"/>
        <v>16444</v>
      </c>
      <c r="J41" s="171">
        <f t="shared" si="1"/>
        <v>21188</v>
      </c>
      <c r="K41" s="171">
        <f t="shared" si="1"/>
        <v>27020</v>
      </c>
      <c r="L41" s="171">
        <f t="shared" si="1"/>
        <v>31547</v>
      </c>
      <c r="M41" s="171">
        <f t="shared" si="1"/>
        <v>40645</v>
      </c>
      <c r="N41" s="171">
        <f t="shared" si="1"/>
        <v>60561</v>
      </c>
    </row>
    <row r="42" spans="2:14" ht="15" thickTop="1" x14ac:dyDescent="0.3"/>
    <row r="43" spans="2:14" x14ac:dyDescent="0.3">
      <c r="B43" s="124" t="s">
        <v>135</v>
      </c>
      <c r="C43" s="159">
        <v>42064</v>
      </c>
      <c r="D43" s="159">
        <v>42430</v>
      </c>
      <c r="E43" s="159">
        <v>42795</v>
      </c>
      <c r="F43" s="159">
        <v>43160</v>
      </c>
      <c r="G43" s="159">
        <v>43525</v>
      </c>
      <c r="H43" s="159">
        <v>43891</v>
      </c>
      <c r="I43" s="159">
        <v>44256</v>
      </c>
      <c r="J43" s="159">
        <v>44621</v>
      </c>
      <c r="K43" s="159">
        <v>44986</v>
      </c>
      <c r="L43" s="159">
        <v>45352</v>
      </c>
      <c r="M43" s="159">
        <v>45717</v>
      </c>
      <c r="N43" s="159">
        <v>46082</v>
      </c>
    </row>
    <row r="45" spans="2:14" x14ac:dyDescent="0.3">
      <c r="B45" s="160" t="s">
        <v>49</v>
      </c>
      <c r="C45" s="161"/>
      <c r="D45" s="161"/>
      <c r="E45" s="162"/>
      <c r="F45" s="161"/>
      <c r="G45" s="162"/>
      <c r="H45" s="161"/>
      <c r="I45" s="162"/>
      <c r="J45" s="161"/>
      <c r="K45" s="162"/>
      <c r="L45" s="162"/>
      <c r="M45" s="161"/>
      <c r="N45" s="162"/>
    </row>
    <row r="46" spans="2:14" x14ac:dyDescent="0.3">
      <c r="B46" s="161" t="s">
        <v>50</v>
      </c>
      <c r="C46" s="162">
        <v>1163</v>
      </c>
      <c r="D46" s="161">
        <v>942</v>
      </c>
      <c r="E46" s="162">
        <v>1073</v>
      </c>
      <c r="F46" s="162">
        <v>1642</v>
      </c>
      <c r="G46" s="162">
        <v>2183</v>
      </c>
      <c r="H46" s="162">
        <v>2481</v>
      </c>
      <c r="I46" s="162">
        <v>1789</v>
      </c>
      <c r="J46" s="162">
        <v>3298</v>
      </c>
      <c r="K46" s="162">
        <v>4937</v>
      </c>
      <c r="L46" s="162">
        <v>5404</v>
      </c>
      <c r="M46" s="162">
        <v>5774</v>
      </c>
      <c r="N46" s="162">
        <v>8447</v>
      </c>
    </row>
    <row r="47" spans="2:14" x14ac:dyDescent="0.3">
      <c r="B47" s="161" t="s">
        <v>43</v>
      </c>
      <c r="C47" s="161">
        <v>-39</v>
      </c>
      <c r="D47" s="161">
        <v>0</v>
      </c>
      <c r="E47" s="161">
        <v>-12</v>
      </c>
      <c r="F47" s="161">
        <v>-90</v>
      </c>
      <c r="G47" s="161">
        <v>-139</v>
      </c>
      <c r="H47" s="161">
        <v>109</v>
      </c>
      <c r="I47" s="161">
        <v>-59</v>
      </c>
      <c r="J47" s="161">
        <v>-207</v>
      </c>
      <c r="K47" s="161">
        <v>-112</v>
      </c>
      <c r="L47" s="161">
        <v>-348</v>
      </c>
      <c r="M47" s="161">
        <v>-95</v>
      </c>
      <c r="N47" s="161">
        <v>210</v>
      </c>
    </row>
    <row r="48" spans="2:14" x14ac:dyDescent="0.3">
      <c r="B48" s="161" t="s">
        <v>44</v>
      </c>
      <c r="C48" s="161">
        <v>-180</v>
      </c>
      <c r="D48" s="161">
        <v>-398</v>
      </c>
      <c r="E48" s="161">
        <v>-448</v>
      </c>
      <c r="F48" s="161">
        <v>-996</v>
      </c>
      <c r="G48" s="162">
        <v>-1120</v>
      </c>
      <c r="H48" s="162">
        <v>-1057</v>
      </c>
      <c r="I48" s="161">
        <v>-316</v>
      </c>
      <c r="J48" s="162">
        <v>-5199</v>
      </c>
      <c r="K48" s="162">
        <v>-2977</v>
      </c>
      <c r="L48" s="162">
        <v>-2462</v>
      </c>
      <c r="M48" s="162">
        <v>-9072</v>
      </c>
      <c r="N48" s="162">
        <v>-11592</v>
      </c>
    </row>
    <row r="49" spans="2:14" x14ac:dyDescent="0.3">
      <c r="B49" s="161" t="s">
        <v>51</v>
      </c>
      <c r="C49" s="162">
        <v>1079</v>
      </c>
      <c r="D49" s="161">
        <v>-245</v>
      </c>
      <c r="E49" s="161">
        <v>238</v>
      </c>
      <c r="F49" s="161">
        <v>95</v>
      </c>
      <c r="G49" s="161">
        <v>32</v>
      </c>
      <c r="H49" s="161">
        <v>-310</v>
      </c>
      <c r="I49" s="161">
        <v>195</v>
      </c>
      <c r="J49" s="161">
        <v>504</v>
      </c>
      <c r="K49" s="161">
        <v>-89</v>
      </c>
      <c r="L49" s="161">
        <v>196</v>
      </c>
      <c r="M49" s="161">
        <v>564</v>
      </c>
      <c r="N49" s="161">
        <v>472</v>
      </c>
    </row>
    <row r="50" spans="2:14" x14ac:dyDescent="0.3">
      <c r="B50" s="161" t="s">
        <v>52</v>
      </c>
      <c r="C50" s="161">
        <v>-71</v>
      </c>
      <c r="D50" s="161">
        <v>-66</v>
      </c>
      <c r="E50" s="161">
        <v>0</v>
      </c>
      <c r="F50" s="161">
        <v>3</v>
      </c>
      <c r="G50" s="161">
        <v>-24</v>
      </c>
      <c r="H50" s="161">
        <v>-20</v>
      </c>
      <c r="I50" s="161">
        <v>-8</v>
      </c>
      <c r="J50" s="161">
        <v>-3</v>
      </c>
      <c r="K50" s="161">
        <v>-18</v>
      </c>
      <c r="L50" s="161">
        <v>-21</v>
      </c>
      <c r="M50" s="161">
        <v>4</v>
      </c>
      <c r="N50" s="161">
        <v>-8</v>
      </c>
    </row>
    <row r="51" spans="2:14" x14ac:dyDescent="0.3">
      <c r="B51" s="161" t="s">
        <v>53</v>
      </c>
      <c r="C51" s="161">
        <v>0</v>
      </c>
      <c r="D51" s="161">
        <v>0</v>
      </c>
      <c r="E51" s="161">
        <v>763</v>
      </c>
      <c r="F51" s="161">
        <v>-270</v>
      </c>
      <c r="G51" s="161">
        <v>741</v>
      </c>
      <c r="H51" s="161">
        <v>-768</v>
      </c>
      <c r="I51" s="162">
        <v>2625</v>
      </c>
      <c r="J51" s="162">
        <v>1188</v>
      </c>
      <c r="K51" s="161">
        <v>-99</v>
      </c>
      <c r="L51" s="161">
        <v>42</v>
      </c>
      <c r="M51" s="162">
        <v>2468</v>
      </c>
      <c r="N51" s="162">
        <v>7304</v>
      </c>
    </row>
    <row r="52" spans="2:14" x14ac:dyDescent="0.3">
      <c r="B52" s="161" t="s">
        <v>54</v>
      </c>
      <c r="C52" s="162">
        <v>-1204</v>
      </c>
      <c r="D52" s="161">
        <v>545</v>
      </c>
      <c r="E52" s="161">
        <v>375</v>
      </c>
      <c r="F52" s="161">
        <v>22</v>
      </c>
      <c r="G52" s="161">
        <v>206</v>
      </c>
      <c r="H52" s="161">
        <v>-226</v>
      </c>
      <c r="I52" s="161">
        <v>184</v>
      </c>
      <c r="J52" s="161">
        <v>497</v>
      </c>
      <c r="K52" s="161">
        <v>882</v>
      </c>
      <c r="L52" s="161">
        <v>57</v>
      </c>
      <c r="M52" s="161">
        <v>905</v>
      </c>
      <c r="N52" s="162">
        <v>2494</v>
      </c>
    </row>
    <row r="53" spans="2:14" x14ac:dyDescent="0.3">
      <c r="B53" s="161" t="s">
        <v>55</v>
      </c>
      <c r="C53" s="161">
        <v>-415</v>
      </c>
      <c r="D53" s="161">
        <v>-163</v>
      </c>
      <c r="E53" s="161">
        <v>916</v>
      </c>
      <c r="F53" s="162">
        <v>-1237</v>
      </c>
      <c r="G53" s="161">
        <v>-304</v>
      </c>
      <c r="H53" s="162">
        <v>-2272</v>
      </c>
      <c r="I53" s="162">
        <v>2621</v>
      </c>
      <c r="J53" s="162">
        <v>-3220</v>
      </c>
      <c r="K53" s="162">
        <v>-2413</v>
      </c>
      <c r="L53" s="162">
        <v>-2536</v>
      </c>
      <c r="M53" s="162">
        <v>-5226</v>
      </c>
      <c r="N53" s="162">
        <v>-1120</v>
      </c>
    </row>
    <row r="54" spans="2:14" ht="15" thickBot="1" x14ac:dyDescent="0.35">
      <c r="B54" t="s">
        <v>56</v>
      </c>
      <c r="C54">
        <v>-245</v>
      </c>
      <c r="D54">
        <v>-202</v>
      </c>
      <c r="E54">
        <v>-277</v>
      </c>
      <c r="F54">
        <v>-456</v>
      </c>
      <c r="G54">
        <v>-636</v>
      </c>
      <c r="H54">
        <v>-557</v>
      </c>
      <c r="I54">
        <v>-271</v>
      </c>
      <c r="J54">
        <v>-802</v>
      </c>
      <c r="K54" s="69">
        <v>-1154</v>
      </c>
      <c r="L54" s="69">
        <v>-1173</v>
      </c>
      <c r="M54" s="69">
        <v>-1089</v>
      </c>
      <c r="N54" s="69">
        <v>-1737</v>
      </c>
    </row>
    <row r="55" spans="2:14" ht="15" thickBot="1" x14ac:dyDescent="0.35">
      <c r="B55" s="163" t="s">
        <v>152</v>
      </c>
      <c r="C55" s="172">
        <f>SUM(C53:C54,C46)</f>
        <v>503</v>
      </c>
      <c r="D55" s="172">
        <f t="shared" ref="D55:N55" si="2">SUM(D53:D54,D46)</f>
        <v>577</v>
      </c>
      <c r="E55" s="172">
        <f t="shared" si="2"/>
        <v>1712</v>
      </c>
      <c r="F55" s="172">
        <f t="shared" si="2"/>
        <v>-51</v>
      </c>
      <c r="G55" s="172">
        <f t="shared" si="2"/>
        <v>1243</v>
      </c>
      <c r="H55" s="172">
        <f t="shared" si="2"/>
        <v>-348</v>
      </c>
      <c r="I55" s="172">
        <f t="shared" si="2"/>
        <v>4139</v>
      </c>
      <c r="J55" s="172">
        <f t="shared" si="2"/>
        <v>-724</v>
      </c>
      <c r="K55" s="172">
        <f t="shared" si="2"/>
        <v>1370</v>
      </c>
      <c r="L55" s="172">
        <f t="shared" si="2"/>
        <v>1695</v>
      </c>
      <c r="M55" s="172">
        <f t="shared" si="2"/>
        <v>-541</v>
      </c>
      <c r="N55" s="172">
        <f t="shared" si="2"/>
        <v>5590</v>
      </c>
    </row>
    <row r="56" spans="2:14" ht="15" thickTop="1" x14ac:dyDescent="0.3">
      <c r="B56" s="79"/>
      <c r="K56" s="69"/>
      <c r="L56" s="69"/>
      <c r="M56" s="69"/>
      <c r="N56" s="69"/>
    </row>
    <row r="57" spans="2:14" x14ac:dyDescent="0.3">
      <c r="B57" s="160" t="s">
        <v>58</v>
      </c>
      <c r="C57" s="161"/>
      <c r="D57" s="161"/>
      <c r="E57" s="161"/>
      <c r="F57" s="161"/>
      <c r="G57" s="161"/>
      <c r="H57" s="161"/>
      <c r="I57" s="162"/>
      <c r="J57" s="162"/>
      <c r="K57" s="162"/>
      <c r="L57" s="161"/>
      <c r="M57" s="161"/>
      <c r="N57" s="162"/>
    </row>
    <row r="58" spans="2:14" x14ac:dyDescent="0.3">
      <c r="B58" s="161" t="s">
        <v>59</v>
      </c>
      <c r="C58" s="161">
        <v>-209</v>
      </c>
      <c r="D58" s="161">
        <v>-254</v>
      </c>
      <c r="E58" s="161">
        <v>-256</v>
      </c>
      <c r="F58" s="161">
        <v>-305</v>
      </c>
      <c r="G58" s="161">
        <v>-265</v>
      </c>
      <c r="H58" s="161">
        <v>-355</v>
      </c>
      <c r="I58" s="161">
        <v>-146</v>
      </c>
      <c r="J58" s="161">
        <v>-224</v>
      </c>
      <c r="K58" s="161">
        <v>-432</v>
      </c>
      <c r="L58" s="161">
        <v>-691</v>
      </c>
      <c r="M58" s="161">
        <v>-494</v>
      </c>
      <c r="N58" s="161">
        <v>-902</v>
      </c>
    </row>
    <row r="59" spans="2:14" x14ac:dyDescent="0.3">
      <c r="B59" s="161" t="s">
        <v>60</v>
      </c>
      <c r="C59" s="161">
        <v>2</v>
      </c>
      <c r="D59" s="161">
        <v>2</v>
      </c>
      <c r="E59" s="161">
        <v>5</v>
      </c>
      <c r="F59" s="161">
        <v>6</v>
      </c>
      <c r="G59" s="161">
        <v>1</v>
      </c>
      <c r="H59" s="161">
        <v>10</v>
      </c>
      <c r="I59" s="161">
        <v>7</v>
      </c>
      <c r="J59" s="161">
        <v>8</v>
      </c>
      <c r="K59" s="161">
        <v>12</v>
      </c>
      <c r="L59" s="161">
        <v>20</v>
      </c>
      <c r="M59" s="161">
        <v>24</v>
      </c>
      <c r="N59" s="161">
        <v>25</v>
      </c>
    </row>
    <row r="60" spans="2:14" x14ac:dyDescent="0.3">
      <c r="B60" s="161" t="s">
        <v>61</v>
      </c>
      <c r="C60" s="161">
        <v>-135</v>
      </c>
      <c r="D60" s="162">
        <v>-1078</v>
      </c>
      <c r="E60" s="161">
        <v>-325</v>
      </c>
      <c r="F60" s="161">
        <v>0</v>
      </c>
      <c r="G60" s="161">
        <v>-36</v>
      </c>
      <c r="H60" s="161">
        <v>-13</v>
      </c>
      <c r="I60" s="162">
        <v>-2656</v>
      </c>
      <c r="J60" s="161">
        <v>-253</v>
      </c>
      <c r="K60" s="162">
        <v>-2104</v>
      </c>
      <c r="L60" s="162">
        <v>-21893</v>
      </c>
      <c r="M60" s="162">
        <v>-15342</v>
      </c>
      <c r="N60" s="162">
        <v>-22035</v>
      </c>
    </row>
    <row r="61" spans="2:14" x14ac:dyDescent="0.3">
      <c r="B61" s="161" t="s">
        <v>62</v>
      </c>
      <c r="C61" s="161">
        <v>135</v>
      </c>
      <c r="D61" s="162">
        <v>1083</v>
      </c>
      <c r="E61" s="161">
        <v>0</v>
      </c>
      <c r="F61" s="161">
        <v>412</v>
      </c>
      <c r="G61" s="161">
        <v>18</v>
      </c>
      <c r="H61" s="161">
        <v>0</v>
      </c>
      <c r="I61" s="161">
        <v>43</v>
      </c>
      <c r="J61" s="162">
        <v>2870</v>
      </c>
      <c r="K61" s="161">
        <v>0</v>
      </c>
      <c r="L61" s="162">
        <v>22213</v>
      </c>
      <c r="M61" s="162">
        <v>15747</v>
      </c>
      <c r="N61" s="162">
        <v>20797</v>
      </c>
    </row>
    <row r="62" spans="2:14" x14ac:dyDescent="0.3">
      <c r="B62" s="161" t="s">
        <v>63</v>
      </c>
      <c r="C62" s="161">
        <v>77</v>
      </c>
      <c r="D62" s="161">
        <v>58</v>
      </c>
      <c r="E62" s="161">
        <v>41</v>
      </c>
      <c r="F62" s="161">
        <v>64</v>
      </c>
      <c r="G62" s="161">
        <v>85</v>
      </c>
      <c r="H62" s="161">
        <v>73</v>
      </c>
      <c r="I62" s="161">
        <v>49</v>
      </c>
      <c r="J62" s="161">
        <v>56</v>
      </c>
      <c r="K62" s="161">
        <v>143</v>
      </c>
      <c r="L62" s="161">
        <v>249</v>
      </c>
      <c r="M62" s="161">
        <v>288</v>
      </c>
      <c r="N62" s="161">
        <v>227</v>
      </c>
    </row>
    <row r="63" spans="2:14" x14ac:dyDescent="0.3">
      <c r="B63" s="161" t="s">
        <v>64</v>
      </c>
      <c r="C63" s="161">
        <v>0</v>
      </c>
      <c r="D63" s="161">
        <v>0</v>
      </c>
      <c r="E63" s="161">
        <v>0</v>
      </c>
      <c r="F63" s="161">
        <v>0</v>
      </c>
      <c r="G63" s="161">
        <v>0</v>
      </c>
      <c r="H63" s="161">
        <v>-39</v>
      </c>
      <c r="I63" s="161">
        <v>0</v>
      </c>
      <c r="J63" s="161">
        <v>0</v>
      </c>
      <c r="K63" s="161">
        <v>0</v>
      </c>
      <c r="L63" s="161">
        <v>0</v>
      </c>
      <c r="M63" s="161">
        <v>0</v>
      </c>
      <c r="N63" s="161">
        <v>0</v>
      </c>
    </row>
    <row r="64" spans="2:14" x14ac:dyDescent="0.3">
      <c r="B64" s="161" t="s">
        <v>65</v>
      </c>
      <c r="C64" s="161">
        <v>0</v>
      </c>
      <c r="D64" s="161">
        <v>-18</v>
      </c>
      <c r="E64" s="161">
        <v>0</v>
      </c>
      <c r="F64" s="161">
        <v>0</v>
      </c>
      <c r="G64" s="161">
        <v>0</v>
      </c>
      <c r="H64" s="161">
        <v>0</v>
      </c>
      <c r="I64" s="161">
        <v>0</v>
      </c>
      <c r="J64" s="161">
        <v>0</v>
      </c>
      <c r="K64" s="161">
        <v>0</v>
      </c>
      <c r="L64" s="161">
        <v>0</v>
      </c>
      <c r="M64" s="161">
        <v>0</v>
      </c>
      <c r="N64" s="161">
        <v>0</v>
      </c>
    </row>
    <row r="65" spans="2:14" x14ac:dyDescent="0.3">
      <c r="B65" s="161" t="s">
        <v>66</v>
      </c>
      <c r="C65" s="161">
        <v>0</v>
      </c>
      <c r="D65" s="161">
        <v>0</v>
      </c>
      <c r="E65" s="161">
        <v>-385</v>
      </c>
      <c r="F65" s="161">
        <v>0</v>
      </c>
      <c r="G65" s="161">
        <v>0</v>
      </c>
      <c r="H65" s="161">
        <v>0</v>
      </c>
      <c r="I65" s="161">
        <v>0</v>
      </c>
      <c r="J65" s="161">
        <v>0</v>
      </c>
      <c r="K65" s="161">
        <v>0</v>
      </c>
      <c r="L65" s="161">
        <v>0</v>
      </c>
      <c r="M65" s="161">
        <v>0</v>
      </c>
      <c r="N65" s="161">
        <v>0</v>
      </c>
    </row>
    <row r="66" spans="2:14" x14ac:dyDescent="0.3">
      <c r="B66" s="161" t="s">
        <v>67</v>
      </c>
      <c r="C66" s="161">
        <v>-48</v>
      </c>
      <c r="D66" s="161">
        <v>38</v>
      </c>
      <c r="E66" s="161">
        <v>5</v>
      </c>
      <c r="F66" s="161">
        <v>-35</v>
      </c>
      <c r="G66" s="161">
        <v>-115</v>
      </c>
      <c r="H66" s="161">
        <v>200</v>
      </c>
      <c r="I66" s="161">
        <v>-50</v>
      </c>
      <c r="J66" s="161">
        <v>-344</v>
      </c>
      <c r="K66" s="161">
        <v>294</v>
      </c>
      <c r="L66" s="161">
        <v>-143</v>
      </c>
      <c r="M66" s="161">
        <v>243</v>
      </c>
      <c r="N66" s="161">
        <v>0</v>
      </c>
    </row>
    <row r="67" spans="2:14" ht="15" thickBot="1" x14ac:dyDescent="0.35">
      <c r="B67" t="s">
        <v>68</v>
      </c>
      <c r="C67">
        <v>60</v>
      </c>
      <c r="D67">
        <v>10</v>
      </c>
      <c r="E67">
        <v>-38</v>
      </c>
      <c r="F67">
        <v>-43</v>
      </c>
      <c r="G67">
        <v>-485</v>
      </c>
      <c r="H67">
        <v>359</v>
      </c>
      <c r="I67">
        <v>-46</v>
      </c>
      <c r="J67">
        <v>-948</v>
      </c>
      <c r="K67">
        <v>273</v>
      </c>
      <c r="L67">
        <v>56</v>
      </c>
      <c r="M67">
        <v>80</v>
      </c>
      <c r="N67" s="69">
        <v>-1077</v>
      </c>
    </row>
    <row r="68" spans="2:14" ht="15" thickBot="1" x14ac:dyDescent="0.35">
      <c r="B68" s="163" t="s">
        <v>333</v>
      </c>
      <c r="C68" s="163">
        <f>SUM(C58:C67)</f>
        <v>-118</v>
      </c>
      <c r="D68" s="163">
        <f t="shared" ref="D68:N68" si="3">SUM(D58:D67)</f>
        <v>-159</v>
      </c>
      <c r="E68" s="163">
        <f t="shared" si="3"/>
        <v>-953</v>
      </c>
      <c r="F68" s="163">
        <f t="shared" si="3"/>
        <v>99</v>
      </c>
      <c r="G68" s="163">
        <f t="shared" si="3"/>
        <v>-797</v>
      </c>
      <c r="H68" s="163">
        <f t="shared" si="3"/>
        <v>235</v>
      </c>
      <c r="I68" s="163">
        <f t="shared" si="3"/>
        <v>-2799</v>
      </c>
      <c r="J68" s="163">
        <f t="shared" si="3"/>
        <v>1165</v>
      </c>
      <c r="K68" s="163">
        <f t="shared" si="3"/>
        <v>-1814</v>
      </c>
      <c r="L68" s="163">
        <f t="shared" si="3"/>
        <v>-189</v>
      </c>
      <c r="M68" s="163">
        <f t="shared" si="3"/>
        <v>546</v>
      </c>
      <c r="N68" s="163">
        <f t="shared" si="3"/>
        <v>-2965</v>
      </c>
    </row>
    <row r="69" spans="2:14" ht="15" thickTop="1" x14ac:dyDescent="0.3">
      <c r="N69" s="69"/>
    </row>
    <row r="70" spans="2:14" x14ac:dyDescent="0.3">
      <c r="B70" s="160" t="s">
        <v>70</v>
      </c>
      <c r="C70" s="162"/>
      <c r="D70" s="161"/>
      <c r="E70" s="161"/>
      <c r="F70" s="161"/>
      <c r="G70" s="161"/>
      <c r="H70" s="161"/>
      <c r="I70" s="162"/>
      <c r="J70" s="161"/>
      <c r="K70" s="161"/>
      <c r="L70" s="162"/>
      <c r="M70" s="161"/>
      <c r="N70" s="162"/>
    </row>
    <row r="71" spans="2:14" x14ac:dyDescent="0.3">
      <c r="B71" s="161" t="s">
        <v>71</v>
      </c>
      <c r="C71" s="161">
        <v>0</v>
      </c>
      <c r="D71" s="161">
        <v>0</v>
      </c>
      <c r="E71" s="161">
        <v>0</v>
      </c>
      <c r="F71" s="161">
        <v>0</v>
      </c>
      <c r="G71" s="161">
        <v>0</v>
      </c>
      <c r="H71" s="161">
        <v>693</v>
      </c>
      <c r="I71" s="161">
        <v>0</v>
      </c>
      <c r="J71" s="161">
        <v>349</v>
      </c>
      <c r="K71" s="162">
        <v>1684</v>
      </c>
      <c r="L71" s="162">
        <v>5629</v>
      </c>
      <c r="M71" s="162">
        <v>2599</v>
      </c>
      <c r="N71" s="162">
        <v>3314</v>
      </c>
    </row>
    <row r="72" spans="2:14" x14ac:dyDescent="0.3">
      <c r="B72" s="161" t="s">
        <v>72</v>
      </c>
      <c r="C72" s="161">
        <v>0</v>
      </c>
      <c r="D72" s="161">
        <v>0</v>
      </c>
      <c r="E72" s="161">
        <v>0</v>
      </c>
      <c r="F72" s="161">
        <v>0</v>
      </c>
      <c r="G72" s="161">
        <v>-39</v>
      </c>
      <c r="H72" s="161">
        <v>0</v>
      </c>
      <c r="I72" s="161">
        <v>-562</v>
      </c>
      <c r="J72" s="161">
        <v>-7</v>
      </c>
      <c r="K72" s="161">
        <v>-7</v>
      </c>
      <c r="L72" s="161">
        <v>0</v>
      </c>
      <c r="M72" s="161">
        <v>-378</v>
      </c>
      <c r="N72" s="162">
        <v>-2632</v>
      </c>
    </row>
    <row r="73" spans="2:14" x14ac:dyDescent="0.3">
      <c r="B73" s="161" t="s">
        <v>73</v>
      </c>
      <c r="C73" s="161">
        <v>-81</v>
      </c>
      <c r="D73" s="161">
        <v>-42</v>
      </c>
      <c r="E73" s="161">
        <v>-38</v>
      </c>
      <c r="F73" s="161">
        <v>-54</v>
      </c>
      <c r="G73" s="161">
        <v>-53</v>
      </c>
      <c r="H73" s="161">
        <v>-399</v>
      </c>
      <c r="I73" s="161">
        <v>-317</v>
      </c>
      <c r="J73" s="161">
        <v>-218</v>
      </c>
      <c r="K73" s="161">
        <v>-300</v>
      </c>
      <c r="L73" s="161">
        <v>-619</v>
      </c>
      <c r="M73" s="161">
        <v>-538</v>
      </c>
      <c r="N73" s="162">
        <v>-1000</v>
      </c>
    </row>
    <row r="74" spans="2:14" x14ac:dyDescent="0.3">
      <c r="B74" s="161" t="s">
        <v>74</v>
      </c>
      <c r="C74" s="161">
        <v>-185</v>
      </c>
      <c r="D74" s="161">
        <v>-394</v>
      </c>
      <c r="E74" s="161">
        <v>-4</v>
      </c>
      <c r="F74" s="161">
        <v>-277</v>
      </c>
      <c r="G74" s="161">
        <v>-397</v>
      </c>
      <c r="H74" s="161">
        <v>-536</v>
      </c>
      <c r="I74" s="161">
        <v>-355</v>
      </c>
      <c r="J74" s="161">
        <v>-355</v>
      </c>
      <c r="K74" s="161">
        <v>-666</v>
      </c>
      <c r="L74" s="161">
        <v>-888</v>
      </c>
      <c r="M74" s="161">
        <v>-976</v>
      </c>
      <c r="N74" s="161">
        <v>-976</v>
      </c>
    </row>
    <row r="75" spans="2:14" x14ac:dyDescent="0.3">
      <c r="B75" s="161" t="s">
        <v>75</v>
      </c>
      <c r="C75" s="161">
        <v>0</v>
      </c>
      <c r="D75" s="161">
        <v>0</v>
      </c>
      <c r="E75" s="161">
        <v>0</v>
      </c>
      <c r="F75" s="161">
        <v>0</v>
      </c>
      <c r="G75" s="161">
        <v>0</v>
      </c>
      <c r="H75" s="161">
        <v>0</v>
      </c>
      <c r="I75" s="161">
        <v>0</v>
      </c>
      <c r="J75" s="161">
        <v>-172</v>
      </c>
      <c r="K75" s="161">
        <v>-254</v>
      </c>
      <c r="L75" s="161">
        <v>-318</v>
      </c>
      <c r="M75" s="161">
        <v>-700</v>
      </c>
      <c r="N75" s="161">
        <v>-865</v>
      </c>
    </row>
    <row r="76" spans="2:14" ht="15" thickBot="1" x14ac:dyDescent="0.35">
      <c r="B76" t="s">
        <v>76</v>
      </c>
      <c r="C76">
        <v>-739</v>
      </c>
      <c r="D76">
        <v>-68</v>
      </c>
      <c r="E76">
        <v>-124</v>
      </c>
      <c r="F76">
        <v>79</v>
      </c>
      <c r="G76">
        <v>0</v>
      </c>
      <c r="H76">
        <v>0</v>
      </c>
      <c r="I76">
        <v>0</v>
      </c>
      <c r="J76">
        <v>0</v>
      </c>
      <c r="K76">
        <v>0</v>
      </c>
      <c r="L76" s="69">
        <v>-5133</v>
      </c>
      <c r="M76">
        <v>-14</v>
      </c>
      <c r="N76">
        <v>0</v>
      </c>
    </row>
    <row r="77" spans="2:14" ht="15" thickBot="1" x14ac:dyDescent="0.35">
      <c r="B77" s="163" t="s">
        <v>161</v>
      </c>
      <c r="C77" s="163">
        <f>SUM(C71:C76)</f>
        <v>-1005</v>
      </c>
      <c r="D77" s="163">
        <f t="shared" ref="D77:N77" si="4">SUM(D71:D76)</f>
        <v>-504</v>
      </c>
      <c r="E77" s="163">
        <f t="shared" si="4"/>
        <v>-166</v>
      </c>
      <c r="F77" s="163">
        <f t="shared" si="4"/>
        <v>-252</v>
      </c>
      <c r="G77" s="163">
        <f t="shared" si="4"/>
        <v>-489</v>
      </c>
      <c r="H77" s="163">
        <f t="shared" si="4"/>
        <v>-242</v>
      </c>
      <c r="I77" s="163">
        <f t="shared" si="4"/>
        <v>-1234</v>
      </c>
      <c r="J77" s="163">
        <f t="shared" si="4"/>
        <v>-403</v>
      </c>
      <c r="K77" s="163">
        <f t="shared" si="4"/>
        <v>457</v>
      </c>
      <c r="L77" s="163">
        <f t="shared" si="4"/>
        <v>-1329</v>
      </c>
      <c r="M77" s="163">
        <f t="shared" si="4"/>
        <v>-7</v>
      </c>
      <c r="N77" s="163">
        <f t="shared" si="4"/>
        <v>-2159</v>
      </c>
    </row>
    <row r="78" spans="2:14" ht="15.6" thickTop="1" thickBot="1" x14ac:dyDescent="0.35">
      <c r="L78" s="69"/>
    </row>
    <row r="79" spans="2:14" ht="15.6" thickTop="1" thickBot="1" x14ac:dyDescent="0.35">
      <c r="B79" s="173" t="s">
        <v>78</v>
      </c>
      <c r="C79" s="174">
        <f>SUM(C77,C68,C55)</f>
        <v>-620</v>
      </c>
      <c r="D79" s="174">
        <f t="shared" ref="D79:N79" si="5">SUM(D77,D68,D55)</f>
        <v>-86</v>
      </c>
      <c r="E79" s="174">
        <f t="shared" si="5"/>
        <v>593</v>
      </c>
      <c r="F79" s="174">
        <f t="shared" si="5"/>
        <v>-204</v>
      </c>
      <c r="G79" s="174">
        <f t="shared" si="5"/>
        <v>-43</v>
      </c>
      <c r="H79" s="174">
        <f t="shared" si="5"/>
        <v>-355</v>
      </c>
      <c r="I79" s="174">
        <f t="shared" si="5"/>
        <v>106</v>
      </c>
      <c r="J79" s="174">
        <f t="shared" si="5"/>
        <v>38</v>
      </c>
      <c r="K79" s="174">
        <f t="shared" si="5"/>
        <v>13</v>
      </c>
      <c r="L79" s="174">
        <f t="shared" si="5"/>
        <v>177</v>
      </c>
      <c r="M79" s="174">
        <f t="shared" si="5"/>
        <v>-2</v>
      </c>
      <c r="N79" s="174">
        <f t="shared" si="5"/>
        <v>466</v>
      </c>
    </row>
    <row r="80" spans="2:14" ht="15" thickTop="1" x14ac:dyDescent="0.3">
      <c r="B80" s="79"/>
      <c r="C80" s="158"/>
      <c r="D80" s="158"/>
      <c r="E80" s="158"/>
      <c r="F80" s="158"/>
      <c r="G80" s="158"/>
      <c r="H80" s="158"/>
      <c r="I80" s="158"/>
      <c r="J80" s="158"/>
      <c r="K80" s="158"/>
      <c r="L80" s="158"/>
      <c r="M80" s="158"/>
      <c r="N80" s="158"/>
    </row>
    <row r="81" spans="2:14" x14ac:dyDescent="0.3">
      <c r="B81" s="161" t="s">
        <v>331</v>
      </c>
      <c r="C81" s="161">
        <v>296</v>
      </c>
      <c r="D81" s="161">
        <v>324</v>
      </c>
      <c r="E81" s="162">
        <v>1461</v>
      </c>
      <c r="F81" s="161">
        <v>-350</v>
      </c>
      <c r="G81" s="161">
        <v>980</v>
      </c>
      <c r="H81" s="161">
        <v>-693</v>
      </c>
      <c r="I81" s="162">
        <v>4000</v>
      </c>
      <c r="J81" s="161">
        <v>-940</v>
      </c>
      <c r="K81" s="161">
        <v>950</v>
      </c>
      <c r="L81" s="162">
        <v>1024</v>
      </c>
      <c r="M81" s="162">
        <v>-1011</v>
      </c>
      <c r="N81" s="162">
        <v>4713</v>
      </c>
    </row>
    <row r="82" spans="2:14" x14ac:dyDescent="0.3">
      <c r="B82" s="161" t="s">
        <v>332</v>
      </c>
      <c r="C82" s="166">
        <v>0.65</v>
      </c>
      <c r="D82" s="166">
        <v>0.83</v>
      </c>
      <c r="E82" s="166">
        <v>1.71</v>
      </c>
      <c r="F82" s="166">
        <v>0.25</v>
      </c>
      <c r="G82" s="166">
        <v>0.94</v>
      </c>
      <c r="H82" s="166">
        <v>0.08</v>
      </c>
      <c r="I82" s="166">
        <v>2.56</v>
      </c>
      <c r="J82" s="166">
        <v>0.02</v>
      </c>
      <c r="K82" s="166">
        <v>0.52</v>
      </c>
      <c r="L82" s="166">
        <v>0.54</v>
      </c>
      <c r="M82" s="166">
        <v>0.1</v>
      </c>
      <c r="N82" s="166">
        <v>0.88</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
  <sheetViews>
    <sheetView zoomScaleNormal="100" workbookViewId="0">
      <selection activeCell="O23" sqref="O23"/>
    </sheetView>
  </sheetViews>
  <sheetFormatPr defaultColWidth="8.6640625" defaultRowHeight="14.4" x14ac:dyDescent="0.3"/>
  <sheetData/>
  <pageMargins left="0.7" right="0.7" top="0.75" bottom="0.75" header="0.511811023622047" footer="0.511811023622047"/>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8D67E-243D-43BA-AAE8-CBBDF740C2FF}">
  <sheetPr>
    <tabColor rgb="FFFF0000"/>
  </sheetPr>
  <dimension ref="B2:N21"/>
  <sheetViews>
    <sheetView workbookViewId="0">
      <selection activeCell="G12" sqref="G12"/>
    </sheetView>
  </sheetViews>
  <sheetFormatPr defaultRowHeight="14.4" x14ac:dyDescent="0.3"/>
  <cols>
    <col min="2" max="2" width="49.5546875" bestFit="1" customWidth="1"/>
    <col min="3" max="3" width="17.5546875" customWidth="1"/>
    <col min="4" max="4" width="14.5546875" bestFit="1" customWidth="1"/>
    <col min="5" max="5" width="16.88671875" customWidth="1"/>
    <col min="6" max="6" width="11.44140625" customWidth="1"/>
    <col min="7" max="7" width="15.6640625" customWidth="1"/>
    <col min="8" max="8" width="10.33203125" customWidth="1"/>
    <col min="9" max="9" width="10.6640625" customWidth="1"/>
    <col min="10" max="10" width="11.6640625" customWidth="1"/>
    <col min="11" max="11" width="14.5546875" customWidth="1"/>
    <col min="12" max="12" width="15.77734375" customWidth="1"/>
  </cols>
  <sheetData>
    <row r="2" spans="2:14" x14ac:dyDescent="0.3">
      <c r="B2" s="224" t="s">
        <v>215</v>
      </c>
      <c r="C2" s="233" t="s">
        <v>216</v>
      </c>
      <c r="D2" s="225" t="s">
        <v>217</v>
      </c>
      <c r="E2" s="225" t="s">
        <v>218</v>
      </c>
      <c r="F2" s="225" t="s">
        <v>219</v>
      </c>
      <c r="G2" s="225" t="s">
        <v>220</v>
      </c>
      <c r="H2" s="225" t="s">
        <v>221</v>
      </c>
      <c r="I2" s="225" t="s">
        <v>222</v>
      </c>
      <c r="J2" s="225" t="s">
        <v>223</v>
      </c>
      <c r="K2" s="225" t="s">
        <v>224</v>
      </c>
      <c r="L2" s="226" t="s">
        <v>225</v>
      </c>
    </row>
    <row r="3" spans="2:14" x14ac:dyDescent="0.3">
      <c r="B3" s="139">
        <v>1</v>
      </c>
      <c r="C3" s="231" t="s">
        <v>226</v>
      </c>
      <c r="D3" s="227">
        <v>4584.3999999999996</v>
      </c>
      <c r="E3" s="227">
        <v>88.78</v>
      </c>
      <c r="F3" s="227">
        <v>30621</v>
      </c>
      <c r="G3" s="227">
        <v>1917</v>
      </c>
      <c r="H3" s="227">
        <v>435707.03199999995</v>
      </c>
      <c r="I3" s="227">
        <v>87584</v>
      </c>
      <c r="J3" s="235">
        <f>H3/L3</f>
        <v>52.155498204452954</v>
      </c>
      <c r="K3" s="227">
        <v>5073</v>
      </c>
      <c r="L3" s="228">
        <v>8354</v>
      </c>
    </row>
    <row r="4" spans="2:14" x14ac:dyDescent="0.3">
      <c r="B4" s="139">
        <v>2</v>
      </c>
      <c r="C4" s="231" t="s">
        <v>227</v>
      </c>
      <c r="D4" s="227">
        <v>573.54999999999995</v>
      </c>
      <c r="E4" s="227">
        <v>103.27</v>
      </c>
      <c r="F4" s="227">
        <v>6117.33</v>
      </c>
      <c r="G4" s="227">
        <v>860.91</v>
      </c>
      <c r="H4" s="227">
        <v>64486.928499999995</v>
      </c>
      <c r="I4" s="227">
        <v>35742.86</v>
      </c>
      <c r="J4" s="235">
        <f t="shared" ref="J4:J9" si="0">H4/L4</f>
        <v>23.890949422425738</v>
      </c>
      <c r="K4" s="227">
        <v>1350.4</v>
      </c>
      <c r="L4" s="228">
        <v>2699.22</v>
      </c>
    </row>
    <row r="5" spans="2:14" x14ac:dyDescent="0.3">
      <c r="B5" s="139">
        <v>3</v>
      </c>
      <c r="C5" s="231" t="s">
        <v>228</v>
      </c>
      <c r="D5" s="227">
        <v>6906.5</v>
      </c>
      <c r="E5" s="227">
        <v>3.11</v>
      </c>
      <c r="F5" s="227">
        <v>913.21</v>
      </c>
      <c r="G5" s="227">
        <v>381.23</v>
      </c>
      <c r="H5" s="227">
        <v>22011.195</v>
      </c>
      <c r="I5" s="227">
        <v>8499.33</v>
      </c>
      <c r="J5" s="235">
        <f t="shared" si="0"/>
        <v>38.008003522585994</v>
      </c>
      <c r="K5" s="227">
        <v>351.65</v>
      </c>
      <c r="L5" s="228">
        <v>579.12</v>
      </c>
      <c r="N5" s="227"/>
    </row>
    <row r="6" spans="2:14" x14ac:dyDescent="0.3">
      <c r="B6" s="139">
        <v>4</v>
      </c>
      <c r="C6" s="231" t="s">
        <v>392</v>
      </c>
      <c r="D6" s="227">
        <v>772.4</v>
      </c>
      <c r="E6" s="227">
        <v>15.24</v>
      </c>
      <c r="F6" s="227">
        <v>1699.09</v>
      </c>
      <c r="G6" s="227">
        <v>511.67</v>
      </c>
      <c r="H6" s="227">
        <v>12958.796</v>
      </c>
      <c r="I6" s="227">
        <v>2680.6</v>
      </c>
      <c r="J6" s="235">
        <f t="shared" si="0"/>
        <v>29.892037276250232</v>
      </c>
      <c r="K6" s="227">
        <v>53.89</v>
      </c>
      <c r="L6" s="228">
        <v>433.52</v>
      </c>
    </row>
    <row r="7" spans="2:14" x14ac:dyDescent="0.3">
      <c r="B7" s="139">
        <v>5</v>
      </c>
      <c r="C7" s="231" t="s">
        <v>393</v>
      </c>
      <c r="D7" s="227">
        <v>653.70000000000005</v>
      </c>
      <c r="E7" s="227">
        <v>15.49</v>
      </c>
      <c r="F7" s="227">
        <v>869.11</v>
      </c>
      <c r="G7" s="227">
        <v>235.44</v>
      </c>
      <c r="H7" s="227">
        <v>10759.483</v>
      </c>
      <c r="I7" s="227">
        <v>6294.89</v>
      </c>
      <c r="J7" s="235">
        <f t="shared" si="0"/>
        <v>22.856044609665428</v>
      </c>
      <c r="K7" s="227">
        <v>281.83</v>
      </c>
      <c r="L7" s="228">
        <v>470.75</v>
      </c>
    </row>
    <row r="8" spans="2:14" x14ac:dyDescent="0.3">
      <c r="B8" s="139">
        <v>6</v>
      </c>
      <c r="C8" s="231" t="s">
        <v>394</v>
      </c>
      <c r="D8" s="227">
        <v>9.2799999999999994</v>
      </c>
      <c r="E8" s="227">
        <v>971.05</v>
      </c>
      <c r="F8" s="227">
        <v>1166.56</v>
      </c>
      <c r="G8" s="227">
        <v>136.16999999999999</v>
      </c>
      <c r="H8" s="227">
        <v>10041.733999999999</v>
      </c>
      <c r="I8" s="227">
        <v>3352.88</v>
      </c>
      <c r="J8" s="235">
        <f t="shared" si="0"/>
        <v>11.570950866519173</v>
      </c>
      <c r="K8" s="227">
        <v>714.46</v>
      </c>
      <c r="L8" s="228">
        <v>867.84</v>
      </c>
    </row>
    <row r="9" spans="2:14" x14ac:dyDescent="0.3">
      <c r="B9" s="145">
        <v>7</v>
      </c>
      <c r="C9" s="232" t="s">
        <v>395</v>
      </c>
      <c r="D9" s="229">
        <v>647</v>
      </c>
      <c r="E9" s="229">
        <v>13.57</v>
      </c>
      <c r="F9" s="229">
        <v>1737.09</v>
      </c>
      <c r="G9" s="229">
        <v>504.45</v>
      </c>
      <c r="H9" s="229">
        <v>10012.43</v>
      </c>
      <c r="I9" s="229">
        <v>10739.1</v>
      </c>
      <c r="J9" s="236">
        <f t="shared" si="0"/>
        <v>14.221797676202382</v>
      </c>
      <c r="K9" s="229">
        <v>409.82</v>
      </c>
      <c r="L9" s="230">
        <v>704.02</v>
      </c>
    </row>
    <row r="11" spans="2:14" x14ac:dyDescent="0.3">
      <c r="B11" t="s">
        <v>506</v>
      </c>
      <c r="C11" t="s">
        <v>519</v>
      </c>
      <c r="D11" t="s">
        <v>507</v>
      </c>
      <c r="E11" t="s">
        <v>508</v>
      </c>
      <c r="H11" s="227"/>
      <c r="I11" s="227"/>
    </row>
    <row r="12" spans="2:14" x14ac:dyDescent="0.3">
      <c r="B12" t="s">
        <v>509</v>
      </c>
      <c r="C12" s="332">
        <v>24.747672000000001</v>
      </c>
      <c r="D12" s="83">
        <v>0.27879999999999999</v>
      </c>
      <c r="E12" s="154">
        <v>46174</v>
      </c>
      <c r="G12" s="227"/>
    </row>
    <row r="13" spans="2:14" x14ac:dyDescent="0.3">
      <c r="B13" t="s">
        <v>510</v>
      </c>
      <c r="C13" s="332">
        <v>18.505890000000001</v>
      </c>
      <c r="D13" s="83">
        <v>0.2084</v>
      </c>
      <c r="E13" s="154">
        <v>46174</v>
      </c>
    </row>
    <row r="14" spans="2:14" x14ac:dyDescent="0.3">
      <c r="B14" t="s">
        <v>511</v>
      </c>
      <c r="C14" s="332">
        <v>3.7643895000000001</v>
      </c>
      <c r="D14" s="83">
        <v>4.24E-2</v>
      </c>
      <c r="E14" s="154">
        <v>46174</v>
      </c>
    </row>
    <row r="15" spans="2:14" x14ac:dyDescent="0.3">
      <c r="B15" t="s">
        <v>512</v>
      </c>
      <c r="C15" s="332">
        <v>1.9224672</v>
      </c>
      <c r="D15" s="83">
        <v>2.1700000000000001E-2</v>
      </c>
      <c r="E15" s="154">
        <v>46174</v>
      </c>
    </row>
    <row r="16" spans="2:14" x14ac:dyDescent="0.3">
      <c r="B16" t="s">
        <v>513</v>
      </c>
      <c r="C16" s="332">
        <v>1.7875639999999999</v>
      </c>
      <c r="D16" s="83">
        <v>2.0099999999999996E-2</v>
      </c>
      <c r="E16" s="154">
        <v>46174</v>
      </c>
    </row>
    <row r="17" spans="2:5" x14ac:dyDescent="0.3">
      <c r="B17" t="s">
        <v>514</v>
      </c>
      <c r="C17" s="332">
        <v>1.5999057000000001</v>
      </c>
      <c r="D17" s="83">
        <v>1.8000000000000002E-2</v>
      </c>
      <c r="E17" s="154">
        <v>46174</v>
      </c>
    </row>
    <row r="18" spans="2:5" x14ac:dyDescent="0.3">
      <c r="B18" t="s">
        <v>515</v>
      </c>
      <c r="C18" s="332">
        <v>1.5386048000000001</v>
      </c>
      <c r="D18" s="83">
        <v>1.7299999999999999E-2</v>
      </c>
      <c r="E18" s="154">
        <v>46174</v>
      </c>
    </row>
    <row r="19" spans="2:5" x14ac:dyDescent="0.3">
      <c r="B19" t="s">
        <v>516</v>
      </c>
      <c r="C19" s="332">
        <v>1.3826179999999999</v>
      </c>
      <c r="D19" s="83">
        <v>1.5600000000000001E-2</v>
      </c>
      <c r="E19" s="154">
        <v>46174</v>
      </c>
    </row>
    <row r="20" spans="2:5" x14ac:dyDescent="0.3">
      <c r="B20" t="s">
        <v>517</v>
      </c>
      <c r="C20" s="332">
        <v>1.1184970999999999</v>
      </c>
      <c r="D20" s="83">
        <v>1.26E-2</v>
      </c>
      <c r="E20" s="154">
        <v>46174</v>
      </c>
    </row>
    <row r="21" spans="2:5" x14ac:dyDescent="0.3">
      <c r="B21" t="s">
        <v>518</v>
      </c>
      <c r="C21" s="332">
        <v>0.98511479999999996</v>
      </c>
      <c r="D21" s="83">
        <v>1.11E-2</v>
      </c>
      <c r="E21" s="154">
        <v>46174</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M105"/>
  <sheetViews>
    <sheetView zoomScale="87" zoomScaleNormal="87" workbookViewId="0">
      <pane xSplit="1" ySplit="1" topLeftCell="B2" activePane="bottomRight" state="frozen"/>
      <selection pane="topRight" activeCell="B1" sqref="B1"/>
      <selection pane="bottomLeft" activeCell="A2" sqref="A2"/>
      <selection pane="bottomRight" activeCell="B9" sqref="B9"/>
    </sheetView>
  </sheetViews>
  <sheetFormatPr defaultColWidth="8.77734375" defaultRowHeight="14.4" x14ac:dyDescent="0.3"/>
  <cols>
    <col min="1" max="1" width="27.6640625" style="18" customWidth="1"/>
    <col min="2" max="2" width="20.6640625" style="18" bestFit="1" customWidth="1"/>
    <col min="3" max="11" width="15.33203125" style="18" bestFit="1" customWidth="1"/>
    <col min="12" max="12" width="11.5546875" style="18" bestFit="1" customWidth="1"/>
    <col min="13" max="16384" width="8.77734375" style="18"/>
  </cols>
  <sheetData>
    <row r="1" spans="1:11" s="20" customFormat="1" ht="14.25" customHeight="1" x14ac:dyDescent="0.3">
      <c r="A1" s="20" t="s">
        <v>165</v>
      </c>
      <c r="B1" s="20" t="s">
        <v>166</v>
      </c>
      <c r="E1" s="387" t="str">
        <f>IF(B2&lt;&gt;B3, "A NEW VERSION OF THE WORKSHEET IS AVAILABLE", "")</f>
        <v/>
      </c>
      <c r="F1" s="387"/>
      <c r="G1" s="387"/>
      <c r="H1" s="387"/>
      <c r="I1" s="387"/>
      <c r="J1" s="387"/>
      <c r="K1" s="387"/>
    </row>
    <row r="2" spans="1:11" ht="14.25" customHeight="1" x14ac:dyDescent="0.3">
      <c r="A2" s="20" t="s">
        <v>167</v>
      </c>
      <c r="B2" s="18">
        <v>2.1</v>
      </c>
      <c r="E2" s="388" t="s">
        <v>168</v>
      </c>
      <c r="F2" s="388"/>
      <c r="G2" s="388"/>
      <c r="H2" s="388"/>
      <c r="I2" s="388"/>
      <c r="J2" s="388"/>
      <c r="K2" s="388"/>
    </row>
    <row r="3" spans="1:11" ht="14.25" customHeight="1" x14ac:dyDescent="0.3">
      <c r="A3" s="20" t="s">
        <v>169</v>
      </c>
      <c r="B3" s="18">
        <v>2.1</v>
      </c>
    </row>
    <row r="4" spans="1:11" ht="14.25" customHeight="1" x14ac:dyDescent="0.3">
      <c r="A4" s="20"/>
    </row>
    <row r="5" spans="1:11" ht="14.25" customHeight="1" x14ac:dyDescent="0.3">
      <c r="A5" s="20" t="s">
        <v>170</v>
      </c>
    </row>
    <row r="6" spans="1:11" ht="14.25" customHeight="1" x14ac:dyDescent="0.3">
      <c r="A6" s="18" t="s">
        <v>171</v>
      </c>
      <c r="B6" s="18">
        <f>IF(B9&gt;0, B9/B8, 0)</f>
        <v>88.778616612861015</v>
      </c>
    </row>
    <row r="7" spans="1:11" ht="14.25" customHeight="1" x14ac:dyDescent="0.3">
      <c r="A7" s="18" t="s">
        <v>172</v>
      </c>
      <c r="B7" s="18">
        <v>1</v>
      </c>
    </row>
    <row r="8" spans="1:11" ht="14.25" customHeight="1" x14ac:dyDescent="0.3">
      <c r="A8" s="18" t="s">
        <v>173</v>
      </c>
      <c r="B8" s="18">
        <v>4584.3999999999996</v>
      </c>
    </row>
    <row r="9" spans="1:11" ht="14.25" customHeight="1" x14ac:dyDescent="0.3">
      <c r="A9" s="18" t="s">
        <v>174</v>
      </c>
      <c r="B9" s="18">
        <v>406996.69</v>
      </c>
    </row>
    <row r="15" spans="1:11" ht="14.25" customHeight="1" x14ac:dyDescent="0.3">
      <c r="A15" s="20" t="s">
        <v>175</v>
      </c>
    </row>
    <row r="16" spans="1:11" s="66" customFormat="1" ht="14.25" customHeight="1" x14ac:dyDescent="0.3">
      <c r="A16" s="64" t="s">
        <v>176</v>
      </c>
      <c r="B16" s="65">
        <v>42825</v>
      </c>
      <c r="C16" s="65">
        <v>43190</v>
      </c>
      <c r="D16" s="65">
        <v>43555</v>
      </c>
      <c r="E16" s="65">
        <v>43921</v>
      </c>
      <c r="F16" s="65">
        <v>44286</v>
      </c>
      <c r="G16" s="65">
        <v>44651</v>
      </c>
      <c r="H16" s="65">
        <v>45016</v>
      </c>
      <c r="I16" s="65">
        <v>45382</v>
      </c>
      <c r="J16" s="65">
        <v>45747</v>
      </c>
      <c r="K16" s="65">
        <v>46112</v>
      </c>
    </row>
    <row r="17" spans="1:13" ht="14.25" customHeight="1" x14ac:dyDescent="0.3">
      <c r="A17" s="18" t="s">
        <v>2</v>
      </c>
      <c r="B17" s="18">
        <v>13260.83</v>
      </c>
      <c r="C17" s="18">
        <v>16119.77</v>
      </c>
      <c r="D17" s="18">
        <v>19778.52</v>
      </c>
      <c r="E17" s="18">
        <v>21052</v>
      </c>
      <c r="F17" s="18">
        <v>21644</v>
      </c>
      <c r="G17" s="18">
        <v>28799</v>
      </c>
      <c r="H17" s="18">
        <v>40575</v>
      </c>
      <c r="I17" s="18">
        <v>51084</v>
      </c>
      <c r="J17" s="18">
        <v>60456</v>
      </c>
      <c r="K17" s="18">
        <v>87584</v>
      </c>
    </row>
    <row r="18" spans="1:13" ht="14.25" customHeight="1" x14ac:dyDescent="0.3">
      <c r="A18" s="18" t="s">
        <v>177</v>
      </c>
      <c r="B18" s="18">
        <v>9821.14</v>
      </c>
      <c r="C18" s="18">
        <v>12664.83</v>
      </c>
      <c r="D18" s="18">
        <v>15170.66</v>
      </c>
      <c r="E18" s="18">
        <v>16033</v>
      </c>
      <c r="F18" s="18">
        <v>16292</v>
      </c>
      <c r="G18" s="18">
        <v>26436</v>
      </c>
      <c r="H18" s="18">
        <v>32589</v>
      </c>
      <c r="I18" s="18">
        <v>42103</v>
      </c>
      <c r="J18" s="18">
        <v>55271</v>
      </c>
      <c r="K18" s="18">
        <v>80243</v>
      </c>
    </row>
    <row r="19" spans="1:13" ht="14.25" customHeight="1" x14ac:dyDescent="0.3">
      <c r="A19" s="18" t="s">
        <v>178</v>
      </c>
      <c r="B19" s="18">
        <v>313.70999999999998</v>
      </c>
      <c r="C19" s="18">
        <v>978.61</v>
      </c>
      <c r="D19" s="18">
        <v>776.41</v>
      </c>
      <c r="E19" s="18">
        <v>878</v>
      </c>
      <c r="F19" s="18">
        <v>-122</v>
      </c>
      <c r="G19" s="18">
        <v>4795</v>
      </c>
      <c r="H19" s="18">
        <v>2234</v>
      </c>
      <c r="I19" s="18">
        <v>2671</v>
      </c>
      <c r="J19" s="18">
        <v>7815</v>
      </c>
      <c r="K19" s="18">
        <v>9936</v>
      </c>
      <c r="M19" s="83"/>
    </row>
    <row r="20" spans="1:13" ht="14.25" customHeight="1" x14ac:dyDescent="0.3">
      <c r="A20" s="18" t="s">
        <v>179</v>
      </c>
      <c r="B20" s="18">
        <v>43.84</v>
      </c>
      <c r="C20" s="18">
        <v>45.32</v>
      </c>
      <c r="D20" s="18">
        <v>48.51</v>
      </c>
      <c r="E20" s="18">
        <v>52</v>
      </c>
      <c r="F20" s="18">
        <v>37</v>
      </c>
      <c r="G20" s="18">
        <v>45</v>
      </c>
      <c r="H20" s="18">
        <v>59</v>
      </c>
      <c r="I20" s="18">
        <v>71</v>
      </c>
      <c r="J20" s="18">
        <v>78</v>
      </c>
      <c r="K20" s="18">
        <v>87</v>
      </c>
    </row>
    <row r="21" spans="1:13" ht="14.25" customHeight="1" x14ac:dyDescent="0.3">
      <c r="A21" s="18" t="s">
        <v>180</v>
      </c>
      <c r="B21" s="18">
        <v>160.41999999999999</v>
      </c>
      <c r="C21" s="18">
        <v>124.83</v>
      </c>
      <c r="D21" s="18">
        <v>193.28</v>
      </c>
      <c r="E21" s="18">
        <v>215</v>
      </c>
      <c r="F21" s="18">
        <v>141</v>
      </c>
      <c r="G21" s="18">
        <v>183</v>
      </c>
      <c r="H21" s="18">
        <v>225</v>
      </c>
      <c r="I21" s="18">
        <v>286</v>
      </c>
      <c r="J21" s="18">
        <v>326</v>
      </c>
      <c r="K21" s="18">
        <v>375</v>
      </c>
    </row>
    <row r="22" spans="1:13" ht="14.25" customHeight="1" x14ac:dyDescent="0.3">
      <c r="A22" s="18" t="s">
        <v>181</v>
      </c>
      <c r="B22" s="18">
        <v>894.32</v>
      </c>
      <c r="C22" s="18">
        <v>906.26</v>
      </c>
      <c r="D22" s="18">
        <v>1024.44</v>
      </c>
      <c r="E22" s="18">
        <v>1204</v>
      </c>
      <c r="F22" s="18">
        <v>1069</v>
      </c>
      <c r="G22" s="18">
        <v>1356</v>
      </c>
      <c r="H22" s="18">
        <v>1656</v>
      </c>
      <c r="I22" s="18">
        <v>1875</v>
      </c>
      <c r="J22" s="18">
        <v>2164</v>
      </c>
      <c r="K22" s="18">
        <v>2692</v>
      </c>
    </row>
    <row r="23" spans="1:13" ht="14.25" customHeight="1" x14ac:dyDescent="0.3">
      <c r="A23" s="18" t="s">
        <v>182</v>
      </c>
      <c r="B23" s="18">
        <v>1211.1600000000001</v>
      </c>
      <c r="C23" s="18">
        <v>1277.81</v>
      </c>
      <c r="D23" s="18">
        <v>1454.32</v>
      </c>
      <c r="E23" s="18">
        <v>1470</v>
      </c>
      <c r="F23" s="18">
        <v>1029</v>
      </c>
      <c r="G23" s="18">
        <v>1697</v>
      </c>
      <c r="H23" s="18">
        <v>2715</v>
      </c>
      <c r="I23" s="18">
        <v>3249</v>
      </c>
      <c r="J23" s="18">
        <v>3494</v>
      </c>
      <c r="K23" s="18">
        <v>4185</v>
      </c>
    </row>
    <row r="24" spans="1:13" ht="14.25" customHeight="1" x14ac:dyDescent="0.3">
      <c r="A24" s="18" t="s">
        <v>183</v>
      </c>
      <c r="B24" s="18">
        <v>279.76</v>
      </c>
      <c r="C24" s="18">
        <v>435.13</v>
      </c>
      <c r="D24" s="18">
        <v>669.93</v>
      </c>
      <c r="E24" s="18">
        <v>493</v>
      </c>
      <c r="F24" s="18">
        <v>1229</v>
      </c>
      <c r="G24" s="18">
        <v>533</v>
      </c>
      <c r="H24" s="18">
        <v>683</v>
      </c>
      <c r="I24" s="18">
        <v>879</v>
      </c>
      <c r="J24" s="18">
        <v>1244</v>
      </c>
      <c r="K24" s="18">
        <v>1581</v>
      </c>
    </row>
    <row r="25" spans="1:13" ht="14.25" customHeight="1" x14ac:dyDescent="0.3">
      <c r="A25" s="18" t="s">
        <v>12</v>
      </c>
      <c r="B25" s="18">
        <v>-42.38</v>
      </c>
      <c r="C25" s="18">
        <v>69.930000000000007</v>
      </c>
      <c r="D25" s="18">
        <v>178.48</v>
      </c>
      <c r="E25" s="18">
        <v>153</v>
      </c>
      <c r="F25" s="18">
        <v>180</v>
      </c>
      <c r="G25" s="18">
        <v>177</v>
      </c>
      <c r="H25" s="18">
        <v>306</v>
      </c>
      <c r="I25" s="18">
        <v>534</v>
      </c>
      <c r="J25" s="18">
        <v>487</v>
      </c>
      <c r="K25" s="18">
        <v>450</v>
      </c>
    </row>
    <row r="26" spans="1:13" ht="14.25" customHeight="1" x14ac:dyDescent="0.3">
      <c r="A26" s="18" t="s">
        <v>14</v>
      </c>
      <c r="B26" s="18">
        <v>110.53</v>
      </c>
      <c r="C26" s="18">
        <v>131.43</v>
      </c>
      <c r="D26" s="18">
        <v>162.84</v>
      </c>
      <c r="E26" s="18">
        <v>348</v>
      </c>
      <c r="F26" s="18">
        <v>375</v>
      </c>
      <c r="G26" s="18">
        <v>399</v>
      </c>
      <c r="H26" s="18">
        <v>441</v>
      </c>
      <c r="I26" s="18">
        <v>584</v>
      </c>
      <c r="J26" s="18">
        <v>693</v>
      </c>
      <c r="K26" s="18">
        <v>826</v>
      </c>
    </row>
    <row r="27" spans="1:13" ht="14.25" customHeight="1" x14ac:dyDescent="0.3">
      <c r="A27" s="18" t="s">
        <v>184</v>
      </c>
      <c r="B27" s="18">
        <v>37.74</v>
      </c>
      <c r="C27" s="18">
        <v>52.92</v>
      </c>
      <c r="D27" s="18">
        <v>52.54</v>
      </c>
      <c r="E27" s="18">
        <v>166</v>
      </c>
      <c r="F27" s="18">
        <v>203</v>
      </c>
      <c r="G27" s="18">
        <v>218</v>
      </c>
      <c r="H27" s="18">
        <v>300</v>
      </c>
      <c r="I27" s="18">
        <v>619</v>
      </c>
      <c r="J27" s="18">
        <v>953</v>
      </c>
      <c r="K27" s="18">
        <v>1180</v>
      </c>
    </row>
    <row r="28" spans="1:13" ht="14.25" customHeight="1" x14ac:dyDescent="0.3">
      <c r="A28" s="18" t="s">
        <v>185</v>
      </c>
      <c r="B28" s="18">
        <v>973.25</v>
      </c>
      <c r="C28" s="18">
        <v>1529.78</v>
      </c>
      <c r="D28" s="18">
        <v>1956.89</v>
      </c>
      <c r="E28" s="18">
        <v>2102</v>
      </c>
      <c r="F28" s="18">
        <v>1327</v>
      </c>
      <c r="G28" s="18">
        <v>2904</v>
      </c>
      <c r="H28" s="18">
        <v>4447</v>
      </c>
      <c r="I28" s="18">
        <v>4623</v>
      </c>
      <c r="J28" s="18">
        <v>4535</v>
      </c>
      <c r="K28" s="18">
        <v>6801</v>
      </c>
    </row>
    <row r="29" spans="1:13" ht="14.25" customHeight="1" x14ac:dyDescent="0.3">
      <c r="A29" s="18" t="s">
        <v>142</v>
      </c>
      <c r="B29" s="18">
        <v>275.97000000000003</v>
      </c>
      <c r="C29" s="18">
        <v>427.87</v>
      </c>
      <c r="D29" s="18">
        <v>568.24</v>
      </c>
      <c r="E29" s="18">
        <v>609</v>
      </c>
      <c r="F29" s="18">
        <v>353</v>
      </c>
      <c r="G29" s="18">
        <v>706</v>
      </c>
      <c r="H29" s="18">
        <v>1173</v>
      </c>
      <c r="I29" s="18">
        <v>1127</v>
      </c>
      <c r="J29" s="18">
        <v>1198</v>
      </c>
      <c r="K29" s="18">
        <v>1728</v>
      </c>
    </row>
    <row r="30" spans="1:13" ht="14.25" customHeight="1" x14ac:dyDescent="0.3">
      <c r="A30" s="18" t="s">
        <v>186</v>
      </c>
      <c r="B30" s="18">
        <v>711.47</v>
      </c>
      <c r="C30" s="18">
        <v>1130.0899999999999</v>
      </c>
      <c r="D30" s="18">
        <v>1404.15</v>
      </c>
      <c r="E30" s="18">
        <v>1501</v>
      </c>
      <c r="F30" s="18">
        <v>973</v>
      </c>
      <c r="G30" s="18">
        <v>2173</v>
      </c>
      <c r="H30" s="18">
        <v>3250</v>
      </c>
      <c r="I30" s="18">
        <v>3496</v>
      </c>
      <c r="J30" s="18">
        <v>3337</v>
      </c>
      <c r="K30" s="18">
        <v>5073</v>
      </c>
    </row>
    <row r="31" spans="1:13" ht="14.25" customHeight="1" x14ac:dyDescent="0.3">
      <c r="A31" s="18" t="s">
        <v>187</v>
      </c>
      <c r="B31" s="18">
        <v>230.83</v>
      </c>
      <c r="C31" s="18">
        <v>332.92</v>
      </c>
      <c r="D31" s="18">
        <v>443.9</v>
      </c>
      <c r="E31" s="18">
        <v>356</v>
      </c>
      <c r="F31" s="18">
        <v>356</v>
      </c>
      <c r="G31" s="18">
        <v>667.5</v>
      </c>
      <c r="H31" s="18">
        <v>890</v>
      </c>
      <c r="I31" s="18">
        <v>979</v>
      </c>
      <c r="J31" s="18">
        <v>979</v>
      </c>
      <c r="K31" s="18">
        <v>1335</v>
      </c>
    </row>
    <row r="33" spans="1:11" ht="14.25" customHeight="1" x14ac:dyDescent="0.3">
      <c r="A33" s="20" t="s">
        <v>35</v>
      </c>
      <c r="B33" s="20">
        <v>783</v>
      </c>
      <c r="C33" s="20">
        <v>878</v>
      </c>
      <c r="D33" s="20">
        <v>906</v>
      </c>
      <c r="E33" s="20">
        <v>596</v>
      </c>
      <c r="F33" s="20">
        <v>789</v>
      </c>
      <c r="G33" s="20">
        <v>1294</v>
      </c>
      <c r="H33" s="20">
        <v>1214</v>
      </c>
      <c r="I33" s="20">
        <v>1410</v>
      </c>
      <c r="J33" s="20">
        <v>1963</v>
      </c>
      <c r="K33" s="20">
        <v>2864</v>
      </c>
    </row>
    <row r="34" spans="1:11" ht="14.25" customHeight="1" x14ac:dyDescent="0.3">
      <c r="A34" s="20" t="s">
        <v>10</v>
      </c>
      <c r="B34" s="20">
        <f>HistoricalFS!C21</f>
        <v>1163.8999999999996</v>
      </c>
      <c r="C34" s="20">
        <f>HistoricalFS!D21</f>
        <v>1644.2000000000012</v>
      </c>
      <c r="D34" s="20">
        <f>HistoricalFS!E21</f>
        <v>1993.7900000000009</v>
      </c>
      <c r="E34" s="20">
        <f>HistoricalFS!F21</f>
        <v>2463</v>
      </c>
      <c r="F34" s="20">
        <f>HistoricalFS!G21</f>
        <v>1725</v>
      </c>
      <c r="G34" s="20">
        <f>HistoricalFS!H21</f>
        <v>3344</v>
      </c>
      <c r="H34" s="20">
        <f>HistoricalFS!I21</f>
        <v>4882</v>
      </c>
      <c r="I34" s="20">
        <f>HistoricalFS!J21</f>
        <v>5292</v>
      </c>
      <c r="J34" s="20">
        <f>HistoricalFS!K21</f>
        <v>5694</v>
      </c>
      <c r="K34" s="20">
        <f>HistoricalFS!L21</f>
        <v>8357</v>
      </c>
    </row>
    <row r="40" spans="1:11" ht="14.25" customHeight="1" x14ac:dyDescent="0.3">
      <c r="A40" s="20" t="s">
        <v>188</v>
      </c>
    </row>
    <row r="41" spans="1:11" s="66" customFormat="1" ht="14.25" customHeight="1" x14ac:dyDescent="0.3">
      <c r="A41" s="64" t="s">
        <v>176</v>
      </c>
      <c r="B41" s="65">
        <v>45291</v>
      </c>
      <c r="C41" s="65">
        <v>45382</v>
      </c>
      <c r="D41" s="65">
        <v>45473</v>
      </c>
      <c r="E41" s="65">
        <v>45565</v>
      </c>
      <c r="F41" s="65">
        <v>45657</v>
      </c>
      <c r="G41" s="65">
        <v>45747</v>
      </c>
      <c r="H41" s="65">
        <v>45838</v>
      </c>
      <c r="I41" s="65">
        <v>45930</v>
      </c>
      <c r="J41" s="65">
        <v>46022</v>
      </c>
      <c r="K41" s="65">
        <v>46112</v>
      </c>
    </row>
    <row r="42" spans="1:11" ht="14.25" customHeight="1" x14ac:dyDescent="0.3">
      <c r="A42" s="18" t="s">
        <v>2</v>
      </c>
      <c r="B42" s="18">
        <v>14164</v>
      </c>
      <c r="C42" s="18">
        <v>12494</v>
      </c>
      <c r="D42" s="18">
        <v>13266</v>
      </c>
      <c r="E42" s="18">
        <v>14534</v>
      </c>
      <c r="F42" s="18">
        <v>17740</v>
      </c>
      <c r="G42" s="18">
        <v>14916</v>
      </c>
      <c r="H42" s="18">
        <v>16523</v>
      </c>
      <c r="I42" s="18">
        <v>18725</v>
      </c>
      <c r="J42" s="18">
        <v>25416</v>
      </c>
      <c r="K42" s="18">
        <v>26920</v>
      </c>
    </row>
    <row r="43" spans="1:11" ht="14.25" customHeight="1" x14ac:dyDescent="0.3">
      <c r="A43" s="18" t="s">
        <v>189</v>
      </c>
      <c r="B43" s="18">
        <v>12599</v>
      </c>
      <c r="C43" s="18">
        <v>11303</v>
      </c>
      <c r="D43" s="18">
        <v>12019</v>
      </c>
      <c r="E43" s="18">
        <v>13298</v>
      </c>
      <c r="F43" s="18">
        <v>16066</v>
      </c>
      <c r="G43" s="18">
        <v>13379</v>
      </c>
      <c r="H43" s="18">
        <v>14693</v>
      </c>
      <c r="I43" s="18">
        <v>16850</v>
      </c>
      <c r="J43" s="18">
        <v>22703</v>
      </c>
      <c r="K43" s="18">
        <v>24982</v>
      </c>
    </row>
    <row r="44" spans="1:11" ht="14.25" customHeight="1" x14ac:dyDescent="0.3">
      <c r="A44" s="18" t="s">
        <v>12</v>
      </c>
      <c r="B44" s="18">
        <v>136</v>
      </c>
      <c r="C44" s="18">
        <v>159</v>
      </c>
      <c r="D44" s="18">
        <v>120</v>
      </c>
      <c r="E44" s="18">
        <v>123</v>
      </c>
      <c r="F44" s="18">
        <v>128</v>
      </c>
      <c r="G44" s="18">
        <v>116</v>
      </c>
      <c r="H44" s="18">
        <v>105</v>
      </c>
      <c r="I44" s="18">
        <v>113</v>
      </c>
      <c r="J44" s="18">
        <v>-1</v>
      </c>
      <c r="K44" s="18">
        <v>235</v>
      </c>
    </row>
    <row r="45" spans="1:11" ht="14.25" customHeight="1" x14ac:dyDescent="0.3">
      <c r="A45" s="18" t="s">
        <v>14</v>
      </c>
      <c r="B45" s="18">
        <v>154</v>
      </c>
      <c r="C45" s="18">
        <v>158</v>
      </c>
      <c r="D45" s="18">
        <v>164</v>
      </c>
      <c r="E45" s="18">
        <v>171</v>
      </c>
      <c r="F45" s="18">
        <v>175</v>
      </c>
      <c r="G45" s="18">
        <v>183</v>
      </c>
      <c r="H45" s="18">
        <v>184</v>
      </c>
      <c r="I45" s="18">
        <v>189</v>
      </c>
      <c r="J45" s="18">
        <v>207</v>
      </c>
      <c r="K45" s="18">
        <v>246</v>
      </c>
    </row>
    <row r="46" spans="1:11" ht="14.25" customHeight="1" x14ac:dyDescent="0.3">
      <c r="A46" s="18" t="s">
        <v>184</v>
      </c>
      <c r="B46" s="18">
        <v>169</v>
      </c>
      <c r="C46" s="18">
        <v>201</v>
      </c>
      <c r="D46" s="18">
        <v>230</v>
      </c>
      <c r="E46" s="18">
        <v>240</v>
      </c>
      <c r="F46" s="18">
        <v>231</v>
      </c>
      <c r="G46" s="18">
        <v>252</v>
      </c>
      <c r="H46" s="18">
        <v>271</v>
      </c>
      <c r="I46" s="18">
        <v>277</v>
      </c>
      <c r="J46" s="18">
        <v>282</v>
      </c>
      <c r="K46" s="18">
        <v>350</v>
      </c>
    </row>
    <row r="47" spans="1:11" ht="14.25" customHeight="1" x14ac:dyDescent="0.3">
      <c r="A47" s="18" t="s">
        <v>185</v>
      </c>
      <c r="B47" s="18">
        <v>1378</v>
      </c>
      <c r="C47" s="18">
        <v>991</v>
      </c>
      <c r="D47" s="18">
        <v>973</v>
      </c>
      <c r="E47" s="18">
        <v>948</v>
      </c>
      <c r="F47" s="18">
        <v>1396</v>
      </c>
      <c r="G47" s="18">
        <v>1218</v>
      </c>
      <c r="H47" s="18">
        <v>1480</v>
      </c>
      <c r="I47" s="18">
        <v>1522</v>
      </c>
      <c r="J47" s="18">
        <v>2223</v>
      </c>
      <c r="K47" s="18">
        <v>1577</v>
      </c>
    </row>
    <row r="48" spans="1:11" ht="14.25" customHeight="1" x14ac:dyDescent="0.3">
      <c r="A48" s="18" t="s">
        <v>142</v>
      </c>
      <c r="B48" s="18">
        <v>325</v>
      </c>
      <c r="C48" s="18">
        <v>220</v>
      </c>
      <c r="D48" s="18">
        <v>258</v>
      </c>
      <c r="E48" s="18">
        <v>244</v>
      </c>
      <c r="F48" s="18">
        <v>349</v>
      </c>
      <c r="G48" s="18">
        <v>347</v>
      </c>
      <c r="H48" s="18">
        <v>389</v>
      </c>
      <c r="I48" s="18">
        <v>402</v>
      </c>
      <c r="J48" s="18">
        <v>539</v>
      </c>
      <c r="K48" s="18">
        <v>398</v>
      </c>
    </row>
    <row r="49" spans="1:11" ht="14.25" customHeight="1" x14ac:dyDescent="0.3">
      <c r="A49" s="18" t="s">
        <v>186</v>
      </c>
      <c r="B49" s="18">
        <v>1053</v>
      </c>
      <c r="C49" s="18">
        <v>771</v>
      </c>
      <c r="D49" s="18">
        <v>715</v>
      </c>
      <c r="E49" s="18">
        <v>704</v>
      </c>
      <c r="F49" s="18">
        <v>1047</v>
      </c>
      <c r="G49" s="18">
        <v>871</v>
      </c>
      <c r="H49" s="18">
        <v>1091</v>
      </c>
      <c r="I49" s="18">
        <v>1120</v>
      </c>
      <c r="J49" s="18">
        <v>1684</v>
      </c>
      <c r="K49" s="18">
        <v>1179</v>
      </c>
    </row>
    <row r="50" spans="1:11" ht="14.25" customHeight="1" x14ac:dyDescent="0.3">
      <c r="A50" s="18" t="s">
        <v>190</v>
      </c>
      <c r="B50" s="18">
        <v>1565</v>
      </c>
      <c r="C50" s="18">
        <v>1191</v>
      </c>
      <c r="D50" s="18">
        <v>1247</v>
      </c>
      <c r="E50" s="18">
        <v>1236</v>
      </c>
      <c r="F50" s="18">
        <v>1674</v>
      </c>
      <c r="G50" s="18">
        <v>1537</v>
      </c>
      <c r="H50" s="18">
        <v>1830</v>
      </c>
      <c r="I50" s="18">
        <v>1875</v>
      </c>
      <c r="J50" s="18">
        <v>2713</v>
      </c>
      <c r="K50" s="18">
        <v>1938</v>
      </c>
    </row>
    <row r="55" spans="1:11" ht="14.25" customHeight="1" x14ac:dyDescent="0.3">
      <c r="A55" s="20" t="s">
        <v>191</v>
      </c>
    </row>
    <row r="56" spans="1:11" s="66" customFormat="1" ht="14.25" customHeight="1" x14ac:dyDescent="0.3">
      <c r="A56" s="64" t="s">
        <v>176</v>
      </c>
      <c r="B56" s="65">
        <v>42825</v>
      </c>
      <c r="C56" s="65">
        <v>43190</v>
      </c>
      <c r="D56" s="65">
        <v>43555</v>
      </c>
      <c r="E56" s="65">
        <v>43921</v>
      </c>
      <c r="F56" s="65">
        <v>44286</v>
      </c>
      <c r="G56" s="65">
        <v>44651</v>
      </c>
      <c r="H56" s="65">
        <v>45016</v>
      </c>
      <c r="I56" s="65">
        <v>45382</v>
      </c>
      <c r="J56" s="65">
        <v>45747</v>
      </c>
      <c r="K56" s="65">
        <v>46112</v>
      </c>
    </row>
    <row r="57" spans="1:11" ht="14.25" customHeight="1" x14ac:dyDescent="0.3">
      <c r="A57" s="18" t="s">
        <v>32</v>
      </c>
      <c r="B57" s="18">
        <v>88.78</v>
      </c>
      <c r="C57" s="18">
        <v>88.78</v>
      </c>
      <c r="D57" s="18">
        <v>88.78</v>
      </c>
      <c r="E57" s="18">
        <v>89</v>
      </c>
      <c r="F57" s="18">
        <v>89</v>
      </c>
      <c r="G57" s="18">
        <v>89</v>
      </c>
      <c r="H57" s="18">
        <v>89</v>
      </c>
      <c r="I57" s="18">
        <v>89</v>
      </c>
      <c r="J57" s="18">
        <v>89</v>
      </c>
      <c r="K57" s="18">
        <v>89</v>
      </c>
    </row>
    <row r="58" spans="1:11" ht="14.25" customHeight="1" x14ac:dyDescent="0.3">
      <c r="A58" s="18" t="s">
        <v>33</v>
      </c>
      <c r="B58" s="18">
        <v>4143.6000000000004</v>
      </c>
      <c r="C58" s="18">
        <v>5001.1000000000004</v>
      </c>
      <c r="D58" s="18">
        <v>5981.37</v>
      </c>
      <c r="E58" s="18">
        <v>6580</v>
      </c>
      <c r="F58" s="18">
        <v>7408</v>
      </c>
      <c r="G58" s="18">
        <v>9214</v>
      </c>
      <c r="H58" s="18">
        <v>11762</v>
      </c>
      <c r="I58" s="18">
        <v>9304</v>
      </c>
      <c r="J58" s="18">
        <v>11535</v>
      </c>
      <c r="K58" s="18">
        <v>15614</v>
      </c>
    </row>
    <row r="59" spans="1:11" ht="14.25" customHeight="1" x14ac:dyDescent="0.3">
      <c r="A59" s="18" t="s">
        <v>34</v>
      </c>
      <c r="B59" s="18">
        <v>1882.43</v>
      </c>
      <c r="C59" s="18">
        <v>1691.01</v>
      </c>
      <c r="D59" s="18">
        <v>2392.98</v>
      </c>
      <c r="E59" s="18">
        <v>3562</v>
      </c>
      <c r="F59" s="18">
        <v>5638</v>
      </c>
      <c r="G59" s="18">
        <v>7275</v>
      </c>
      <c r="H59" s="18">
        <v>9367</v>
      </c>
      <c r="I59" s="18">
        <v>15528</v>
      </c>
      <c r="J59" s="18">
        <v>20777</v>
      </c>
      <c r="K59" s="18">
        <v>30621</v>
      </c>
    </row>
    <row r="60" spans="1:11" ht="14.25" customHeight="1" x14ac:dyDescent="0.3">
      <c r="A60" s="18" t="s">
        <v>36</v>
      </c>
      <c r="B60" s="18">
        <v>2292.7600000000002</v>
      </c>
      <c r="C60" s="18">
        <v>2740.15</v>
      </c>
      <c r="D60" s="18">
        <v>3246.71</v>
      </c>
      <c r="E60" s="18">
        <v>3313</v>
      </c>
      <c r="F60" s="18">
        <v>3309</v>
      </c>
      <c r="G60" s="18">
        <v>4610</v>
      </c>
      <c r="H60" s="18">
        <v>5802</v>
      </c>
      <c r="I60" s="18">
        <v>6626</v>
      </c>
      <c r="J60" s="18">
        <v>8244</v>
      </c>
      <c r="K60" s="18">
        <v>14237</v>
      </c>
    </row>
    <row r="61" spans="1:11" s="20" customFormat="1" ht="14.25" customHeight="1" x14ac:dyDescent="0.3">
      <c r="A61" s="20" t="s">
        <v>192</v>
      </c>
      <c r="B61" s="20">
        <v>8407.57</v>
      </c>
      <c r="C61" s="20">
        <v>9521.0400000000009</v>
      </c>
      <c r="D61" s="20">
        <v>11709.84</v>
      </c>
      <c r="E61" s="20">
        <v>13544</v>
      </c>
      <c r="F61" s="20">
        <v>16444</v>
      </c>
      <c r="G61" s="20">
        <v>21188</v>
      </c>
      <c r="H61" s="20">
        <v>27020</v>
      </c>
      <c r="I61" s="20">
        <v>31547</v>
      </c>
      <c r="J61" s="20">
        <v>40645</v>
      </c>
      <c r="K61" s="20">
        <v>60561</v>
      </c>
    </row>
    <row r="62" spans="1:11" ht="14.25" customHeight="1" x14ac:dyDescent="0.3">
      <c r="A62" s="18" t="s">
        <v>193</v>
      </c>
      <c r="B62" s="18">
        <v>1188.72</v>
      </c>
      <c r="C62" s="18">
        <v>1473.81</v>
      </c>
      <c r="D62" s="18">
        <v>1566.63</v>
      </c>
      <c r="E62" s="18">
        <v>2633</v>
      </c>
      <c r="F62" s="18">
        <v>2523</v>
      </c>
      <c r="G62" s="18">
        <v>2544</v>
      </c>
      <c r="H62" s="18">
        <v>2998</v>
      </c>
      <c r="I62" s="18">
        <v>3709</v>
      </c>
      <c r="J62" s="18">
        <v>4062</v>
      </c>
      <c r="K62" s="18">
        <v>6878</v>
      </c>
    </row>
    <row r="63" spans="1:11" ht="14.25" customHeight="1" x14ac:dyDescent="0.3">
      <c r="A63" s="18" t="s">
        <v>39</v>
      </c>
      <c r="B63" s="18">
        <v>152.07</v>
      </c>
      <c r="C63" s="18">
        <v>43.37</v>
      </c>
      <c r="D63" s="18">
        <v>31.77</v>
      </c>
      <c r="E63" s="18">
        <v>18</v>
      </c>
      <c r="F63" s="18">
        <v>32</v>
      </c>
      <c r="G63" s="18">
        <v>85</v>
      </c>
      <c r="H63" s="18">
        <v>144</v>
      </c>
      <c r="I63" s="18">
        <v>97</v>
      </c>
      <c r="J63" s="18">
        <v>105</v>
      </c>
      <c r="K63" s="18">
        <v>163</v>
      </c>
    </row>
    <row r="64" spans="1:11" ht="14.25" customHeight="1" x14ac:dyDescent="0.3">
      <c r="A64" s="18" t="s">
        <v>40</v>
      </c>
      <c r="B64" s="18">
        <v>430.73</v>
      </c>
      <c r="C64" s="18">
        <v>35.99</v>
      </c>
      <c r="D64" s="18">
        <v>108.42</v>
      </c>
      <c r="E64" s="18">
        <v>158</v>
      </c>
      <c r="F64" s="18">
        <v>2824</v>
      </c>
      <c r="G64" s="18">
        <v>294</v>
      </c>
      <c r="H64" s="18">
        <v>2515</v>
      </c>
      <c r="I64" s="18">
        <v>2345</v>
      </c>
      <c r="J64" s="18">
        <v>1988</v>
      </c>
      <c r="K64" s="18">
        <v>3506</v>
      </c>
    </row>
    <row r="65" spans="1:11" ht="14.25" customHeight="1" x14ac:dyDescent="0.3">
      <c r="A65" s="18" t="s">
        <v>41</v>
      </c>
      <c r="B65" s="18">
        <v>6636.05</v>
      </c>
      <c r="C65" s="18">
        <v>7967.87</v>
      </c>
      <c r="D65" s="18">
        <v>10003.02</v>
      </c>
      <c r="E65" s="18">
        <v>10735</v>
      </c>
      <c r="F65" s="18">
        <v>11065</v>
      </c>
      <c r="G65" s="18">
        <v>18265</v>
      </c>
      <c r="H65" s="18">
        <v>21363</v>
      </c>
      <c r="I65" s="18">
        <v>25396</v>
      </c>
      <c r="J65" s="18">
        <v>34490</v>
      </c>
      <c r="K65" s="18">
        <v>50014</v>
      </c>
    </row>
    <row r="66" spans="1:11" s="20" customFormat="1" ht="14.25" customHeight="1" x14ac:dyDescent="0.3">
      <c r="A66" s="20" t="s">
        <v>192</v>
      </c>
      <c r="B66" s="20">
        <v>8407.57</v>
      </c>
      <c r="C66" s="20">
        <v>9521.0400000000009</v>
      </c>
      <c r="D66" s="20">
        <v>11709.84</v>
      </c>
      <c r="E66" s="20">
        <v>13544</v>
      </c>
      <c r="F66" s="20">
        <v>16444</v>
      </c>
      <c r="G66" s="20">
        <v>21188</v>
      </c>
      <c r="H66" s="20">
        <v>27020</v>
      </c>
      <c r="I66" s="20">
        <v>31547</v>
      </c>
      <c r="J66" s="20">
        <v>40645</v>
      </c>
      <c r="K66" s="20">
        <v>60561</v>
      </c>
    </row>
    <row r="67" spans="1:11" ht="14.25" customHeight="1" x14ac:dyDescent="0.3">
      <c r="A67" s="18" t="s">
        <v>43</v>
      </c>
      <c r="B67" s="18">
        <v>207.6</v>
      </c>
      <c r="C67" s="18">
        <v>295.69</v>
      </c>
      <c r="D67" s="18">
        <v>420.45</v>
      </c>
      <c r="E67" s="18">
        <v>312</v>
      </c>
      <c r="F67" s="18">
        <v>366</v>
      </c>
      <c r="G67" s="18">
        <v>565</v>
      </c>
      <c r="H67" s="18">
        <v>674</v>
      </c>
      <c r="I67" s="18">
        <v>1018</v>
      </c>
      <c r="J67" s="18">
        <v>1068</v>
      </c>
      <c r="K67" s="18">
        <v>916</v>
      </c>
    </row>
    <row r="68" spans="1:11" ht="14.25" customHeight="1" x14ac:dyDescent="0.3">
      <c r="A68" s="18" t="s">
        <v>44</v>
      </c>
      <c r="B68" s="18">
        <v>4925.74</v>
      </c>
      <c r="C68" s="18">
        <v>5924.84</v>
      </c>
      <c r="D68" s="18">
        <v>7038.82</v>
      </c>
      <c r="E68" s="18">
        <v>8103</v>
      </c>
      <c r="F68" s="18">
        <v>8408</v>
      </c>
      <c r="G68" s="18">
        <v>13609</v>
      </c>
      <c r="H68" s="18">
        <v>16584</v>
      </c>
      <c r="I68" s="18">
        <v>19051</v>
      </c>
      <c r="J68" s="18">
        <v>28184</v>
      </c>
      <c r="K68" s="18">
        <v>42743</v>
      </c>
    </row>
    <row r="69" spans="1:11" ht="14.25" customHeight="1" x14ac:dyDescent="0.3">
      <c r="A69" s="18" t="s">
        <v>45</v>
      </c>
      <c r="B69" s="18">
        <v>778.93</v>
      </c>
      <c r="C69" s="18">
        <v>617.91</v>
      </c>
      <c r="D69" s="18">
        <v>1066.48</v>
      </c>
      <c r="E69" s="18">
        <v>381</v>
      </c>
      <c r="F69" s="18">
        <v>560</v>
      </c>
      <c r="G69" s="18">
        <v>1573</v>
      </c>
      <c r="H69" s="18">
        <v>1343</v>
      </c>
      <c r="I69" s="18">
        <v>1526</v>
      </c>
      <c r="J69" s="18">
        <v>1584</v>
      </c>
      <c r="K69" s="18">
        <v>1917</v>
      </c>
    </row>
    <row r="70" spans="1:11" ht="14.25" customHeight="1" x14ac:dyDescent="0.3">
      <c r="A70" s="18" t="s">
        <v>194</v>
      </c>
      <c r="B70" s="18">
        <v>887786160</v>
      </c>
      <c r="C70" s="18">
        <v>887786160</v>
      </c>
      <c r="D70" s="18">
        <v>887786160</v>
      </c>
      <c r="E70" s="18">
        <v>887786160</v>
      </c>
      <c r="F70" s="18">
        <v>887786160</v>
      </c>
      <c r="G70" s="18">
        <v>887786160</v>
      </c>
      <c r="H70" s="18">
        <v>890000000</v>
      </c>
      <c r="I70" s="18">
        <v>890000000</v>
      </c>
      <c r="J70" s="18">
        <v>890000000</v>
      </c>
      <c r="K70" s="18">
        <v>890000000</v>
      </c>
    </row>
    <row r="71" spans="1:11" ht="14.25" customHeight="1" x14ac:dyDescent="0.3">
      <c r="A71" s="18" t="s">
        <v>195</v>
      </c>
    </row>
    <row r="72" spans="1:11" ht="14.25" customHeight="1" x14ac:dyDescent="0.3">
      <c r="A72" s="18" t="s">
        <v>196</v>
      </c>
      <c r="B72" s="18">
        <v>1</v>
      </c>
      <c r="C72" s="18">
        <v>1</v>
      </c>
      <c r="D72" s="18">
        <v>1</v>
      </c>
      <c r="E72" s="18">
        <v>1</v>
      </c>
      <c r="F72" s="18">
        <v>1</v>
      </c>
      <c r="G72" s="18">
        <v>1</v>
      </c>
      <c r="H72" s="18">
        <v>1</v>
      </c>
      <c r="I72" s="18">
        <v>1</v>
      </c>
      <c r="J72" s="18">
        <v>1</v>
      </c>
      <c r="K72" s="18">
        <v>1</v>
      </c>
    </row>
    <row r="74" spans="1:11" ht="14.25" customHeight="1" x14ac:dyDescent="0.3">
      <c r="A74" s="20" t="s">
        <v>41</v>
      </c>
      <c r="B74" s="18">
        <f t="shared" ref="B74:K74" si="0">B65-SUM(B67:B69)</f>
        <v>723.77999999999975</v>
      </c>
      <c r="C74" s="18">
        <f t="shared" si="0"/>
        <v>1129.4300000000003</v>
      </c>
      <c r="D74" s="18">
        <f t="shared" si="0"/>
        <v>1477.2700000000004</v>
      </c>
      <c r="E74" s="18">
        <f t="shared" si="0"/>
        <v>1939</v>
      </c>
      <c r="F74" s="18">
        <f t="shared" si="0"/>
        <v>1731</v>
      </c>
      <c r="G74" s="18">
        <f t="shared" si="0"/>
        <v>2518</v>
      </c>
      <c r="H74" s="18">
        <f t="shared" si="0"/>
        <v>2762</v>
      </c>
      <c r="I74" s="18">
        <f t="shared" si="0"/>
        <v>3801</v>
      </c>
      <c r="J74" s="18">
        <f t="shared" si="0"/>
        <v>3654</v>
      </c>
      <c r="K74" s="18">
        <f t="shared" si="0"/>
        <v>4438</v>
      </c>
    </row>
    <row r="75" spans="1:11" x14ac:dyDescent="0.3">
      <c r="A75" s="302" t="s">
        <v>10</v>
      </c>
      <c r="B75" s="302">
        <f>HistoricalFS!C21</f>
        <v>1163.8999999999996</v>
      </c>
      <c r="C75" s="302">
        <f>HistoricalFS!D21</f>
        <v>1644.2000000000012</v>
      </c>
      <c r="D75" s="302">
        <f>HistoricalFS!E21</f>
        <v>1993.7900000000009</v>
      </c>
      <c r="E75" s="302">
        <f>HistoricalFS!F21</f>
        <v>2463</v>
      </c>
      <c r="F75" s="302">
        <f>HistoricalFS!G21</f>
        <v>1725</v>
      </c>
      <c r="G75" s="302">
        <f>HistoricalFS!H21</f>
        <v>3344</v>
      </c>
      <c r="H75" s="302">
        <f>HistoricalFS!I21</f>
        <v>4882</v>
      </c>
      <c r="I75" s="302">
        <f>HistoricalFS!J21</f>
        <v>5292</v>
      </c>
      <c r="J75" s="302">
        <f>HistoricalFS!K21</f>
        <v>5694</v>
      </c>
      <c r="K75" s="302">
        <f>HistoricalFS!L21</f>
        <v>8357</v>
      </c>
    </row>
    <row r="80" spans="1:11" ht="14.25" customHeight="1" x14ac:dyDescent="0.3">
      <c r="A80" s="20" t="s">
        <v>197</v>
      </c>
    </row>
    <row r="81" spans="1:11" s="66" customFormat="1" ht="14.25" customHeight="1" x14ac:dyDescent="0.3">
      <c r="A81" s="64" t="s">
        <v>176</v>
      </c>
      <c r="B81" s="65">
        <v>42825</v>
      </c>
      <c r="C81" s="65">
        <v>43190</v>
      </c>
      <c r="D81" s="65">
        <v>43555</v>
      </c>
      <c r="E81" s="65">
        <v>43921</v>
      </c>
      <c r="F81" s="65">
        <v>44286</v>
      </c>
      <c r="G81" s="65">
        <v>44651</v>
      </c>
      <c r="H81" s="65">
        <v>45016</v>
      </c>
      <c r="I81" s="65">
        <v>45382</v>
      </c>
      <c r="J81" s="65">
        <v>45747</v>
      </c>
      <c r="K81" s="65">
        <v>46112</v>
      </c>
    </row>
    <row r="82" spans="1:11" s="20" customFormat="1" ht="14.25" customHeight="1" x14ac:dyDescent="0.3">
      <c r="A82" s="18" t="s">
        <v>57</v>
      </c>
      <c r="B82" s="20">
        <v>1712.3</v>
      </c>
      <c r="C82" s="20">
        <v>-51.12</v>
      </c>
      <c r="D82" s="20">
        <v>1242.92</v>
      </c>
      <c r="E82" s="20">
        <v>-348</v>
      </c>
      <c r="F82" s="20">
        <v>4139</v>
      </c>
      <c r="G82" s="20">
        <v>-724</v>
      </c>
      <c r="H82" s="20">
        <v>1370</v>
      </c>
      <c r="I82" s="20">
        <v>1695</v>
      </c>
      <c r="J82" s="20">
        <v>-541</v>
      </c>
      <c r="K82" s="20">
        <v>5590</v>
      </c>
    </row>
    <row r="83" spans="1:11" ht="14.25" customHeight="1" x14ac:dyDescent="0.3">
      <c r="A83" s="18" t="s">
        <v>69</v>
      </c>
      <c r="B83" s="18">
        <v>-953.15</v>
      </c>
      <c r="C83" s="18">
        <v>97.62</v>
      </c>
      <c r="D83" s="18">
        <v>-796.61</v>
      </c>
      <c r="E83" s="18">
        <v>235</v>
      </c>
      <c r="F83" s="18">
        <v>-2799</v>
      </c>
      <c r="G83" s="18">
        <v>1165</v>
      </c>
      <c r="H83" s="18">
        <v>-1814</v>
      </c>
      <c r="I83" s="18">
        <v>-189</v>
      </c>
      <c r="J83" s="18">
        <v>546</v>
      </c>
      <c r="K83" s="18">
        <v>-2965</v>
      </c>
    </row>
    <row r="84" spans="1:11" ht="14.25" customHeight="1" x14ac:dyDescent="0.3">
      <c r="A84" s="18" t="s">
        <v>77</v>
      </c>
      <c r="B84" s="18">
        <v>-165.6</v>
      </c>
      <c r="C84" s="18">
        <v>-252.45</v>
      </c>
      <c r="D84" s="18">
        <v>-488.83</v>
      </c>
      <c r="E84" s="18">
        <v>-242</v>
      </c>
      <c r="F84" s="18">
        <v>-1234</v>
      </c>
      <c r="G84" s="18">
        <v>-403</v>
      </c>
      <c r="H84" s="18">
        <v>457</v>
      </c>
      <c r="I84" s="18">
        <v>-1329</v>
      </c>
      <c r="J84" s="18">
        <v>-7</v>
      </c>
      <c r="K84" s="18">
        <v>-2159</v>
      </c>
    </row>
    <row r="85" spans="1:11" s="20" customFormat="1" ht="14.25" customHeight="1" x14ac:dyDescent="0.3">
      <c r="A85" s="18" t="s">
        <v>78</v>
      </c>
      <c r="B85" s="20">
        <v>593.54999999999995</v>
      </c>
      <c r="C85" s="20">
        <v>-205.95</v>
      </c>
      <c r="D85" s="20">
        <v>-42.52</v>
      </c>
      <c r="E85" s="20">
        <v>-355</v>
      </c>
      <c r="F85" s="20">
        <v>106</v>
      </c>
      <c r="G85" s="20">
        <v>38</v>
      </c>
      <c r="H85" s="20">
        <v>13</v>
      </c>
      <c r="I85" s="20">
        <v>177</v>
      </c>
      <c r="J85" s="20">
        <v>-2</v>
      </c>
      <c r="K85" s="20">
        <v>466</v>
      </c>
    </row>
    <row r="90" spans="1:11" s="20" customFormat="1" ht="14.25" customHeight="1" x14ac:dyDescent="0.3">
      <c r="A90" s="20" t="s">
        <v>198</v>
      </c>
      <c r="B90" s="20">
        <v>462.75</v>
      </c>
      <c r="C90" s="20">
        <v>942.3</v>
      </c>
      <c r="D90" s="20">
        <v>1141.8499999999999</v>
      </c>
      <c r="E90" s="20">
        <v>933.7</v>
      </c>
      <c r="F90" s="20">
        <v>1558.05</v>
      </c>
      <c r="G90" s="20">
        <v>2536.15</v>
      </c>
      <c r="H90" s="20">
        <v>2514.9</v>
      </c>
      <c r="I90" s="20">
        <v>3801.8</v>
      </c>
      <c r="J90" s="20">
        <v>3063.35</v>
      </c>
      <c r="K90" s="20">
        <v>3951.4</v>
      </c>
    </row>
    <row r="92" spans="1:11" s="20" customFormat="1" ht="14.25" customHeight="1" x14ac:dyDescent="0.3">
      <c r="A92" s="20" t="s">
        <v>199</v>
      </c>
    </row>
    <row r="93" spans="1:11" ht="14.25" customHeight="1" x14ac:dyDescent="0.3">
      <c r="A93" s="18" t="s">
        <v>200</v>
      </c>
      <c r="B93" s="13">
        <v>88.78</v>
      </c>
      <c r="C93" s="13">
        <v>88.78</v>
      </c>
      <c r="D93" s="13">
        <v>88.78</v>
      </c>
      <c r="E93" s="13">
        <v>88.78</v>
      </c>
      <c r="F93" s="13">
        <v>88.78</v>
      </c>
      <c r="G93" s="13">
        <v>88.78</v>
      </c>
      <c r="H93" s="13">
        <v>88.78</v>
      </c>
      <c r="I93" s="13">
        <v>88.78</v>
      </c>
      <c r="J93" s="13">
        <v>88.78</v>
      </c>
      <c r="K93" s="13">
        <v>88.78</v>
      </c>
    </row>
    <row r="95" spans="1:11" x14ac:dyDescent="0.3">
      <c r="A95" s="320" t="s">
        <v>198</v>
      </c>
      <c r="B95" s="321">
        <v>462.75</v>
      </c>
      <c r="C95" s="321">
        <v>942.3</v>
      </c>
      <c r="D95" s="321">
        <v>1141.8499999999999</v>
      </c>
      <c r="E95" s="321">
        <v>933.7</v>
      </c>
      <c r="F95" s="321">
        <v>1558.05</v>
      </c>
      <c r="G95" s="321">
        <v>2536.15</v>
      </c>
      <c r="H95" s="321">
        <v>2514.9</v>
      </c>
      <c r="I95" s="321">
        <v>3801.8</v>
      </c>
      <c r="J95" s="321">
        <v>3063.35</v>
      </c>
      <c r="K95" s="322">
        <f>B8</f>
        <v>4584.3999999999996</v>
      </c>
    </row>
    <row r="96" spans="1:11" x14ac:dyDescent="0.3">
      <c r="A96" s="323" t="s">
        <v>85</v>
      </c>
      <c r="B96" s="20">
        <f>B31/HistoricalFS!C45</f>
        <v>2.6000225275963054</v>
      </c>
      <c r="C96" s="20">
        <f>C31/HistoricalFS!D45</f>
        <v>3.7499436810092366</v>
      </c>
      <c r="D96" s="20">
        <f>D31/HistoricalFS!E45</f>
        <v>5</v>
      </c>
      <c r="E96" s="20">
        <f>E31/HistoricalFS!F45</f>
        <v>4.0099121423744082</v>
      </c>
      <c r="F96" s="20">
        <f>F31/HistoricalFS!G45</f>
        <v>4.0099121423744082</v>
      </c>
      <c r="G96" s="20">
        <f>G31/HistoricalFS!H45</f>
        <v>7.5185852669520159</v>
      </c>
      <c r="H96" s="20">
        <f>H31/HistoricalFS!I45</f>
        <v>10.024780355936022</v>
      </c>
      <c r="I96" s="20">
        <f>I31/HistoricalFS!J45</f>
        <v>11.027258391529625</v>
      </c>
      <c r="J96" s="20">
        <f>J31/HistoricalFS!K45</f>
        <v>11.027258391529625</v>
      </c>
      <c r="K96" s="324">
        <f>K31/HistoricalFS!L45</f>
        <v>15.037170533904032</v>
      </c>
    </row>
    <row r="97" spans="1:11" x14ac:dyDescent="0.3">
      <c r="A97" s="323" t="s">
        <v>500</v>
      </c>
      <c r="B97" s="20"/>
      <c r="C97" s="325">
        <f>C96/B96-1</f>
        <v>0.44227353463587948</v>
      </c>
      <c r="D97" s="325">
        <f t="shared" ref="D97:K97" si="1">D96/C96-1</f>
        <v>0.33335335816412348</v>
      </c>
      <c r="E97" s="325">
        <f t="shared" si="1"/>
        <v>-0.19801757152511834</v>
      </c>
      <c r="F97" s="325">
        <f t="shared" si="1"/>
        <v>0</v>
      </c>
      <c r="G97" s="325">
        <f t="shared" si="1"/>
        <v>0.87500000000000022</v>
      </c>
      <c r="H97" s="325">
        <f t="shared" si="1"/>
        <v>0.33333333333333348</v>
      </c>
      <c r="I97" s="325">
        <f t="shared" si="1"/>
        <v>0.10000000000000009</v>
      </c>
      <c r="J97" s="325">
        <f t="shared" si="1"/>
        <v>0</v>
      </c>
      <c r="K97" s="326">
        <f t="shared" si="1"/>
        <v>0.36363636363636354</v>
      </c>
    </row>
    <row r="98" spans="1:11" x14ac:dyDescent="0.3">
      <c r="A98" s="323" t="s">
        <v>501</v>
      </c>
      <c r="B98" s="302">
        <f>B95</f>
        <v>462.75</v>
      </c>
      <c r="C98" s="302">
        <f t="shared" ref="C98:K98" si="2">C95</f>
        <v>942.3</v>
      </c>
      <c r="D98" s="302">
        <f t="shared" si="2"/>
        <v>1141.8499999999999</v>
      </c>
      <c r="E98" s="302">
        <f t="shared" si="2"/>
        <v>933.7</v>
      </c>
      <c r="F98" s="302">
        <f t="shared" si="2"/>
        <v>1558.05</v>
      </c>
      <c r="G98" s="302">
        <f t="shared" si="2"/>
        <v>2536.15</v>
      </c>
      <c r="H98" s="302">
        <f t="shared" si="2"/>
        <v>2514.9</v>
      </c>
      <c r="I98" s="302">
        <f t="shared" si="2"/>
        <v>3801.8</v>
      </c>
      <c r="J98" s="302">
        <f t="shared" si="2"/>
        <v>3063.35</v>
      </c>
      <c r="K98" s="327">
        <f t="shared" si="2"/>
        <v>4584.3999999999996</v>
      </c>
    </row>
    <row r="99" spans="1:11" x14ac:dyDescent="0.3">
      <c r="A99" s="323" t="s">
        <v>505</v>
      </c>
      <c r="B99" s="302">
        <f>B93*B98</f>
        <v>41082.945</v>
      </c>
      <c r="C99" s="302">
        <f t="shared" ref="C99:J99" si="3">C93*C98</f>
        <v>83657.394</v>
      </c>
      <c r="D99" s="302">
        <f t="shared" si="3"/>
        <v>101373.443</v>
      </c>
      <c r="E99" s="302">
        <f t="shared" si="3"/>
        <v>82893.885999999999</v>
      </c>
      <c r="F99" s="302">
        <f t="shared" si="3"/>
        <v>138323.679</v>
      </c>
      <c r="G99" s="302">
        <f t="shared" si="3"/>
        <v>225159.397</v>
      </c>
      <c r="H99" s="302">
        <f t="shared" si="3"/>
        <v>223272.82200000001</v>
      </c>
      <c r="I99" s="302">
        <f t="shared" si="3"/>
        <v>337523.804</v>
      </c>
      <c r="J99" s="302">
        <f t="shared" si="3"/>
        <v>271964.21299999999</v>
      </c>
      <c r="K99" s="328">
        <f>K93*K98</f>
        <v>407003.03199999995</v>
      </c>
    </row>
    <row r="100" spans="1:11" x14ac:dyDescent="0.3">
      <c r="A100" s="323" t="s">
        <v>502</v>
      </c>
      <c r="B100" s="302">
        <f>B99+B59-B69</f>
        <v>42186.445</v>
      </c>
      <c r="C100" s="302">
        <f t="shared" ref="C100:J100" si="4">C99+C59-C69</f>
        <v>84730.493999999992</v>
      </c>
      <c r="D100" s="302">
        <f t="shared" si="4"/>
        <v>102699.943</v>
      </c>
      <c r="E100" s="302">
        <f t="shared" si="4"/>
        <v>86074.885999999999</v>
      </c>
      <c r="F100" s="302">
        <f t="shared" si="4"/>
        <v>143401.679</v>
      </c>
      <c r="G100" s="302">
        <f t="shared" si="4"/>
        <v>230861.397</v>
      </c>
      <c r="H100" s="302">
        <f t="shared" si="4"/>
        <v>231296.82200000001</v>
      </c>
      <c r="I100" s="302">
        <f t="shared" si="4"/>
        <v>351525.804</v>
      </c>
      <c r="J100" s="302">
        <f t="shared" si="4"/>
        <v>291157.21299999999</v>
      </c>
      <c r="K100" s="328">
        <f>K99+K59-K69</f>
        <v>435707.03199999995</v>
      </c>
    </row>
    <row r="101" spans="1:11" x14ac:dyDescent="0.3">
      <c r="A101" s="323" t="s">
        <v>390</v>
      </c>
      <c r="B101" s="302">
        <f>B100/B34</f>
        <v>36.245764240914177</v>
      </c>
      <c r="C101" s="302">
        <f t="shared" ref="C101:K101" si="5">C100/C34</f>
        <v>51.532960710375825</v>
      </c>
      <c r="D101" s="302">
        <f t="shared" si="5"/>
        <v>51.509909769835318</v>
      </c>
      <c r="E101" s="302">
        <f t="shared" si="5"/>
        <v>34.947172553796186</v>
      </c>
      <c r="F101" s="302">
        <f t="shared" si="5"/>
        <v>83.131408115942037</v>
      </c>
      <c r="G101" s="302">
        <f t="shared" si="5"/>
        <v>69.037499102870811</v>
      </c>
      <c r="H101" s="302">
        <f t="shared" si="5"/>
        <v>47.377472757066776</v>
      </c>
      <c r="I101" s="302">
        <f t="shared" si="5"/>
        <v>66.425888888888892</v>
      </c>
      <c r="J101" s="302">
        <f t="shared" si="5"/>
        <v>51.134038110291534</v>
      </c>
      <c r="K101" s="328">
        <f t="shared" si="5"/>
        <v>52.136775397870046</v>
      </c>
    </row>
    <row r="102" spans="1:11" x14ac:dyDescent="0.3">
      <c r="A102" s="323" t="s">
        <v>482</v>
      </c>
      <c r="B102" s="302">
        <f>B100/B17</f>
        <v>3.1812823933343539</v>
      </c>
      <c r="C102" s="302">
        <f t="shared" ref="C102:K102" si="6">C100/C17</f>
        <v>5.2563091160729956</v>
      </c>
      <c r="D102" s="302">
        <f t="shared" si="6"/>
        <v>5.1924988826262028</v>
      </c>
      <c r="E102" s="302">
        <f t="shared" si="6"/>
        <v>4.088679745392362</v>
      </c>
      <c r="F102" s="302">
        <f t="shared" si="6"/>
        <v>6.6254702919977824</v>
      </c>
      <c r="G102" s="302">
        <f t="shared" si="6"/>
        <v>8.0162990728844754</v>
      </c>
      <c r="H102" s="302">
        <f t="shared" si="6"/>
        <v>5.7004762045594584</v>
      </c>
      <c r="I102" s="302">
        <f t="shared" si="6"/>
        <v>6.8813288700963122</v>
      </c>
      <c r="J102" s="302">
        <f t="shared" si="6"/>
        <v>4.816018476247188</v>
      </c>
      <c r="K102" s="328">
        <f t="shared" si="6"/>
        <v>4.9747331932773102</v>
      </c>
    </row>
    <row r="103" spans="1:11" x14ac:dyDescent="0.3">
      <c r="A103" s="323" t="s">
        <v>503</v>
      </c>
      <c r="B103" s="302">
        <f>SUM(B57:B58)</f>
        <v>4232.38</v>
      </c>
      <c r="C103" s="302">
        <f t="shared" ref="C103:K103" si="7">SUM(C57:C58)</f>
        <v>5089.88</v>
      </c>
      <c r="D103" s="302">
        <f t="shared" si="7"/>
        <v>6070.15</v>
      </c>
      <c r="E103" s="302">
        <f t="shared" si="7"/>
        <v>6669</v>
      </c>
      <c r="F103" s="302">
        <f t="shared" si="7"/>
        <v>7497</v>
      </c>
      <c r="G103" s="302">
        <f t="shared" si="7"/>
        <v>9303</v>
      </c>
      <c r="H103" s="302">
        <f t="shared" si="7"/>
        <v>11851</v>
      </c>
      <c r="I103" s="302">
        <f t="shared" si="7"/>
        <v>9393</v>
      </c>
      <c r="J103" s="302">
        <f t="shared" si="7"/>
        <v>11624</v>
      </c>
      <c r="K103" s="328">
        <f t="shared" si="7"/>
        <v>15703</v>
      </c>
    </row>
    <row r="104" spans="1:11" x14ac:dyDescent="0.3">
      <c r="A104" s="323" t="s">
        <v>504</v>
      </c>
      <c r="B104" s="302">
        <f>B98/B103</f>
        <v>0.10933564566508679</v>
      </c>
      <c r="C104" s="302">
        <f t="shared" ref="C104:K104" si="8">C98/C103</f>
        <v>0.18513206598190918</v>
      </c>
      <c r="D104" s="302">
        <f t="shared" si="8"/>
        <v>0.18810902531238932</v>
      </c>
      <c r="E104" s="302">
        <f t="shared" si="8"/>
        <v>0.14000599790073476</v>
      </c>
      <c r="F104" s="302">
        <f t="shared" si="8"/>
        <v>0.20782312925170068</v>
      </c>
      <c r="G104" s="302">
        <f t="shared" si="8"/>
        <v>0.27261636031387726</v>
      </c>
      <c r="H104" s="302">
        <f t="shared" si="8"/>
        <v>0.21220994008944394</v>
      </c>
      <c r="I104" s="302">
        <f t="shared" si="8"/>
        <v>0.40474821675715961</v>
      </c>
      <c r="J104" s="302">
        <f t="shared" si="8"/>
        <v>0.26353664831383344</v>
      </c>
      <c r="K104" s="328">
        <f t="shared" si="8"/>
        <v>0.29194421448130931</v>
      </c>
    </row>
    <row r="105" spans="1:11" x14ac:dyDescent="0.3">
      <c r="A105" s="329" t="s">
        <v>481</v>
      </c>
      <c r="B105" s="330">
        <f>$B$8/HistoricalFS!C47</f>
        <v>583.70099816429592</v>
      </c>
      <c r="C105" s="330">
        <f>$B$8/HistoricalFS!D47</f>
        <v>369.36141064152201</v>
      </c>
      <c r="D105" s="330">
        <f>$B$8/HistoricalFS!E47</f>
        <v>293.09259496633399</v>
      </c>
      <c r="E105" s="330">
        <f>$B$8/HistoricalFS!F47</f>
        <v>272.60752310783653</v>
      </c>
      <c r="F105" s="330">
        <f>$B$8/HistoricalFS!G47</f>
        <v>417.86758932238195</v>
      </c>
      <c r="G105" s="330">
        <f>$B$8/HistoricalFS!H47</f>
        <v>185.16971428571426</v>
      </c>
      <c r="H105" s="330">
        <f>$B$8/HistoricalFS!I47</f>
        <v>124.31369334147831</v>
      </c>
      <c r="I105" s="330">
        <f>$B$8/HistoricalFS!J47</f>
        <v>116.41963157894736</v>
      </c>
      <c r="J105" s="330">
        <f>$B$8/HistoricalFS!K47</f>
        <v>121.96674617920287</v>
      </c>
      <c r="K105" s="331">
        <f>$B$8/HistoricalFS!L47</f>
        <v>80.229259215454363</v>
      </c>
    </row>
  </sheetData>
  <mergeCells count="2">
    <mergeCell ref="E1:K1"/>
    <mergeCell ref="E2:K2"/>
  </mergeCells>
  <conditionalFormatting sqref="E1:K1">
    <cfRule type="cellIs" dxfId="0" priority="2" operator="notEqual">
      <formula>""</formula>
    </cfRule>
  </conditionalFormatting>
  <hyperlinks>
    <hyperlink ref="E1" r:id="rId1" display="https://www.screener.in/excel/" xr:uid="{00000000-0004-0000-0700-000000000000}"/>
  </hyperlinks>
  <pageMargins left="0.7" right="0.7" top="0.75" bottom="0.75" header="0.511811023622047" footer="0.511811023622047"/>
  <pageSetup paperSize="9" orientation="portrait" horizontalDpi="300" verticalDpi="300" r:id="rId2"/>
  <ignoredErrors>
    <ignoredError sqref="B103:K103" formulaRange="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B2:N31"/>
  <sheetViews>
    <sheetView zoomScaleNormal="100" workbookViewId="0">
      <selection activeCell="C5" sqref="C5"/>
    </sheetView>
  </sheetViews>
  <sheetFormatPr defaultColWidth="8.6640625" defaultRowHeight="14.4" x14ac:dyDescent="0.3"/>
  <cols>
    <col min="2" max="2" width="28.21875" customWidth="1"/>
    <col min="3" max="14" width="9.21875" customWidth="1"/>
  </cols>
  <sheetData>
    <row r="2" spans="2:14" ht="14.25" customHeight="1" x14ac:dyDescent="0.3">
      <c r="C2" s="67">
        <v>42064</v>
      </c>
      <c r="D2" s="67">
        <v>42430</v>
      </c>
      <c r="E2" s="67">
        <v>42795</v>
      </c>
      <c r="F2" s="67">
        <v>43160</v>
      </c>
      <c r="G2" s="67">
        <v>43525</v>
      </c>
      <c r="H2" s="67">
        <v>43891</v>
      </c>
      <c r="I2" s="67">
        <v>44256</v>
      </c>
      <c r="J2" s="67">
        <v>44621</v>
      </c>
      <c r="K2" s="67">
        <v>44986</v>
      </c>
      <c r="L2" s="67">
        <v>45352</v>
      </c>
      <c r="M2" s="67">
        <v>45717</v>
      </c>
      <c r="N2" s="67">
        <v>46082</v>
      </c>
    </row>
    <row r="3" spans="2:14" ht="14.25" customHeight="1" x14ac:dyDescent="0.3">
      <c r="B3" s="6" t="s">
        <v>49</v>
      </c>
      <c r="C3" s="6">
        <v>503</v>
      </c>
      <c r="D3" s="6">
        <v>576</v>
      </c>
      <c r="E3" s="68">
        <v>1712</v>
      </c>
      <c r="F3" s="6">
        <v>-51</v>
      </c>
      <c r="G3" s="68">
        <v>1243</v>
      </c>
      <c r="H3" s="6">
        <v>-348</v>
      </c>
      <c r="I3" s="68">
        <v>4139</v>
      </c>
      <c r="J3" s="6">
        <v>-724</v>
      </c>
      <c r="K3" s="68">
        <v>1370</v>
      </c>
      <c r="L3" s="68">
        <v>1695</v>
      </c>
      <c r="M3" s="6">
        <v>-541</v>
      </c>
      <c r="N3" s="68">
        <v>5590</v>
      </c>
    </row>
    <row r="4" spans="2:14" ht="14.25" customHeight="1" x14ac:dyDescent="0.3">
      <c r="B4" t="s">
        <v>50</v>
      </c>
      <c r="C4" s="69">
        <v>1163</v>
      </c>
      <c r="D4">
        <v>942</v>
      </c>
      <c r="E4" s="69">
        <v>1073</v>
      </c>
      <c r="F4" s="69">
        <v>1642</v>
      </c>
      <c r="G4" s="69">
        <v>2183</v>
      </c>
      <c r="H4" s="69">
        <v>2481</v>
      </c>
      <c r="I4" s="69">
        <v>1789</v>
      </c>
      <c r="J4" s="69">
        <v>3298</v>
      </c>
      <c r="K4" s="69">
        <v>4937</v>
      </c>
      <c r="L4" s="69">
        <v>5404</v>
      </c>
      <c r="M4" s="69">
        <v>5774</v>
      </c>
      <c r="N4" s="69">
        <v>8447</v>
      </c>
    </row>
    <row r="5" spans="2:14" ht="14.25" customHeight="1" x14ac:dyDescent="0.3">
      <c r="B5" t="s">
        <v>43</v>
      </c>
      <c r="C5">
        <v>-39</v>
      </c>
      <c r="D5">
        <v>0</v>
      </c>
      <c r="E5">
        <v>-12</v>
      </c>
      <c r="F5">
        <v>-90</v>
      </c>
      <c r="G5">
        <v>-139</v>
      </c>
      <c r="H5">
        <v>109</v>
      </c>
      <c r="I5">
        <v>-59</v>
      </c>
      <c r="J5">
        <v>-207</v>
      </c>
      <c r="K5">
        <v>-112</v>
      </c>
      <c r="L5">
        <v>-348</v>
      </c>
      <c r="M5">
        <v>-95</v>
      </c>
      <c r="N5">
        <v>210</v>
      </c>
    </row>
    <row r="6" spans="2:14" ht="14.25" customHeight="1" x14ac:dyDescent="0.3">
      <c r="B6" t="s">
        <v>44</v>
      </c>
      <c r="C6">
        <v>-180</v>
      </c>
      <c r="D6">
        <v>-398</v>
      </c>
      <c r="E6">
        <v>-448</v>
      </c>
      <c r="F6">
        <v>-996</v>
      </c>
      <c r="G6" s="69">
        <v>-1120</v>
      </c>
      <c r="H6" s="69">
        <v>-1057</v>
      </c>
      <c r="I6">
        <v>-316</v>
      </c>
      <c r="J6" s="69">
        <v>-5199</v>
      </c>
      <c r="K6" s="69">
        <v>-2977</v>
      </c>
      <c r="L6" s="69">
        <v>-2462</v>
      </c>
      <c r="M6" s="69">
        <v>-9072</v>
      </c>
      <c r="N6" s="69">
        <v>-11592</v>
      </c>
    </row>
    <row r="7" spans="2:14" ht="14.25" customHeight="1" x14ac:dyDescent="0.3">
      <c r="B7" t="s">
        <v>51</v>
      </c>
      <c r="C7" s="69">
        <v>1079</v>
      </c>
      <c r="D7">
        <v>-245</v>
      </c>
      <c r="E7">
        <v>238</v>
      </c>
      <c r="F7">
        <v>95</v>
      </c>
      <c r="G7">
        <v>32</v>
      </c>
      <c r="H7">
        <v>-310</v>
      </c>
      <c r="I7">
        <v>195</v>
      </c>
      <c r="J7">
        <v>504</v>
      </c>
      <c r="K7">
        <v>-89</v>
      </c>
      <c r="L7">
        <v>196</v>
      </c>
      <c r="M7">
        <v>564</v>
      </c>
      <c r="N7">
        <v>472</v>
      </c>
    </row>
    <row r="8" spans="2:14" ht="14.25" customHeight="1" x14ac:dyDescent="0.3">
      <c r="B8" t="s">
        <v>52</v>
      </c>
      <c r="C8">
        <v>-71</v>
      </c>
      <c r="D8">
        <v>-66</v>
      </c>
      <c r="E8">
        <v>0</v>
      </c>
      <c r="F8">
        <v>3</v>
      </c>
      <c r="G8">
        <v>-24</v>
      </c>
      <c r="H8">
        <v>-20</v>
      </c>
      <c r="I8">
        <v>-8</v>
      </c>
      <c r="J8">
        <v>-3</v>
      </c>
      <c r="K8">
        <v>-18</v>
      </c>
      <c r="L8">
        <v>-21</v>
      </c>
      <c r="M8">
        <v>4</v>
      </c>
      <c r="N8">
        <v>-8</v>
      </c>
    </row>
    <row r="9" spans="2:14" ht="14.25" customHeight="1" x14ac:dyDescent="0.3">
      <c r="B9" t="s">
        <v>53</v>
      </c>
      <c r="C9">
        <v>0</v>
      </c>
      <c r="D9">
        <v>0</v>
      </c>
      <c r="E9">
        <v>763</v>
      </c>
      <c r="F9">
        <v>-270</v>
      </c>
      <c r="G9">
        <v>741</v>
      </c>
      <c r="H9">
        <v>-768</v>
      </c>
      <c r="I9" s="69">
        <v>2625</v>
      </c>
      <c r="J9" s="69">
        <v>1188</v>
      </c>
      <c r="K9">
        <v>-99</v>
      </c>
      <c r="L9">
        <v>42</v>
      </c>
      <c r="M9" s="69">
        <v>2468</v>
      </c>
      <c r="N9" s="69">
        <v>7304</v>
      </c>
    </row>
    <row r="10" spans="2:14" ht="14.25" customHeight="1" x14ac:dyDescent="0.3">
      <c r="B10" t="s">
        <v>54</v>
      </c>
      <c r="C10" s="69">
        <v>-1204</v>
      </c>
      <c r="D10">
        <v>545</v>
      </c>
      <c r="E10">
        <v>375</v>
      </c>
      <c r="F10">
        <v>22</v>
      </c>
      <c r="G10">
        <v>206</v>
      </c>
      <c r="H10">
        <v>-226</v>
      </c>
      <c r="I10">
        <v>184</v>
      </c>
      <c r="J10">
        <v>497</v>
      </c>
      <c r="K10">
        <v>882</v>
      </c>
      <c r="L10">
        <v>57</v>
      </c>
      <c r="M10">
        <v>905</v>
      </c>
      <c r="N10" s="69">
        <v>2494</v>
      </c>
    </row>
    <row r="11" spans="2:14" ht="14.25" customHeight="1" x14ac:dyDescent="0.3">
      <c r="B11" t="s">
        <v>55</v>
      </c>
      <c r="C11">
        <v>-415</v>
      </c>
      <c r="D11">
        <v>-163</v>
      </c>
      <c r="E11">
        <v>916</v>
      </c>
      <c r="F11" s="69">
        <v>-1237</v>
      </c>
      <c r="G11">
        <v>-304</v>
      </c>
      <c r="H11" s="69">
        <v>-2272</v>
      </c>
      <c r="I11" s="69">
        <v>2621</v>
      </c>
      <c r="J11" s="69">
        <v>-3220</v>
      </c>
      <c r="K11" s="69">
        <v>-2413</v>
      </c>
      <c r="L11" s="69">
        <v>-2536</v>
      </c>
      <c r="M11" s="69">
        <v>-5226</v>
      </c>
      <c r="N11" s="69">
        <v>-1120</v>
      </c>
    </row>
    <row r="12" spans="2:14" ht="14.25" customHeight="1" x14ac:dyDescent="0.3">
      <c r="B12" t="s">
        <v>56</v>
      </c>
      <c r="C12">
        <v>-245</v>
      </c>
      <c r="D12">
        <v>-202</v>
      </c>
      <c r="E12">
        <v>-277</v>
      </c>
      <c r="F12">
        <v>-456</v>
      </c>
      <c r="G12">
        <v>-636</v>
      </c>
      <c r="H12">
        <v>-557</v>
      </c>
      <c r="I12">
        <v>-271</v>
      </c>
      <c r="J12">
        <v>-802</v>
      </c>
      <c r="K12" s="69">
        <v>-1154</v>
      </c>
      <c r="L12" s="69">
        <v>-1173</v>
      </c>
      <c r="M12" s="69">
        <v>-1089</v>
      </c>
      <c r="N12" s="69">
        <v>-1737</v>
      </c>
    </row>
    <row r="13" spans="2:14" ht="14.25" customHeight="1" x14ac:dyDescent="0.3">
      <c r="B13" s="6" t="s">
        <v>58</v>
      </c>
      <c r="C13" s="6">
        <v>-118</v>
      </c>
      <c r="D13" s="6">
        <v>-159</v>
      </c>
      <c r="E13" s="6">
        <v>-953</v>
      </c>
      <c r="F13" s="6">
        <v>98</v>
      </c>
      <c r="G13" s="6">
        <v>-797</v>
      </c>
      <c r="H13" s="6">
        <v>235</v>
      </c>
      <c r="I13" s="68">
        <v>-2799</v>
      </c>
      <c r="J13" s="68">
        <v>1165</v>
      </c>
      <c r="K13" s="68">
        <v>-1814</v>
      </c>
      <c r="L13" s="6">
        <v>-189</v>
      </c>
      <c r="M13" s="6">
        <v>546</v>
      </c>
      <c r="N13" s="68">
        <v>-2965</v>
      </c>
    </row>
    <row r="14" spans="2:14" ht="14.25" customHeight="1" x14ac:dyDescent="0.3">
      <c r="B14" t="s">
        <v>59</v>
      </c>
      <c r="C14">
        <v>-209</v>
      </c>
      <c r="D14">
        <v>-254</v>
      </c>
      <c r="E14">
        <v>-256</v>
      </c>
      <c r="F14">
        <v>-305</v>
      </c>
      <c r="G14">
        <v>-265</v>
      </c>
      <c r="H14">
        <v>-355</v>
      </c>
      <c r="I14">
        <v>-146</v>
      </c>
      <c r="J14">
        <v>-224</v>
      </c>
      <c r="K14">
        <v>-432</v>
      </c>
      <c r="L14">
        <v>-691</v>
      </c>
      <c r="M14">
        <v>-494</v>
      </c>
      <c r="N14">
        <v>-902</v>
      </c>
    </row>
    <row r="15" spans="2:14" ht="14.25" customHeight="1" x14ac:dyDescent="0.3">
      <c r="B15" t="s">
        <v>60</v>
      </c>
      <c r="C15">
        <v>2</v>
      </c>
      <c r="D15">
        <v>2</v>
      </c>
      <c r="E15">
        <v>5</v>
      </c>
      <c r="F15">
        <v>6</v>
      </c>
      <c r="G15">
        <v>1</v>
      </c>
      <c r="H15">
        <v>10</v>
      </c>
      <c r="I15">
        <v>7</v>
      </c>
      <c r="J15">
        <v>8</v>
      </c>
      <c r="K15">
        <v>12</v>
      </c>
      <c r="L15">
        <v>20</v>
      </c>
      <c r="M15">
        <v>24</v>
      </c>
      <c r="N15">
        <v>25</v>
      </c>
    </row>
    <row r="16" spans="2:14" ht="14.25" customHeight="1" x14ac:dyDescent="0.3">
      <c r="B16" t="s">
        <v>61</v>
      </c>
      <c r="C16">
        <v>-135</v>
      </c>
      <c r="D16" s="69">
        <v>-1078</v>
      </c>
      <c r="E16">
        <v>-325</v>
      </c>
      <c r="F16">
        <v>0</v>
      </c>
      <c r="G16">
        <v>-36</v>
      </c>
      <c r="H16">
        <v>-13</v>
      </c>
      <c r="I16" s="69">
        <v>-2656</v>
      </c>
      <c r="J16">
        <v>-253</v>
      </c>
      <c r="K16" s="69">
        <v>-2104</v>
      </c>
      <c r="L16" s="69">
        <v>-21893</v>
      </c>
      <c r="M16" s="69">
        <v>-15342</v>
      </c>
      <c r="N16" s="69">
        <v>-22035</v>
      </c>
    </row>
    <row r="17" spans="2:14" ht="14.25" customHeight="1" x14ac:dyDescent="0.3">
      <c r="B17" t="s">
        <v>62</v>
      </c>
      <c r="C17">
        <v>135</v>
      </c>
      <c r="D17" s="69">
        <v>1083</v>
      </c>
      <c r="E17">
        <v>0</v>
      </c>
      <c r="F17">
        <v>412</v>
      </c>
      <c r="G17">
        <v>18</v>
      </c>
      <c r="H17">
        <v>0</v>
      </c>
      <c r="I17">
        <v>43</v>
      </c>
      <c r="J17" s="69">
        <v>2870</v>
      </c>
      <c r="K17">
        <v>0</v>
      </c>
      <c r="L17" s="69">
        <v>22213</v>
      </c>
      <c r="M17" s="69">
        <v>15747</v>
      </c>
      <c r="N17" s="69">
        <v>20797</v>
      </c>
    </row>
    <row r="18" spans="2:14" ht="14.25" customHeight="1" x14ac:dyDescent="0.3">
      <c r="B18" t="s">
        <v>63</v>
      </c>
      <c r="C18">
        <v>77</v>
      </c>
      <c r="D18">
        <v>58</v>
      </c>
      <c r="E18">
        <v>41</v>
      </c>
      <c r="F18">
        <v>64</v>
      </c>
      <c r="G18">
        <v>85</v>
      </c>
      <c r="H18">
        <v>73</v>
      </c>
      <c r="I18">
        <v>49</v>
      </c>
      <c r="J18">
        <v>56</v>
      </c>
      <c r="K18">
        <v>143</v>
      </c>
      <c r="L18">
        <v>249</v>
      </c>
      <c r="M18">
        <v>288</v>
      </c>
      <c r="N18">
        <v>227</v>
      </c>
    </row>
    <row r="19" spans="2:14" ht="14.25" customHeight="1" x14ac:dyDescent="0.3">
      <c r="B19" t="s">
        <v>64</v>
      </c>
      <c r="C19">
        <v>0</v>
      </c>
      <c r="D19">
        <v>0</v>
      </c>
      <c r="E19">
        <v>0</v>
      </c>
      <c r="F19">
        <v>0</v>
      </c>
      <c r="G19">
        <v>0</v>
      </c>
      <c r="H19">
        <v>-39</v>
      </c>
      <c r="I19">
        <v>0</v>
      </c>
      <c r="J19">
        <v>0</v>
      </c>
      <c r="K19">
        <v>0</v>
      </c>
      <c r="L19">
        <v>0</v>
      </c>
      <c r="M19">
        <v>0</v>
      </c>
      <c r="N19">
        <v>0</v>
      </c>
    </row>
    <row r="20" spans="2:14" ht="14.25" customHeight="1" x14ac:dyDescent="0.3">
      <c r="B20" t="s">
        <v>65</v>
      </c>
      <c r="C20">
        <v>0</v>
      </c>
      <c r="D20">
        <v>-18</v>
      </c>
      <c r="E20">
        <v>0</v>
      </c>
      <c r="F20">
        <v>0</v>
      </c>
      <c r="G20">
        <v>0</v>
      </c>
      <c r="H20">
        <v>0</v>
      </c>
      <c r="I20">
        <v>0</v>
      </c>
      <c r="J20">
        <v>0</v>
      </c>
      <c r="K20">
        <v>0</v>
      </c>
      <c r="L20">
        <v>0</v>
      </c>
      <c r="M20">
        <v>0</v>
      </c>
      <c r="N20">
        <v>0</v>
      </c>
    </row>
    <row r="21" spans="2:14" ht="14.25" customHeight="1" x14ac:dyDescent="0.3">
      <c r="B21" t="s">
        <v>66</v>
      </c>
      <c r="C21">
        <v>0</v>
      </c>
      <c r="D21">
        <v>0</v>
      </c>
      <c r="E21">
        <v>-385</v>
      </c>
      <c r="F21">
        <v>0</v>
      </c>
      <c r="G21">
        <v>0</v>
      </c>
      <c r="H21">
        <v>0</v>
      </c>
      <c r="I21">
        <v>0</v>
      </c>
      <c r="J21">
        <v>0</v>
      </c>
      <c r="K21">
        <v>0</v>
      </c>
      <c r="L21">
        <v>0</v>
      </c>
      <c r="M21">
        <v>0</v>
      </c>
      <c r="N21">
        <v>0</v>
      </c>
    </row>
    <row r="22" spans="2:14" ht="14.25" customHeight="1" x14ac:dyDescent="0.3">
      <c r="B22" t="s">
        <v>67</v>
      </c>
      <c r="C22">
        <v>-48</v>
      </c>
      <c r="D22">
        <v>38</v>
      </c>
      <c r="E22">
        <v>5</v>
      </c>
      <c r="F22">
        <v>-35</v>
      </c>
      <c r="G22">
        <v>-115</v>
      </c>
      <c r="H22">
        <v>200</v>
      </c>
      <c r="I22">
        <v>-50</v>
      </c>
      <c r="J22">
        <v>-344</v>
      </c>
      <c r="K22">
        <v>294</v>
      </c>
      <c r="L22">
        <v>-143</v>
      </c>
      <c r="M22">
        <v>243</v>
      </c>
      <c r="N22">
        <v>0</v>
      </c>
    </row>
    <row r="23" spans="2:14" ht="14.25" customHeight="1" x14ac:dyDescent="0.3">
      <c r="B23" t="s">
        <v>68</v>
      </c>
      <c r="C23">
        <v>60</v>
      </c>
      <c r="D23">
        <v>10</v>
      </c>
      <c r="E23">
        <v>-38</v>
      </c>
      <c r="F23">
        <v>-43</v>
      </c>
      <c r="G23">
        <v>-485</v>
      </c>
      <c r="H23">
        <v>359</v>
      </c>
      <c r="I23">
        <v>-46</v>
      </c>
      <c r="J23">
        <v>-948</v>
      </c>
      <c r="K23">
        <v>273</v>
      </c>
      <c r="L23">
        <v>56</v>
      </c>
      <c r="M23">
        <v>80</v>
      </c>
      <c r="N23" s="69">
        <v>-1077</v>
      </c>
    </row>
    <row r="24" spans="2:14" ht="14.25" customHeight="1" x14ac:dyDescent="0.3">
      <c r="B24" s="6" t="s">
        <v>70</v>
      </c>
      <c r="C24" s="68">
        <v>-1005</v>
      </c>
      <c r="D24" s="6">
        <v>-505</v>
      </c>
      <c r="E24" s="6">
        <v>-166</v>
      </c>
      <c r="F24" s="6">
        <v>-252</v>
      </c>
      <c r="G24" s="6">
        <v>-489</v>
      </c>
      <c r="H24" s="6">
        <v>-242</v>
      </c>
      <c r="I24" s="68">
        <v>-1234</v>
      </c>
      <c r="J24" s="6">
        <v>-403</v>
      </c>
      <c r="K24" s="6">
        <v>457</v>
      </c>
      <c r="L24" s="68">
        <v>-1329</v>
      </c>
      <c r="M24" s="6">
        <v>-7</v>
      </c>
      <c r="N24" s="68">
        <v>-2159</v>
      </c>
    </row>
    <row r="25" spans="2:14" ht="14.25" customHeight="1" x14ac:dyDescent="0.3">
      <c r="B25" t="s">
        <v>71</v>
      </c>
      <c r="C25">
        <v>0</v>
      </c>
      <c r="D25">
        <v>0</v>
      </c>
      <c r="E25">
        <v>0</v>
      </c>
      <c r="F25">
        <v>0</v>
      </c>
      <c r="G25">
        <v>0</v>
      </c>
      <c r="H25">
        <v>693</v>
      </c>
      <c r="I25">
        <v>0</v>
      </c>
      <c r="J25">
        <v>349</v>
      </c>
      <c r="K25" s="69">
        <v>1684</v>
      </c>
      <c r="L25" s="69">
        <v>5629</v>
      </c>
      <c r="M25" s="69">
        <v>2599</v>
      </c>
      <c r="N25" s="69">
        <v>3314</v>
      </c>
    </row>
    <row r="26" spans="2:14" ht="14.25" customHeight="1" x14ac:dyDescent="0.3">
      <c r="B26" t="s">
        <v>72</v>
      </c>
      <c r="C26">
        <v>0</v>
      </c>
      <c r="D26">
        <v>0</v>
      </c>
      <c r="E26">
        <v>0</v>
      </c>
      <c r="F26">
        <v>0</v>
      </c>
      <c r="G26">
        <v>-39</v>
      </c>
      <c r="H26">
        <v>0</v>
      </c>
      <c r="I26">
        <v>-562</v>
      </c>
      <c r="J26">
        <v>-7</v>
      </c>
      <c r="K26">
        <v>-7</v>
      </c>
      <c r="L26">
        <v>0</v>
      </c>
      <c r="M26">
        <v>-378</v>
      </c>
      <c r="N26" s="69">
        <v>-2632</v>
      </c>
    </row>
    <row r="27" spans="2:14" ht="14.25" customHeight="1" x14ac:dyDescent="0.3">
      <c r="B27" t="s">
        <v>73</v>
      </c>
      <c r="C27">
        <v>-81</v>
      </c>
      <c r="D27">
        <v>-42</v>
      </c>
      <c r="E27">
        <v>-38</v>
      </c>
      <c r="F27">
        <v>-54</v>
      </c>
      <c r="G27">
        <v>-53</v>
      </c>
      <c r="H27">
        <v>-399</v>
      </c>
      <c r="I27">
        <v>-317</v>
      </c>
      <c r="J27">
        <v>-218</v>
      </c>
      <c r="K27">
        <v>-300</v>
      </c>
      <c r="L27">
        <v>-619</v>
      </c>
      <c r="M27">
        <v>-538</v>
      </c>
      <c r="N27" s="69">
        <v>-1000</v>
      </c>
    </row>
    <row r="28" spans="2:14" ht="14.25" customHeight="1" x14ac:dyDescent="0.3">
      <c r="B28" t="s">
        <v>74</v>
      </c>
      <c r="C28">
        <v>-185</v>
      </c>
      <c r="D28">
        <v>-394</v>
      </c>
      <c r="E28">
        <v>-4</v>
      </c>
      <c r="F28">
        <v>-277</v>
      </c>
      <c r="G28">
        <v>-397</v>
      </c>
      <c r="H28">
        <v>-536</v>
      </c>
      <c r="I28">
        <v>-355</v>
      </c>
      <c r="J28">
        <v>-355</v>
      </c>
      <c r="K28">
        <v>-666</v>
      </c>
      <c r="L28">
        <v>-888</v>
      </c>
      <c r="M28">
        <v>-976</v>
      </c>
      <c r="N28">
        <v>-976</v>
      </c>
    </row>
    <row r="29" spans="2:14" ht="14.25" customHeight="1" x14ac:dyDescent="0.3">
      <c r="B29" t="s">
        <v>75</v>
      </c>
      <c r="C29">
        <v>0</v>
      </c>
      <c r="D29">
        <v>0</v>
      </c>
      <c r="E29">
        <v>0</v>
      </c>
      <c r="F29">
        <v>0</v>
      </c>
      <c r="G29">
        <v>0</v>
      </c>
      <c r="H29">
        <v>0</v>
      </c>
      <c r="I29">
        <v>0</v>
      </c>
      <c r="J29">
        <v>-172</v>
      </c>
      <c r="K29">
        <v>-254</v>
      </c>
      <c r="L29">
        <v>-318</v>
      </c>
      <c r="M29">
        <v>-700</v>
      </c>
      <c r="N29">
        <v>-865</v>
      </c>
    </row>
    <row r="30" spans="2:14" ht="14.25" customHeight="1" x14ac:dyDescent="0.3">
      <c r="B30" t="s">
        <v>76</v>
      </c>
      <c r="C30">
        <v>-739</v>
      </c>
      <c r="D30">
        <v>-68</v>
      </c>
      <c r="E30">
        <v>-124</v>
      </c>
      <c r="F30">
        <v>79</v>
      </c>
      <c r="G30">
        <v>0</v>
      </c>
      <c r="H30">
        <v>0</v>
      </c>
      <c r="I30">
        <v>0</v>
      </c>
      <c r="J30">
        <v>0</v>
      </c>
      <c r="K30">
        <v>0</v>
      </c>
      <c r="L30" s="69">
        <v>-5133</v>
      </c>
      <c r="M30">
        <v>-14</v>
      </c>
      <c r="N30">
        <v>0</v>
      </c>
    </row>
    <row r="31" spans="2:14" ht="14.25" customHeight="1" x14ac:dyDescent="0.3">
      <c r="B31" s="6" t="s">
        <v>78</v>
      </c>
      <c r="C31" s="6">
        <v>-620</v>
      </c>
      <c r="D31" s="6">
        <v>-88</v>
      </c>
      <c r="E31" s="6">
        <v>594</v>
      </c>
      <c r="F31" s="6">
        <v>-206</v>
      </c>
      <c r="G31" s="6">
        <v>-43</v>
      </c>
      <c r="H31" s="6">
        <v>-355</v>
      </c>
      <c r="I31" s="6">
        <v>106</v>
      </c>
      <c r="J31" s="6">
        <v>38</v>
      </c>
      <c r="K31" s="6">
        <v>13</v>
      </c>
      <c r="L31" s="6">
        <v>177</v>
      </c>
      <c r="M31" s="6">
        <v>-2</v>
      </c>
      <c r="N31" s="6">
        <v>466</v>
      </c>
    </row>
  </sheetData>
  <pageMargins left="0.7" right="0.7" top="0.75" bottom="0.75" header="0.511811023622047" footer="0.511811023622047"/>
  <pageSetup paperSize="9"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43BA-4068-4C04-B4E2-A005AD8EE1C7}">
  <sheetPr>
    <tabColor rgb="FFFF0000"/>
  </sheetPr>
  <dimension ref="B2:M8"/>
  <sheetViews>
    <sheetView workbookViewId="0">
      <selection activeCell="F6" sqref="F6"/>
    </sheetView>
  </sheetViews>
  <sheetFormatPr defaultRowHeight="14.4" x14ac:dyDescent="0.3"/>
  <cols>
    <col min="2" max="2" width="5.44140625" bestFit="1" customWidth="1"/>
    <col min="3" max="3" width="15.44140625" bestFit="1" customWidth="1"/>
    <col min="4" max="4" width="9.5546875" bestFit="1" customWidth="1"/>
    <col min="5" max="5" width="15.6640625" bestFit="1" customWidth="1"/>
    <col min="6" max="6" width="10.109375" bestFit="1" customWidth="1"/>
    <col min="7" max="7" width="13.6640625" bestFit="1" customWidth="1"/>
    <col min="8" max="8" width="9" bestFit="1" customWidth="1"/>
    <col min="9" max="9" width="10.33203125" bestFit="1" customWidth="1"/>
    <col min="10" max="10" width="10.77734375" bestFit="1" customWidth="1"/>
    <col min="11" max="11" width="12.6640625" bestFit="1" customWidth="1"/>
    <col min="12" max="12" width="14.77734375" bestFit="1" customWidth="1"/>
    <col min="13" max="13" width="10.5546875" bestFit="1" customWidth="1"/>
  </cols>
  <sheetData>
    <row r="2" spans="2:13" x14ac:dyDescent="0.3">
      <c r="B2" t="s">
        <v>215</v>
      </c>
      <c r="C2" t="s">
        <v>216</v>
      </c>
      <c r="D2" t="s">
        <v>217</v>
      </c>
      <c r="E2" t="s">
        <v>218</v>
      </c>
      <c r="F2" t="s">
        <v>219</v>
      </c>
      <c r="G2" t="s">
        <v>220</v>
      </c>
      <c r="H2" t="s">
        <v>221</v>
      </c>
      <c r="I2" t="s">
        <v>222</v>
      </c>
      <c r="J2" t="s">
        <v>223</v>
      </c>
      <c r="K2" t="s">
        <v>224</v>
      </c>
      <c r="L2" t="s">
        <v>225</v>
      </c>
      <c r="M2" s="79" t="s">
        <v>207</v>
      </c>
    </row>
    <row r="3" spans="2:13" x14ac:dyDescent="0.3">
      <c r="B3">
        <v>1</v>
      </c>
      <c r="C3" t="s">
        <v>226</v>
      </c>
      <c r="D3" s="80">
        <v>4638.1000000000004</v>
      </c>
      <c r="E3">
        <v>88.78</v>
      </c>
      <c r="F3">
        <v>30621</v>
      </c>
      <c r="G3">
        <v>1917</v>
      </c>
      <c r="H3">
        <v>440468.1</v>
      </c>
      <c r="I3">
        <v>87584</v>
      </c>
      <c r="J3">
        <v>49.44</v>
      </c>
      <c r="K3">
        <v>5073</v>
      </c>
      <c r="L3">
        <v>8910</v>
      </c>
      <c r="M3" s="81">
        <f>D3*E3</f>
        <v>411770.51800000004</v>
      </c>
    </row>
    <row r="4" spans="2:13" x14ac:dyDescent="0.3">
      <c r="B4">
        <v>2</v>
      </c>
      <c r="C4" t="s">
        <v>227</v>
      </c>
      <c r="D4">
        <v>574.4</v>
      </c>
      <c r="E4">
        <v>103.27</v>
      </c>
      <c r="F4">
        <v>6117.33</v>
      </c>
      <c r="G4">
        <v>860.91</v>
      </c>
      <c r="H4">
        <v>64577.02</v>
      </c>
      <c r="I4">
        <v>35742.86</v>
      </c>
      <c r="J4">
        <v>23.92</v>
      </c>
      <c r="K4">
        <v>1350.4</v>
      </c>
      <c r="L4">
        <v>2699.22</v>
      </c>
      <c r="M4" s="81">
        <f t="shared" ref="M4:M5" si="0">D4*E4</f>
        <v>59318.287999999993</v>
      </c>
    </row>
    <row r="5" spans="2:13" x14ac:dyDescent="0.3">
      <c r="B5">
        <v>3</v>
      </c>
      <c r="C5" t="s">
        <v>228</v>
      </c>
      <c r="D5">
        <v>6436</v>
      </c>
      <c r="E5">
        <v>3.11</v>
      </c>
      <c r="F5">
        <v>913.21</v>
      </c>
      <c r="G5">
        <v>381.23</v>
      </c>
      <c r="H5">
        <v>20536.37</v>
      </c>
      <c r="I5">
        <v>8499.33</v>
      </c>
      <c r="J5">
        <v>35.46</v>
      </c>
      <c r="K5">
        <v>351.65</v>
      </c>
      <c r="L5">
        <v>579.12</v>
      </c>
      <c r="M5" s="81">
        <f t="shared" si="0"/>
        <v>20015.96</v>
      </c>
    </row>
    <row r="6" spans="2:13" x14ac:dyDescent="0.3">
      <c r="B6">
        <v>4</v>
      </c>
      <c r="C6" t="s">
        <v>285</v>
      </c>
      <c r="D6">
        <v>87.5</v>
      </c>
      <c r="E6">
        <v>29.53</v>
      </c>
      <c r="F6">
        <v>1015.9</v>
      </c>
      <c r="G6">
        <v>2615.2199999999998</v>
      </c>
      <c r="H6">
        <v>984.19</v>
      </c>
      <c r="I6">
        <v>778716.04</v>
      </c>
      <c r="J6">
        <v>2.59</v>
      </c>
      <c r="K6">
        <v>112.5</v>
      </c>
      <c r="L6">
        <v>380.05</v>
      </c>
      <c r="M6" s="81">
        <f>D6*E6</f>
        <v>2583.875</v>
      </c>
    </row>
    <row r="7" spans="2:13" x14ac:dyDescent="0.3">
      <c r="M7" s="81"/>
    </row>
    <row r="8" spans="2:13" x14ac:dyDescent="0.3">
      <c r="M8" s="81"/>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AAF7A-3686-4DBB-95F3-6BB717487B31}">
  <sheetPr>
    <tabColor rgb="FFFF0000"/>
  </sheetPr>
  <dimension ref="B2:T257"/>
  <sheetViews>
    <sheetView showGridLines="0" topLeftCell="E1" workbookViewId="0">
      <selection activeCell="O25" sqref="O25"/>
    </sheetView>
  </sheetViews>
  <sheetFormatPr defaultRowHeight="14.4" x14ac:dyDescent="0.3"/>
  <cols>
    <col min="1" max="1" width="1.88671875" customWidth="1"/>
    <col min="2" max="2" width="11.5546875" style="274" customWidth="1"/>
    <col min="4" max="4" width="8.88671875" customWidth="1"/>
    <col min="5" max="5" width="3.88671875" customWidth="1"/>
    <col min="11" max="11" width="14.33203125" bestFit="1" customWidth="1"/>
    <col min="13" max="20" width="10.77734375" customWidth="1"/>
  </cols>
  <sheetData>
    <row r="2" spans="2:20" x14ac:dyDescent="0.3">
      <c r="B2" s="255" t="s">
        <v>249</v>
      </c>
      <c r="C2" s="100" t="s">
        <v>250</v>
      </c>
      <c r="D2" s="101" t="s">
        <v>529</v>
      </c>
      <c r="K2" s="121"/>
      <c r="L2" s="122"/>
      <c r="M2" s="337" t="s">
        <v>531</v>
      </c>
      <c r="N2" s="337" t="s">
        <v>532</v>
      </c>
      <c r="O2" s="337" t="s">
        <v>533</v>
      </c>
      <c r="P2" s="337" t="s">
        <v>534</v>
      </c>
      <c r="Q2" s="337" t="s">
        <v>535</v>
      </c>
      <c r="R2" s="337" t="s">
        <v>536</v>
      </c>
      <c r="S2" s="337" t="s">
        <v>537</v>
      </c>
      <c r="T2" s="338" t="s">
        <v>538</v>
      </c>
    </row>
    <row r="3" spans="2:20" x14ac:dyDescent="0.3">
      <c r="B3" s="102">
        <v>46213.645833333336</v>
      </c>
      <c r="C3">
        <v>4584.3999999999996</v>
      </c>
      <c r="D3" s="335">
        <v>7.4505670000000004</v>
      </c>
      <c r="K3" s="111" t="s">
        <v>541</v>
      </c>
      <c r="M3" s="339">
        <v>0.52900000000000003</v>
      </c>
      <c r="N3" s="339">
        <v>0.52900000000000003</v>
      </c>
      <c r="O3" s="339">
        <v>0.52900000000000003</v>
      </c>
      <c r="P3" s="339">
        <v>0.52900000000000003</v>
      </c>
      <c r="Q3" s="339">
        <v>0.52900000000000003</v>
      </c>
      <c r="R3" s="339">
        <v>0.52900000000000003</v>
      </c>
      <c r="S3" s="339">
        <v>0.52900000000000003</v>
      </c>
      <c r="T3" s="340">
        <v>0.52900000000000003</v>
      </c>
    </row>
    <row r="4" spans="2:20" x14ac:dyDescent="0.3">
      <c r="B4" s="102">
        <v>46206.645833333336</v>
      </c>
      <c r="C4">
        <v>4461.1000000000004</v>
      </c>
      <c r="D4" s="335">
        <v>4.3441270000000003</v>
      </c>
      <c r="K4" s="111" t="s">
        <v>542</v>
      </c>
      <c r="M4" s="339">
        <v>0.47</v>
      </c>
      <c r="N4" s="339">
        <v>0.47</v>
      </c>
      <c r="O4" s="339">
        <v>0.47</v>
      </c>
      <c r="P4" s="339">
        <v>0.47</v>
      </c>
      <c r="Q4" s="339">
        <v>0.47</v>
      </c>
      <c r="R4" s="339">
        <v>0.47</v>
      </c>
      <c r="S4" s="339">
        <v>0.47</v>
      </c>
      <c r="T4" s="340">
        <v>0.47</v>
      </c>
    </row>
    <row r="5" spans="2:20" x14ac:dyDescent="0.3">
      <c r="B5" s="102">
        <v>46198.645833333336</v>
      </c>
      <c r="C5">
        <v>4291.3</v>
      </c>
      <c r="D5" s="335">
        <v>2.3835510000000002</v>
      </c>
      <c r="K5" s="111" t="s">
        <v>539</v>
      </c>
      <c r="M5" s="339">
        <v>0.1822</v>
      </c>
      <c r="N5" s="339">
        <v>0.18100000000000002</v>
      </c>
      <c r="O5" s="339">
        <v>0.17809999999999998</v>
      </c>
      <c r="P5" s="339">
        <v>0.17530000000000001</v>
      </c>
      <c r="Q5" s="339">
        <v>0.161</v>
      </c>
      <c r="R5" s="339">
        <v>0.15539999999999998</v>
      </c>
      <c r="S5" s="339">
        <v>0.1565</v>
      </c>
      <c r="T5" s="340">
        <v>0.15390000000000001</v>
      </c>
    </row>
    <row r="6" spans="2:20" x14ac:dyDescent="0.3">
      <c r="B6" s="102">
        <v>46192.645833333336</v>
      </c>
      <c r="C6">
        <v>4419.8999999999996</v>
      </c>
      <c r="D6" s="335">
        <v>3.984575</v>
      </c>
      <c r="K6" s="114" t="s">
        <v>540</v>
      </c>
      <c r="L6" s="106"/>
      <c r="M6" s="341">
        <v>0.11460000000000001</v>
      </c>
      <c r="N6" s="341">
        <v>0.11559999999999998</v>
      </c>
      <c r="O6" s="341">
        <v>0.12179999999999999</v>
      </c>
      <c r="P6" s="341">
        <v>0.12779999999999997</v>
      </c>
      <c r="Q6" s="341">
        <v>0.1416</v>
      </c>
      <c r="R6" s="341">
        <v>0.15</v>
      </c>
      <c r="S6" s="341">
        <v>0.15029999999999999</v>
      </c>
      <c r="T6" s="107">
        <v>0.1532</v>
      </c>
    </row>
    <row r="7" spans="2:20" x14ac:dyDescent="0.3">
      <c r="B7" s="102">
        <v>46185.645833333336</v>
      </c>
      <c r="C7">
        <v>4184</v>
      </c>
      <c r="D7" s="335">
        <v>4.4552659999999999</v>
      </c>
    </row>
    <row r="8" spans="2:20" x14ac:dyDescent="0.3">
      <c r="B8" s="102">
        <v>46178.645833333336</v>
      </c>
      <c r="C8">
        <v>4260.2</v>
      </c>
      <c r="D8" s="335">
        <v>5.0837000000000003</v>
      </c>
    </row>
    <row r="9" spans="2:20" x14ac:dyDescent="0.3">
      <c r="B9" s="102">
        <v>46171.645833333336</v>
      </c>
      <c r="C9">
        <v>4074.9</v>
      </c>
      <c r="D9" s="335">
        <v>3.8482660000000002</v>
      </c>
    </row>
    <row r="10" spans="2:20" x14ac:dyDescent="0.3">
      <c r="B10" s="102">
        <v>46164.645833333336</v>
      </c>
      <c r="C10">
        <v>4079.8</v>
      </c>
      <c r="D10" s="335">
        <v>4.107971</v>
      </c>
    </row>
    <row r="11" spans="2:20" x14ac:dyDescent="0.3">
      <c r="B11" s="102">
        <v>46157.645833333336</v>
      </c>
      <c r="C11">
        <v>4169.1000000000004</v>
      </c>
      <c r="D11" s="335">
        <v>12.774191999999999</v>
      </c>
    </row>
    <row r="12" spans="2:20" x14ac:dyDescent="0.3">
      <c r="B12" s="102">
        <v>46150.645833333336</v>
      </c>
      <c r="C12">
        <v>4509</v>
      </c>
      <c r="D12" s="335">
        <v>9.1754409999999993</v>
      </c>
    </row>
    <row r="13" spans="2:20" x14ac:dyDescent="0.3">
      <c r="B13" s="102">
        <v>46142.645833333336</v>
      </c>
      <c r="C13">
        <v>4385.2</v>
      </c>
      <c r="D13" s="335">
        <v>2.8420290000000001</v>
      </c>
    </row>
    <row r="14" spans="2:20" x14ac:dyDescent="0.3">
      <c r="B14" s="102">
        <v>46136.645833333336</v>
      </c>
      <c r="C14">
        <v>4410</v>
      </c>
      <c r="D14" s="335">
        <v>4.5379959999999997</v>
      </c>
      <c r="F14" s="334"/>
    </row>
    <row r="15" spans="2:20" x14ac:dyDescent="0.3">
      <c r="B15" s="102">
        <v>46129.645833333336</v>
      </c>
      <c r="C15">
        <v>4525.8999999999996</v>
      </c>
      <c r="D15" s="335">
        <v>5.1767159999999999</v>
      </c>
    </row>
    <row r="16" spans="2:20" x14ac:dyDescent="0.3">
      <c r="B16" s="102">
        <v>46122.645833333336</v>
      </c>
      <c r="C16">
        <v>4505</v>
      </c>
      <c r="D16" s="335">
        <v>9.7374299999999998</v>
      </c>
    </row>
    <row r="17" spans="2:4" x14ac:dyDescent="0.3">
      <c r="B17" s="102">
        <v>46114.645833333336</v>
      </c>
      <c r="C17">
        <v>4097.2</v>
      </c>
      <c r="D17" s="335">
        <v>3.885065</v>
      </c>
    </row>
    <row r="18" spans="2:4" x14ac:dyDescent="0.3">
      <c r="B18" s="102">
        <v>46108.645833333336</v>
      </c>
      <c r="C18">
        <v>3981.5</v>
      </c>
      <c r="D18" s="335">
        <v>5.181673</v>
      </c>
    </row>
    <row r="19" spans="2:4" x14ac:dyDescent="0.3">
      <c r="B19" s="102">
        <v>46101.645833333336</v>
      </c>
      <c r="C19">
        <v>4106.6000000000004</v>
      </c>
      <c r="D19" s="335">
        <v>4.4787429999999997</v>
      </c>
    </row>
    <row r="20" spans="2:4" x14ac:dyDescent="0.3">
      <c r="B20" s="102">
        <v>46094.645833333336</v>
      </c>
      <c r="C20">
        <v>4073.2</v>
      </c>
      <c r="D20" s="335">
        <v>3.759633</v>
      </c>
    </row>
    <row r="21" spans="2:4" x14ac:dyDescent="0.3">
      <c r="B21" s="102">
        <v>46087.645833333336</v>
      </c>
      <c r="C21">
        <v>4244.6000000000004</v>
      </c>
      <c r="D21" s="335">
        <v>3.0665680000000002</v>
      </c>
    </row>
    <row r="22" spans="2:4" x14ac:dyDescent="0.3">
      <c r="B22" s="102">
        <v>46080.645833333336</v>
      </c>
      <c r="C22">
        <v>4327.5</v>
      </c>
      <c r="D22" s="335">
        <v>3.2610510000000001</v>
      </c>
    </row>
    <row r="23" spans="2:4" x14ac:dyDescent="0.3">
      <c r="B23" s="102">
        <v>46073.645833333336</v>
      </c>
      <c r="C23">
        <v>4236.3999999999996</v>
      </c>
      <c r="D23" s="335">
        <v>2.2902010000000002</v>
      </c>
    </row>
    <row r="24" spans="2:4" x14ac:dyDescent="0.3">
      <c r="B24" s="102">
        <v>46066.645833333336</v>
      </c>
      <c r="C24">
        <v>4179.2</v>
      </c>
      <c r="D24" s="335">
        <v>7.671513</v>
      </c>
    </row>
    <row r="25" spans="2:4" x14ac:dyDescent="0.3">
      <c r="B25" s="102">
        <v>46059.645833333336</v>
      </c>
      <c r="C25">
        <v>4141</v>
      </c>
      <c r="D25" s="335">
        <v>5.9302679999999999</v>
      </c>
    </row>
    <row r="26" spans="2:4" x14ac:dyDescent="0.3">
      <c r="B26" s="102">
        <v>46052.645833333336</v>
      </c>
      <c r="C26">
        <v>3977.4</v>
      </c>
      <c r="D26" s="335">
        <v>5.1427740000000002</v>
      </c>
    </row>
    <row r="27" spans="2:4" x14ac:dyDescent="0.3">
      <c r="B27" s="102">
        <v>46045.645833333336</v>
      </c>
      <c r="C27">
        <v>4021.8</v>
      </c>
      <c r="D27" s="335">
        <v>3.3392019999999998</v>
      </c>
    </row>
    <row r="28" spans="2:4" x14ac:dyDescent="0.3">
      <c r="B28" s="102">
        <v>46038.645833333336</v>
      </c>
      <c r="C28">
        <v>4196.8999999999996</v>
      </c>
      <c r="D28" s="335">
        <v>2.9711150000000002</v>
      </c>
    </row>
    <row r="29" spans="2:4" x14ac:dyDescent="0.3">
      <c r="B29" s="102">
        <v>46031.645833333336</v>
      </c>
      <c r="C29">
        <v>4201.8</v>
      </c>
      <c r="D29" s="335">
        <v>6.8847860000000001</v>
      </c>
    </row>
    <row r="30" spans="2:4" x14ac:dyDescent="0.3">
      <c r="B30" s="102">
        <v>46024.645833333336</v>
      </c>
      <c r="C30">
        <v>4051.7</v>
      </c>
      <c r="D30" s="335">
        <v>4.8758229999999996</v>
      </c>
    </row>
    <row r="31" spans="2:4" x14ac:dyDescent="0.3">
      <c r="B31" s="102">
        <v>46017.645833333336</v>
      </c>
      <c r="C31">
        <v>3992</v>
      </c>
      <c r="D31" s="335">
        <v>2.5274540000000001</v>
      </c>
    </row>
    <row r="32" spans="2:4" x14ac:dyDescent="0.3">
      <c r="B32" s="102">
        <v>46010.645833333336</v>
      </c>
      <c r="C32">
        <v>3930.1</v>
      </c>
      <c r="D32" s="335">
        <v>3.741501</v>
      </c>
    </row>
    <row r="33" spans="2:4" x14ac:dyDescent="0.3">
      <c r="B33" s="102">
        <v>46003.645833333336</v>
      </c>
      <c r="C33">
        <v>3880.2</v>
      </c>
      <c r="D33" s="335">
        <v>3.5002260000000001</v>
      </c>
    </row>
    <row r="34" spans="2:4" x14ac:dyDescent="0.3">
      <c r="B34" s="102">
        <v>45996.645833333336</v>
      </c>
      <c r="C34">
        <v>3813.3</v>
      </c>
      <c r="D34" s="335">
        <v>3.3198699999999999</v>
      </c>
    </row>
    <row r="35" spans="2:4" x14ac:dyDescent="0.3">
      <c r="B35" s="102">
        <v>45989.645833333336</v>
      </c>
      <c r="C35">
        <v>3907.7</v>
      </c>
      <c r="D35" s="335">
        <v>3.4200520000000001</v>
      </c>
    </row>
    <row r="36" spans="2:4" x14ac:dyDescent="0.3">
      <c r="B36" s="102">
        <v>45982.645833333336</v>
      </c>
      <c r="C36">
        <v>3904.2</v>
      </c>
      <c r="D36" s="335">
        <v>4.0787190000000004</v>
      </c>
    </row>
    <row r="37" spans="2:4" x14ac:dyDescent="0.3">
      <c r="B37" s="102">
        <v>45975.645833333336</v>
      </c>
      <c r="C37">
        <v>3829.2</v>
      </c>
      <c r="D37" s="335">
        <v>3.3170540000000002</v>
      </c>
    </row>
    <row r="38" spans="2:4" x14ac:dyDescent="0.3">
      <c r="B38" s="102">
        <v>45968.645833333336</v>
      </c>
      <c r="C38">
        <v>3769.3</v>
      </c>
      <c r="D38" s="335">
        <v>5.3001959999999997</v>
      </c>
    </row>
    <row r="39" spans="2:4" x14ac:dyDescent="0.3">
      <c r="B39" s="102">
        <v>45961.645833333336</v>
      </c>
      <c r="C39">
        <v>3746.7</v>
      </c>
      <c r="D39" s="335">
        <v>4.5737870000000003</v>
      </c>
    </row>
    <row r="40" spans="2:4" x14ac:dyDescent="0.3">
      <c r="B40" s="102">
        <v>45954.645833333336</v>
      </c>
      <c r="C40">
        <v>3714.9</v>
      </c>
      <c r="D40" s="335">
        <v>3.0499779999999999</v>
      </c>
    </row>
    <row r="41" spans="2:4" x14ac:dyDescent="0.3">
      <c r="B41" s="102">
        <v>45947.645833333336</v>
      </c>
      <c r="C41">
        <v>3674.8</v>
      </c>
      <c r="D41" s="335">
        <v>5.1887829999999999</v>
      </c>
    </row>
    <row r="42" spans="2:4" x14ac:dyDescent="0.3">
      <c r="B42" s="102">
        <v>45940.645833333336</v>
      </c>
      <c r="C42">
        <v>3531.9</v>
      </c>
      <c r="D42" s="335">
        <v>8.1353209999999994</v>
      </c>
    </row>
    <row r="43" spans="2:4" x14ac:dyDescent="0.3">
      <c r="B43" s="102">
        <v>45933.645833333336</v>
      </c>
      <c r="C43">
        <v>3453.3</v>
      </c>
      <c r="D43" s="335">
        <v>5.6404459999999998</v>
      </c>
    </row>
    <row r="44" spans="2:4" x14ac:dyDescent="0.3">
      <c r="B44" s="102">
        <v>45926.645833333336</v>
      </c>
      <c r="C44">
        <v>3327.3</v>
      </c>
      <c r="D44" s="335">
        <v>11.317233999999999</v>
      </c>
    </row>
    <row r="45" spans="2:4" x14ac:dyDescent="0.3">
      <c r="B45" s="102">
        <v>45919.645833333336</v>
      </c>
      <c r="C45">
        <v>3467.2</v>
      </c>
      <c r="D45" s="335">
        <v>4.9135900000000001</v>
      </c>
    </row>
    <row r="46" spans="2:4" x14ac:dyDescent="0.3">
      <c r="B46" s="102">
        <v>45912.645833333336</v>
      </c>
      <c r="C46">
        <v>3571.9</v>
      </c>
      <c r="D46" s="335">
        <v>2.1566200000000002</v>
      </c>
    </row>
    <row r="47" spans="2:4" x14ac:dyDescent="0.3">
      <c r="B47" s="102">
        <v>45905.645833333336</v>
      </c>
      <c r="C47">
        <v>3665.3</v>
      </c>
      <c r="D47" s="335">
        <v>2.7156380000000002</v>
      </c>
    </row>
    <row r="48" spans="2:4" x14ac:dyDescent="0.3">
      <c r="B48" s="102">
        <v>45898.645833333336</v>
      </c>
      <c r="C48">
        <v>3628.8</v>
      </c>
      <c r="D48" s="335">
        <v>3.311483</v>
      </c>
    </row>
    <row r="49" spans="2:4" x14ac:dyDescent="0.3">
      <c r="B49" s="102">
        <v>45891.645833333336</v>
      </c>
      <c r="C49">
        <v>3621</v>
      </c>
      <c r="D49" s="335">
        <v>3.6727910000000001</v>
      </c>
    </row>
    <row r="50" spans="2:4" x14ac:dyDescent="0.3">
      <c r="B50" s="102">
        <v>45883.645833333336</v>
      </c>
      <c r="C50">
        <v>3489.4</v>
      </c>
      <c r="D50" s="335">
        <v>2.4513229999999999</v>
      </c>
    </row>
    <row r="51" spans="2:4" x14ac:dyDescent="0.3">
      <c r="B51" s="102">
        <v>45877.645833333336</v>
      </c>
      <c r="C51">
        <v>3460.2</v>
      </c>
      <c r="D51" s="335">
        <v>4.6170949999999999</v>
      </c>
    </row>
    <row r="52" spans="2:4" x14ac:dyDescent="0.3">
      <c r="B52" s="102">
        <v>45870.645833333336</v>
      </c>
      <c r="C52">
        <v>3316</v>
      </c>
      <c r="D52" s="335">
        <v>2.5348269999999999</v>
      </c>
    </row>
    <row r="53" spans="2:4" x14ac:dyDescent="0.3">
      <c r="B53" s="102">
        <v>45863.645833333336</v>
      </c>
      <c r="C53">
        <v>3462.8</v>
      </c>
      <c r="D53" s="335">
        <v>4.1537920000000002</v>
      </c>
    </row>
    <row r="54" spans="2:4" x14ac:dyDescent="0.3">
      <c r="B54" s="102">
        <v>45856.645833333336</v>
      </c>
      <c r="C54">
        <v>3402.9</v>
      </c>
      <c r="D54" s="335">
        <v>2.9642430000000002</v>
      </c>
    </row>
    <row r="55" spans="2:4" x14ac:dyDescent="0.3">
      <c r="B55" s="102">
        <v>45849.645833333336</v>
      </c>
      <c r="C55">
        <v>3361.6</v>
      </c>
      <c r="D55" s="335">
        <v>8.0035550000000004</v>
      </c>
    </row>
    <row r="56" spans="2:4" x14ac:dyDescent="0.3">
      <c r="B56" s="102">
        <v>45842.645833333336</v>
      </c>
      <c r="C56">
        <v>3686.9</v>
      </c>
      <c r="D56" s="335">
        <v>3.6110980000000001</v>
      </c>
    </row>
    <row r="57" spans="2:4" x14ac:dyDescent="0.3">
      <c r="B57" s="102">
        <v>45835.645833333336</v>
      </c>
      <c r="C57">
        <v>3666.2</v>
      </c>
      <c r="D57" s="335">
        <v>6.5318160000000001</v>
      </c>
    </row>
    <row r="58" spans="2:4" x14ac:dyDescent="0.3">
      <c r="B58" s="102">
        <v>45828.645833333336</v>
      </c>
      <c r="C58">
        <v>3519</v>
      </c>
      <c r="D58" s="335">
        <v>6.4715290000000003</v>
      </c>
    </row>
    <row r="59" spans="2:4" x14ac:dyDescent="0.3">
      <c r="B59" s="102">
        <v>45821.645833333336</v>
      </c>
      <c r="C59">
        <v>3421.9</v>
      </c>
      <c r="D59" s="335">
        <v>3.2406060000000001</v>
      </c>
    </row>
    <row r="60" spans="2:4" x14ac:dyDescent="0.3">
      <c r="B60" s="102">
        <v>45814.645833333336</v>
      </c>
      <c r="C60">
        <v>3559.9</v>
      </c>
      <c r="D60" s="335">
        <v>3.024762</v>
      </c>
    </row>
    <row r="61" spans="2:4" x14ac:dyDescent="0.3">
      <c r="B61" s="102">
        <v>45807.645833333336</v>
      </c>
      <c r="C61">
        <v>3555</v>
      </c>
      <c r="D61" s="335">
        <v>3.4706100000000002</v>
      </c>
    </row>
    <row r="62" spans="2:4" x14ac:dyDescent="0.3">
      <c r="B62" s="102">
        <v>45800.645833333336</v>
      </c>
      <c r="C62">
        <v>3579.7</v>
      </c>
      <c r="D62" s="335">
        <v>2.7297549999999999</v>
      </c>
    </row>
    <row r="63" spans="2:4" x14ac:dyDescent="0.3">
      <c r="B63" s="102">
        <v>45793.645833333336</v>
      </c>
      <c r="C63">
        <v>3633.7</v>
      </c>
      <c r="D63" s="335">
        <v>4.2944449999999996</v>
      </c>
    </row>
    <row r="64" spans="2:4" x14ac:dyDescent="0.3">
      <c r="B64" s="102">
        <v>45786.645833333336</v>
      </c>
      <c r="C64">
        <v>3510.3</v>
      </c>
      <c r="D64" s="335">
        <v>6.7247409999999999</v>
      </c>
    </row>
    <row r="65" spans="2:4" x14ac:dyDescent="0.3">
      <c r="B65" s="102">
        <v>45779.645833333336</v>
      </c>
      <c r="C65">
        <v>3341</v>
      </c>
      <c r="D65" s="335">
        <v>2.1829869999999998</v>
      </c>
    </row>
    <row r="66" spans="2:4" x14ac:dyDescent="0.3">
      <c r="B66" s="102">
        <v>45772.645833333336</v>
      </c>
      <c r="C66">
        <v>3365.2</v>
      </c>
      <c r="D66" s="335">
        <v>3.51607</v>
      </c>
    </row>
    <row r="67" spans="2:4" x14ac:dyDescent="0.3">
      <c r="B67" s="102">
        <v>45764.645833333336</v>
      </c>
      <c r="C67">
        <v>3327.5</v>
      </c>
      <c r="D67" s="335">
        <v>3.0953240000000002</v>
      </c>
    </row>
    <row r="68" spans="2:4" x14ac:dyDescent="0.3">
      <c r="B68" s="102">
        <v>45758.645833333336</v>
      </c>
      <c r="C68">
        <v>3234.9</v>
      </c>
      <c r="D68" s="335">
        <v>6.2400529999999996</v>
      </c>
    </row>
    <row r="69" spans="2:4" x14ac:dyDescent="0.3">
      <c r="B69" s="102">
        <v>45751.645833333336</v>
      </c>
      <c r="C69">
        <v>3076.2</v>
      </c>
      <c r="D69" s="335">
        <v>4.7609120000000003</v>
      </c>
    </row>
    <row r="70" spans="2:4" x14ac:dyDescent="0.3">
      <c r="B70" s="102">
        <v>45744.645833333336</v>
      </c>
      <c r="C70">
        <v>3063.35</v>
      </c>
      <c r="D70" s="335">
        <v>6.0795709999999996</v>
      </c>
    </row>
    <row r="71" spans="2:4" x14ac:dyDescent="0.3">
      <c r="B71" s="102">
        <v>45737.645833333336</v>
      </c>
      <c r="C71">
        <v>3162.7</v>
      </c>
      <c r="D71" s="335">
        <v>4.9540629999999997</v>
      </c>
    </row>
    <row r="72" spans="2:4" x14ac:dyDescent="0.3">
      <c r="B72" s="102">
        <v>45729.645833333336</v>
      </c>
      <c r="C72">
        <v>3010.15</v>
      </c>
      <c r="D72" s="335">
        <v>2.7064180000000002</v>
      </c>
    </row>
    <row r="73" spans="2:4" x14ac:dyDescent="0.3">
      <c r="B73" s="102">
        <v>45723.645833333336</v>
      </c>
      <c r="C73">
        <v>3079.35</v>
      </c>
      <c r="D73" s="335">
        <v>4.7017290000000003</v>
      </c>
    </row>
    <row r="74" spans="2:4" x14ac:dyDescent="0.3">
      <c r="B74" s="102">
        <v>45716.645833333336</v>
      </c>
      <c r="C74">
        <v>3077.25</v>
      </c>
      <c r="D74" s="335">
        <v>3.0001540000000002</v>
      </c>
    </row>
    <row r="75" spans="2:4" x14ac:dyDescent="0.3">
      <c r="B75" s="102">
        <v>45709.645833333336</v>
      </c>
      <c r="C75">
        <v>3179.9</v>
      </c>
      <c r="D75" s="335">
        <v>2.8881480000000002</v>
      </c>
    </row>
    <row r="76" spans="2:4" x14ac:dyDescent="0.3">
      <c r="B76" s="102">
        <v>45702.645833333336</v>
      </c>
      <c r="C76">
        <v>3213.25</v>
      </c>
      <c r="D76" s="335">
        <v>3.8976739999999999</v>
      </c>
    </row>
    <row r="77" spans="2:4" x14ac:dyDescent="0.3">
      <c r="B77" s="102">
        <v>45695.645833333336</v>
      </c>
      <c r="C77">
        <v>3424.8</v>
      </c>
      <c r="D77" s="335">
        <v>6.7893949999999998</v>
      </c>
    </row>
    <row r="78" spans="2:4" x14ac:dyDescent="0.3">
      <c r="B78" s="102">
        <v>45681.645833333336</v>
      </c>
      <c r="C78">
        <v>3402.15</v>
      </c>
      <c r="D78" s="335">
        <v>3.6145649999999998</v>
      </c>
    </row>
    <row r="79" spans="2:4" x14ac:dyDescent="0.3">
      <c r="B79" s="102">
        <v>45674.645833333336</v>
      </c>
      <c r="C79">
        <v>3357.4</v>
      </c>
      <c r="D79" s="335">
        <v>5.3155979999999996</v>
      </c>
    </row>
    <row r="80" spans="2:4" x14ac:dyDescent="0.3">
      <c r="B80" s="102">
        <v>45667.645833333336</v>
      </c>
      <c r="C80">
        <v>3440.25</v>
      </c>
      <c r="D80" s="335">
        <v>7.2491729999999999</v>
      </c>
    </row>
    <row r="81" spans="2:4" x14ac:dyDescent="0.3">
      <c r="B81" s="102">
        <v>45660.645833333336</v>
      </c>
      <c r="C81">
        <v>3451.65</v>
      </c>
      <c r="D81" s="335">
        <v>4.6990299999999996</v>
      </c>
    </row>
    <row r="82" spans="2:4" x14ac:dyDescent="0.3">
      <c r="B82" s="102">
        <v>45653.645833333336</v>
      </c>
      <c r="C82">
        <v>3309.2</v>
      </c>
      <c r="D82" s="335">
        <v>2.38253</v>
      </c>
    </row>
    <row r="83" spans="2:4" x14ac:dyDescent="0.3">
      <c r="B83" s="102">
        <v>45646.645833333336</v>
      </c>
      <c r="C83">
        <v>3356.25</v>
      </c>
      <c r="D83" s="335">
        <v>4.9153789999999997</v>
      </c>
    </row>
    <row r="84" spans="2:4" x14ac:dyDescent="0.3">
      <c r="B84" s="102">
        <v>45639.645833333336</v>
      </c>
      <c r="C84">
        <v>3508.85</v>
      </c>
      <c r="D84" s="335">
        <v>4.7133019999999997</v>
      </c>
    </row>
    <row r="85" spans="2:4" x14ac:dyDescent="0.3">
      <c r="B85" s="102">
        <v>45632.645833333336</v>
      </c>
      <c r="C85">
        <v>3470.1</v>
      </c>
      <c r="D85" s="335">
        <v>7.3705119999999997</v>
      </c>
    </row>
    <row r="86" spans="2:4" x14ac:dyDescent="0.3">
      <c r="B86" s="102">
        <v>45625.645833333336</v>
      </c>
      <c r="C86">
        <v>3249</v>
      </c>
      <c r="D86" s="335">
        <v>6.1876620000000004</v>
      </c>
    </row>
    <row r="87" spans="2:4" x14ac:dyDescent="0.3">
      <c r="B87" s="102">
        <v>45618.645833333336</v>
      </c>
      <c r="C87">
        <v>3308.7</v>
      </c>
      <c r="D87" s="335">
        <v>5.9074429999999998</v>
      </c>
    </row>
    <row r="88" spans="2:4" x14ac:dyDescent="0.3">
      <c r="B88" s="102">
        <v>45610.645833333336</v>
      </c>
      <c r="C88">
        <v>3183.7</v>
      </c>
      <c r="D88" s="335">
        <v>4.121086</v>
      </c>
    </row>
    <row r="89" spans="2:4" x14ac:dyDescent="0.3">
      <c r="B89" s="102">
        <v>45604.645833333336</v>
      </c>
      <c r="C89">
        <v>3186.25</v>
      </c>
      <c r="D89" s="335">
        <v>9.8459620000000001</v>
      </c>
    </row>
    <row r="90" spans="2:4" x14ac:dyDescent="0.3">
      <c r="B90" s="102">
        <v>45590.645833333336</v>
      </c>
      <c r="C90">
        <v>3266.55</v>
      </c>
      <c r="D90" s="335">
        <v>4.0440509999999996</v>
      </c>
    </row>
    <row r="91" spans="2:4" x14ac:dyDescent="0.3">
      <c r="B91" s="102">
        <v>45583.645833333336</v>
      </c>
      <c r="C91">
        <v>3381.45</v>
      </c>
      <c r="D91" s="335">
        <v>3.57395</v>
      </c>
    </row>
    <row r="92" spans="2:4" x14ac:dyDescent="0.3">
      <c r="B92" s="102">
        <v>45576.645833333336</v>
      </c>
      <c r="C92">
        <v>3474.4</v>
      </c>
      <c r="D92" s="335">
        <v>7.2940339999999999</v>
      </c>
    </row>
    <row r="93" spans="2:4" x14ac:dyDescent="0.3">
      <c r="B93" s="102">
        <v>45569.645833333336</v>
      </c>
      <c r="C93">
        <v>3670.1</v>
      </c>
      <c r="D93" s="335">
        <v>4.9833769999999999</v>
      </c>
    </row>
    <row r="94" spans="2:4" x14ac:dyDescent="0.3">
      <c r="B94" s="102">
        <v>45562.645833333336</v>
      </c>
      <c r="C94">
        <v>3816.7</v>
      </c>
      <c r="D94" s="335">
        <v>6.7826110000000002</v>
      </c>
    </row>
    <row r="95" spans="2:4" x14ac:dyDescent="0.3">
      <c r="B95" s="102">
        <v>45555.645833333336</v>
      </c>
      <c r="C95">
        <v>3797.2</v>
      </c>
      <c r="D95" s="335">
        <v>4.0965910000000001</v>
      </c>
    </row>
    <row r="96" spans="2:4" x14ac:dyDescent="0.3">
      <c r="B96" s="102">
        <v>45548.645833333336</v>
      </c>
      <c r="C96">
        <v>3767</v>
      </c>
      <c r="D96" s="335">
        <v>5.2049269999999996</v>
      </c>
    </row>
    <row r="97" spans="2:4" x14ac:dyDescent="0.3">
      <c r="B97" s="102">
        <v>45541.645833333336</v>
      </c>
      <c r="C97">
        <v>3695.5</v>
      </c>
      <c r="D97" s="335">
        <v>7.2079500000000003</v>
      </c>
    </row>
    <row r="98" spans="2:4" x14ac:dyDescent="0.3">
      <c r="B98" s="102">
        <v>45534.645833333336</v>
      </c>
      <c r="C98">
        <v>3565.15</v>
      </c>
      <c r="D98" s="335">
        <v>6.0975349999999997</v>
      </c>
    </row>
    <row r="99" spans="2:4" x14ac:dyDescent="0.3">
      <c r="B99" s="102">
        <v>45527.645833333336</v>
      </c>
      <c r="C99">
        <v>3570</v>
      </c>
      <c r="D99" s="335">
        <v>6.3567609999999997</v>
      </c>
    </row>
    <row r="100" spans="2:4" x14ac:dyDescent="0.3">
      <c r="B100" s="102">
        <v>45520.645833333336</v>
      </c>
      <c r="C100">
        <v>3444.75</v>
      </c>
      <c r="D100" s="335">
        <v>4.3487539999999996</v>
      </c>
    </row>
    <row r="101" spans="2:4" x14ac:dyDescent="0.3">
      <c r="B101" s="102">
        <v>45513.645833333336</v>
      </c>
      <c r="C101">
        <v>3331.7</v>
      </c>
      <c r="D101" s="335">
        <v>6.4862799999999998</v>
      </c>
    </row>
    <row r="102" spans="2:4" x14ac:dyDescent="0.3">
      <c r="B102" s="102">
        <v>45506.645833333336</v>
      </c>
      <c r="C102">
        <v>3462.35</v>
      </c>
      <c r="D102" s="335">
        <v>6.939362</v>
      </c>
    </row>
    <row r="103" spans="2:4" x14ac:dyDescent="0.3">
      <c r="B103" s="102">
        <v>45499.645833333336</v>
      </c>
      <c r="C103">
        <v>3494.15</v>
      </c>
      <c r="D103" s="335">
        <v>15.025069</v>
      </c>
    </row>
    <row r="104" spans="2:4" x14ac:dyDescent="0.3">
      <c r="B104" s="102">
        <v>45492.645833333336</v>
      </c>
      <c r="C104">
        <v>3259</v>
      </c>
      <c r="D104" s="335">
        <v>3.9427110000000001</v>
      </c>
    </row>
    <row r="105" spans="2:4" x14ac:dyDescent="0.3">
      <c r="B105" s="102">
        <v>45485.645833333336</v>
      </c>
      <c r="C105">
        <v>3229.85</v>
      </c>
      <c r="D105" s="335">
        <v>11.407641999999999</v>
      </c>
    </row>
    <row r="106" spans="2:4" x14ac:dyDescent="0.3">
      <c r="B106" s="102">
        <v>45478.645833333336</v>
      </c>
      <c r="C106">
        <v>3269.35</v>
      </c>
      <c r="D106" s="335">
        <v>5.6039089999999998</v>
      </c>
    </row>
    <row r="107" spans="2:4" x14ac:dyDescent="0.3">
      <c r="B107" s="102">
        <v>45471.645833333336</v>
      </c>
      <c r="C107">
        <v>3404.2</v>
      </c>
      <c r="D107" s="335">
        <v>5.8987040000000004</v>
      </c>
    </row>
    <row r="108" spans="2:4" x14ac:dyDescent="0.3">
      <c r="B108" s="102">
        <v>45464.645833333336</v>
      </c>
      <c r="C108">
        <v>3399.75</v>
      </c>
      <c r="D108" s="335">
        <v>8.5322790000000008</v>
      </c>
    </row>
    <row r="109" spans="2:4" x14ac:dyDescent="0.3">
      <c r="B109" s="102">
        <v>45457.645833333336</v>
      </c>
      <c r="C109">
        <v>3530.05</v>
      </c>
      <c r="D109" s="335">
        <v>8.895797</v>
      </c>
    </row>
    <row r="110" spans="2:4" x14ac:dyDescent="0.3">
      <c r="B110" s="102">
        <v>45450.645833333336</v>
      </c>
      <c r="C110">
        <v>3444.05</v>
      </c>
      <c r="D110" s="335">
        <v>9.6193299999999997</v>
      </c>
    </row>
    <row r="111" spans="2:4" x14ac:dyDescent="0.3">
      <c r="B111" s="102">
        <v>45443.645833333336</v>
      </c>
      <c r="C111">
        <v>3241.9</v>
      </c>
      <c r="D111" s="335">
        <v>6.762346</v>
      </c>
    </row>
    <row r="112" spans="2:4" x14ac:dyDescent="0.3">
      <c r="B112" s="102">
        <v>45436.645833333336</v>
      </c>
      <c r="C112">
        <v>3412.4</v>
      </c>
      <c r="D112" s="335">
        <v>3.3106550000000001</v>
      </c>
    </row>
    <row r="113" spans="2:4" x14ac:dyDescent="0.3">
      <c r="B113" s="102">
        <v>45422.645833333336</v>
      </c>
      <c r="C113">
        <v>3289.85</v>
      </c>
      <c r="D113" s="335">
        <v>15.225910000000001</v>
      </c>
    </row>
    <row r="114" spans="2:4" x14ac:dyDescent="0.3">
      <c r="B114" s="102">
        <v>45415.645833333336</v>
      </c>
      <c r="C114">
        <v>3533.9</v>
      </c>
      <c r="D114" s="335">
        <v>4.7842269999999996</v>
      </c>
    </row>
    <row r="115" spans="2:4" x14ac:dyDescent="0.3">
      <c r="B115" s="102">
        <v>45408.645833333336</v>
      </c>
      <c r="C115">
        <v>3584.8</v>
      </c>
      <c r="D115" s="335">
        <v>4.779407</v>
      </c>
    </row>
    <row r="116" spans="2:4" x14ac:dyDescent="0.3">
      <c r="B116" s="102">
        <v>45401.645833333336</v>
      </c>
      <c r="C116">
        <v>3563.05</v>
      </c>
      <c r="D116" s="335">
        <v>5.1568519999999998</v>
      </c>
    </row>
    <row r="117" spans="2:4" x14ac:dyDescent="0.3">
      <c r="B117" s="102">
        <v>45394.645833333336</v>
      </c>
      <c r="C117">
        <v>3619.3</v>
      </c>
      <c r="D117" s="335">
        <v>4.0726589999999998</v>
      </c>
    </row>
    <row r="118" spans="2:4" x14ac:dyDescent="0.3">
      <c r="B118" s="102">
        <v>45387.645833333336</v>
      </c>
      <c r="C118">
        <v>3754.45</v>
      </c>
      <c r="D118" s="335">
        <v>4.2451059999999998</v>
      </c>
    </row>
    <row r="119" spans="2:4" x14ac:dyDescent="0.3">
      <c r="B119" s="102">
        <v>45379.645833333336</v>
      </c>
      <c r="C119">
        <v>3801.8</v>
      </c>
      <c r="D119" s="335">
        <v>4.0646760000000004</v>
      </c>
    </row>
    <row r="120" spans="2:4" x14ac:dyDescent="0.3">
      <c r="B120" s="102">
        <v>45373.645833333336</v>
      </c>
      <c r="C120">
        <v>3706.7</v>
      </c>
      <c r="D120" s="335">
        <v>3.9155899999999999</v>
      </c>
    </row>
    <row r="121" spans="2:4" x14ac:dyDescent="0.3">
      <c r="B121" s="102">
        <v>45366.645833333336</v>
      </c>
      <c r="C121">
        <v>3633.2</v>
      </c>
      <c r="D121" s="335">
        <v>4.6912929999999999</v>
      </c>
    </row>
    <row r="122" spans="2:4" x14ac:dyDescent="0.3">
      <c r="B122" s="102">
        <v>45358.645833333336</v>
      </c>
      <c r="C122">
        <v>3786.9</v>
      </c>
      <c r="D122" s="335">
        <v>3.125318</v>
      </c>
    </row>
    <row r="123" spans="2:4" x14ac:dyDescent="0.3">
      <c r="B123" s="102">
        <v>45345.645833333336</v>
      </c>
      <c r="C123">
        <v>3691.95</v>
      </c>
      <c r="D123" s="335">
        <v>3.8486750000000001</v>
      </c>
    </row>
    <row r="124" spans="2:4" x14ac:dyDescent="0.3">
      <c r="B124" s="102">
        <v>45338.645833333336</v>
      </c>
      <c r="C124">
        <v>3655.4</v>
      </c>
      <c r="D124" s="335">
        <v>4.0042260000000001</v>
      </c>
    </row>
    <row r="125" spans="2:4" x14ac:dyDescent="0.3">
      <c r="B125" s="102">
        <v>45331.645833333336</v>
      </c>
      <c r="C125">
        <v>3591.6</v>
      </c>
      <c r="D125" s="335">
        <v>5.5921010000000004</v>
      </c>
    </row>
    <row r="126" spans="2:4" x14ac:dyDescent="0.3">
      <c r="B126" s="102">
        <v>45324.645833333336</v>
      </c>
      <c r="C126">
        <v>3612.4</v>
      </c>
      <c r="D126" s="335">
        <v>6.6670290000000003</v>
      </c>
    </row>
    <row r="127" spans="2:4" x14ac:dyDescent="0.3">
      <c r="B127" s="102">
        <v>45316.645833333336</v>
      </c>
      <c r="C127">
        <v>3770.2</v>
      </c>
      <c r="D127" s="335">
        <v>2.336633</v>
      </c>
    </row>
    <row r="128" spans="2:4" x14ac:dyDescent="0.3">
      <c r="B128" s="102">
        <v>45303.645833333336</v>
      </c>
      <c r="C128">
        <v>3726</v>
      </c>
      <c r="D128" s="335">
        <v>3.7144710000000001</v>
      </c>
    </row>
    <row r="129" spans="2:4" x14ac:dyDescent="0.3">
      <c r="B129" s="102">
        <v>45296.645833333336</v>
      </c>
      <c r="C129">
        <v>3712.55</v>
      </c>
      <c r="D129" s="335">
        <v>2.6059809999999999</v>
      </c>
    </row>
    <row r="130" spans="2:4" x14ac:dyDescent="0.3">
      <c r="B130" s="102">
        <v>45289.645833333336</v>
      </c>
      <c r="C130">
        <v>3675.45</v>
      </c>
      <c r="D130" s="335">
        <v>2.935988</v>
      </c>
    </row>
    <row r="131" spans="2:4" x14ac:dyDescent="0.3">
      <c r="B131" s="102">
        <v>45282.645833333336</v>
      </c>
      <c r="C131">
        <v>3627.35</v>
      </c>
      <c r="D131" s="335">
        <v>3.7205979999999998</v>
      </c>
    </row>
    <row r="132" spans="2:4" x14ac:dyDescent="0.3">
      <c r="B132" s="102">
        <v>45275.645833333336</v>
      </c>
      <c r="C132">
        <v>3600.55</v>
      </c>
      <c r="D132" s="335">
        <v>4.3131959999999996</v>
      </c>
    </row>
    <row r="133" spans="2:4" x14ac:dyDescent="0.3">
      <c r="B133" s="102">
        <v>45268.645833333336</v>
      </c>
      <c r="C133">
        <v>3634.65</v>
      </c>
      <c r="D133" s="335">
        <v>4.378984</v>
      </c>
    </row>
    <row r="134" spans="2:4" x14ac:dyDescent="0.3">
      <c r="B134" s="102">
        <v>45261.645833333336</v>
      </c>
      <c r="C134">
        <v>3489.5</v>
      </c>
      <c r="D134" s="335">
        <v>3.688075</v>
      </c>
    </row>
    <row r="135" spans="2:4" x14ac:dyDescent="0.3">
      <c r="B135" s="102">
        <v>45254.645833333336</v>
      </c>
      <c r="C135">
        <v>3396.95</v>
      </c>
      <c r="D135" s="335">
        <v>3.6239129999999999</v>
      </c>
    </row>
    <row r="136" spans="2:4" x14ac:dyDescent="0.3">
      <c r="B136" s="102">
        <v>45247.645833333336</v>
      </c>
      <c r="C136">
        <v>3338.85</v>
      </c>
      <c r="D136" s="335">
        <v>2.916709</v>
      </c>
    </row>
    <row r="137" spans="2:4" x14ac:dyDescent="0.3">
      <c r="B137" s="102">
        <v>45240.645833333336</v>
      </c>
      <c r="C137">
        <v>3256.35</v>
      </c>
      <c r="D137" s="335">
        <v>4.6920640000000002</v>
      </c>
    </row>
    <row r="138" spans="2:4" x14ac:dyDescent="0.3">
      <c r="B138" s="102">
        <v>45233.645833333336</v>
      </c>
      <c r="C138">
        <v>3274.5</v>
      </c>
      <c r="D138" s="335">
        <v>4.9244079999999997</v>
      </c>
    </row>
    <row r="139" spans="2:4" x14ac:dyDescent="0.3">
      <c r="B139" s="102">
        <v>45226.645833333336</v>
      </c>
      <c r="C139">
        <v>3120.7</v>
      </c>
      <c r="D139" s="335">
        <v>3.5042749999999998</v>
      </c>
    </row>
    <row r="140" spans="2:4" x14ac:dyDescent="0.3">
      <c r="B140" s="102">
        <v>45219.645833333336</v>
      </c>
      <c r="C140">
        <v>3266.2</v>
      </c>
      <c r="D140" s="335">
        <v>3.0434909999999999</v>
      </c>
    </row>
    <row r="141" spans="2:4" x14ac:dyDescent="0.3">
      <c r="B141" s="102">
        <v>45212.645833333336</v>
      </c>
      <c r="C141">
        <v>3283.75</v>
      </c>
      <c r="D141" s="335">
        <v>3.352617</v>
      </c>
    </row>
    <row r="142" spans="2:4" x14ac:dyDescent="0.3">
      <c r="B142" s="102">
        <v>45205.645833333336</v>
      </c>
      <c r="C142">
        <v>3309.75</v>
      </c>
      <c r="D142" s="335">
        <v>3.7062780000000002</v>
      </c>
    </row>
    <row r="143" spans="2:4" x14ac:dyDescent="0.3">
      <c r="B143" s="102">
        <v>45198.645833333336</v>
      </c>
      <c r="C143">
        <v>3148.8</v>
      </c>
      <c r="D143" s="335">
        <v>5.054481</v>
      </c>
    </row>
    <row r="144" spans="2:4" x14ac:dyDescent="0.3">
      <c r="B144" s="102">
        <v>45191.645833333336</v>
      </c>
      <c r="C144">
        <v>3274.5</v>
      </c>
      <c r="D144" s="335">
        <v>4.7349670000000001</v>
      </c>
    </row>
    <row r="145" spans="2:4" x14ac:dyDescent="0.3">
      <c r="B145" s="102">
        <v>45184.645833333336</v>
      </c>
      <c r="C145">
        <v>3248.6</v>
      </c>
      <c r="D145" s="335">
        <v>5.168609</v>
      </c>
    </row>
    <row r="146" spans="2:4" x14ac:dyDescent="0.3">
      <c r="B146" s="102">
        <v>45177.645833333336</v>
      </c>
      <c r="C146">
        <v>3199.1</v>
      </c>
      <c r="D146" s="335">
        <v>3.9296190000000002</v>
      </c>
    </row>
    <row r="147" spans="2:4" x14ac:dyDescent="0.3">
      <c r="B147" s="102">
        <v>45170.645833333336</v>
      </c>
      <c r="C147">
        <v>3116.8</v>
      </c>
      <c r="D147" s="335">
        <v>3.3813399999999998</v>
      </c>
    </row>
    <row r="148" spans="2:4" x14ac:dyDescent="0.3">
      <c r="B148" s="102">
        <v>45163.645833333336</v>
      </c>
      <c r="C148">
        <v>3067.2</v>
      </c>
      <c r="D148" s="335">
        <v>3.2896670000000001</v>
      </c>
    </row>
    <row r="149" spans="2:4" x14ac:dyDescent="0.3">
      <c r="B149" s="102">
        <v>45156.645833333336</v>
      </c>
      <c r="C149">
        <v>3050.45</v>
      </c>
      <c r="D149" s="335">
        <v>3.6475420000000001</v>
      </c>
    </row>
    <row r="150" spans="2:4" x14ac:dyDescent="0.3">
      <c r="B150" s="102">
        <v>45149.645833333336</v>
      </c>
      <c r="C150">
        <v>3017.25</v>
      </c>
      <c r="D150" s="335">
        <v>4.4491209999999999</v>
      </c>
    </row>
    <row r="151" spans="2:4" x14ac:dyDescent="0.3">
      <c r="B151" s="102">
        <v>45142.645833333336</v>
      </c>
      <c r="C151">
        <v>2904.4</v>
      </c>
      <c r="D151" s="335">
        <v>6.4398520000000001</v>
      </c>
    </row>
    <row r="152" spans="2:4" x14ac:dyDescent="0.3">
      <c r="B152" s="102">
        <v>45135.645833333336</v>
      </c>
      <c r="C152">
        <v>2987</v>
      </c>
      <c r="D152" s="335">
        <v>3.4190109999999998</v>
      </c>
    </row>
    <row r="153" spans="2:4" x14ac:dyDescent="0.3">
      <c r="B153" s="102">
        <v>45128.645833333336</v>
      </c>
      <c r="C153">
        <v>2976.3</v>
      </c>
      <c r="D153" s="335">
        <v>4.4164789999999998</v>
      </c>
    </row>
    <row r="154" spans="2:4" x14ac:dyDescent="0.3">
      <c r="B154" s="102">
        <v>45121.645833333336</v>
      </c>
      <c r="C154">
        <v>3055.55</v>
      </c>
      <c r="D154" s="335">
        <v>5.8726799999999999</v>
      </c>
    </row>
    <row r="155" spans="2:4" x14ac:dyDescent="0.3">
      <c r="B155" s="102">
        <v>45114.645833333336</v>
      </c>
      <c r="C155">
        <v>3144</v>
      </c>
      <c r="D155" s="335">
        <v>6.9717650000000004</v>
      </c>
    </row>
    <row r="156" spans="2:4" x14ac:dyDescent="0.3">
      <c r="B156" s="102">
        <v>45107.645833333336</v>
      </c>
      <c r="C156">
        <v>3047.65</v>
      </c>
      <c r="D156" s="335">
        <v>4.224672</v>
      </c>
    </row>
    <row r="157" spans="2:4" x14ac:dyDescent="0.3">
      <c r="B157" s="102">
        <v>45100.645833333336</v>
      </c>
      <c r="C157">
        <v>2939.15</v>
      </c>
      <c r="D157" s="335">
        <v>3.9303140000000001</v>
      </c>
    </row>
    <row r="158" spans="2:4" x14ac:dyDescent="0.3">
      <c r="B158" s="102">
        <v>45093.645833333336</v>
      </c>
      <c r="C158">
        <v>2954.3</v>
      </c>
      <c r="D158" s="335">
        <v>4.0933869999999999</v>
      </c>
    </row>
    <row r="159" spans="2:4" x14ac:dyDescent="0.3">
      <c r="B159" s="102">
        <v>45086.645833333336</v>
      </c>
      <c r="C159">
        <v>2876.25</v>
      </c>
      <c r="D159" s="335">
        <v>4.0234490000000003</v>
      </c>
    </row>
    <row r="160" spans="2:4" x14ac:dyDescent="0.3">
      <c r="B160" s="102">
        <v>45079.645833333336</v>
      </c>
      <c r="C160">
        <v>2861.65</v>
      </c>
      <c r="D160" s="335">
        <v>5.4210000000000003</v>
      </c>
    </row>
    <row r="161" spans="2:4" x14ac:dyDescent="0.3">
      <c r="B161" s="102">
        <v>45072.645833333336</v>
      </c>
      <c r="C161">
        <v>2742.15</v>
      </c>
      <c r="D161" s="335">
        <v>3.5506959999999999</v>
      </c>
    </row>
    <row r="162" spans="2:4" x14ac:dyDescent="0.3">
      <c r="B162" s="102">
        <v>45065.645833333336</v>
      </c>
      <c r="C162">
        <v>2701.65</v>
      </c>
      <c r="D162" s="335">
        <v>3.3202060000000002</v>
      </c>
    </row>
    <row r="163" spans="2:4" x14ac:dyDescent="0.3">
      <c r="B163" s="102">
        <v>45058.645833333336</v>
      </c>
      <c r="C163">
        <v>2773.2</v>
      </c>
      <c r="D163" s="335">
        <v>3.591056</v>
      </c>
    </row>
    <row r="164" spans="2:4" x14ac:dyDescent="0.3">
      <c r="B164" s="102">
        <v>45051.645833333336</v>
      </c>
      <c r="C164">
        <v>2732.9</v>
      </c>
      <c r="D164" s="335">
        <v>5.6620679999999997</v>
      </c>
    </row>
    <row r="165" spans="2:4" x14ac:dyDescent="0.3">
      <c r="B165" s="102">
        <v>45044.645833333336</v>
      </c>
      <c r="C165">
        <v>2641.85</v>
      </c>
      <c r="D165" s="335">
        <v>4.4761660000000001</v>
      </c>
    </row>
    <row r="166" spans="2:4" x14ac:dyDescent="0.3">
      <c r="B166" s="102">
        <v>45037.645833333336</v>
      </c>
      <c r="C166">
        <v>2568.3000000000002</v>
      </c>
      <c r="D166" s="335">
        <v>3.8119390000000002</v>
      </c>
    </row>
    <row r="167" spans="2:4" x14ac:dyDescent="0.3">
      <c r="B167" s="102">
        <v>45029.645833333336</v>
      </c>
      <c r="C167">
        <v>2585.65</v>
      </c>
      <c r="D167" s="335">
        <v>3.3532860000000002</v>
      </c>
    </row>
    <row r="168" spans="2:4" x14ac:dyDescent="0.3">
      <c r="B168" s="102">
        <v>45022.645833333336</v>
      </c>
      <c r="C168">
        <v>2548.4499999999998</v>
      </c>
      <c r="D168" s="335">
        <v>3.3323610000000001</v>
      </c>
    </row>
    <row r="169" spans="2:4" x14ac:dyDescent="0.3">
      <c r="B169" s="102">
        <v>45016.645833333336</v>
      </c>
      <c r="C169">
        <v>2514.9</v>
      </c>
      <c r="D169" s="335">
        <v>2.8869769999999999</v>
      </c>
    </row>
    <row r="170" spans="2:4" x14ac:dyDescent="0.3">
      <c r="B170" s="102">
        <v>45009.645833333336</v>
      </c>
      <c r="C170">
        <v>2493.35</v>
      </c>
      <c r="D170" s="335">
        <v>4.7754580000000004</v>
      </c>
    </row>
    <row r="171" spans="2:4" x14ac:dyDescent="0.3">
      <c r="B171" s="102">
        <v>45002.645833333336</v>
      </c>
      <c r="C171">
        <v>2455.65</v>
      </c>
      <c r="D171" s="335">
        <v>7.7018659999999999</v>
      </c>
    </row>
    <row r="172" spans="2:4" x14ac:dyDescent="0.3">
      <c r="B172" s="102">
        <v>44995.645833333336</v>
      </c>
      <c r="C172">
        <v>2375.5</v>
      </c>
      <c r="D172" s="335">
        <v>2.685127</v>
      </c>
    </row>
    <row r="173" spans="2:4" x14ac:dyDescent="0.3">
      <c r="B173" s="102">
        <v>44988.645833333336</v>
      </c>
      <c r="C173">
        <v>2396.1</v>
      </c>
      <c r="D173" s="335">
        <v>4.0133669999999997</v>
      </c>
    </row>
    <row r="174" spans="2:4" x14ac:dyDescent="0.3">
      <c r="B174" s="102">
        <v>44981.645833333336</v>
      </c>
      <c r="C174">
        <v>2399.1</v>
      </c>
      <c r="D174" s="335">
        <v>5.0562490000000002</v>
      </c>
    </row>
    <row r="175" spans="2:4" x14ac:dyDescent="0.3">
      <c r="B175" s="102">
        <v>44974.645833333336</v>
      </c>
      <c r="C175">
        <v>2500.3000000000002</v>
      </c>
      <c r="D175" s="335">
        <v>4.7192030000000003</v>
      </c>
    </row>
    <row r="176" spans="2:4" x14ac:dyDescent="0.3">
      <c r="B176" s="102">
        <v>44967.645833333336</v>
      </c>
      <c r="C176">
        <v>2468.5</v>
      </c>
      <c r="D176" s="335">
        <v>3.2134070000000001</v>
      </c>
    </row>
    <row r="177" spans="2:4" x14ac:dyDescent="0.3">
      <c r="B177" s="102">
        <v>44960.645833333336</v>
      </c>
      <c r="C177">
        <v>2463.1</v>
      </c>
      <c r="D177" s="335">
        <v>9.6579800000000002</v>
      </c>
    </row>
    <row r="178" spans="2:4" x14ac:dyDescent="0.3">
      <c r="B178" s="102">
        <v>44953.645833333336</v>
      </c>
      <c r="C178">
        <v>2331.25</v>
      </c>
      <c r="D178" s="335">
        <v>3.535838</v>
      </c>
    </row>
    <row r="179" spans="2:4" x14ac:dyDescent="0.3">
      <c r="B179" s="102">
        <v>44946.645833333336</v>
      </c>
      <c r="C179">
        <v>2371.3000000000002</v>
      </c>
      <c r="D179" s="335">
        <v>4.6111579999999996</v>
      </c>
    </row>
    <row r="180" spans="2:4" x14ac:dyDescent="0.3">
      <c r="B180" s="102">
        <v>44939.645833333336</v>
      </c>
      <c r="C180">
        <v>2417.1999999999998</v>
      </c>
      <c r="D180" s="335">
        <v>6.5650750000000002</v>
      </c>
    </row>
    <row r="181" spans="2:4" x14ac:dyDescent="0.3">
      <c r="B181" s="102">
        <v>44932.645833333336</v>
      </c>
      <c r="C181">
        <v>2538.1</v>
      </c>
      <c r="D181" s="335">
        <v>4.805593</v>
      </c>
    </row>
    <row r="182" spans="2:4" x14ac:dyDescent="0.3">
      <c r="B182" s="102">
        <v>44925.645833333336</v>
      </c>
      <c r="C182">
        <v>2597.5</v>
      </c>
      <c r="D182" s="335">
        <v>6.9518459999999997</v>
      </c>
    </row>
    <row r="183" spans="2:4" x14ac:dyDescent="0.3">
      <c r="B183" s="102">
        <v>44918.645833333336</v>
      </c>
      <c r="C183">
        <v>2483.0500000000002</v>
      </c>
      <c r="D183" s="335">
        <v>3.557499</v>
      </c>
    </row>
    <row r="184" spans="2:4" x14ac:dyDescent="0.3">
      <c r="B184" s="102">
        <v>44911.645833333336</v>
      </c>
      <c r="C184">
        <v>2482.85</v>
      </c>
      <c r="D184" s="335">
        <v>4.7295879999999997</v>
      </c>
    </row>
    <row r="185" spans="2:4" x14ac:dyDescent="0.3">
      <c r="B185" s="102">
        <v>44904.645833333336</v>
      </c>
      <c r="C185">
        <v>2615.4499999999998</v>
      </c>
      <c r="D185" s="335">
        <v>3.749959</v>
      </c>
    </row>
    <row r="186" spans="2:4" x14ac:dyDescent="0.3">
      <c r="B186" s="102">
        <v>44897.645833333336</v>
      </c>
      <c r="C186">
        <v>2617.9</v>
      </c>
      <c r="D186" s="335">
        <v>4.3729279999999999</v>
      </c>
    </row>
    <row r="187" spans="2:4" x14ac:dyDescent="0.3">
      <c r="B187" s="102">
        <v>44890.645833333336</v>
      </c>
      <c r="C187">
        <v>2595.4</v>
      </c>
      <c r="D187" s="335">
        <v>3.9190960000000001</v>
      </c>
    </row>
    <row r="188" spans="2:4" x14ac:dyDescent="0.3">
      <c r="B188" s="102">
        <v>44883.645833333336</v>
      </c>
      <c r="C188">
        <v>2565.8000000000002</v>
      </c>
      <c r="D188" s="335">
        <v>4.7381859999999998</v>
      </c>
    </row>
    <row r="189" spans="2:4" x14ac:dyDescent="0.3">
      <c r="B189" s="102">
        <v>44876.645833333336</v>
      </c>
      <c r="C189">
        <v>2651.8</v>
      </c>
      <c r="D189" s="335">
        <v>5.0425449999999996</v>
      </c>
    </row>
    <row r="190" spans="2:4" x14ac:dyDescent="0.3">
      <c r="B190" s="102">
        <v>44869.645833333336</v>
      </c>
      <c r="C190">
        <v>2769.7</v>
      </c>
      <c r="D190" s="335">
        <v>6.1397139999999997</v>
      </c>
    </row>
    <row r="191" spans="2:4" x14ac:dyDescent="0.3">
      <c r="B191" s="102">
        <v>44862.645833333336</v>
      </c>
      <c r="C191">
        <v>2736.4</v>
      </c>
      <c r="D191" s="335">
        <v>3.8113049999999999</v>
      </c>
    </row>
    <row r="192" spans="2:4" x14ac:dyDescent="0.3">
      <c r="B192" s="102">
        <v>44855.645833333336</v>
      </c>
      <c r="C192">
        <v>2665.65</v>
      </c>
      <c r="D192" s="335">
        <v>4.8941239999999997</v>
      </c>
    </row>
    <row r="193" spans="2:4" x14ac:dyDescent="0.3">
      <c r="B193" s="102">
        <v>44848.645833333336</v>
      </c>
      <c r="C193">
        <v>2617.8000000000002</v>
      </c>
      <c r="D193" s="335">
        <v>5.855378</v>
      </c>
    </row>
    <row r="194" spans="2:4" x14ac:dyDescent="0.3">
      <c r="B194" s="102">
        <v>44841.645833333336</v>
      </c>
      <c r="C194">
        <v>2730.5</v>
      </c>
      <c r="D194" s="335">
        <v>9.0348780000000009</v>
      </c>
    </row>
    <row r="195" spans="2:4" x14ac:dyDescent="0.3">
      <c r="B195" s="102">
        <v>44834.645833333336</v>
      </c>
      <c r="C195">
        <v>2606.9499999999998</v>
      </c>
      <c r="D195" s="335">
        <v>6.6686680000000003</v>
      </c>
    </row>
    <row r="196" spans="2:4" x14ac:dyDescent="0.3">
      <c r="B196" s="102">
        <v>44827.645833333336</v>
      </c>
      <c r="C196">
        <v>2672.45</v>
      </c>
      <c r="D196" s="335">
        <v>5.2849069999999996</v>
      </c>
    </row>
    <row r="197" spans="2:4" x14ac:dyDescent="0.3">
      <c r="B197" s="102">
        <v>44820.645833333336</v>
      </c>
      <c r="C197">
        <v>2611.8000000000002</v>
      </c>
      <c r="D197" s="335">
        <v>4.6311039999999997</v>
      </c>
    </row>
    <row r="198" spans="2:4" x14ac:dyDescent="0.3">
      <c r="B198" s="102">
        <v>44813.645833333336</v>
      </c>
      <c r="C198">
        <v>2603.4499999999998</v>
      </c>
      <c r="D198" s="335">
        <v>3.3835229999999998</v>
      </c>
    </row>
    <row r="199" spans="2:4" x14ac:dyDescent="0.3">
      <c r="B199" s="102">
        <v>44806.645833333336</v>
      </c>
      <c r="C199">
        <v>2612.6</v>
      </c>
      <c r="D199" s="335">
        <v>5.1831779999999998</v>
      </c>
    </row>
    <row r="200" spans="2:4" x14ac:dyDescent="0.3">
      <c r="B200" s="102">
        <v>44799.645833333336</v>
      </c>
      <c r="C200">
        <v>2532.9</v>
      </c>
      <c r="D200" s="335">
        <v>6.1685679999999996</v>
      </c>
    </row>
    <row r="201" spans="2:4" x14ac:dyDescent="0.3">
      <c r="B201" s="102">
        <v>44792.645833333336</v>
      </c>
      <c r="C201">
        <v>2440.6</v>
      </c>
      <c r="D201" s="335">
        <v>3.478596</v>
      </c>
    </row>
    <row r="202" spans="2:4" x14ac:dyDescent="0.3">
      <c r="B202" s="102">
        <v>44785.645833333336</v>
      </c>
      <c r="C202">
        <v>2471.9499999999998</v>
      </c>
      <c r="D202" s="335">
        <v>4.5318430000000003</v>
      </c>
    </row>
    <row r="203" spans="2:4" x14ac:dyDescent="0.3">
      <c r="B203" s="102">
        <v>44778.645833333336</v>
      </c>
      <c r="C203">
        <v>2432.8000000000002</v>
      </c>
      <c r="D203" s="335">
        <v>6.025156</v>
      </c>
    </row>
    <row r="204" spans="2:4" x14ac:dyDescent="0.3">
      <c r="B204" s="102">
        <v>44771.645833333336</v>
      </c>
      <c r="C204">
        <v>2352.0500000000002</v>
      </c>
      <c r="D204" s="335">
        <v>6.2131780000000001</v>
      </c>
    </row>
    <row r="205" spans="2:4" x14ac:dyDescent="0.3">
      <c r="B205" s="102">
        <v>44764.645833333336</v>
      </c>
      <c r="C205">
        <v>2325</v>
      </c>
      <c r="D205" s="335">
        <v>6.806235</v>
      </c>
    </row>
    <row r="206" spans="2:4" x14ac:dyDescent="0.3">
      <c r="B206" s="102">
        <v>44757.645833333336</v>
      </c>
      <c r="C206">
        <v>2189.6999999999998</v>
      </c>
      <c r="D206" s="335">
        <v>5.995565</v>
      </c>
    </row>
    <row r="207" spans="2:4" x14ac:dyDescent="0.3">
      <c r="B207" s="102">
        <v>44750.645833333336</v>
      </c>
      <c r="C207">
        <v>2144.35</v>
      </c>
      <c r="D207" s="335">
        <v>12.486795000000001</v>
      </c>
    </row>
    <row r="208" spans="2:4" x14ac:dyDescent="0.3">
      <c r="B208" s="102">
        <v>44743.645833333336</v>
      </c>
      <c r="C208">
        <v>1946.2</v>
      </c>
      <c r="D208" s="335">
        <v>13.395371000000001</v>
      </c>
    </row>
    <row r="209" spans="2:4" x14ac:dyDescent="0.3">
      <c r="B209" s="102">
        <v>44736.645833333336</v>
      </c>
      <c r="C209">
        <v>2045.6</v>
      </c>
      <c r="D209" s="335">
        <v>9.2531459999999992</v>
      </c>
    </row>
    <row r="210" spans="2:4" x14ac:dyDescent="0.3">
      <c r="B210" s="102">
        <v>44729.645833333336</v>
      </c>
      <c r="C210">
        <v>1936.45</v>
      </c>
      <c r="D210" s="335">
        <v>9.9378550000000008</v>
      </c>
    </row>
    <row r="211" spans="2:4" x14ac:dyDescent="0.3">
      <c r="B211" s="102">
        <v>44722.645833333336</v>
      </c>
      <c r="C211">
        <v>2142.25</v>
      </c>
      <c r="D211" s="335">
        <v>8.2793869999999998</v>
      </c>
    </row>
    <row r="212" spans="2:4" x14ac:dyDescent="0.3">
      <c r="B212" s="102">
        <v>44715.645833333336</v>
      </c>
      <c r="C212">
        <v>2204.4</v>
      </c>
      <c r="D212" s="335">
        <v>13.018033000000001</v>
      </c>
    </row>
    <row r="213" spans="2:4" x14ac:dyDescent="0.3">
      <c r="B213" s="102">
        <v>44708.645833333336</v>
      </c>
      <c r="C213">
        <v>2149.1999999999998</v>
      </c>
      <c r="D213" s="335">
        <v>5.869961</v>
      </c>
    </row>
    <row r="214" spans="2:4" x14ac:dyDescent="0.3">
      <c r="B214" s="102">
        <v>44701.645833333336</v>
      </c>
      <c r="C214">
        <v>2137.0500000000002</v>
      </c>
      <c r="D214" s="335">
        <v>5.8137220000000003</v>
      </c>
    </row>
    <row r="215" spans="2:4" x14ac:dyDescent="0.3">
      <c r="B215" s="102">
        <v>44694.645833333336</v>
      </c>
      <c r="C215">
        <v>2091.6999999999998</v>
      </c>
      <c r="D215" s="335">
        <v>7.4757879999999997</v>
      </c>
    </row>
    <row r="216" spans="2:4" x14ac:dyDescent="0.3">
      <c r="B216" s="102">
        <v>44687.645833333336</v>
      </c>
      <c r="C216">
        <v>2208.75</v>
      </c>
      <c r="D216" s="335">
        <v>7.229425</v>
      </c>
    </row>
    <row r="217" spans="2:4" x14ac:dyDescent="0.3">
      <c r="B217" s="102">
        <v>44680.645833333336</v>
      </c>
      <c r="C217">
        <v>2458.1999999999998</v>
      </c>
      <c r="D217" s="335">
        <v>5.1467369999999999</v>
      </c>
    </row>
    <row r="218" spans="2:4" x14ac:dyDescent="0.3">
      <c r="B218" s="102">
        <v>44673.645833333336</v>
      </c>
      <c r="C218">
        <v>2512.6999999999998</v>
      </c>
      <c r="D218" s="335">
        <v>4.4383410000000003</v>
      </c>
    </row>
    <row r="219" spans="2:4" x14ac:dyDescent="0.3">
      <c r="B219" s="102">
        <v>44664.645833333336</v>
      </c>
      <c r="C219">
        <v>2461.35</v>
      </c>
      <c r="D219" s="335">
        <v>3.0079920000000002</v>
      </c>
    </row>
    <row r="220" spans="2:4" x14ac:dyDescent="0.3">
      <c r="B220" s="102">
        <v>44659.645833333336</v>
      </c>
      <c r="C220">
        <v>2509.9499999999998</v>
      </c>
      <c r="D220" s="335">
        <v>8.3634039999999992</v>
      </c>
    </row>
    <row r="221" spans="2:4" x14ac:dyDescent="0.3">
      <c r="B221" s="102">
        <v>44652.645833333336</v>
      </c>
      <c r="C221">
        <v>2520.85</v>
      </c>
      <c r="D221" s="335">
        <v>5.209956</v>
      </c>
    </row>
    <row r="222" spans="2:4" x14ac:dyDescent="0.3">
      <c r="B222" s="102">
        <v>44645.645833333336</v>
      </c>
      <c r="C222">
        <v>2523.9</v>
      </c>
      <c r="D222" s="335">
        <v>9.1494</v>
      </c>
    </row>
    <row r="223" spans="2:4" x14ac:dyDescent="0.3">
      <c r="B223" s="102">
        <v>44637.645833333336</v>
      </c>
      <c r="C223">
        <v>2703</v>
      </c>
      <c r="D223" s="335">
        <v>6.6692600000000004</v>
      </c>
    </row>
    <row r="224" spans="2:4" x14ac:dyDescent="0.3">
      <c r="B224" s="102">
        <v>44631.645833333336</v>
      </c>
      <c r="C224">
        <v>2493.6</v>
      </c>
      <c r="D224" s="335">
        <v>6.4593340000000001</v>
      </c>
    </row>
    <row r="225" spans="2:4" x14ac:dyDescent="0.3">
      <c r="B225" s="102">
        <v>44624.645833333336</v>
      </c>
      <c r="C225">
        <v>2441</v>
      </c>
      <c r="D225" s="335">
        <v>10.698817</v>
      </c>
    </row>
    <row r="226" spans="2:4" x14ac:dyDescent="0.3">
      <c r="B226" s="102">
        <v>44617.645833333336</v>
      </c>
      <c r="C226">
        <v>2468.4499999999998</v>
      </c>
      <c r="D226" s="335">
        <v>6.9183399999999997</v>
      </c>
    </row>
    <row r="227" spans="2:4" x14ac:dyDescent="0.3">
      <c r="B227" s="102">
        <v>44610.645833333336</v>
      </c>
      <c r="C227">
        <v>2488.9499999999998</v>
      </c>
      <c r="D227" s="335">
        <v>4.7346110000000001</v>
      </c>
    </row>
    <row r="228" spans="2:4" x14ac:dyDescent="0.3">
      <c r="B228" s="102">
        <v>44603.645833333336</v>
      </c>
      <c r="C228">
        <v>2442.25</v>
      </c>
      <c r="D228" s="335">
        <v>5.2899219999999998</v>
      </c>
    </row>
    <row r="229" spans="2:4" x14ac:dyDescent="0.3">
      <c r="B229" s="102">
        <v>44596.645833333336</v>
      </c>
      <c r="C229">
        <v>2471.15</v>
      </c>
      <c r="D229" s="335">
        <v>9.8930009999999999</v>
      </c>
    </row>
    <row r="230" spans="2:4" x14ac:dyDescent="0.3">
      <c r="B230" s="102">
        <v>44589.645833333336</v>
      </c>
      <c r="C230">
        <v>2315.6</v>
      </c>
      <c r="D230" s="335">
        <v>8.0385869999999997</v>
      </c>
    </row>
    <row r="231" spans="2:4" x14ac:dyDescent="0.3">
      <c r="B231" s="102">
        <v>44582.645833333336</v>
      </c>
      <c r="C231">
        <v>2528.15</v>
      </c>
      <c r="D231" s="335">
        <v>5.6964309999999996</v>
      </c>
    </row>
    <row r="232" spans="2:4" x14ac:dyDescent="0.3">
      <c r="B232" s="102">
        <v>44575.645833333336</v>
      </c>
      <c r="C232">
        <v>2592.75</v>
      </c>
      <c r="D232" s="335">
        <v>6.5024100000000002</v>
      </c>
    </row>
    <row r="233" spans="2:4" x14ac:dyDescent="0.3">
      <c r="B233" s="102">
        <v>44568.645833333336</v>
      </c>
      <c r="C233">
        <v>2572.6999999999998</v>
      </c>
      <c r="D233" s="335">
        <v>8.9593279999999993</v>
      </c>
    </row>
    <row r="234" spans="2:4" x14ac:dyDescent="0.3">
      <c r="B234" s="102">
        <v>44561.645833333336</v>
      </c>
      <c r="C234">
        <v>2522.4</v>
      </c>
      <c r="D234" s="335">
        <v>5.5520750000000003</v>
      </c>
    </row>
    <row r="235" spans="2:4" x14ac:dyDescent="0.3">
      <c r="B235" s="102">
        <v>44554.645833333336</v>
      </c>
      <c r="C235">
        <v>2319.4499999999998</v>
      </c>
      <c r="D235" s="335">
        <v>3.7380089999999999</v>
      </c>
    </row>
    <row r="236" spans="2:4" x14ac:dyDescent="0.3">
      <c r="B236" s="102">
        <v>44547.645833333336</v>
      </c>
      <c r="C236">
        <v>2280.4</v>
      </c>
      <c r="D236" s="335">
        <v>4.9153710000000004</v>
      </c>
    </row>
    <row r="237" spans="2:4" x14ac:dyDescent="0.3">
      <c r="B237" s="102">
        <v>44540.645833333336</v>
      </c>
      <c r="C237">
        <v>2339.35</v>
      </c>
      <c r="D237" s="335">
        <v>5.9169479999999997</v>
      </c>
    </row>
    <row r="238" spans="2:4" x14ac:dyDescent="0.3">
      <c r="B238" s="102">
        <v>44533.645833333336</v>
      </c>
      <c r="C238">
        <v>2369.25</v>
      </c>
      <c r="D238" s="335">
        <v>8.6921020000000002</v>
      </c>
    </row>
    <row r="239" spans="2:4" x14ac:dyDescent="0.3">
      <c r="B239" s="102">
        <v>44526.645833333336</v>
      </c>
      <c r="C239">
        <v>2292.3000000000002</v>
      </c>
      <c r="D239" s="335">
        <v>5.1748089999999998</v>
      </c>
    </row>
    <row r="240" spans="2:4" x14ac:dyDescent="0.3">
      <c r="B240" s="102">
        <v>44518.645833333336</v>
      </c>
      <c r="C240">
        <v>2478.1999999999998</v>
      </c>
      <c r="D240" s="335">
        <v>3.6130819999999999</v>
      </c>
    </row>
    <row r="241" spans="2:4" x14ac:dyDescent="0.3">
      <c r="B241" s="102">
        <v>44512.645833333336</v>
      </c>
      <c r="C241">
        <v>2539.5</v>
      </c>
      <c r="D241" s="335">
        <v>8.8575529999999993</v>
      </c>
    </row>
    <row r="242" spans="2:4" x14ac:dyDescent="0.3">
      <c r="B242" s="102">
        <v>44504.802083333336</v>
      </c>
      <c r="C242">
        <v>2431.75</v>
      </c>
      <c r="D242" s="335">
        <v>4.5585990000000001</v>
      </c>
    </row>
    <row r="243" spans="2:4" x14ac:dyDescent="0.3">
      <c r="B243" s="102">
        <v>44498.645833333336</v>
      </c>
      <c r="C243">
        <v>2383.5500000000002</v>
      </c>
      <c r="D243" s="335">
        <v>10.876628</v>
      </c>
    </row>
    <row r="244" spans="2:4" x14ac:dyDescent="0.3">
      <c r="B244" s="102">
        <v>44491.645833333336</v>
      </c>
      <c r="C244">
        <v>2412</v>
      </c>
      <c r="D244" s="335">
        <v>14.354590999999999</v>
      </c>
    </row>
    <row r="245" spans="2:4" x14ac:dyDescent="0.3">
      <c r="B245" s="102">
        <v>44483.645833333336</v>
      </c>
      <c r="C245">
        <v>2564.0500000000002</v>
      </c>
      <c r="D245" s="335">
        <v>10.144047</v>
      </c>
    </row>
    <row r="246" spans="2:4" x14ac:dyDescent="0.3">
      <c r="B246" s="102">
        <v>44477.645833333336</v>
      </c>
      <c r="C246">
        <v>2358.1999999999998</v>
      </c>
      <c r="D246" s="335">
        <v>13.30273</v>
      </c>
    </row>
    <row r="247" spans="2:4" x14ac:dyDescent="0.3">
      <c r="B247" s="102">
        <v>44470.645833333336</v>
      </c>
      <c r="C247">
        <v>2163.75</v>
      </c>
      <c r="D247" s="335">
        <v>4.3449260000000001</v>
      </c>
    </row>
    <row r="248" spans="2:4" x14ac:dyDescent="0.3">
      <c r="B248" s="102">
        <v>44463.645833333336</v>
      </c>
      <c r="C248">
        <v>2092.9</v>
      </c>
      <c r="D248" s="335">
        <v>3.2614109999999998</v>
      </c>
    </row>
    <row r="249" spans="2:4" x14ac:dyDescent="0.3">
      <c r="B249" s="102">
        <v>44456.645833333336</v>
      </c>
      <c r="C249">
        <v>2095.6</v>
      </c>
      <c r="D249" s="335">
        <v>6.9237520000000004</v>
      </c>
    </row>
    <row r="250" spans="2:4" x14ac:dyDescent="0.3">
      <c r="B250" s="102">
        <v>44448.645833333336</v>
      </c>
      <c r="C250">
        <v>2034.3</v>
      </c>
      <c r="D250" s="335">
        <v>2.902434</v>
      </c>
    </row>
    <row r="251" spans="2:4" x14ac:dyDescent="0.3">
      <c r="B251" s="102">
        <v>44442.645833333336</v>
      </c>
      <c r="C251">
        <v>2019.3</v>
      </c>
      <c r="D251" s="335">
        <v>7.4497530000000003</v>
      </c>
    </row>
    <row r="252" spans="2:4" x14ac:dyDescent="0.3">
      <c r="B252" s="102">
        <v>44435.645833333336</v>
      </c>
      <c r="C252">
        <v>1822.55</v>
      </c>
      <c r="D252" s="335">
        <v>5.4564690000000002</v>
      </c>
    </row>
    <row r="253" spans="2:4" x14ac:dyDescent="0.3">
      <c r="B253" s="102">
        <v>44428.645833333336</v>
      </c>
      <c r="C253">
        <v>1876.8</v>
      </c>
      <c r="D253" s="335">
        <v>4.4779749999999998</v>
      </c>
    </row>
    <row r="254" spans="2:4" x14ac:dyDescent="0.3">
      <c r="B254" s="102">
        <v>44421.645833333336</v>
      </c>
      <c r="C254">
        <v>1837.9</v>
      </c>
      <c r="D254" s="335">
        <v>5.4651750000000003</v>
      </c>
    </row>
    <row r="255" spans="2:4" x14ac:dyDescent="0.3">
      <c r="B255" s="102">
        <v>44414.645833333336</v>
      </c>
      <c r="C255">
        <v>1787.75</v>
      </c>
      <c r="D255" s="335">
        <v>12.895232</v>
      </c>
    </row>
    <row r="256" spans="2:4" x14ac:dyDescent="0.3">
      <c r="B256" s="102">
        <v>44407.645833333336</v>
      </c>
      <c r="C256">
        <v>1714.55</v>
      </c>
      <c r="D256" s="335">
        <v>6.7715209999999999</v>
      </c>
    </row>
    <row r="257" spans="2:4" x14ac:dyDescent="0.3">
      <c r="B257" s="105">
        <v>44400.645833333336</v>
      </c>
      <c r="C257" s="106">
        <v>1700.95</v>
      </c>
      <c r="D257" s="336">
        <v>3.8511129999999998</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6</vt:i4>
      </vt:variant>
    </vt:vector>
  </HeadingPairs>
  <TitlesOfParts>
    <vt:vector size="32" baseType="lpstr">
      <vt:lpstr>Front Page</vt:lpstr>
      <vt:lpstr>Index</vt:lpstr>
      <vt:lpstr>One Page Summary</vt:lpstr>
      <vt:lpstr>HistoricalFS</vt:lpstr>
      <vt:lpstr>Ratio Analysis</vt:lpstr>
      <vt:lpstr>Common Size Statement</vt:lpstr>
      <vt:lpstr>Assumptions Sheet</vt:lpstr>
      <vt:lpstr>ForcastedFS</vt:lpstr>
      <vt:lpstr>Beta-Regression</vt:lpstr>
      <vt:lpstr>Rm</vt:lpstr>
      <vt:lpstr>WACC</vt:lpstr>
      <vt:lpstr>Intrinsic Growth</vt:lpstr>
      <vt:lpstr>DCF</vt:lpstr>
      <vt:lpstr>Comps_Valuation</vt:lpstr>
      <vt:lpstr>Football_Field_Analysis</vt:lpstr>
      <vt:lpstr>VAR Historical Approach</vt:lpstr>
      <vt:lpstr>Monte Carlo Simulation</vt:lpstr>
      <vt:lpstr>DUPONT Analysis</vt:lpstr>
      <vt:lpstr>Altman's z Score</vt:lpstr>
      <vt:lpstr>RawFS</vt:lpstr>
      <vt:lpstr>Data&gt;</vt:lpstr>
      <vt:lpstr>comps_data</vt:lpstr>
      <vt:lpstr>Data Sheet</vt:lpstr>
      <vt:lpstr>CashFlow</vt:lpstr>
      <vt:lpstr>peer companies</vt:lpstr>
      <vt:lpstr>Raw Data</vt:lpstr>
      <vt:lpstr>'Altman''s z Score'!Print_Area</vt:lpstr>
      <vt:lpstr>'Monte Carlo Simulation'!Print_Area</vt:lpstr>
      <vt:lpstr>'One Page Summary'!Print_Area</vt:lpstr>
      <vt:lpstr>'Ratio Analysis'!Print_Area</vt:lpstr>
      <vt:lpstr>'VAR Historical Approach'!Print_Area</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Pratyush</dc:creator>
  <dc:description/>
  <cp:lastModifiedBy>lokesh rajput</cp:lastModifiedBy>
  <cp:revision>0</cp:revision>
  <cp:lastPrinted>2026-07-29T13:12:32Z</cp:lastPrinted>
  <dcterms:created xsi:type="dcterms:W3CDTF">2012-08-17T09:55:37Z</dcterms:created>
  <dcterms:modified xsi:type="dcterms:W3CDTF">2026-08-04T18:29:39Z</dcterms:modified>
  <dc:language>en-US</dc:language>
</cp:coreProperties>
</file>